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rman\Desktop\exams\"/>
    </mc:Choice>
  </mc:AlternateContent>
  <xr:revisionPtr revIDLastSave="0" documentId="13_ncr:1_{0C54CB54-4CCC-4DC1-A8A4-F070FC0822F8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TT" sheetId="2" r:id="rId1"/>
    <sheet name="Sheet1" sheetId="7" r:id="rId2"/>
    <sheet name="TALLY" sheetId="3" r:id="rId3"/>
    <sheet name="combined_data" sheetId="4" r:id="rId4"/>
    <sheet name="Combined Data" sheetId="5" r:id="rId5"/>
    <sheet name="ROOMS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TT!$L$2:$L$2</definedName>
    <definedName name="CLASS" localSheetId="5">#REF!</definedName>
    <definedName name="CLASS">TT!$D$233:$D$501</definedName>
    <definedName name="CODE" localSheetId="5">#REF!</definedName>
    <definedName name="CODE" localSheetId="2">#REF!</definedName>
    <definedName name="CODE">#REF!</definedName>
    <definedName name="COURSE_NAME" localSheetId="5">#REF!</definedName>
    <definedName name="COURSE_NAME" localSheetId="2">#REF!</definedName>
    <definedName name="COURSE_NAME">#REF!</definedName>
    <definedName name="EA">#REF!</definedName>
    <definedName name="ED3_PCE">TT!$D$299:$D$312</definedName>
    <definedName name="ED3_TEL">TT!$D$270:$D$277</definedName>
    <definedName name="ED4_IND">TT!$D$270:$D$277</definedName>
    <definedName name="EXAMINER" localSheetId="5">#REF!</definedName>
    <definedName name="EXAMINER" localSheetId="2">#REF!</definedName>
    <definedName name="EXAMINER">#REF!</definedName>
    <definedName name="hy">#REF!</definedName>
    <definedName name="po">#REF!</definedName>
    <definedName name="_xlnm.Print_Area" localSheetId="0">TT!$A$1:$G$710</definedName>
    <definedName name="room_no">#REF!</definedName>
    <definedName name="ROOM_NO." localSheetId="5">#REF!</definedName>
    <definedName name="ROOM_NO." localSheetId="2">#REF!</definedName>
    <definedName name="ROOM_NO.">#REF!</definedName>
    <definedName name="STDS" localSheetId="5">#REF!</definedName>
    <definedName name="STDS" localSheetId="2">#REF!</definedName>
    <definedName name="STDS">#REF!</definedName>
    <definedName name="TO_PRT" localSheetId="5">#REF!</definedName>
    <definedName name="TO_PRT" localSheetId="2">#REF!</definedName>
    <definedName name="TO_PRT">#REF!</definedName>
    <definedName name="Total_F1" localSheetId="5">'[1]TT (Working)'!$D$668:$D$683</definedName>
    <definedName name="Total_F1" localSheetId="2">[2]TT!$D$540:$D$555</definedName>
    <definedName name="Total_F1">TT!$D$562:$D$686</definedName>
    <definedName name="Total_F1_1" localSheetId="4">'[3]TT (Values)'!$D$176:$D$194</definedName>
    <definedName name="Total_F1_1" localSheetId="3">'[3]TT (Values)'!$D$176:$D$194</definedName>
    <definedName name="Total_F1_1" localSheetId="5">[4]TT!$D$206:$D$219</definedName>
    <definedName name="Total_F1_1">[4]TT!$D$206:$D$219</definedName>
    <definedName name="Total_F1_2" localSheetId="5">[4]TT!$D$225:$D$227</definedName>
    <definedName name="Total_F1_2">[4]TT!$D$225:$D$227</definedName>
    <definedName name="Total_F1_3" localSheetId="5">[4]TT!$D$245:$D$261</definedName>
    <definedName name="Total_F1_3">[4]TT!$D$245:$D$261</definedName>
    <definedName name="Total_F2" localSheetId="5">'[1]TT (Working)'!$D$690:$D$712</definedName>
    <definedName name="Total_F2" localSheetId="2">[2]TT!$D$561:$D$580</definedName>
    <definedName name="Total_F2">TT!$D$581:$D$609</definedName>
    <definedName name="Total_F2_1" localSheetId="4">'[3]TT (Values)'!$D$450:$D$473</definedName>
    <definedName name="Total_F2_1" localSheetId="3">'[3]TT (Values)'!$D$450:$D$473</definedName>
    <definedName name="Total_F2_1" localSheetId="5">[4]TT!$D$503:$D$520</definedName>
    <definedName name="Total_F2_1">[4]TT!$D$503:$D$520</definedName>
    <definedName name="Total_F2_2" localSheetId="4">'[3]TT (Values)'!$D$479:$D$483</definedName>
    <definedName name="Total_F2_2" localSheetId="3">'[3]TT (Values)'!$D$479:$D$483</definedName>
    <definedName name="Total_F2_2" localSheetId="5">[4]TT!$D$526:$D$536</definedName>
    <definedName name="Total_F2_2">[4]TT!$D$526:$D$536</definedName>
    <definedName name="Total_F2_3" localSheetId="4">'[3]TT (Values)'!$D$489:$D$496</definedName>
    <definedName name="Total_F2_3" localSheetId="3">'[3]TT (Values)'!$D$489:$D$496</definedName>
    <definedName name="Total_F2_3" localSheetId="5">[4]TT!$D$542:$D$559</definedName>
    <definedName name="Total_F2_3">[4]TT!$D$542:$D$559</definedName>
    <definedName name="Total_F3" localSheetId="5">'[1]TT (Working)'!$D$718:$D$731</definedName>
    <definedName name="Total_F3" localSheetId="2">[2]TT!$D$586:$D$597</definedName>
    <definedName name="Total_F3">TT!$D$615:$D$625</definedName>
    <definedName name="Total_F3_1" localSheetId="4">'[3]TT (Values)'!$D$740:$D$753</definedName>
    <definedName name="Total_F3_1" localSheetId="3">'[3]TT (Values)'!$D$740:$D$753</definedName>
    <definedName name="Total_F3_1" localSheetId="5">[4]TT!$D$801:$D$817</definedName>
    <definedName name="Total_F3_1">[4]TT!$D$801:$D$817</definedName>
    <definedName name="Total_F3_2" localSheetId="5">[4]TT!$D$823:$D$836</definedName>
    <definedName name="Total_F3_2">[4]TT!$D$823:$D$836</definedName>
    <definedName name="Total_F3_3" localSheetId="5">[4]TT!$D$842:$D$858</definedName>
    <definedName name="Total_F3_3">[4]TT!$D$842:$D$858</definedName>
    <definedName name="Total_F4" localSheetId="5">'[1]TT (Working)'!$D$737:$D$746</definedName>
    <definedName name="Total_F4" localSheetId="2">[2]TT!$D$603:$D$615</definedName>
    <definedName name="Total_F4">TT!$D$634:$D$648</definedName>
    <definedName name="Total_F5" localSheetId="5">'[1]TT (Working)'!$D$753:$D$766</definedName>
    <definedName name="Total_F5" localSheetId="2">[2]TT!$D$621:$D$637</definedName>
    <definedName name="Total_F5">TT!$D$654:$D$693</definedName>
    <definedName name="Total_F6" localSheetId="5">'[1]TT (Working)'!$D$773:$D$787</definedName>
    <definedName name="Total_F6" localSheetId="2">[2]TT!$D$643:$D$655</definedName>
    <definedName name="Total_F6">TT!$D$674:$D$687</definedName>
    <definedName name="Total_F7" localSheetId="5">'[1]TT (Working)'!$D$793:$D$802</definedName>
    <definedName name="Total_F7" localSheetId="2">[2]TT!$D$661:$D$661</definedName>
    <definedName name="Total_F7">TT!$D$693:$D$693</definedName>
    <definedName name="Total_H1" localSheetId="5">'[1]TT (Working)'!$D$510:$D$528</definedName>
    <definedName name="Total_H1" localSheetId="2">[2]TT!$D$433:$D$446</definedName>
    <definedName name="Total_H1">TT!$D$430:$D$442</definedName>
    <definedName name="Total_H1_1" localSheetId="4">'[3]TT (Values)'!$D$113:$D$129</definedName>
    <definedName name="Total_H1_1" localSheetId="3">'[3]TT (Values)'!$D$113:$D$129</definedName>
    <definedName name="Total_H1_1" localSheetId="5">[4]TT!$D$147:$D$161</definedName>
    <definedName name="Total_H1_1">[4]TT!$D$147:$D$161</definedName>
    <definedName name="Total_H1_2" localSheetId="4">'[3]TT (Values)'!$D$135:$D$148</definedName>
    <definedName name="Total_H1_2" localSheetId="3">'[3]TT (Values)'!$D$135:$D$148</definedName>
    <definedName name="Total_H1_2" localSheetId="5">[4]TT!$D$167:$D$178</definedName>
    <definedName name="Total_H1_2">[4]TT!$D$167:$D$178</definedName>
    <definedName name="Total_H1_3" localSheetId="4">'[3]TT (Values)'!$D$154:$D$170</definedName>
    <definedName name="Total_H1_3" localSheetId="3">'[3]TT (Values)'!$D$154:$D$170</definedName>
    <definedName name="Total_H1_3" localSheetId="5">[4]TT!$D$184:$D$239</definedName>
    <definedName name="Total_H1_3">[4]TT!$D$184:$D$239</definedName>
    <definedName name="Total_H2" localSheetId="5">'[1]TT (Working)'!$D$540:$D$552</definedName>
    <definedName name="Total_H2" localSheetId="2">[2]TT!$D$452:$D$466</definedName>
    <definedName name="Total_H2">TT!$D$448:$D$460</definedName>
    <definedName name="Total_H2_1" localSheetId="4">'[3]TT (Values)'!$D$392:$D$405</definedName>
    <definedName name="Total_H2_1" localSheetId="3">'[3]TT (Values)'!$D$392:$D$405</definedName>
    <definedName name="Total_H2_1" localSheetId="5">[4]TT!$D$450:$D$709</definedName>
    <definedName name="Total_H2_1">[4]TT!$D$450:$D$709</definedName>
    <definedName name="Total_H2_2" localSheetId="4">'[3]TT (Values)'!$D$411:$D$425</definedName>
    <definedName name="Total_H2_2" localSheetId="3">'[3]TT (Values)'!$D$411:$D$425</definedName>
    <definedName name="Total_H2_2" localSheetId="5">[4]TT!$D$470:$D$692</definedName>
    <definedName name="Total_H2_2">[4]TT!$D$470:$D$692</definedName>
    <definedName name="Total_H2_3" localSheetId="4">'[3]TT (Values)'!$D$431:$D$444</definedName>
    <definedName name="Total_H2_3" localSheetId="3">'[3]TT (Values)'!$D$431:$D$444</definedName>
    <definedName name="Total_H2_3" localSheetId="5">[4]TT!$D$486:$D$696</definedName>
    <definedName name="Total_H2_3">[4]TT!$D$486:$D$696</definedName>
    <definedName name="Total_H3" localSheetId="5">'[1]TT (Working)'!$D$564:$D$577</definedName>
    <definedName name="Total_H3" localSheetId="2">[2]TT!$D$472:$D$486</definedName>
    <definedName name="Total_H3">TT!$D$466:$D$476</definedName>
    <definedName name="Total_H3_1" localSheetId="4">'[3]TT (Values)'!$D$685:$D$697</definedName>
    <definedName name="Total_H3_1" localSheetId="3">'[3]TT (Values)'!$D$685:$D$697</definedName>
    <definedName name="Total_H3_1" localSheetId="5">[4]TT!$D$744:$D$760</definedName>
    <definedName name="Total_H3_1">[4]TT!$D$744:$D$760</definedName>
    <definedName name="Total_H3_2" localSheetId="4">'[3]TT (Values)'!$D$703:$D$717</definedName>
    <definedName name="Total_H3_2" localSheetId="3">'[3]TT (Values)'!$D$703:$D$717</definedName>
    <definedName name="Total_H3_2" localSheetId="5">[4]TT!$D$766:$D$775</definedName>
    <definedName name="Total_H3_2">[4]TT!$D$766:$D$775</definedName>
    <definedName name="Total_H3_3" localSheetId="4">'[3]TT (Values)'!$D$723:$D$734</definedName>
    <definedName name="Total_H3_3" localSheetId="3">'[3]TT (Values)'!$D$723:$D$734</definedName>
    <definedName name="Total_H3_3" localSheetId="5">[4]TT!$D$781:$D$795</definedName>
    <definedName name="Total_H3_3">[4]TT!$D$781:$D$795</definedName>
    <definedName name="Total_H4" localSheetId="5">'[1]TT (Working)'!$D$585:$D$607</definedName>
    <definedName name="Total_H4" localSheetId="2">[2]TT!$D$492:$D$513</definedName>
    <definedName name="Total_H4">TT!$D$482:$D$500</definedName>
    <definedName name="Total_H5" localSheetId="5">'[1]TT (Working)'!$D$614:$D$677</definedName>
    <definedName name="Total_H5" localSheetId="2">[2]TT!$D$519:$D$534</definedName>
    <definedName name="Total_H5">TT!$D$506:$D$522</definedName>
    <definedName name="Total_H6" localSheetId="5">'[1]TT (Working)'!$D$631:$D$646</definedName>
    <definedName name="Total_H6" localSheetId="2">[2]TT!#REF!</definedName>
    <definedName name="Total_H6">TT!#REF!</definedName>
    <definedName name="Total_H7" localSheetId="5">'[1]TT (Working)'!$D$653:$D$662</definedName>
    <definedName name="Total_H7" localSheetId="2">[2]TT!#REF!</definedName>
    <definedName name="Total_H7">TT!#REF!</definedName>
    <definedName name="Total_M1" localSheetId="5">'[1]TT (Working)'!$D$3:$D$471</definedName>
    <definedName name="Total_M1" localSheetId="2">[2]TT!$D$3:$D$23</definedName>
    <definedName name="Total_M1">TT!$D$3:$D$25</definedName>
    <definedName name="Total_M1_1" localSheetId="4">'[3]TT (Values)'!$D$3:$D$6</definedName>
    <definedName name="Total_M1_1" localSheetId="3">'[3]TT (Values)'!$D$3:$D$6</definedName>
    <definedName name="Total_M1_1" localSheetId="5">[4]TT!$D$3:$D$13</definedName>
    <definedName name="Total_M1_1">[4]TT!$D$3:$D$13</definedName>
    <definedName name="Total_M1_2" localSheetId="4">'[3]TT (Values)'!$D$12:$D$15</definedName>
    <definedName name="Total_M1_2" localSheetId="3">'[3]TT (Values)'!$D$12:$D$15</definedName>
    <definedName name="Total_M1_2" localSheetId="5">[4]TT!$D$19:$D$29</definedName>
    <definedName name="Total_M1_2">[4]TT!$D$19:$D$29</definedName>
    <definedName name="Total_M1_3" localSheetId="5">[4]TT!$D$35:$D$45</definedName>
    <definedName name="Total_M1_3">[4]TT!$D$35:$D$45</definedName>
    <definedName name="Total_M2" localSheetId="5">'[1]TT (Working)'!$D$31:$D$240</definedName>
    <definedName name="Total_M2" localSheetId="2">[2]TT!$D$29:$D$47</definedName>
    <definedName name="Total_M2">TT!$D$32:$D$50</definedName>
    <definedName name="Total_M2_1" localSheetId="4">'[3]TT (Values)'!$D$213:$D$228</definedName>
    <definedName name="Total_M2_1" localSheetId="3">'[3]TT (Values)'!$D$213:$D$228</definedName>
    <definedName name="Total_M2_1" localSheetId="5">[4]TT!$D$267:$D$285</definedName>
    <definedName name="Total_M2_1">[4]TT!$D$267:$D$285</definedName>
    <definedName name="Total_M2_2" localSheetId="4">'[3]TT (Values)'!$D$234:$D$252</definedName>
    <definedName name="Total_M2_2" localSheetId="3">'[3]TT (Values)'!$D$234:$D$252</definedName>
    <definedName name="Total_M2_2" localSheetId="5">[4]TT!$D$291:$D$442</definedName>
    <definedName name="Total_M2_2">[4]TT!$D$291:$D$442</definedName>
    <definedName name="Total_M2_3" localSheetId="4">'[3]TT (Values)'!$D$258:$D$270</definedName>
    <definedName name="Total_M2_3" localSheetId="3">'[3]TT (Values)'!$D$258:$D$270</definedName>
    <definedName name="Total_M2_3" localSheetId="5">[4]TT!$D$311:$D$325</definedName>
    <definedName name="Total_M2_3">[4]TT!$D$311:$D$325</definedName>
    <definedName name="Total_M3" localSheetId="5">'[1]TT (Working)'!$D$62:$D$77</definedName>
    <definedName name="Total_M3" localSheetId="2">[2]TT!$D$53:$D$71</definedName>
    <definedName name="Total_M3">TT!$D$56:$D$75</definedName>
    <definedName name="Total_M3_1" localSheetId="4">'[3]TT (Values)'!$D$502:$D$516</definedName>
    <definedName name="Total_M3_1" localSheetId="3">'[3]TT (Values)'!$D$502:$D$516</definedName>
    <definedName name="Total_M3_1" localSheetId="5">[4]TT!$D$565:$D$577</definedName>
    <definedName name="Total_M3_1">[4]TT!$D$565:$D$577</definedName>
    <definedName name="Total_M3_2" localSheetId="4">'[3]TT (Values)'!$D$522:$D$535</definedName>
    <definedName name="Total_M3_2" localSheetId="3">'[3]TT (Values)'!$D$522:$D$535</definedName>
    <definedName name="Total_M3_2" localSheetId="5">[4]TT!$D$583:$D$595</definedName>
    <definedName name="Total_M3_2">[4]TT!$D$583:$D$595</definedName>
    <definedName name="Total_M3_3" localSheetId="4">'[3]TT (Values)'!$D$541:$D$562</definedName>
    <definedName name="Total_M3_3" localSheetId="3">'[3]TT (Values)'!$D$541:$D$562</definedName>
    <definedName name="Total_M3_3" localSheetId="5">[4]TT!$D$601:$D$621</definedName>
    <definedName name="Total_M3_3">[4]TT!$D$601:$D$621</definedName>
    <definedName name="Total_M4" localSheetId="5">'[1]TT (Working)'!$D$84:$D$100</definedName>
    <definedName name="Total_M4" localSheetId="2">[2]TT!$D$77:$D$86</definedName>
    <definedName name="Total_M4">TT!$D$81:$D$95</definedName>
    <definedName name="Total_M5" localSheetId="5">'[1]TT (Working)'!$D$114:$D$124</definedName>
    <definedName name="Total_M5" localSheetId="2">[2]TT!$D$92:$D$105</definedName>
    <definedName name="Total_M5">TT!$D$102:$D$215</definedName>
    <definedName name="Total_M6" localSheetId="5">'[1]TT (Working)'!$D$134:$D$146</definedName>
    <definedName name="Total_M6" localSheetId="2">[2]TT!$D$111:$D$125</definedName>
    <definedName name="Total_M6">TT!$D$118:$D$130</definedName>
    <definedName name="Total_M7" localSheetId="5">'[1]TT (Working)'!$D$159:$D$173</definedName>
    <definedName name="Total_M7" localSheetId="2">[2]TT!$D$131:$D$144</definedName>
    <definedName name="Total_M7">TT!$D$136:$D$153</definedName>
    <definedName name="Total_T1" localSheetId="5">'[1]TT (Working)'!$D$185:$D$196</definedName>
    <definedName name="Total_T1" localSheetId="2">[2]TT!$D$150:$D$164</definedName>
    <definedName name="Total_T1">TT!$D$159:$D$170</definedName>
    <definedName name="Total_T1_1" localSheetId="4">'[3]TT (Values)'!$D$20:$D$26</definedName>
    <definedName name="Total_T1_1" localSheetId="3">'[3]TT (Values)'!$D$20:$D$26</definedName>
    <definedName name="Total_T1_1" localSheetId="5">[4]TT!$D$51:$D$61</definedName>
    <definedName name="Total_T1_1">[4]TT!$D$51:$D$61</definedName>
    <definedName name="Total_T1_2" localSheetId="4">'[3]TT (Values)'!$D$32:$D$45</definedName>
    <definedName name="Total_T1_2" localSheetId="3">'[3]TT (Values)'!$D$32:$D$45</definedName>
    <definedName name="Total_T1_2" localSheetId="5">[4]TT!$D$67:$D$77</definedName>
    <definedName name="Total_T1_2">[4]TT!$D$67:$D$77</definedName>
    <definedName name="Total_T1_3" localSheetId="4">'[3]TT (Values)'!$D$51:$D$58</definedName>
    <definedName name="Total_T1_3" localSheetId="3">'[3]TT (Values)'!$D$51:$D$58</definedName>
    <definedName name="Total_T1_3" localSheetId="5">[4]TT!$D$83:$D$93</definedName>
    <definedName name="Total_T1_3">[4]TT!$D$83:$D$93</definedName>
    <definedName name="Total_T2" localSheetId="5">'[1]TT (Working)'!$D$211:$D$225</definedName>
    <definedName name="Total_T2" localSheetId="2">[2]TT!$D$170:$D$183</definedName>
    <definedName name="Total_T2">TT!$D$176:$D$187</definedName>
    <definedName name="Total_T2_1" localSheetId="4">'[3]TT (Values)'!$D$276:$D$290</definedName>
    <definedName name="Total_T2_1" localSheetId="3">'[3]TT (Values)'!$D$276:$D$290</definedName>
    <definedName name="Total_T2_1" localSheetId="5">[4]TT!$D$331:$D$346</definedName>
    <definedName name="Total_T2_1">[4]TT!$D$331:$D$346</definedName>
    <definedName name="Total_T2_2" localSheetId="4">'[3]TT (Values)'!$D$296:$D$310</definedName>
    <definedName name="Total_T2_2" localSheetId="3">'[3]TT (Values)'!$D$296:$D$310</definedName>
    <definedName name="Total_T2_2" localSheetId="5">[4]TT!$D$352:$D$365</definedName>
    <definedName name="Total_T2_2">[4]TT!$D$352:$D$365</definedName>
    <definedName name="Total_T2_3" localSheetId="4">'[3]TT (Values)'!$D$316:$D$327</definedName>
    <definedName name="Total_T2_3" localSheetId="3">'[3]TT (Values)'!$D$316:$D$327</definedName>
    <definedName name="Total_T2_3" localSheetId="5">[4]TT!$D$371:$D$381</definedName>
    <definedName name="Total_T2_3">[4]TT!$D$371:$D$381</definedName>
    <definedName name="Total_T3" localSheetId="5">'[1]TT (Working)'!$D$233:$D$247</definedName>
    <definedName name="Total_T3" localSheetId="2">[2]TT!$D$189:$D$201</definedName>
    <definedName name="Total_T3">TT!$D$193:$D$693</definedName>
    <definedName name="Total_T3_1" localSheetId="4">'[3]TT (Values)'!$D$568:$D$584</definedName>
    <definedName name="Total_T3_1" localSheetId="3">'[3]TT (Values)'!$D$568:$D$584</definedName>
    <definedName name="Total_T3_1" localSheetId="5">[4]TT!$D$627:$D$642</definedName>
    <definedName name="Total_T3_1">[4]TT!$D$627:$D$642</definedName>
    <definedName name="Total_T3_2" localSheetId="4">'[3]TT (Values)'!$D$590:$D$607</definedName>
    <definedName name="Total_T3_2" localSheetId="3">'[3]TT (Values)'!$D$590:$D$607</definedName>
    <definedName name="Total_T3_2" localSheetId="5">[4]TT!$D$648:$D$659</definedName>
    <definedName name="Total_T3_2">[4]TT!$D$648:$D$659</definedName>
    <definedName name="Total_T3_3" localSheetId="4">'[3]TT (Values)'!$D$613:$D$627</definedName>
    <definedName name="Total_T3_3" localSheetId="3">'[3]TT (Values)'!$D$613:$D$627</definedName>
    <definedName name="Total_T3_3" localSheetId="5">[4]TT!$D$665:$D$680</definedName>
    <definedName name="Total_T3_3">[4]TT!$D$665:$D$680</definedName>
    <definedName name="Total_T4" localSheetId="5">'[1]TT (Working)'!$D$261:$D$274</definedName>
    <definedName name="Total_T4" localSheetId="2">[2]TT!$D$207:$D$222</definedName>
    <definedName name="Total_T4">TT!$D$214:$D$226</definedName>
    <definedName name="Total_T5" localSheetId="5">'[1]TT (Working)'!$D$284:$D$295</definedName>
    <definedName name="Total_T5" localSheetId="2">[2]TT!$D$228:$D$239</definedName>
    <definedName name="Total_T5">TT!$D$232:$D$243</definedName>
    <definedName name="Total_T6" localSheetId="5">'[1]TT (Working)'!$D$304:$D$319</definedName>
    <definedName name="Total_T6" localSheetId="2">[2]TT!$D$245:$D$259</definedName>
    <definedName name="Total_T6">TT!$D$249:$D$262</definedName>
    <definedName name="Total_T7" localSheetId="5">'[1]TT (Working)'!$D$329:$D$338</definedName>
    <definedName name="Total_T7" localSheetId="2">[2]TT!$D$265:$D$276</definedName>
    <definedName name="Total_T7">TT!$D$269:$D$277</definedName>
    <definedName name="Total_W1" localSheetId="5">'[1]TT (Working)'!$D$345:$D$359</definedName>
    <definedName name="Total_W1" localSheetId="2">[2]TT!$D$282:$D$294</definedName>
    <definedName name="Total_W1">TT!$D$283:$D$293</definedName>
    <definedName name="Total_W1_1" localSheetId="4">'[3]TT (Values)'!$D$64:$D$72</definedName>
    <definedName name="Total_W1_1" localSheetId="3">'[3]TT (Values)'!$D$64:$D$72</definedName>
    <definedName name="Total_W1_1" localSheetId="5">[4]TT!$D$99:$D$109</definedName>
    <definedName name="Total_W1_1">[4]TT!$D$99:$D$109</definedName>
    <definedName name="Total_W1_2" localSheetId="4">'[3]TT (Values)'!$D$78:$D$90</definedName>
    <definedName name="Total_W1_2" localSheetId="3">'[3]TT (Values)'!$D$78:$D$90</definedName>
    <definedName name="Total_W1_2" localSheetId="5">[4]TT!$D$115:$D$125</definedName>
    <definedName name="Total_W1_2">[4]TT!$D$115:$D$125</definedName>
    <definedName name="Total_W1_3" localSheetId="4">'[3]TT (Values)'!$D$96:$D$107</definedName>
    <definedName name="Total_W1_3" localSheetId="3">'[3]TT (Values)'!$D$96:$D$107</definedName>
    <definedName name="Total_W1_3" localSheetId="5">[4]TT!$D$131:$D$141</definedName>
    <definedName name="Total_W1_3">[4]TT!$D$131:$D$141</definedName>
    <definedName name="Total_W2" localSheetId="5">'[1]TT (Working)'!$D$368:$D$381</definedName>
    <definedName name="Total_W2" localSheetId="2">[2]TT!$D$300:$D$316</definedName>
    <definedName name="Total_W2">TT!$D$299:$D$313</definedName>
    <definedName name="Total_W2_1" localSheetId="4">'[3]TT (Values)'!$D$333:$D$352</definedName>
    <definedName name="Total_W2_1" localSheetId="3">'[3]TT (Values)'!$D$333:$D$352</definedName>
    <definedName name="Total_W2_1" localSheetId="5">[4]TT!$D$387:$D$405</definedName>
    <definedName name="Total_W2_1">[4]TT!$D$387:$D$405</definedName>
    <definedName name="Total_W2_2" localSheetId="4">'[3]TT (Values)'!$D$358:$D$369</definedName>
    <definedName name="Total_W2_2" localSheetId="3">'[3]TT (Values)'!$D$358:$D$369</definedName>
    <definedName name="Total_W2_2" localSheetId="5">[4]TT!$D$411:$D$424</definedName>
    <definedName name="Total_W2_2">[4]TT!$D$411:$D$424</definedName>
    <definedName name="Total_W2_3" localSheetId="4">'[3]TT (Values)'!$D$375:$D$386</definedName>
    <definedName name="Total_W2_3" localSheetId="3">'[3]TT (Values)'!$D$375:$D$386</definedName>
    <definedName name="Total_W2_3" localSheetId="5">[4]TT!$D$430:$D$444</definedName>
    <definedName name="Total_W2_3">[4]TT!$D$430:$D$444</definedName>
    <definedName name="Total_W3" localSheetId="5">'[1]TT (Working)'!$D$389:$D$402</definedName>
    <definedName name="Total_W3" localSheetId="2">[2]TT!$D$322:$D$337</definedName>
    <definedName name="Total_W3">TT!$D$319:$D$332</definedName>
    <definedName name="Total_W3_1" localSheetId="4">'[3]TT (Values)'!$D$633:$D$642</definedName>
    <definedName name="Total_W3_1" localSheetId="3">'[3]TT (Values)'!$D$633:$D$642</definedName>
    <definedName name="Total_W3_1" localSheetId="5">[4]TT!$D$686:$D$696</definedName>
    <definedName name="Total_W3_1">[4]TT!$D$686:$D$696</definedName>
    <definedName name="Total_W3_2" localSheetId="4">'[3]TT (Values)'!$D$648:$D$660</definedName>
    <definedName name="Total_W3_2" localSheetId="3">'[3]TT (Values)'!$D$648:$D$660</definedName>
    <definedName name="Total_W3_2" localSheetId="5">[4]TT!$D$702:$D$753</definedName>
    <definedName name="Total_W3_2">[4]TT!$D$702:$D$753</definedName>
    <definedName name="Total_W3_3" localSheetId="4">'[3]TT (Values)'!$D$666:$D$679</definedName>
    <definedName name="Total_W3_3" localSheetId="3">'[3]TT (Values)'!$D$666:$D$679</definedName>
    <definedName name="Total_W3_3" localSheetId="5">[4]TT!$D$722:$D$738</definedName>
    <definedName name="Total_W3_3">[4]TT!$D$722:$D$738</definedName>
    <definedName name="Total_W4" localSheetId="5">'[1]TT (Working)'!$D$410:$D$423</definedName>
    <definedName name="Total_W4" localSheetId="2">[2]TT!$D$343:$D$356</definedName>
    <definedName name="Total_W4">TT!$D$341:$D$352</definedName>
    <definedName name="Total_W5" localSheetId="5">'[1]TT (Working)'!$D$432:$D$676</definedName>
    <definedName name="Total_W5" localSheetId="2">[2]TT!$D$362:$D$379</definedName>
    <definedName name="Total_W5">TT!$D$358:$D$376</definedName>
    <definedName name="Total_W6" localSheetId="5">'[1]TT (Working)'!$D$464:$D$480</definedName>
    <definedName name="Total_W6" localSheetId="2">[2]TT!$D$385:$D$401</definedName>
    <definedName name="Total_W6">TT!$D$382:$D$398</definedName>
    <definedName name="Total_W7" localSheetId="5">'[1]TT (Working)'!$D$487:$D$502</definedName>
    <definedName name="Total_W7" localSheetId="2">[2]TT!$D$407:$D$427</definedName>
    <definedName name="Total_W7">TT!$D$404:$D$424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5" i="2" l="1"/>
  <c r="I18" i="2" l="1"/>
  <c r="B18" i="2" s="1"/>
  <c r="I664" i="2"/>
  <c r="I519" i="2"/>
  <c r="B519" i="2" s="1"/>
  <c r="I538" i="2"/>
  <c r="I537" i="2"/>
  <c r="B537" i="2" s="1"/>
  <c r="A320" i="4"/>
  <c r="A347" i="4"/>
  <c r="I396" i="2"/>
  <c r="B396" i="2" s="1"/>
  <c r="I395" i="2"/>
  <c r="B395" i="2" s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4" i="3"/>
  <c r="F21" i="6"/>
  <c r="F26" i="6"/>
  <c r="F30" i="6"/>
  <c r="B32" i="6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4" i="3"/>
  <c r="A177" i="5"/>
  <c r="A221" i="4"/>
  <c r="I371" i="2"/>
  <c r="B371" i="2" s="1"/>
  <c r="A165" i="5"/>
  <c r="A166" i="5"/>
  <c r="I165" i="2"/>
  <c r="B165" i="2" s="1"/>
  <c r="I327" i="2"/>
  <c r="B327" i="2" s="1"/>
  <c r="A272" i="4"/>
  <c r="I39" i="2"/>
  <c r="B39" i="2" s="1"/>
  <c r="I127" i="2"/>
  <c r="B127" i="2" s="1"/>
  <c r="C538" i="2" l="1" a="1"/>
  <c r="C538" i="2" s="1"/>
  <c r="C537" i="2" a="1"/>
  <c r="C537" i="2" s="1"/>
  <c r="B538" i="2"/>
  <c r="I627" i="2"/>
  <c r="I534" i="2" l="1"/>
  <c r="B534" i="2" l="1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4" i="3"/>
  <c r="O13" i="3"/>
  <c r="A427" i="4"/>
  <c r="Z5" i="3" l="1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4" i="3"/>
  <c r="A231" i="5"/>
  <c r="A222" i="5"/>
  <c r="A120" i="5"/>
  <c r="A119" i="5"/>
  <c r="I69" i="2"/>
  <c r="I310" i="2"/>
  <c r="B310" i="2" s="1"/>
  <c r="I602" i="2"/>
  <c r="B602" i="2" s="1"/>
  <c r="I513" i="2"/>
  <c r="B513" i="2" s="1"/>
  <c r="I220" i="2"/>
  <c r="B220" i="2" s="1"/>
  <c r="I219" i="2"/>
  <c r="B219" i="2" s="1"/>
  <c r="I569" i="2"/>
  <c r="B569" i="2" s="1"/>
  <c r="I595" i="2"/>
  <c r="B595" i="2" s="1"/>
  <c r="I594" i="2"/>
  <c r="B594" i="2" s="1"/>
  <c r="I389" i="2"/>
  <c r="A437" i="4"/>
  <c r="I368" i="2"/>
  <c r="A418" i="5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4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19" i="3"/>
  <c r="K4" i="3"/>
  <c r="K5" i="3"/>
  <c r="K6" i="3"/>
  <c r="K7" i="3"/>
  <c r="K8" i="3"/>
  <c r="K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10" i="3"/>
  <c r="I680" i="2"/>
  <c r="I348" i="2"/>
  <c r="B348" i="2" s="1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4" i="3"/>
  <c r="Y75" i="3"/>
  <c r="Y74" i="3"/>
  <c r="Y73" i="3"/>
  <c r="Y72" i="3"/>
  <c r="Y71" i="3"/>
  <c r="Y70" i="3"/>
  <c r="Y69" i="3"/>
  <c r="Y68" i="3"/>
  <c r="Y67" i="3"/>
  <c r="Y66" i="3"/>
  <c r="Y65" i="3"/>
  <c r="Y64" i="3"/>
  <c r="Y63" i="3"/>
  <c r="Y62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4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4" i="3"/>
  <c r="O5" i="3"/>
  <c r="O6" i="3"/>
  <c r="O7" i="3"/>
  <c r="O8" i="3"/>
  <c r="O9" i="3"/>
  <c r="O10" i="3"/>
  <c r="O11" i="3"/>
  <c r="O12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4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680" i="2" l="1"/>
  <c r="AO62" i="3"/>
  <c r="AO61" i="3"/>
  <c r="I92" i="2"/>
  <c r="B92" i="2" s="1"/>
  <c r="A181" i="4"/>
  <c r="I530" i="2"/>
  <c r="A100" i="4"/>
  <c r="A124" i="5"/>
  <c r="I643" i="2"/>
  <c r="A97" i="4"/>
  <c r="A122" i="5"/>
  <c r="A95" i="4"/>
  <c r="A121" i="5"/>
  <c r="A92" i="4"/>
  <c r="I624" i="2"/>
  <c r="I109" i="2"/>
  <c r="B109" i="2" s="1"/>
  <c r="I271" i="2"/>
  <c r="B271" i="2" s="1"/>
  <c r="I349" i="2"/>
  <c r="B349" i="2" s="1"/>
  <c r="I529" i="2"/>
  <c r="B529" i="2" s="1"/>
  <c r="A240" i="4"/>
  <c r="A190" i="4"/>
  <c r="B530" i="2" l="1"/>
  <c r="I392" i="2"/>
  <c r="A542" i="4"/>
  <c r="A534" i="5"/>
  <c r="A532" i="5"/>
  <c r="A540" i="4"/>
  <c r="I486" i="2"/>
  <c r="I215" i="2"/>
  <c r="I25" i="2"/>
  <c r="I469" i="2"/>
  <c r="B469" i="2" s="1"/>
  <c r="I12" i="2" l="1"/>
  <c r="B12" i="2" s="1"/>
  <c r="I548" i="2"/>
  <c r="B548" i="2" s="1"/>
  <c r="I454" i="2"/>
  <c r="B454" i="2" s="1"/>
  <c r="I535" i="2"/>
  <c r="B535" i="2" s="1"/>
  <c r="I373" i="2"/>
  <c r="I95" i="2"/>
  <c r="A145" i="4"/>
  <c r="A75" i="5"/>
  <c r="A448" i="5"/>
  <c r="I375" i="2" l="1"/>
  <c r="B375" i="2" s="1"/>
  <c r="I619" i="2"/>
  <c r="B619" i="2" s="1"/>
  <c r="I549" i="2"/>
  <c r="I387" i="2"/>
  <c r="B387" i="2" s="1"/>
  <c r="A409" i="4"/>
  <c r="A410" i="4"/>
  <c r="A360" i="5"/>
  <c r="I645" i="2"/>
  <c r="I533" i="2"/>
  <c r="C533" i="2" s="1" a="1"/>
  <c r="C533" i="2" s="1"/>
  <c r="I623" i="2"/>
  <c r="B623" i="2" s="1"/>
  <c r="I491" i="2"/>
  <c r="B491" i="2" s="1"/>
  <c r="A422" i="4"/>
  <c r="I490" i="2"/>
  <c r="B490" i="2" s="1"/>
  <c r="I263" i="2"/>
  <c r="I508" i="2"/>
  <c r="I507" i="2"/>
  <c r="B507" i="2" s="1"/>
  <c r="I622" i="2"/>
  <c r="B622" i="2" s="1"/>
  <c r="B263" i="2" l="1"/>
  <c r="B533" i="2"/>
  <c r="A333" i="5"/>
  <c r="AB2" i="3" l="1"/>
  <c r="AC2" i="3"/>
  <c r="A505" i="2"/>
  <c r="I527" i="2"/>
  <c r="I558" i="2"/>
  <c r="I545" i="2"/>
  <c r="I544" i="2"/>
  <c r="I543" i="2"/>
  <c r="I541" i="2"/>
  <c r="I528" i="2"/>
  <c r="I526" i="2"/>
  <c r="A37" i="5" l="1"/>
  <c r="A71" i="4"/>
  <c r="A1" i="5" l="1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23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7" i="5"/>
  <c r="A168" i="5"/>
  <c r="A169" i="5"/>
  <c r="A170" i="5"/>
  <c r="A171" i="5"/>
  <c r="A172" i="5"/>
  <c r="A173" i="5"/>
  <c r="A174" i="5"/>
  <c r="A175" i="5"/>
  <c r="A176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3" i="5"/>
  <c r="A224" i="5"/>
  <c r="A225" i="5"/>
  <c r="A226" i="5"/>
  <c r="A227" i="5"/>
  <c r="A228" i="5"/>
  <c r="A229" i="5"/>
  <c r="A230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3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3" i="4"/>
  <c r="A94" i="4"/>
  <c r="A96" i="4"/>
  <c r="A98" i="4"/>
  <c r="A99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2" i="4"/>
  <c r="A183" i="4"/>
  <c r="A184" i="4"/>
  <c r="A185" i="4"/>
  <c r="A186" i="4"/>
  <c r="A187" i="4"/>
  <c r="A188" i="4"/>
  <c r="A189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2" i="4"/>
  <c r="A223" i="4"/>
  <c r="A224" i="4"/>
  <c r="A225" i="4"/>
  <c r="A226" i="4"/>
  <c r="A227" i="4"/>
  <c r="A228" i="4"/>
  <c r="A229" i="4"/>
  <c r="A230" i="4"/>
  <c r="A232" i="4"/>
  <c r="A233" i="4"/>
  <c r="A234" i="4"/>
  <c r="A235" i="4"/>
  <c r="A236" i="4"/>
  <c r="A237" i="4"/>
  <c r="A238" i="4"/>
  <c r="A239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11" i="4"/>
  <c r="A412" i="4"/>
  <c r="A413" i="4"/>
  <c r="A414" i="4"/>
  <c r="A415" i="4"/>
  <c r="A416" i="4"/>
  <c r="A417" i="4"/>
  <c r="A418" i="4"/>
  <c r="A419" i="4"/>
  <c r="A420" i="4"/>
  <c r="A421" i="4"/>
  <c r="A423" i="4"/>
  <c r="A424" i="4"/>
  <c r="A425" i="4"/>
  <c r="A426" i="4"/>
  <c r="A428" i="4"/>
  <c r="A429" i="4"/>
  <c r="A430" i="4"/>
  <c r="A431" i="4"/>
  <c r="A432" i="4"/>
  <c r="A433" i="4"/>
  <c r="A434" i="4"/>
  <c r="A435" i="4"/>
  <c r="A436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1" i="4"/>
  <c r="A543" i="4"/>
  <c r="A544" i="4"/>
  <c r="A545" i="4"/>
  <c r="A546" i="4"/>
  <c r="A547" i="4"/>
  <c r="A548" i="4"/>
  <c r="A549" i="4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D2" i="3"/>
  <c r="AE2" i="3"/>
  <c r="AF2" i="3"/>
  <c r="AG2" i="3"/>
  <c r="AH2" i="3"/>
  <c r="AI2" i="3"/>
  <c r="AJ2" i="3"/>
  <c r="AL43" i="3"/>
  <c r="E537" i="2" l="1" a="1"/>
  <c r="E537" i="2" s="1"/>
  <c r="G537" i="2" s="1"/>
  <c r="E538" i="2" a="1"/>
  <c r="E538" i="2" s="1"/>
  <c r="G538" i="2" s="1"/>
  <c r="E664" i="2" a="1"/>
  <c r="E664" i="2" s="1"/>
  <c r="G664" i="2" s="1"/>
  <c r="E534" i="2" a="1"/>
  <c r="E534" i="2" s="1"/>
  <c r="G534" i="2" s="1"/>
  <c r="C534" i="2" a="1"/>
  <c r="C534" i="2" s="1"/>
  <c r="C535" i="2" a="1"/>
  <c r="C535" i="2" s="1"/>
  <c r="C530" i="2" a="1"/>
  <c r="C530" i="2" s="1"/>
  <c r="C529" i="2" a="1"/>
  <c r="C529" i="2" s="1"/>
  <c r="E533" i="2" a="1"/>
  <c r="E533" i="2" s="1"/>
  <c r="G533" i="2" s="1"/>
  <c r="E530" i="2" a="1"/>
  <c r="E530" i="2" s="1"/>
  <c r="G530" i="2" s="1"/>
  <c r="E529" i="2" a="1"/>
  <c r="E529" i="2" s="1"/>
  <c r="G529" i="2" s="1"/>
  <c r="E263" i="2" a="1"/>
  <c r="E263" i="2" s="1"/>
  <c r="E535" i="2" a="1"/>
  <c r="E535" i="2" s="1"/>
  <c r="G535" i="2" s="1"/>
  <c r="AO58" i="3"/>
  <c r="AM19" i="3"/>
  <c r="AN54" i="3"/>
  <c r="AN22" i="3"/>
  <c r="AN6" i="3"/>
  <c r="AM42" i="3"/>
  <c r="AN75" i="3"/>
  <c r="AP45" i="3"/>
  <c r="AP65" i="3"/>
  <c r="AP61" i="3"/>
  <c r="AP12" i="3"/>
  <c r="AN13" i="3"/>
  <c r="AN61" i="3"/>
  <c r="AN24" i="3"/>
  <c r="AN63" i="3"/>
  <c r="AO45" i="3"/>
  <c r="AN10" i="3"/>
  <c r="AP28" i="3"/>
  <c r="AP17" i="3"/>
  <c r="AM60" i="3"/>
  <c r="AM58" i="3"/>
  <c r="AN47" i="3"/>
  <c r="AN42" i="3"/>
  <c r="AM26" i="3"/>
  <c r="AN15" i="3"/>
  <c r="AM12" i="3"/>
  <c r="AM44" i="3"/>
  <c r="AN31" i="3"/>
  <c r="AM28" i="3"/>
  <c r="AL14" i="3"/>
  <c r="AM35" i="3"/>
  <c r="AP68" i="3"/>
  <c r="AO49" i="3"/>
  <c r="AP47" i="3"/>
  <c r="AN45" i="3"/>
  <c r="AP15" i="3"/>
  <c r="AN67" i="3"/>
  <c r="AP52" i="3"/>
  <c r="AP31" i="3"/>
  <c r="AO17" i="3"/>
  <c r="AP4" i="3"/>
  <c r="AP63" i="3"/>
  <c r="AN72" i="3"/>
  <c r="AN51" i="3"/>
  <c r="AL50" i="3"/>
  <c r="AP36" i="3"/>
  <c r="AP33" i="3"/>
  <c r="AN56" i="3"/>
  <c r="AN49" i="3"/>
  <c r="AN8" i="3"/>
  <c r="AN38" i="3"/>
  <c r="AM74" i="3"/>
  <c r="AN40" i="3"/>
  <c r="AP19" i="3"/>
  <c r="AP72" i="3"/>
  <c r="AO74" i="3"/>
  <c r="AP56" i="3"/>
  <c r="AP24" i="3"/>
  <c r="AP8" i="3"/>
  <c r="AO5" i="3"/>
  <c r="AP49" i="3"/>
  <c r="AP40" i="3"/>
  <c r="AP13" i="3"/>
  <c r="AO10" i="3"/>
  <c r="AP70" i="3"/>
  <c r="AM67" i="3"/>
  <c r="AO42" i="3"/>
  <c r="AP29" i="3"/>
  <c r="AM25" i="3"/>
  <c r="AN70" i="3"/>
  <c r="AM51" i="3"/>
  <c r="AN26" i="3"/>
  <c r="AN58" i="3"/>
  <c r="AP22" i="3"/>
  <c r="AN4" i="3"/>
  <c r="AP38" i="3"/>
  <c r="AN36" i="3"/>
  <c r="AN20" i="3"/>
  <c r="AP6" i="3"/>
  <c r="C2" i="4" a="1"/>
  <c r="C2" i="4" s="1"/>
  <c r="AN65" i="3"/>
  <c r="AN29" i="3"/>
  <c r="AM10" i="3"/>
  <c r="AN33" i="3"/>
  <c r="AN68" i="3"/>
  <c r="AN17" i="3"/>
  <c r="AP54" i="3"/>
  <c r="AN52" i="3"/>
  <c r="AN74" i="3"/>
  <c r="AM73" i="3"/>
  <c r="AL70" i="3"/>
  <c r="AO53" i="3"/>
  <c r="AP44" i="3"/>
  <c r="AM41" i="3"/>
  <c r="AO37" i="3"/>
  <c r="AM37" i="3"/>
  <c r="AM33" i="3"/>
  <c r="AO25" i="3"/>
  <c r="AL25" i="3"/>
  <c r="AL22" i="3"/>
  <c r="AM17" i="3"/>
  <c r="AM9" i="3"/>
  <c r="AL6" i="3"/>
  <c r="AO73" i="3"/>
  <c r="AO69" i="3"/>
  <c r="AL66" i="3"/>
  <c r="AM65" i="3"/>
  <c r="AO57" i="3"/>
  <c r="AL54" i="3"/>
  <c r="AM49" i="3"/>
  <c r="AM45" i="3"/>
  <c r="AO41" i="3"/>
  <c r="AL41" i="3"/>
  <c r="AL38" i="3"/>
  <c r="AL34" i="3"/>
  <c r="AO33" i="3"/>
  <c r="AO29" i="3"/>
  <c r="AO21" i="3"/>
  <c r="AL18" i="3"/>
  <c r="AO13" i="3"/>
  <c r="AL10" i="3"/>
  <c r="AO9" i="3"/>
  <c r="AN7" i="3"/>
  <c r="AP35" i="3"/>
  <c r="AN18" i="3"/>
  <c r="AL5" i="3"/>
  <c r="AM40" i="3"/>
  <c r="AO36" i="3"/>
  <c r="AO32" i="3"/>
  <c r="AL29" i="3"/>
  <c r="AL61" i="3"/>
  <c r="AO48" i="3"/>
  <c r="AL45" i="3"/>
  <c r="AM23" i="3"/>
  <c r="AL73" i="3"/>
  <c r="AP66" i="3"/>
  <c r="AO44" i="3"/>
  <c r="AO71" i="3"/>
  <c r="AL68" i="3"/>
  <c r="AM59" i="3"/>
  <c r="AL52" i="3"/>
  <c r="AL44" i="3"/>
  <c r="AL40" i="3"/>
  <c r="AL36" i="3"/>
  <c r="AM31" i="3"/>
  <c r="AL28" i="3"/>
  <c r="AO27" i="3"/>
  <c r="AL24" i="3"/>
  <c r="AL12" i="3"/>
  <c r="AL4" i="3"/>
  <c r="AO4" i="3"/>
  <c r="AN50" i="3"/>
  <c r="AL13" i="3"/>
  <c r="AO72" i="3"/>
  <c r="AO56" i="3"/>
  <c r="AM39" i="3"/>
  <c r="AM71" i="3"/>
  <c r="AL60" i="3"/>
  <c r="AO59" i="3"/>
  <c r="AO43" i="3"/>
  <c r="AO31" i="3"/>
  <c r="AO30" i="3"/>
  <c r="AM30" i="3"/>
  <c r="AO23" i="3"/>
  <c r="AO19" i="3"/>
  <c r="AO14" i="3"/>
  <c r="AM14" i="3"/>
  <c r="AL8" i="3"/>
  <c r="AP59" i="3"/>
  <c r="AP55" i="3"/>
  <c r="AM32" i="3"/>
  <c r="AP67" i="3"/>
  <c r="AM64" i="3"/>
  <c r="AM52" i="3"/>
  <c r="AO20" i="3"/>
  <c r="AN66" i="3"/>
  <c r="AP58" i="3"/>
  <c r="AP10" i="3"/>
  <c r="AO75" i="3"/>
  <c r="AO55" i="3"/>
  <c r="AO46" i="3"/>
  <c r="AO39" i="3"/>
  <c r="AO35" i="3"/>
  <c r="AL32" i="3"/>
  <c r="AN27" i="3"/>
  <c r="AN19" i="3"/>
  <c r="AL16" i="3"/>
  <c r="AN11" i="3"/>
  <c r="AO7" i="3"/>
  <c r="AM16" i="3"/>
  <c r="AL69" i="3"/>
  <c r="AP51" i="3"/>
  <c r="AM48" i="3"/>
  <c r="AL21" i="3"/>
  <c r="AL17" i="3"/>
  <c r="AO68" i="3"/>
  <c r="AO24" i="3"/>
  <c r="AP62" i="3"/>
  <c r="AL9" i="3"/>
  <c r="AP69" i="3"/>
  <c r="AO67" i="3"/>
  <c r="AL64" i="3"/>
  <c r="AN59" i="3"/>
  <c r="AO51" i="3"/>
  <c r="AL48" i="3"/>
  <c r="AN43" i="3"/>
  <c r="AP41" i="3"/>
  <c r="AP37" i="3"/>
  <c r="AN35" i="3"/>
  <c r="AM34" i="3"/>
  <c r="AO65" i="3"/>
  <c r="AP7" i="3"/>
  <c r="AN34" i="3"/>
  <c r="AO52" i="3"/>
  <c r="AO12" i="3"/>
  <c r="AL57" i="3"/>
  <c r="AM7" i="3"/>
  <c r="AM66" i="3"/>
  <c r="AM62" i="3"/>
  <c r="AL51" i="3"/>
  <c r="AM46" i="3"/>
  <c r="AL31" i="3"/>
  <c r="AM21" i="3"/>
  <c r="AO18" i="3"/>
  <c r="AL15" i="3"/>
  <c r="AO16" i="3"/>
  <c r="AO28" i="3"/>
  <c r="AP74" i="3"/>
  <c r="AM55" i="3"/>
  <c r="AP42" i="3"/>
  <c r="AM27" i="3"/>
  <c r="AL20" i="3"/>
  <c r="AL75" i="3"/>
  <c r="AM69" i="3"/>
  <c r="AL67" i="3"/>
  <c r="AL63" i="3"/>
  <c r="AM53" i="3"/>
  <c r="AL47" i="3"/>
  <c r="AM38" i="3"/>
  <c r="AO34" i="3"/>
  <c r="AO26" i="3"/>
  <c r="AM5" i="3"/>
  <c r="AL53" i="3"/>
  <c r="AL37" i="3"/>
  <c r="AN14" i="3"/>
  <c r="AO64" i="3"/>
  <c r="AP26" i="3"/>
  <c r="AP14" i="3"/>
  <c r="AO60" i="3"/>
  <c r="AO66" i="3"/>
  <c r="AL59" i="3"/>
  <c r="AO50" i="3"/>
  <c r="AN44" i="3"/>
  <c r="AO38" i="3"/>
  <c r="AL27" i="3"/>
  <c r="AL23" i="3"/>
  <c r="AP20" i="3"/>
  <c r="AL11" i="3"/>
  <c r="AN25" i="3"/>
  <c r="AN64" i="3"/>
  <c r="AN46" i="3"/>
  <c r="AO8" i="3"/>
  <c r="AO63" i="3"/>
  <c r="AM56" i="3"/>
  <c r="AL39" i="3"/>
  <c r="AP43" i="3"/>
  <c r="AM4" i="3"/>
  <c r="AN60" i="3"/>
  <c r="AP46" i="3"/>
  <c r="AM29" i="3"/>
  <c r="AO22" i="3"/>
  <c r="AL19" i="3"/>
  <c r="AN9" i="3"/>
  <c r="AP21" i="3"/>
  <c r="AN16" i="3"/>
  <c r="AP11" i="3"/>
  <c r="AM8" i="3"/>
  <c r="AM47" i="3"/>
  <c r="AM43" i="3"/>
  <c r="AO40" i="3"/>
  <c r="AL33" i="3"/>
  <c r="AL30" i="3"/>
  <c r="AL26" i="3"/>
  <c r="AP9" i="3"/>
  <c r="AN5" i="3"/>
  <c r="AM70" i="3"/>
  <c r="AM63" i="3"/>
  <c r="AL71" i="3"/>
  <c r="AN57" i="3"/>
  <c r="AN71" i="3"/>
  <c r="AN39" i="3"/>
  <c r="AP57" i="3"/>
  <c r="AP50" i="3"/>
  <c r="AN28" i="3"/>
  <c r="AM11" i="3"/>
  <c r="AN53" i="3"/>
  <c r="AO15" i="3"/>
  <c r="AM75" i="3"/>
  <c r="AM72" i="3"/>
  <c r="AP53" i="3"/>
  <c r="AM36" i="3"/>
  <c r="AM68" i="3"/>
  <c r="AM61" i="3"/>
  <c r="AM54" i="3"/>
  <c r="AM57" i="3"/>
  <c r="AO54" i="3"/>
  <c r="AM50" i="3"/>
  <c r="AO47" i="3"/>
  <c r="AP27" i="3"/>
  <c r="AN23" i="3"/>
  <c r="AP16" i="3"/>
  <c r="AL46" i="3"/>
  <c r="AL42" i="3"/>
  <c r="AN21" i="3"/>
  <c r="AP32" i="3"/>
  <c r="AL62" i="3"/>
  <c r="AL58" i="3"/>
  <c r="AL55" i="3"/>
  <c r="AN41" i="3"/>
  <c r="AP34" i="3"/>
  <c r="AN30" i="3"/>
  <c r="AN12" i="3"/>
  <c r="AP5" i="3"/>
  <c r="AL74" i="3"/>
  <c r="AL56" i="3"/>
  <c r="AP71" i="3"/>
  <c r="AP64" i="3"/>
  <c r="AM22" i="3"/>
  <c r="AP73" i="3"/>
  <c r="AL72" i="3"/>
  <c r="AL65" i="3"/>
  <c r="AN48" i="3"/>
  <c r="AP23" i="3"/>
  <c r="AO6" i="3"/>
  <c r="AM6" i="3"/>
  <c r="AL35" i="3"/>
  <c r="AP18" i="3"/>
  <c r="AO70" i="3"/>
  <c r="AP75" i="3"/>
  <c r="AP25" i="3"/>
  <c r="AL49" i="3"/>
  <c r="AM15" i="3"/>
  <c r="AM18" i="3"/>
  <c r="AP60" i="3"/>
  <c r="AN73" i="3"/>
  <c r="AN62" i="3"/>
  <c r="AN55" i="3"/>
  <c r="AN37" i="3"/>
  <c r="AP30" i="3"/>
  <c r="AM13" i="3"/>
  <c r="AN32" i="3"/>
  <c r="AP39" i="3"/>
  <c r="AN69" i="3"/>
  <c r="AP48" i="3"/>
  <c r="AM24" i="3"/>
  <c r="AM20" i="3"/>
  <c r="AL7" i="3"/>
  <c r="AQ45" i="3" l="1"/>
  <c r="AQ68" i="3"/>
  <c r="AQ43" i="3"/>
  <c r="AQ50" i="3"/>
  <c r="AQ59" i="3"/>
  <c r="AQ67" i="3"/>
  <c r="AQ37" i="3"/>
  <c r="G263" i="2"/>
  <c r="AQ56" i="3"/>
  <c r="AQ25" i="3"/>
  <c r="AQ11" i="3"/>
  <c r="AQ17" i="3"/>
  <c r="AQ34" i="3"/>
  <c r="AQ61" i="3"/>
  <c r="AQ19" i="3"/>
  <c r="AQ23" i="3"/>
  <c r="AQ29" i="3"/>
  <c r="AQ38" i="3"/>
  <c r="AQ14" i="3"/>
  <c r="AQ36" i="3"/>
  <c r="AQ5" i="3"/>
  <c r="AQ21" i="3"/>
  <c r="AQ22" i="3"/>
  <c r="AQ47" i="3"/>
  <c r="AQ57" i="3"/>
  <c r="AQ69" i="3"/>
  <c r="AQ40" i="3"/>
  <c r="AQ9" i="3"/>
  <c r="AQ75" i="3"/>
  <c r="AQ64" i="3"/>
  <c r="AQ66" i="3"/>
  <c r="AQ52" i="3"/>
  <c r="AQ32" i="3"/>
  <c r="AQ70" i="3"/>
  <c r="AQ26" i="3"/>
  <c r="AQ44" i="3"/>
  <c r="AQ6" i="3"/>
  <c r="AQ4" i="3"/>
  <c r="AQ41" i="3"/>
  <c r="AQ42" i="3"/>
  <c r="AQ53" i="3"/>
  <c r="AQ27" i="3"/>
  <c r="AQ60" i="3"/>
  <c r="AQ58" i="3"/>
  <c r="AQ20" i="3"/>
  <c r="AQ74" i="3"/>
  <c r="AQ13" i="3"/>
  <c r="AQ12" i="3"/>
  <c r="AQ31" i="3"/>
  <c r="AQ33" i="3"/>
  <c r="AQ28" i="3"/>
  <c r="AQ51" i="3"/>
  <c r="AQ7" i="3"/>
  <c r="AQ54" i="3"/>
  <c r="AQ49" i="3"/>
  <c r="AQ16" i="3"/>
  <c r="AQ35" i="3"/>
  <c r="AQ73" i="3"/>
  <c r="AQ18" i="3"/>
  <c r="AQ65" i="3"/>
  <c r="AQ24" i="3"/>
  <c r="AQ72" i="3"/>
  <c r="AQ48" i="3"/>
  <c r="AQ10" i="3"/>
  <c r="AQ30" i="3"/>
  <c r="AQ63" i="3"/>
  <c r="AQ55" i="3"/>
  <c r="AQ62" i="3"/>
  <c r="AQ15" i="3"/>
  <c r="AQ8" i="3"/>
  <c r="AQ46" i="3"/>
  <c r="AQ39" i="3"/>
  <c r="AQ71" i="3"/>
  <c r="I1" i="2" l="1"/>
  <c r="A2" i="2"/>
  <c r="I2" i="2" s="1"/>
  <c r="I3" i="2"/>
  <c r="I4" i="2"/>
  <c r="I5" i="2"/>
  <c r="I6" i="2"/>
  <c r="B6" i="2" s="1"/>
  <c r="I7" i="2"/>
  <c r="B7" i="2" s="1"/>
  <c r="I8" i="2"/>
  <c r="B8" i="2" s="1"/>
  <c r="I9" i="2"/>
  <c r="I564" i="2"/>
  <c r="I10" i="2"/>
  <c r="B10" i="2" s="1"/>
  <c r="I605" i="2"/>
  <c r="I43" i="2"/>
  <c r="B43" i="2" s="1"/>
  <c r="I15" i="2"/>
  <c r="B15" i="2" s="1"/>
  <c r="I16" i="2"/>
  <c r="B16" i="2" s="1"/>
  <c r="I17" i="2"/>
  <c r="B17" i="2" s="1"/>
  <c r="I19" i="2"/>
  <c r="B19" i="2" s="1"/>
  <c r="I20" i="2"/>
  <c r="B20" i="2" s="1"/>
  <c r="I21" i="2"/>
  <c r="I22" i="2"/>
  <c r="B22" i="2" s="1"/>
  <c r="I23" i="2"/>
  <c r="I24" i="2"/>
  <c r="I27" i="2"/>
  <c r="I28" i="2"/>
  <c r="I29" i="2"/>
  <c r="I30" i="2"/>
  <c r="A31" i="2"/>
  <c r="I31" i="2" s="1"/>
  <c r="I32" i="2"/>
  <c r="I33" i="2"/>
  <c r="I34" i="2"/>
  <c r="I35" i="2"/>
  <c r="B35" i="2" s="1"/>
  <c r="I36" i="2"/>
  <c r="I59" i="2"/>
  <c r="B59" i="2" s="1"/>
  <c r="I37" i="2"/>
  <c r="B37" i="2" s="1"/>
  <c r="I38" i="2"/>
  <c r="I41" i="2"/>
  <c r="I42" i="2"/>
  <c r="I46" i="2"/>
  <c r="B46" i="2" s="1"/>
  <c r="I13" i="2"/>
  <c r="B13" i="2" s="1"/>
  <c r="I44" i="2"/>
  <c r="B44" i="2" s="1"/>
  <c r="I45" i="2"/>
  <c r="B45" i="2" s="1"/>
  <c r="I48" i="2"/>
  <c r="B48" i="2" s="1"/>
  <c r="I238" i="2"/>
  <c r="B238" i="2" s="1"/>
  <c r="I49" i="2"/>
  <c r="I50" i="2"/>
  <c r="B50" i="2" s="1"/>
  <c r="I51" i="2"/>
  <c r="I52" i="2"/>
  <c r="I53" i="2"/>
  <c r="I54" i="2"/>
  <c r="A55" i="2"/>
  <c r="I55" i="2" s="1"/>
  <c r="I56" i="2"/>
  <c r="I57" i="2"/>
  <c r="I58" i="2"/>
  <c r="I60" i="2"/>
  <c r="B60" i="2" s="1"/>
  <c r="I61" i="2"/>
  <c r="I62" i="2"/>
  <c r="B62" i="2" s="1"/>
  <c r="I63" i="2"/>
  <c r="B63" i="2" s="1"/>
  <c r="I47" i="2"/>
  <c r="I679" i="2"/>
  <c r="B679" i="2" s="1"/>
  <c r="I64" i="2"/>
  <c r="I65" i="2"/>
  <c r="B65" i="2" s="1"/>
  <c r="I66" i="2"/>
  <c r="I67" i="2"/>
  <c r="B67" i="2" s="1"/>
  <c r="I148" i="2"/>
  <c r="I70" i="2"/>
  <c r="B70" i="2" s="1"/>
  <c r="I71" i="2"/>
  <c r="B71" i="2" s="1"/>
  <c r="I73" i="2"/>
  <c r="I74" i="2"/>
  <c r="I75" i="2"/>
  <c r="B75" i="2" s="1"/>
  <c r="I76" i="2"/>
  <c r="I77" i="2"/>
  <c r="I78" i="2"/>
  <c r="I79" i="2"/>
  <c r="A80" i="2"/>
  <c r="I80" i="2" s="1"/>
  <c r="I81" i="2"/>
  <c r="I82" i="2"/>
  <c r="I83" i="2"/>
  <c r="B83" i="2" s="1"/>
  <c r="I84" i="2"/>
  <c r="B84" i="2" s="1"/>
  <c r="I85" i="2"/>
  <c r="B85" i="2" s="1"/>
  <c r="I86" i="2"/>
  <c r="B86" i="2" s="1"/>
  <c r="I88" i="2"/>
  <c r="B88" i="2" s="1"/>
  <c r="I89" i="2"/>
  <c r="B89" i="2" s="1"/>
  <c r="I94" i="2"/>
  <c r="B94" i="2" s="1"/>
  <c r="I137" i="2"/>
  <c r="I97" i="2"/>
  <c r="I98" i="2"/>
  <c r="I99" i="2"/>
  <c r="I100" i="2"/>
  <c r="A101" i="2"/>
  <c r="I101" i="2" s="1"/>
  <c r="I102" i="2"/>
  <c r="I566" i="2"/>
  <c r="I567" i="2"/>
  <c r="B567" i="2" s="1"/>
  <c r="I103" i="2"/>
  <c r="I104" i="2"/>
  <c r="I329" i="2"/>
  <c r="B329" i="2" s="1"/>
  <c r="I330" i="2"/>
  <c r="B330" i="2" s="1"/>
  <c r="I105" i="2"/>
  <c r="I106" i="2"/>
  <c r="B106" i="2" s="1"/>
  <c r="I110" i="2"/>
  <c r="B110" i="2" s="1"/>
  <c r="I111" i="2"/>
  <c r="B111" i="2" s="1"/>
  <c r="I112" i="2"/>
  <c r="I520" i="2"/>
  <c r="B520" i="2" s="1"/>
  <c r="I287" i="2"/>
  <c r="B287" i="2" s="1"/>
  <c r="I113" i="2"/>
  <c r="I114" i="2"/>
  <c r="I115" i="2"/>
  <c r="I116" i="2"/>
  <c r="A117" i="2"/>
  <c r="I117" i="2" s="1"/>
  <c r="I118" i="2"/>
  <c r="I678" i="2"/>
  <c r="I119" i="2"/>
  <c r="I555" i="2"/>
  <c r="I120" i="2"/>
  <c r="B120" i="2" s="1"/>
  <c r="I121" i="2"/>
  <c r="B121" i="2" s="1"/>
  <c r="I218" i="2"/>
  <c r="B218" i="2" s="1"/>
  <c r="I122" i="2"/>
  <c r="I123" i="2"/>
  <c r="I124" i="2"/>
  <c r="B124" i="2" s="1"/>
  <c r="I125" i="2"/>
  <c r="I126" i="2"/>
  <c r="B126" i="2" s="1"/>
  <c r="I128" i="2"/>
  <c r="I129" i="2"/>
  <c r="B129" i="2" s="1"/>
  <c r="I130" i="2"/>
  <c r="I131" i="2"/>
  <c r="I132" i="2"/>
  <c r="I133" i="2"/>
  <c r="I134" i="2"/>
  <c r="A135" i="2"/>
  <c r="I135" i="2" s="1"/>
  <c r="I136" i="2"/>
  <c r="I138" i="2"/>
  <c r="I139" i="2"/>
  <c r="I140" i="2"/>
  <c r="B140" i="2" s="1"/>
  <c r="I141" i="2"/>
  <c r="I144" i="2"/>
  <c r="B144" i="2" s="1"/>
  <c r="I145" i="2"/>
  <c r="B145" i="2" s="1"/>
  <c r="I146" i="2"/>
  <c r="I147" i="2"/>
  <c r="B147" i="2" s="1"/>
  <c r="I150" i="2"/>
  <c r="I151" i="2"/>
  <c r="B151" i="2" s="1"/>
  <c r="I546" i="2"/>
  <c r="I152" i="2"/>
  <c r="I153" i="2"/>
  <c r="I154" i="2"/>
  <c r="I157" i="2"/>
  <c r="A158" i="2"/>
  <c r="I158" i="2" s="1"/>
  <c r="I159" i="2"/>
  <c r="I160" i="2"/>
  <c r="I161" i="2"/>
  <c r="B161" i="2" s="1"/>
  <c r="I162" i="2"/>
  <c r="I178" i="2"/>
  <c r="B178" i="2" s="1"/>
  <c r="I179" i="2"/>
  <c r="B179" i="2" s="1"/>
  <c r="I184" i="2"/>
  <c r="I180" i="2"/>
  <c r="B180" i="2" s="1"/>
  <c r="I166" i="2"/>
  <c r="I276" i="2"/>
  <c r="I326" i="2"/>
  <c r="B326" i="2" s="1"/>
  <c r="I167" i="2"/>
  <c r="I168" i="2"/>
  <c r="I169" i="2"/>
  <c r="B169" i="2" s="1"/>
  <c r="I170" i="2"/>
  <c r="B170" i="2" s="1"/>
  <c r="I171" i="2"/>
  <c r="I172" i="2"/>
  <c r="I173" i="2"/>
  <c r="I174" i="2"/>
  <c r="A175" i="2"/>
  <c r="I175" i="2" s="1"/>
  <c r="I176" i="2"/>
  <c r="I163" i="2"/>
  <c r="B163" i="2" s="1"/>
  <c r="I177" i="2"/>
  <c r="I164" i="2"/>
  <c r="B164" i="2" s="1"/>
  <c r="I181" i="2"/>
  <c r="I182" i="2"/>
  <c r="B182" i="2" s="1"/>
  <c r="I183" i="2"/>
  <c r="I185" i="2"/>
  <c r="B185" i="2" s="1"/>
  <c r="I149" i="2"/>
  <c r="I187" i="2"/>
  <c r="B187" i="2" s="1"/>
  <c r="I188" i="2"/>
  <c r="I189" i="2"/>
  <c r="I190" i="2"/>
  <c r="I191" i="2"/>
  <c r="A192" i="2"/>
  <c r="I192" i="2" s="1"/>
  <c r="I193" i="2"/>
  <c r="I194" i="2"/>
  <c r="I142" i="2"/>
  <c r="B142" i="2" s="1"/>
  <c r="I143" i="2"/>
  <c r="B143" i="2" s="1"/>
  <c r="I195" i="2"/>
  <c r="B195" i="2" s="1"/>
  <c r="I196" i="2"/>
  <c r="B196" i="2" s="1"/>
  <c r="I473" i="2"/>
  <c r="B473" i="2" s="1"/>
  <c r="I197" i="2"/>
  <c r="B197" i="2" s="1"/>
  <c r="I198" i="2"/>
  <c r="B198" i="2" s="1"/>
  <c r="I388" i="2"/>
  <c r="I200" i="2"/>
  <c r="I204" i="2"/>
  <c r="I209" i="2"/>
  <c r="I210" i="2"/>
  <c r="I211" i="2"/>
  <c r="I212" i="2"/>
  <c r="A213" i="2"/>
  <c r="I213" i="2" s="1"/>
  <c r="I214" i="2"/>
  <c r="I591" i="2"/>
  <c r="I592" i="2"/>
  <c r="I589" i="2"/>
  <c r="I590" i="2"/>
  <c r="I205" i="2"/>
  <c r="B205" i="2" s="1"/>
  <c r="I206" i="2"/>
  <c r="B206" i="2" s="1"/>
  <c r="I93" i="2"/>
  <c r="I216" i="2"/>
  <c r="I217" i="2"/>
  <c r="B217" i="2" s="1"/>
  <c r="I223" i="2"/>
  <c r="I203" i="2"/>
  <c r="B203" i="2" s="1"/>
  <c r="I225" i="2"/>
  <c r="B225" i="2" s="1"/>
  <c r="I91" i="2"/>
  <c r="B91" i="2" s="1"/>
  <c r="I226" i="2"/>
  <c r="B226" i="2" s="1"/>
  <c r="I227" i="2"/>
  <c r="I228" i="2"/>
  <c r="I229" i="2"/>
  <c r="I230" i="2"/>
  <c r="A231" i="2"/>
  <c r="I231" i="2" s="1"/>
  <c r="I232" i="2"/>
  <c r="I588" i="2"/>
  <c r="B588" i="2" s="1"/>
  <c r="I593" i="2"/>
  <c r="B593" i="2" s="1"/>
  <c r="I234" i="2"/>
  <c r="I235" i="2"/>
  <c r="B235" i="2" s="1"/>
  <c r="I236" i="2"/>
  <c r="I471" i="2"/>
  <c r="I241" i="2"/>
  <c r="I242" i="2"/>
  <c r="B242" i="2" s="1"/>
  <c r="I243" i="2"/>
  <c r="B243" i="2" s="1"/>
  <c r="I244" i="2"/>
  <c r="I245" i="2"/>
  <c r="I246" i="2"/>
  <c r="I247" i="2"/>
  <c r="A248" i="2"/>
  <c r="I248" i="2" s="1"/>
  <c r="I249" i="2"/>
  <c r="I250" i="2"/>
  <c r="I251" i="2"/>
  <c r="B251" i="2" s="1"/>
  <c r="I252" i="2"/>
  <c r="I253" i="2"/>
  <c r="I254" i="2"/>
  <c r="I222" i="2"/>
  <c r="B222" i="2" s="1"/>
  <c r="I274" i="2"/>
  <c r="I259" i="2"/>
  <c r="B259" i="2" s="1"/>
  <c r="I239" i="2"/>
  <c r="B239" i="2" s="1"/>
  <c r="I261" i="2"/>
  <c r="I285" i="2"/>
  <c r="I262" i="2"/>
  <c r="I264" i="2"/>
  <c r="I265" i="2"/>
  <c r="I266" i="2"/>
  <c r="I267" i="2"/>
  <c r="A268" i="2"/>
  <c r="I268" i="2" s="1"/>
  <c r="I269" i="2"/>
  <c r="I201" i="2"/>
  <c r="I568" i="2"/>
  <c r="I270" i="2"/>
  <c r="I603" i="2"/>
  <c r="I272" i="2"/>
  <c r="I273" i="2"/>
  <c r="B273" i="2" s="1"/>
  <c r="I202" i="2"/>
  <c r="B202" i="2" s="1"/>
  <c r="I224" i="2"/>
  <c r="B224" i="2" s="1"/>
  <c r="I90" i="2"/>
  <c r="I277" i="2"/>
  <c r="B277" i="2" s="1"/>
  <c r="I278" i="2"/>
  <c r="I279" i="2"/>
  <c r="I280" i="2"/>
  <c r="I281" i="2"/>
  <c r="A282" i="2"/>
  <c r="I282" i="2" s="1"/>
  <c r="I283" i="2"/>
  <c r="I284" i="2"/>
  <c r="I390" i="2"/>
  <c r="B390" i="2" s="1"/>
  <c r="I391" i="2"/>
  <c r="I286" i="2"/>
  <c r="B286" i="2" s="1"/>
  <c r="I288" i="2"/>
  <c r="B288" i="2" s="1"/>
  <c r="I290" i="2"/>
  <c r="B290" i="2" s="1"/>
  <c r="I291" i="2"/>
  <c r="I304" i="2"/>
  <c r="I292" i="2"/>
  <c r="B292" i="2" s="1"/>
  <c r="I293" i="2"/>
  <c r="B293" i="2" s="1"/>
  <c r="I294" i="2"/>
  <c r="I295" i="2"/>
  <c r="I296" i="2"/>
  <c r="I297" i="2"/>
  <c r="A298" i="2"/>
  <c r="I298" i="2" s="1"/>
  <c r="I299" i="2"/>
  <c r="I300" i="2"/>
  <c r="I301" i="2"/>
  <c r="I302" i="2"/>
  <c r="B302" i="2" s="1"/>
  <c r="I303" i="2"/>
  <c r="B303" i="2" s="1"/>
  <c r="I604" i="2"/>
  <c r="B604" i="2" s="1"/>
  <c r="I328" i="2"/>
  <c r="B328" i="2" s="1"/>
  <c r="I421" i="2"/>
  <c r="B421" i="2" s="1"/>
  <c r="I305" i="2"/>
  <c r="I306" i="2"/>
  <c r="B306" i="2" s="1"/>
  <c r="I307" i="2"/>
  <c r="B307" i="2" s="1"/>
  <c r="I434" i="2"/>
  <c r="B434" i="2" s="1"/>
  <c r="I408" i="2"/>
  <c r="B408" i="2" s="1"/>
  <c r="I409" i="2"/>
  <c r="I311" i="2"/>
  <c r="B311" i="2" s="1"/>
  <c r="I312" i="2"/>
  <c r="I313" i="2"/>
  <c r="I314" i="2"/>
  <c r="I315" i="2"/>
  <c r="I316" i="2"/>
  <c r="I317" i="2"/>
  <c r="A318" i="2"/>
  <c r="I318" i="2" s="1"/>
  <c r="I319" i="2"/>
  <c r="I320" i="2"/>
  <c r="I321" i="2"/>
  <c r="I322" i="2"/>
  <c r="I323" i="2"/>
  <c r="B323" i="2" s="1"/>
  <c r="I221" i="2"/>
  <c r="B221" i="2" s="1"/>
  <c r="I324" i="2"/>
  <c r="B324" i="2" s="1"/>
  <c r="I325" i="2"/>
  <c r="B325" i="2" s="1"/>
  <c r="I255" i="2"/>
  <c r="B255" i="2" s="1"/>
  <c r="I333" i="2"/>
  <c r="B333" i="2" s="1"/>
  <c r="I256" i="2"/>
  <c r="B256" i="2" s="1"/>
  <c r="I331" i="2"/>
  <c r="B331" i="2" s="1"/>
  <c r="I332" i="2"/>
  <c r="B332" i="2" s="1"/>
  <c r="I107" i="2"/>
  <c r="B107" i="2" s="1"/>
  <c r="I336" i="2"/>
  <c r="I337" i="2"/>
  <c r="I338" i="2"/>
  <c r="I339" i="2"/>
  <c r="A340" i="2"/>
  <c r="I340" i="2" s="1"/>
  <c r="I341" i="2"/>
  <c r="I342" i="2"/>
  <c r="I343" i="2"/>
  <c r="B343" i="2" s="1"/>
  <c r="I344" i="2"/>
  <c r="I600" i="2"/>
  <c r="I345" i="2"/>
  <c r="B345" i="2" s="1"/>
  <c r="I346" i="2"/>
  <c r="I347" i="2"/>
  <c r="B347" i="2" s="1"/>
  <c r="I556" i="2"/>
  <c r="I350" i="2"/>
  <c r="I351" i="2"/>
  <c r="I597" i="2"/>
  <c r="I352" i="2"/>
  <c r="I495" i="2"/>
  <c r="B495" i="2" s="1"/>
  <c r="I353" i="2"/>
  <c r="I354" i="2"/>
  <c r="I355" i="2"/>
  <c r="I356" i="2"/>
  <c r="A357" i="2"/>
  <c r="I357" i="2" s="1"/>
  <c r="I358" i="2"/>
  <c r="I359" i="2"/>
  <c r="I360" i="2"/>
  <c r="B360" i="2" s="1"/>
  <c r="I361" i="2"/>
  <c r="I362" i="2"/>
  <c r="I363" i="2"/>
  <c r="I364" i="2"/>
  <c r="B364" i="2" s="1"/>
  <c r="I365" i="2"/>
  <c r="I366" i="2"/>
  <c r="B366" i="2" s="1"/>
  <c r="I367" i="2"/>
  <c r="B367" i="2" s="1"/>
  <c r="I369" i="2"/>
  <c r="B369" i="2" s="1"/>
  <c r="I370" i="2"/>
  <c r="I512" i="2"/>
  <c r="I372" i="2"/>
  <c r="B372" i="2" s="1"/>
  <c r="I376" i="2"/>
  <c r="B376" i="2" s="1"/>
  <c r="I289" i="2"/>
  <c r="B289" i="2" s="1"/>
  <c r="I377" i="2"/>
  <c r="I378" i="2"/>
  <c r="I379" i="2"/>
  <c r="I380" i="2"/>
  <c r="A381" i="2"/>
  <c r="I381" i="2" s="1"/>
  <c r="I382" i="2"/>
  <c r="I240" i="2"/>
  <c r="I383" i="2"/>
  <c r="I374" i="2"/>
  <c r="I384" i="2"/>
  <c r="B384" i="2" s="1"/>
  <c r="I385" i="2"/>
  <c r="B385" i="2" s="1"/>
  <c r="I386" i="2"/>
  <c r="B386" i="2" s="1"/>
  <c r="I393" i="2"/>
  <c r="B393" i="2" s="1"/>
  <c r="I411" i="2"/>
  <c r="B411" i="2" s="1"/>
  <c r="I394" i="2"/>
  <c r="B394" i="2" s="1"/>
  <c r="I199" i="2"/>
  <c r="I547" i="2"/>
  <c r="I398" i="2"/>
  <c r="I399" i="2"/>
  <c r="I400" i="2"/>
  <c r="I401" i="2"/>
  <c r="I402" i="2"/>
  <c r="A403" i="2"/>
  <c r="I403" i="2" s="1"/>
  <c r="I404" i="2"/>
  <c r="I405" i="2"/>
  <c r="I406" i="2"/>
  <c r="B406" i="2" s="1"/>
  <c r="I407" i="2"/>
  <c r="B407" i="2" s="1"/>
  <c r="I410" i="2"/>
  <c r="B410" i="2" s="1"/>
  <c r="I412" i="2"/>
  <c r="B412" i="2" s="1"/>
  <c r="I413" i="2"/>
  <c r="B413" i="2" s="1"/>
  <c r="I414" i="2"/>
  <c r="I415" i="2"/>
  <c r="I416" i="2"/>
  <c r="I417" i="2"/>
  <c r="B417" i="2" s="1"/>
  <c r="I418" i="2"/>
  <c r="I14" i="2"/>
  <c r="I419" i="2"/>
  <c r="B419" i="2" s="1"/>
  <c r="I420" i="2"/>
  <c r="I309" i="2"/>
  <c r="I397" i="2"/>
  <c r="B397" i="2" s="1"/>
  <c r="I422" i="2"/>
  <c r="B422" i="2" s="1"/>
  <c r="I423" i="2"/>
  <c r="B423" i="2" s="1"/>
  <c r="I424" i="2"/>
  <c r="B424" i="2" s="1"/>
  <c r="I425" i="2"/>
  <c r="I426" i="2"/>
  <c r="I427" i="2"/>
  <c r="I428" i="2"/>
  <c r="A429" i="2"/>
  <c r="I429" i="2" s="1"/>
  <c r="I430" i="2"/>
  <c r="I237" i="2"/>
  <c r="B237" i="2" s="1"/>
  <c r="I432" i="2"/>
  <c r="I431" i="2"/>
  <c r="I433" i="2"/>
  <c r="B433" i="2" s="1"/>
  <c r="I435" i="2"/>
  <c r="I436" i="2"/>
  <c r="I437" i="2"/>
  <c r="B437" i="2" s="1"/>
  <c r="I438" i="2"/>
  <c r="B438" i="2" s="1"/>
  <c r="I439" i="2"/>
  <c r="B439" i="2" s="1"/>
  <c r="I440" i="2"/>
  <c r="B440" i="2" s="1"/>
  <c r="I441" i="2"/>
  <c r="B441" i="2" s="1"/>
  <c r="I442" i="2"/>
  <c r="B442" i="2" s="1"/>
  <c r="I443" i="2"/>
  <c r="I444" i="2"/>
  <c r="I445" i="2"/>
  <c r="I446" i="2"/>
  <c r="A447" i="2"/>
  <c r="I447" i="2" s="1"/>
  <c r="I448" i="2"/>
  <c r="I449" i="2"/>
  <c r="I450" i="2"/>
  <c r="B450" i="2" s="1"/>
  <c r="I451" i="2"/>
  <c r="I452" i="2"/>
  <c r="B452" i="2" s="1"/>
  <c r="I453" i="2"/>
  <c r="B453" i="2" s="1"/>
  <c r="I457" i="2"/>
  <c r="B457" i="2" s="1"/>
  <c r="I458" i="2"/>
  <c r="B458" i="2" s="1"/>
  <c r="I40" i="2"/>
  <c r="B40" i="2" s="1"/>
  <c r="I459" i="2"/>
  <c r="B459" i="2" s="1"/>
  <c r="I539" i="2"/>
  <c r="I540" i="2"/>
  <c r="B540" i="2" s="1"/>
  <c r="I460" i="2"/>
  <c r="B460" i="2" s="1"/>
  <c r="I461" i="2"/>
  <c r="I462" i="2"/>
  <c r="I463" i="2"/>
  <c r="I464" i="2"/>
  <c r="A465" i="2"/>
  <c r="I465" i="2" s="1"/>
  <c r="I466" i="2"/>
  <c r="I467" i="2"/>
  <c r="I468" i="2"/>
  <c r="B468" i="2" s="1"/>
  <c r="I550" i="2"/>
  <c r="I551" i="2"/>
  <c r="I552" i="2"/>
  <c r="I553" i="2"/>
  <c r="I554" i="2"/>
  <c r="I470" i="2"/>
  <c r="B470" i="2" s="1"/>
  <c r="I308" i="2"/>
  <c r="B308" i="2" s="1"/>
  <c r="I474" i="2"/>
  <c r="I475" i="2"/>
  <c r="B475" i="2" s="1"/>
  <c r="I492" i="2"/>
  <c r="B492" i="2" s="1"/>
  <c r="I476" i="2"/>
  <c r="B476" i="2" s="1"/>
  <c r="I477" i="2"/>
  <c r="I478" i="2"/>
  <c r="I479" i="2"/>
  <c r="I480" i="2"/>
  <c r="A481" i="2"/>
  <c r="I481" i="2" s="1"/>
  <c r="I482" i="2"/>
  <c r="I233" i="2"/>
  <c r="I483" i="2"/>
  <c r="I484" i="2"/>
  <c r="B484" i="2" s="1"/>
  <c r="I485" i="2"/>
  <c r="B485" i="2" s="1"/>
  <c r="I514" i="2"/>
  <c r="I515" i="2"/>
  <c r="B515" i="2" s="1"/>
  <c r="I487" i="2"/>
  <c r="B487" i="2" s="1"/>
  <c r="I488" i="2"/>
  <c r="B488" i="2" s="1"/>
  <c r="I532" i="2"/>
  <c r="I531" i="2"/>
  <c r="E531" i="2" s="1" a="1"/>
  <c r="E531" i="2" s="1"/>
  <c r="I489" i="2"/>
  <c r="B489" i="2" s="1"/>
  <c r="I493" i="2"/>
  <c r="B493" i="2" s="1"/>
  <c r="I516" i="2"/>
  <c r="B516" i="2" s="1"/>
  <c r="I494" i="2"/>
  <c r="B494" i="2" s="1"/>
  <c r="I496" i="2"/>
  <c r="B496" i="2" s="1"/>
  <c r="I497" i="2"/>
  <c r="I498" i="2"/>
  <c r="B498" i="2" s="1"/>
  <c r="I499" i="2"/>
  <c r="I500" i="2"/>
  <c r="I504" i="2"/>
  <c r="I505" i="2"/>
  <c r="I506" i="2"/>
  <c r="I509" i="2"/>
  <c r="I565" i="2"/>
  <c r="B565" i="2" s="1"/>
  <c r="I510" i="2"/>
  <c r="B510" i="2" s="1"/>
  <c r="I511" i="2"/>
  <c r="B511" i="2" s="1"/>
  <c r="I637" i="2"/>
  <c r="I87" i="2"/>
  <c r="I517" i="2"/>
  <c r="B517" i="2" s="1"/>
  <c r="I518" i="2"/>
  <c r="B518" i="2" s="1"/>
  <c r="I472" i="2"/>
  <c r="B472" i="2" s="1"/>
  <c r="I521" i="2"/>
  <c r="B521" i="2" s="1"/>
  <c r="I522" i="2"/>
  <c r="I523" i="2"/>
  <c r="I560" i="2"/>
  <c r="A561" i="2"/>
  <c r="I561" i="2" s="1"/>
  <c r="I562" i="2"/>
  <c r="I563" i="2"/>
  <c r="I68" i="2"/>
  <c r="B68" i="2" s="1"/>
  <c r="I681" i="2"/>
  <c r="I11" i="2"/>
  <c r="B11" i="2" s="1"/>
  <c r="I72" i="2"/>
  <c r="B72" i="2" s="1"/>
  <c r="I571" i="2"/>
  <c r="I572" i="2"/>
  <c r="B572" i="2" s="1"/>
  <c r="I573" i="2"/>
  <c r="B573" i="2" s="1"/>
  <c r="I686" i="2"/>
  <c r="B686" i="2" s="1"/>
  <c r="I579" i="2"/>
  <c r="A580" i="2"/>
  <c r="I580" i="2" s="1"/>
  <c r="I581" i="2"/>
  <c r="I582" i="2"/>
  <c r="I583" i="2"/>
  <c r="I584" i="2"/>
  <c r="I585" i="2"/>
  <c r="B585" i="2" s="1"/>
  <c r="I586" i="2"/>
  <c r="B586" i="2" s="1"/>
  <c r="I587" i="2"/>
  <c r="B587" i="2" s="1"/>
  <c r="I596" i="2"/>
  <c r="I644" i="2"/>
  <c r="B644" i="2" s="1"/>
  <c r="I642" i="2"/>
  <c r="B642" i="2" s="1"/>
  <c r="I257" i="2"/>
  <c r="I258" i="2"/>
  <c r="I599" i="2"/>
  <c r="B599" i="2" s="1"/>
  <c r="I606" i="2"/>
  <c r="B606" i="2" s="1"/>
  <c r="I570" i="2"/>
  <c r="B570" i="2" s="1"/>
  <c r="I607" i="2"/>
  <c r="I618" i="2"/>
  <c r="B618" i="2" s="1"/>
  <c r="I608" i="2"/>
  <c r="I609" i="2"/>
  <c r="I610" i="2"/>
  <c r="I613" i="2"/>
  <c r="A614" i="2"/>
  <c r="I614" i="2" s="1"/>
  <c r="I615" i="2"/>
  <c r="I616" i="2"/>
  <c r="I617" i="2"/>
  <c r="B617" i="2" s="1"/>
  <c r="I536" i="2"/>
  <c r="I620" i="2"/>
  <c r="B620" i="2" s="1"/>
  <c r="I621" i="2"/>
  <c r="B621" i="2" s="1"/>
  <c r="I625" i="2"/>
  <c r="B625" i="2" s="1"/>
  <c r="I456" i="2"/>
  <c r="B456" i="2" s="1"/>
  <c r="I626" i="2"/>
  <c r="B626" i="2" s="1"/>
  <c r="I629" i="2"/>
  <c r="I632" i="2"/>
  <c r="A633" i="2"/>
  <c r="I633" i="2" s="1"/>
  <c r="I634" i="2"/>
  <c r="I635" i="2"/>
  <c r="I677" i="2"/>
  <c r="I598" i="2"/>
  <c r="B598" i="2" s="1"/>
  <c r="I638" i="2"/>
  <c r="B638" i="2" s="1"/>
  <c r="I639" i="2"/>
  <c r="B639" i="2" s="1"/>
  <c r="I640" i="2"/>
  <c r="B640" i="2" s="1"/>
  <c r="I636" i="2"/>
  <c r="B636" i="2" s="1"/>
  <c r="I641" i="2"/>
  <c r="B641" i="2" s="1"/>
  <c r="I647" i="2"/>
  <c r="I646" i="2"/>
  <c r="B646" i="2" s="1"/>
  <c r="I648" i="2"/>
  <c r="I108" i="2"/>
  <c r="I652" i="2"/>
  <c r="A653" i="2"/>
  <c r="I653" i="2" s="1"/>
  <c r="I654" i="2"/>
  <c r="I655" i="2"/>
  <c r="I656" i="2"/>
  <c r="E656" i="2" s="1" a="1"/>
  <c r="E656" i="2" s="1"/>
  <c r="I657" i="2"/>
  <c r="E657" i="2" s="1" a="1"/>
  <c r="E657" i="2" s="1"/>
  <c r="I658" i="2"/>
  <c r="I659" i="2"/>
  <c r="I660" i="2"/>
  <c r="I661" i="2"/>
  <c r="E661" i="2" s="1" a="1"/>
  <c r="E661" i="2" s="1"/>
  <c r="I662" i="2"/>
  <c r="I663" i="2"/>
  <c r="I665" i="2"/>
  <c r="E665" i="2" s="1" a="1"/>
  <c r="E665" i="2" s="1"/>
  <c r="I455" i="2"/>
  <c r="B455" i="2" s="1"/>
  <c r="I666" i="2"/>
  <c r="B666" i="2" s="1"/>
  <c r="I667" i="2"/>
  <c r="I186" i="2"/>
  <c r="B186" i="2" s="1"/>
  <c r="I668" i="2"/>
  <c r="E668" i="2" s="1" a="1"/>
  <c r="E668" i="2" s="1"/>
  <c r="I260" i="2"/>
  <c r="B260" i="2" s="1"/>
  <c r="I669" i="2"/>
  <c r="I672" i="2"/>
  <c r="A673" i="2"/>
  <c r="I673" i="2" s="1"/>
  <c r="I674" i="2"/>
  <c r="I675" i="2"/>
  <c r="I676" i="2"/>
  <c r="I601" i="2"/>
  <c r="B601" i="2" s="1"/>
  <c r="I682" i="2"/>
  <c r="B682" i="2" s="1"/>
  <c r="I683" i="2"/>
  <c r="I684" i="2"/>
  <c r="I685" i="2"/>
  <c r="B685" i="2" s="1"/>
  <c r="I687" i="2"/>
  <c r="B687" i="2" s="1"/>
  <c r="I688" i="2"/>
  <c r="C546" i="2" l="1" a="1"/>
  <c r="C546" i="2" s="1"/>
  <c r="E546" i="2" a="1"/>
  <c r="B216" i="2"/>
  <c r="E215" i="2" a="1"/>
  <c r="E215" i="2" s="1"/>
  <c r="C215" i="2" a="1"/>
  <c r="C215" i="2" s="1"/>
  <c r="E449" i="2" a="1"/>
  <c r="E449" i="2" s="1"/>
  <c r="B532" i="2"/>
  <c r="E532" i="2" a="1"/>
  <c r="E532" i="2" s="1"/>
  <c r="C532" i="2" a="1"/>
  <c r="C532" i="2" s="1"/>
  <c r="C250" i="2" a="1"/>
  <c r="C250" i="2" s="1"/>
  <c r="E383" i="2" a="1"/>
  <c r="C383" i="2" a="1"/>
  <c r="C383" i="2" s="1"/>
  <c r="E233" i="2" a="1"/>
  <c r="C233" i="2" a="1"/>
  <c r="C233" i="2" s="1"/>
  <c r="E635" i="2" a="1"/>
  <c r="E649" i="2" s="1"/>
  <c r="C635" i="2" a="1"/>
  <c r="C635" i="2" s="1"/>
  <c r="C616" i="2" a="1"/>
  <c r="C616" i="2" s="1"/>
  <c r="E616" i="2" a="1"/>
  <c r="G627" i="2" s="1"/>
  <c r="E563" i="2" a="1"/>
  <c r="E563" i="2" s="1"/>
  <c r="C563" i="2" a="1"/>
  <c r="C563" i="2" s="1"/>
  <c r="C270" i="2" a="1"/>
  <c r="C270" i="2" s="1"/>
  <c r="E270" i="2" a="1"/>
  <c r="C536" i="2" a="1"/>
  <c r="C536" i="2" s="1"/>
  <c r="B536" i="2"/>
  <c r="B563" i="2"/>
  <c r="E582" i="2" a="1"/>
  <c r="E610" i="2" s="1"/>
  <c r="E177" i="2" a="1"/>
  <c r="E177" i="2" s="1"/>
  <c r="E194" i="2" a="1"/>
  <c r="E194" i="2" s="1"/>
  <c r="E209" i="2" s="1"/>
  <c r="C194" i="2" a="1"/>
  <c r="C194" i="2" s="1"/>
  <c r="B568" i="2"/>
  <c r="E483" i="2" a="1"/>
  <c r="C483" i="2" a="1"/>
  <c r="C483" i="2" s="1"/>
  <c r="B431" i="2"/>
  <c r="E431" i="2" a="1"/>
  <c r="E431" i="2" s="1"/>
  <c r="E443" i="2" s="1"/>
  <c r="C431" i="2" a="1"/>
  <c r="C431" i="2" s="1"/>
  <c r="B596" i="2"/>
  <c r="E103" i="2" a="1"/>
  <c r="C103" i="2" a="1"/>
  <c r="C103" i="2" s="1"/>
  <c r="B556" i="2"/>
  <c r="B103" i="2"/>
  <c r="C405" i="2" a="1"/>
  <c r="C405" i="2" s="1"/>
  <c r="E405" i="2" a="1"/>
  <c r="E405" i="2" s="1"/>
  <c r="E119" i="2" a="1"/>
  <c r="B119" i="2"/>
  <c r="C119" i="2" a="1"/>
  <c r="C119" i="2" s="1"/>
  <c r="C655" i="2" a="1"/>
  <c r="C655" i="2" s="1"/>
  <c r="E655" i="2" a="1"/>
  <c r="E655" i="2" s="1"/>
  <c r="B660" i="2"/>
  <c r="E660" i="2" a="1"/>
  <c r="E660" i="2" s="1"/>
  <c r="G660" i="2" s="1"/>
  <c r="B658" i="2"/>
  <c r="E658" i="2" a="1"/>
  <c r="E658" i="2" s="1"/>
  <c r="B659" i="2"/>
  <c r="E659" i="2" a="1"/>
  <c r="E659" i="2" s="1"/>
  <c r="B667" i="2"/>
  <c r="E667" i="2" a="1"/>
  <c r="E667" i="2" s="1"/>
  <c r="E666" i="2" a="1"/>
  <c r="E666" i="2" s="1"/>
  <c r="G666" i="2" s="1"/>
  <c r="B663" i="2"/>
  <c r="E663" i="2" a="1"/>
  <c r="E663" i="2" s="1"/>
  <c r="B662" i="2"/>
  <c r="E662" i="2" a="1"/>
  <c r="E662" i="2" s="1"/>
  <c r="E675" i="2" a="1"/>
  <c r="G680" i="2" s="1"/>
  <c r="E536" i="2" a="1"/>
  <c r="E536" i="2" s="1"/>
  <c r="B539" i="2"/>
  <c r="E539" i="2" a="1"/>
  <c r="E539" i="2" s="1"/>
  <c r="B675" i="2"/>
  <c r="B547" i="2"/>
  <c r="E320" i="2" a="1"/>
  <c r="G327" i="2" s="1"/>
  <c r="C320" i="2" a="1"/>
  <c r="C320" i="2" s="1"/>
  <c r="B550" i="2"/>
  <c r="B552" i="2"/>
  <c r="B554" i="2"/>
  <c r="B531" i="2"/>
  <c r="C531" i="2" a="1"/>
  <c r="C531" i="2" s="1"/>
  <c r="E540" i="2" a="1"/>
  <c r="E540" i="2" s="1"/>
  <c r="C540" i="2" a="1"/>
  <c r="C540" i="2" s="1"/>
  <c r="C539" i="2" a="1"/>
  <c r="C539" i="2" s="1"/>
  <c r="B546" i="2"/>
  <c r="B555" i="2"/>
  <c r="E507" i="2" a="1"/>
  <c r="C507" i="2" a="1"/>
  <c r="C507" i="2" s="1"/>
  <c r="B509" i="2"/>
  <c r="E467" i="2" a="1"/>
  <c r="B566" i="2"/>
  <c r="E300" i="2" a="1"/>
  <c r="E250" i="2" a="1"/>
  <c r="G262" i="2" s="1"/>
  <c r="E138" i="2" a="1"/>
  <c r="B160" i="2"/>
  <c r="E160" i="2" a="1"/>
  <c r="E82" i="2" a="1"/>
  <c r="E57" i="2" a="1"/>
  <c r="E76" i="2" s="1"/>
  <c r="E4" i="2" a="1"/>
  <c r="G18" i="2" s="1"/>
  <c r="E359" i="2" a="1"/>
  <c r="G371" i="2" s="1"/>
  <c r="E33" i="2" a="1"/>
  <c r="G39" i="2" s="1"/>
  <c r="E342" i="2" a="1"/>
  <c r="E284" i="2" a="1"/>
  <c r="B677" i="2"/>
  <c r="B108" i="2"/>
  <c r="B648" i="2"/>
  <c r="C675" i="2" a="1"/>
  <c r="C675" i="2" s="1"/>
  <c r="B240" i="2"/>
  <c r="C177" i="2" a="1"/>
  <c r="C177" i="2" s="1"/>
  <c r="B177" i="2"/>
  <c r="C284" i="2" a="1"/>
  <c r="C284" i="2" s="1"/>
  <c r="B300" i="2"/>
  <c r="C300" i="2" a="1"/>
  <c r="C300" i="2" s="1"/>
  <c r="B635" i="2"/>
  <c r="B582" i="2"/>
  <c r="C582" i="2" a="1"/>
  <c r="C582" i="2" s="1"/>
  <c r="B359" i="2"/>
  <c r="C359" i="2" a="1"/>
  <c r="C359" i="2" s="1"/>
  <c r="C467" i="2" a="1"/>
  <c r="C467" i="2" s="1"/>
  <c r="C449" i="2" a="1"/>
  <c r="C449" i="2" s="1"/>
  <c r="B616" i="2"/>
  <c r="B655" i="2"/>
  <c r="B233" i="2"/>
  <c r="B342" i="2"/>
  <c r="C342" i="2" a="1"/>
  <c r="C342" i="2" s="1"/>
  <c r="B320" i="2"/>
  <c r="B351" i="2"/>
  <c r="B250" i="2"/>
  <c r="B194" i="2"/>
  <c r="B309" i="2"/>
  <c r="B637" i="2"/>
  <c r="B665" i="2"/>
  <c r="B201" i="2"/>
  <c r="B657" i="2"/>
  <c r="C57" i="2" a="1"/>
  <c r="C57" i="2" s="1"/>
  <c r="B57" i="2"/>
  <c r="B508" i="2"/>
  <c r="B415" i="2"/>
  <c r="B591" i="2"/>
  <c r="B24" i="2"/>
  <c r="B4" i="2"/>
  <c r="C4" i="2" a="1"/>
  <c r="C4" i="2" s="1"/>
  <c r="B584" i="2"/>
  <c r="B609" i="2"/>
  <c r="B257" i="2"/>
  <c r="B512" i="2"/>
  <c r="B589" i="2"/>
  <c r="C138" i="2" a="1"/>
  <c r="C138" i="2" s="1"/>
  <c r="B600" i="2"/>
  <c r="C160" i="2" a="1"/>
  <c r="C160" i="2" s="1"/>
  <c r="B388" i="2"/>
  <c r="C82" i="2" a="1"/>
  <c r="C82" i="2" s="1"/>
  <c r="B370" i="2"/>
  <c r="B597" i="2"/>
  <c r="B33" i="2"/>
  <c r="C33" i="2" a="1"/>
  <c r="C33" i="2" s="1"/>
  <c r="B564" i="2"/>
  <c r="B551" i="2"/>
  <c r="B305" i="2"/>
  <c r="B42" i="2"/>
  <c r="B553" i="2"/>
  <c r="B420" i="2"/>
  <c r="B139" i="2"/>
  <c r="B361" i="2"/>
  <c r="B668" i="2"/>
  <c r="B467" i="2"/>
  <c r="B449" i="2"/>
  <c r="B416" i="2"/>
  <c r="B409" i="2"/>
  <c r="B241" i="2"/>
  <c r="B499" i="2"/>
  <c r="B146" i="2"/>
  <c r="B258" i="2"/>
  <c r="B608" i="2"/>
  <c r="B514" i="2"/>
  <c r="B405" i="2"/>
  <c r="B365" i="2"/>
  <c r="B522" i="2"/>
  <c r="B432" i="2"/>
  <c r="B398" i="2"/>
  <c r="B350" i="2"/>
  <c r="B301" i="2"/>
  <c r="B285" i="2"/>
  <c r="B21" i="2"/>
  <c r="B661" i="2"/>
  <c r="B14" i="2"/>
  <c r="B236" i="2"/>
  <c r="B436" i="2"/>
  <c r="B291" i="2"/>
  <c r="B590" i="2"/>
  <c r="B184" i="2"/>
  <c r="B344" i="2"/>
  <c r="B391" i="2"/>
  <c r="B123" i="2"/>
  <c r="B414" i="2"/>
  <c r="B253" i="2"/>
  <c r="B313" i="2"/>
  <c r="B374" i="2"/>
  <c r="B322" i="2"/>
  <c r="B312" i="2"/>
  <c r="B234" i="2"/>
  <c r="B204" i="2"/>
  <c r="B168" i="2"/>
  <c r="B270" i="2"/>
  <c r="B676" i="2"/>
  <c r="B683" i="2"/>
  <c r="B352" i="2"/>
  <c r="B497" i="2"/>
  <c r="B418" i="2"/>
  <c r="B383" i="2"/>
  <c r="B200" i="2"/>
  <c r="B656" i="2"/>
  <c r="B583" i="2"/>
  <c r="B607" i="2"/>
  <c r="B571" i="2"/>
  <c r="B681" i="2"/>
  <c r="B474" i="2"/>
  <c r="B451" i="2"/>
  <c r="B363" i="2"/>
  <c r="B90" i="2"/>
  <c r="B87" i="2"/>
  <c r="B435" i="2"/>
  <c r="B500" i="2"/>
  <c r="B483" i="2"/>
  <c r="B199" i="2"/>
  <c r="B603" i="2"/>
  <c r="B362" i="2"/>
  <c r="B321" i="2"/>
  <c r="B167" i="2"/>
  <c r="B137" i="2"/>
  <c r="B148" i="2"/>
  <c r="B274" i="2"/>
  <c r="B252" i="2"/>
  <c r="B128" i="2"/>
  <c r="B122" i="2"/>
  <c r="B61" i="2"/>
  <c r="B262" i="2"/>
  <c r="B471" i="2"/>
  <c r="B105" i="2"/>
  <c r="B66" i="2"/>
  <c r="B592" i="2"/>
  <c r="B183" i="2"/>
  <c r="B276" i="2"/>
  <c r="B74" i="2"/>
  <c r="B162" i="2"/>
  <c r="B5" i="2"/>
  <c r="B346" i="2"/>
  <c r="B261" i="2"/>
  <c r="B166" i="2"/>
  <c r="B150" i="2"/>
  <c r="B112" i="2"/>
  <c r="B82" i="2"/>
  <c r="B64" i="2"/>
  <c r="B304" i="2"/>
  <c r="B272" i="2"/>
  <c r="B678" i="2"/>
  <c r="B58" i="2"/>
  <c r="B254" i="2"/>
  <c r="B223" i="2"/>
  <c r="B149" i="2"/>
  <c r="B130" i="2"/>
  <c r="B104" i="2"/>
  <c r="B41" i="2"/>
  <c r="B34" i="2"/>
  <c r="B9" i="2"/>
  <c r="B47" i="2"/>
  <c r="B36" i="2"/>
  <c r="B23" i="2"/>
  <c r="B181" i="2"/>
  <c r="B138" i="2"/>
  <c r="B125" i="2"/>
  <c r="B38" i="2"/>
  <c r="E270" i="2" l="1"/>
  <c r="G275" i="2"/>
  <c r="E546" i="2"/>
  <c r="G549" i="2"/>
  <c r="G548" i="2"/>
  <c r="G455" i="2"/>
  <c r="E507" i="2"/>
  <c r="G507" i="2" s="1"/>
  <c r="G519" i="2"/>
  <c r="E383" i="2"/>
  <c r="G383" i="2" s="1"/>
  <c r="G395" i="2"/>
  <c r="G396" i="2"/>
  <c r="G349" i="2"/>
  <c r="G348" i="2"/>
  <c r="G12" i="2"/>
  <c r="G25" i="2"/>
  <c r="G83" i="2"/>
  <c r="G95" i="2"/>
  <c r="E227" i="2"/>
  <c r="G168" i="2"/>
  <c r="G165" i="2"/>
  <c r="E233" i="2"/>
  <c r="E244" i="2"/>
  <c r="G121" i="2"/>
  <c r="G127" i="2"/>
  <c r="E51" i="2"/>
  <c r="E635" i="2"/>
  <c r="G635" i="2" s="1"/>
  <c r="G643" i="2"/>
  <c r="E616" i="2"/>
  <c r="E629" i="2" s="1"/>
  <c r="G569" i="2"/>
  <c r="E582" i="2"/>
  <c r="G582" i="2" s="1"/>
  <c r="G624" i="2"/>
  <c r="G181" i="2"/>
  <c r="G241" i="2"/>
  <c r="G645" i="2"/>
  <c r="G148" i="2"/>
  <c r="G92" i="2"/>
  <c r="E675" i="2"/>
  <c r="G675" i="2" s="1"/>
  <c r="G619" i="2"/>
  <c r="E103" i="2"/>
  <c r="E113" i="2" s="1"/>
  <c r="G109" i="2"/>
  <c r="E320" i="2"/>
  <c r="G320" i="2" s="1"/>
  <c r="G331" i="2"/>
  <c r="G332" i="2"/>
  <c r="G220" i="2"/>
  <c r="G219" i="2"/>
  <c r="G373" i="2"/>
  <c r="G421" i="2"/>
  <c r="G374" i="2"/>
  <c r="G375" i="2"/>
  <c r="G595" i="2"/>
  <c r="G602" i="2"/>
  <c r="G435" i="2"/>
  <c r="G272" i="2"/>
  <c r="G271" i="2"/>
  <c r="G474" i="2"/>
  <c r="G469" i="2"/>
  <c r="G470" i="2"/>
  <c r="G69" i="2"/>
  <c r="G449" i="2"/>
  <c r="G456" i="2"/>
  <c r="G457" i="2"/>
  <c r="G454" i="2"/>
  <c r="E483" i="2"/>
  <c r="G483" i="2" s="1"/>
  <c r="G485" i="2"/>
  <c r="G486" i="2"/>
  <c r="G215" i="2"/>
  <c r="G305" i="2"/>
  <c r="G310" i="2"/>
  <c r="E119" i="2"/>
  <c r="E131" i="2" s="1"/>
  <c r="G513" i="2"/>
  <c r="G594" i="2"/>
  <c r="G600" i="2"/>
  <c r="G591" i="2"/>
  <c r="G240" i="2"/>
  <c r="G392" i="2"/>
  <c r="G388" i="2"/>
  <c r="G387" i="2"/>
  <c r="G389" i="2"/>
  <c r="G370" i="2"/>
  <c r="G368" i="2"/>
  <c r="E576" i="2"/>
  <c r="G130" i="2"/>
  <c r="G199" i="2"/>
  <c r="G110" i="2"/>
  <c r="E669" i="2"/>
  <c r="G309" i="2"/>
  <c r="E541" i="2"/>
  <c r="G571" i="2"/>
  <c r="G623" i="2"/>
  <c r="G684" i="2"/>
  <c r="G325" i="2"/>
  <c r="G408" i="2"/>
  <c r="E558" i="2"/>
  <c r="G409" i="2"/>
  <c r="G641" i="2"/>
  <c r="G648" i="2"/>
  <c r="G21" i="2"/>
  <c r="E27" i="2"/>
  <c r="G677" i="2"/>
  <c r="G328" i="2"/>
  <c r="G312" i="2"/>
  <c r="G550" i="2"/>
  <c r="G552" i="2"/>
  <c r="G553" i="2"/>
  <c r="G261" i="2"/>
  <c r="G254" i="2"/>
  <c r="G285" i="2"/>
  <c r="G598" i="2"/>
  <c r="G313" i="2"/>
  <c r="G459" i="2"/>
  <c r="G451" i="2"/>
  <c r="G640" i="2"/>
  <c r="G200" i="2"/>
  <c r="G197" i="2"/>
  <c r="G274" i="2"/>
  <c r="G607" i="2"/>
  <c r="G638" i="2"/>
  <c r="G195" i="2"/>
  <c r="G137" i="2"/>
  <c r="G62" i="2"/>
  <c r="G686" i="2"/>
  <c r="G204" i="2"/>
  <c r="G436" i="2"/>
  <c r="G85" i="2"/>
  <c r="G198" i="2"/>
  <c r="G301" i="2"/>
  <c r="G604" i="2"/>
  <c r="G105" i="2"/>
  <c r="G500" i="2"/>
  <c r="G490" i="2"/>
  <c r="G491" i="2"/>
  <c r="G252" i="2"/>
  <c r="G393" i="2"/>
  <c r="G473" i="2"/>
  <c r="G683" i="2"/>
  <c r="G682" i="2"/>
  <c r="G89" i="2"/>
  <c r="G433" i="2"/>
  <c r="G11" i="2"/>
  <c r="G520" i="2"/>
  <c r="G162" i="2"/>
  <c r="G286" i="2"/>
  <c r="G432" i="2"/>
  <c r="G532" i="2"/>
  <c r="G487" i="2"/>
  <c r="G514" i="2"/>
  <c r="G497" i="2"/>
  <c r="G484" i="2"/>
  <c r="G398" i="2"/>
  <c r="G516" i="2"/>
  <c r="G496" i="2"/>
  <c r="G352" i="2"/>
  <c r="G40" i="2"/>
  <c r="G412" i="2"/>
  <c r="G452" i="2"/>
  <c r="G414" i="2"/>
  <c r="G90" i="2"/>
  <c r="G273" i="2"/>
  <c r="G122" i="2"/>
  <c r="G423" i="2"/>
  <c r="G663" i="2"/>
  <c r="G350" i="2"/>
  <c r="G416" i="2"/>
  <c r="G270" i="2"/>
  <c r="G150" i="2"/>
  <c r="G140" i="2"/>
  <c r="G139" i="2"/>
  <c r="G146" i="2"/>
  <c r="G141" i="2"/>
  <c r="G184" i="2"/>
  <c r="G685" i="2"/>
  <c r="G453" i="2"/>
  <c r="G178" i="2"/>
  <c r="G167" i="2"/>
  <c r="G166" i="2"/>
  <c r="G419" i="2"/>
  <c r="G539" i="2"/>
  <c r="G458" i="2"/>
  <c r="G540" i="2"/>
  <c r="G596" i="2"/>
  <c r="G606" i="2"/>
  <c r="G570" i="2"/>
  <c r="G585" i="2"/>
  <c r="G642" i="2"/>
  <c r="G599" i="2"/>
  <c r="G587" i="2"/>
  <c r="G583" i="2"/>
  <c r="G257" i="2"/>
  <c r="G584" i="2"/>
  <c r="G618" i="2"/>
  <c r="G499" i="2"/>
  <c r="G347" i="2"/>
  <c r="G111" i="2"/>
  <c r="G659" i="2"/>
  <c r="G418" i="2"/>
  <c r="G14" i="2"/>
  <c r="G658" i="2"/>
  <c r="G665" i="2"/>
  <c r="G415" i="2"/>
  <c r="G493" i="2"/>
  <c r="G510" i="2"/>
  <c r="G460" i="2"/>
  <c r="G563" i="2"/>
  <c r="G450" i="2"/>
  <c r="G622" i="2"/>
  <c r="G472" i="2"/>
  <c r="G536" i="2"/>
  <c r="G620" i="2"/>
  <c r="G625" i="2"/>
  <c r="G626" i="2"/>
  <c r="G621" i="2"/>
  <c r="G617" i="2"/>
  <c r="G108" i="2"/>
  <c r="E467" i="2"/>
  <c r="E477" i="2" s="1"/>
  <c r="G476" i="2"/>
  <c r="G475" i="2"/>
  <c r="G468" i="2"/>
  <c r="G492" i="2"/>
  <c r="G554" i="2"/>
  <c r="G308" i="2"/>
  <c r="G509" i="2"/>
  <c r="G511" i="2"/>
  <c r="G565" i="2"/>
  <c r="G521" i="2"/>
  <c r="G508" i="2"/>
  <c r="G518" i="2"/>
  <c r="G260" i="2"/>
  <c r="G656" i="2"/>
  <c r="G687" i="2"/>
  <c r="G601" i="2"/>
  <c r="G668" i="2"/>
  <c r="G676" i="2"/>
  <c r="G637" i="2"/>
  <c r="G22" i="2"/>
  <c r="G517" i="2"/>
  <c r="G420" i="2"/>
  <c r="G609" i="2"/>
  <c r="G258" i="2"/>
  <c r="G608" i="2"/>
  <c r="G439" i="2"/>
  <c r="G440" i="2"/>
  <c r="G438" i="2"/>
  <c r="G237" i="2"/>
  <c r="G441" i="2"/>
  <c r="G437" i="2"/>
  <c r="G442" i="2"/>
  <c r="G431" i="2"/>
  <c r="G87" i="2"/>
  <c r="G592" i="2"/>
  <c r="G655" i="2"/>
  <c r="G186" i="2"/>
  <c r="G662" i="2"/>
  <c r="G667" i="2"/>
  <c r="G522" i="2"/>
  <c r="G9" i="2"/>
  <c r="G218" i="2"/>
  <c r="G123" i="2"/>
  <c r="G661" i="2"/>
  <c r="G657" i="2"/>
  <c r="G72" i="2"/>
  <c r="G68" i="2"/>
  <c r="G572" i="2"/>
  <c r="G573" i="2"/>
  <c r="G644" i="2"/>
  <c r="G494" i="2"/>
  <c r="G488" i="2"/>
  <c r="G498" i="2"/>
  <c r="G531" i="2"/>
  <c r="G515" i="2"/>
  <c r="G489" i="2"/>
  <c r="G386" i="2"/>
  <c r="G384" i="2"/>
  <c r="G411" i="2"/>
  <c r="G385" i="2"/>
  <c r="G394" i="2"/>
  <c r="G547" i="2"/>
  <c r="G551" i="2"/>
  <c r="G681" i="2"/>
  <c r="G405" i="2"/>
  <c r="G424" i="2"/>
  <c r="G406" i="2"/>
  <c r="G417" i="2"/>
  <c r="G407" i="2"/>
  <c r="G410" i="2"/>
  <c r="G397" i="2"/>
  <c r="G413" i="2"/>
  <c r="G422" i="2"/>
  <c r="G639" i="2"/>
  <c r="G647" i="2"/>
  <c r="G646" i="2"/>
  <c r="G636" i="2"/>
  <c r="G512" i="2"/>
  <c r="G15" i="2"/>
  <c r="G5" i="2"/>
  <c r="G17" i="2"/>
  <c r="G291" i="2"/>
  <c r="G365" i="2"/>
  <c r="G23" i="2"/>
  <c r="G564" i="2"/>
  <c r="G363" i="2"/>
  <c r="G6" i="2"/>
  <c r="G10" i="2"/>
  <c r="G66" i="2"/>
  <c r="G367" i="2"/>
  <c r="G64" i="2"/>
  <c r="G361" i="2"/>
  <c r="G24" i="2"/>
  <c r="G65" i="2"/>
  <c r="G74" i="2"/>
  <c r="G236" i="2"/>
  <c r="G20" i="2"/>
  <c r="G7" i="2"/>
  <c r="G234" i="2"/>
  <c r="G242" i="2"/>
  <c r="G351" i="2"/>
  <c r="G589" i="2"/>
  <c r="E160" i="2"/>
  <c r="G160" i="2" s="1"/>
  <c r="G276" i="2"/>
  <c r="G179" i="2"/>
  <c r="G326" i="2"/>
  <c r="G170" i="2"/>
  <c r="G180" i="2"/>
  <c r="G161" i="2"/>
  <c r="G169" i="2"/>
  <c r="G597" i="2"/>
  <c r="G225" i="2"/>
  <c r="G126" i="2"/>
  <c r="G129" i="2"/>
  <c r="G128" i="2"/>
  <c r="G120" i="2"/>
  <c r="G555" i="2"/>
  <c r="G124" i="2"/>
  <c r="G177" i="2"/>
  <c r="G163" i="2"/>
  <c r="G183" i="2"/>
  <c r="G164" i="2"/>
  <c r="G182" i="2"/>
  <c r="E138" i="2"/>
  <c r="G144" i="2"/>
  <c r="G151" i="2"/>
  <c r="G546" i="2"/>
  <c r="G145" i="2"/>
  <c r="G152" i="2"/>
  <c r="G153" i="2"/>
  <c r="G147" i="2"/>
  <c r="E284" i="2"/>
  <c r="G284" i="2" s="1"/>
  <c r="G390" i="2"/>
  <c r="G290" i="2"/>
  <c r="G293" i="2"/>
  <c r="G292" i="2"/>
  <c r="G288" i="2"/>
  <c r="G149" i="2"/>
  <c r="E33" i="2"/>
  <c r="G33" i="2" s="1"/>
  <c r="G13" i="2"/>
  <c r="G37" i="2"/>
  <c r="G44" i="2"/>
  <c r="G49" i="2"/>
  <c r="G238" i="2"/>
  <c r="G48" i="2"/>
  <c r="G59" i="2"/>
  <c r="E250" i="2"/>
  <c r="G250" i="2" s="1"/>
  <c r="G222" i="2"/>
  <c r="G253" i="2"/>
  <c r="G259" i="2"/>
  <c r="G239" i="2"/>
  <c r="G251" i="2"/>
  <c r="G333" i="2"/>
  <c r="G107" i="2"/>
  <c r="G255" i="2"/>
  <c r="G256" i="2"/>
  <c r="G321" i="2"/>
  <c r="G324" i="2"/>
  <c r="G221" i="2"/>
  <c r="G323" i="2"/>
  <c r="G42" i="2"/>
  <c r="G46" i="2"/>
  <c r="G588" i="2"/>
  <c r="G471" i="2"/>
  <c r="G593" i="2"/>
  <c r="G235" i="2"/>
  <c r="G243" i="2"/>
  <c r="G125" i="2"/>
  <c r="G58" i="2"/>
  <c r="G67" i="2"/>
  <c r="G36" i="2"/>
  <c r="G187" i="2"/>
  <c r="G34" i="2"/>
  <c r="G203" i="2"/>
  <c r="G217" i="2"/>
  <c r="G73" i="2"/>
  <c r="E359" i="2"/>
  <c r="E377" i="2" s="1"/>
  <c r="G364" i="2"/>
  <c r="G362" i="2"/>
  <c r="G289" i="2"/>
  <c r="G366" i="2"/>
  <c r="G360" i="2"/>
  <c r="G376" i="2"/>
  <c r="G372" i="2"/>
  <c r="E300" i="2"/>
  <c r="G300" i="2" s="1"/>
  <c r="G306" i="2"/>
  <c r="G302" i="2"/>
  <c r="G311" i="2"/>
  <c r="G307" i="2"/>
  <c r="G434" i="2"/>
  <c r="G303" i="2"/>
  <c r="G205" i="2"/>
  <c r="G201" i="2"/>
  <c r="G202" i="2"/>
  <c r="G568" i="2"/>
  <c r="G224" i="2"/>
  <c r="G603" i="2"/>
  <c r="G277" i="2"/>
  <c r="G322" i="2"/>
  <c r="G35" i="2"/>
  <c r="E342" i="2"/>
  <c r="E353" i="2" s="1"/>
  <c r="G343" i="2"/>
  <c r="G495" i="2"/>
  <c r="G346" i="2"/>
  <c r="G344" i="2"/>
  <c r="G556" i="2"/>
  <c r="G345" i="2"/>
  <c r="G45" i="2"/>
  <c r="G185" i="2"/>
  <c r="G41" i="2"/>
  <c r="E4" i="2"/>
  <c r="G4" i="2" s="1"/>
  <c r="G8" i="2"/>
  <c r="G16" i="2"/>
  <c r="G19" i="2"/>
  <c r="G605" i="2"/>
  <c r="G43" i="2"/>
  <c r="G369" i="2"/>
  <c r="E57" i="2"/>
  <c r="G57" i="2" s="1"/>
  <c r="G63" i="2"/>
  <c r="G75" i="2"/>
  <c r="G71" i="2"/>
  <c r="G61" i="2"/>
  <c r="G70" i="2"/>
  <c r="G679" i="2"/>
  <c r="G60" i="2"/>
  <c r="G50" i="2"/>
  <c r="G304" i="2"/>
  <c r="E82" i="2"/>
  <c r="G82" i="2" s="1"/>
  <c r="G86" i="2"/>
  <c r="G88" i="2"/>
  <c r="G94" i="2"/>
  <c r="G84" i="2"/>
  <c r="G566" i="2"/>
  <c r="G330" i="2"/>
  <c r="G567" i="2"/>
  <c r="G106" i="2"/>
  <c r="G112" i="2"/>
  <c r="G104" i="2"/>
  <c r="G329" i="2"/>
  <c r="G287" i="2"/>
  <c r="G590" i="2"/>
  <c r="G223" i="2"/>
  <c r="G206" i="2"/>
  <c r="G216" i="2"/>
  <c r="G93" i="2"/>
  <c r="G91" i="2"/>
  <c r="G194" i="2"/>
  <c r="G143" i="2"/>
  <c r="G142" i="2"/>
  <c r="G196" i="2"/>
  <c r="G586" i="2"/>
  <c r="G38" i="2"/>
  <c r="G47" i="2"/>
  <c r="E425" i="2"/>
  <c r="G391" i="2"/>
  <c r="G616" i="2" l="1"/>
  <c r="G103" i="2"/>
  <c r="G119" i="2"/>
  <c r="E461" i="2"/>
  <c r="E501" i="2"/>
  <c r="G233" i="2"/>
  <c r="G226" i="2"/>
  <c r="G138" i="2"/>
  <c r="E154" i="2"/>
  <c r="G359" i="2"/>
  <c r="E188" i="2"/>
  <c r="E399" i="2"/>
  <c r="E688" i="2"/>
  <c r="G467" i="2"/>
  <c r="E523" i="2"/>
  <c r="G678" i="2"/>
  <c r="E171" i="2"/>
  <c r="E294" i="2"/>
  <c r="E278" i="2"/>
  <c r="E264" i="2"/>
  <c r="E97" i="2"/>
  <c r="G342" i="2"/>
  <c r="E336" i="2"/>
  <c r="E3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EXAMINATION OFFICE</author>
  </authors>
  <commentList>
    <comment ref="AP70" authorId="0" shapeId="0" xr:uid="{8F92B22F-12D3-492E-A0F7-65EAEDBDA962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<sst xmlns="http://schemas.openxmlformats.org/spreadsheetml/2006/main" count="9243" uniqueCount="2014">
  <si>
    <t>TO PRT</t>
  </si>
  <si>
    <t>ROOM NO.</t>
  </si>
  <si>
    <t># STDS</t>
  </si>
  <si>
    <t>CLASS</t>
  </si>
  <si>
    <t xml:space="preserve">EXAMINER </t>
  </si>
  <si>
    <t xml:space="preserve">COURSE NAME </t>
  </si>
  <si>
    <t xml:space="preserve">CODE </t>
  </si>
  <si>
    <t>Total F6</t>
  </si>
  <si>
    <t>ED4-GEOL</t>
  </si>
  <si>
    <t>GED 464</t>
  </si>
  <si>
    <t>ED3-TEL</t>
  </si>
  <si>
    <t>ED2-AUTO</t>
  </si>
  <si>
    <t>AME 284</t>
  </si>
  <si>
    <t>ED2-AERO</t>
  </si>
  <si>
    <t>ME 266</t>
  </si>
  <si>
    <t>ED1-AUTO</t>
  </si>
  <si>
    <t>ED2-ME</t>
  </si>
  <si>
    <t>ED2-IND</t>
  </si>
  <si>
    <t>ED1-METE</t>
  </si>
  <si>
    <t>METE 152</t>
  </si>
  <si>
    <t>ED1-COE</t>
  </si>
  <si>
    <t>COE 158</t>
  </si>
  <si>
    <t>ED1-BME</t>
  </si>
  <si>
    <t>ED1-GEOM</t>
  </si>
  <si>
    <t>GE 158</t>
  </si>
  <si>
    <t>ED1-EE</t>
  </si>
  <si>
    <t>Total F5</t>
  </si>
  <si>
    <t>ED3-CE</t>
  </si>
  <si>
    <t>CE 376</t>
  </si>
  <si>
    <t>ED3-PETE</t>
  </si>
  <si>
    <t>PE 350</t>
  </si>
  <si>
    <t>ED2-MARI</t>
  </si>
  <si>
    <t>SES 172</t>
  </si>
  <si>
    <t>ED3-MSE</t>
  </si>
  <si>
    <t>MSE 356</t>
  </si>
  <si>
    <t>ED4-PCE</t>
  </si>
  <si>
    <t>ED2-PETE</t>
  </si>
  <si>
    <t>PE 260</t>
  </si>
  <si>
    <t>ED3-MARI</t>
  </si>
  <si>
    <t>MME 386</t>
  </si>
  <si>
    <t>ED2-COE</t>
  </si>
  <si>
    <t>FC 182</t>
  </si>
  <si>
    <t>ED2-BME</t>
  </si>
  <si>
    <t>ED1-MARI</t>
  </si>
  <si>
    <t>ED1-CE</t>
  </si>
  <si>
    <t>ED1-GEOL</t>
  </si>
  <si>
    <t>ED2-EE</t>
  </si>
  <si>
    <t>ED3-GEOM</t>
  </si>
  <si>
    <t>ED3-CHE</t>
  </si>
  <si>
    <t>ED2-TEL</t>
  </si>
  <si>
    <t>Total F4</t>
  </si>
  <si>
    <t>ED2-AE</t>
  </si>
  <si>
    <t>GE 286</t>
  </si>
  <si>
    <t>ED4-PETE</t>
  </si>
  <si>
    <t>PE 456</t>
  </si>
  <si>
    <t>ED4-TEL</t>
  </si>
  <si>
    <t>TE 472</t>
  </si>
  <si>
    <t>ED4-EE</t>
  </si>
  <si>
    <t>ED1-PCE</t>
  </si>
  <si>
    <t>PCE 158</t>
  </si>
  <si>
    <t>ED1-CHE</t>
  </si>
  <si>
    <t>CHE 158</t>
  </si>
  <si>
    <t>ED2-GEOL</t>
  </si>
  <si>
    <t>GE 282</t>
  </si>
  <si>
    <t>ED2-CE</t>
  </si>
  <si>
    <t>ED2-GEOM</t>
  </si>
  <si>
    <t>GE 284</t>
  </si>
  <si>
    <t>ED3-EE</t>
  </si>
  <si>
    <t>EE 368</t>
  </si>
  <si>
    <t>ED2-PCE</t>
  </si>
  <si>
    <t>CHE 254</t>
  </si>
  <si>
    <t>ED2-CHE</t>
  </si>
  <si>
    <t>Total F3</t>
  </si>
  <si>
    <t>ED3-COE</t>
  </si>
  <si>
    <t>COE 368</t>
  </si>
  <si>
    <t>ED3-BME</t>
  </si>
  <si>
    <t>BME 372</t>
  </si>
  <si>
    <t>ED3-ME</t>
  </si>
  <si>
    <t>ME 374</t>
  </si>
  <si>
    <t>ED3-PCE</t>
  </si>
  <si>
    <t>PETE 354</t>
  </si>
  <si>
    <t>ME 168</t>
  </si>
  <si>
    <t>ED1-IND</t>
  </si>
  <si>
    <t>EE 288</t>
  </si>
  <si>
    <t>ED4-CE</t>
  </si>
  <si>
    <t>CE 468</t>
  </si>
  <si>
    <t>AERO 274</t>
  </si>
  <si>
    <t>CE 378</t>
  </si>
  <si>
    <t>ED3-AE</t>
  </si>
  <si>
    <t>AE 362</t>
  </si>
  <si>
    <t>Total F2</t>
  </si>
  <si>
    <t>ED4-ME</t>
  </si>
  <si>
    <t>ME 468</t>
  </si>
  <si>
    <t>ED4-AERO</t>
  </si>
  <si>
    <t>ED4-GEOM</t>
  </si>
  <si>
    <t>GE 474</t>
  </si>
  <si>
    <t>ED4-MARI</t>
  </si>
  <si>
    <t>MME 486</t>
  </si>
  <si>
    <t>ED1-PETE</t>
  </si>
  <si>
    <t>PE 154</t>
  </si>
  <si>
    <t>GED 466</t>
  </si>
  <si>
    <t>ED1-AE</t>
  </si>
  <si>
    <t>AE 162</t>
  </si>
  <si>
    <t>CHE 456</t>
  </si>
  <si>
    <t>ED4-CHE</t>
  </si>
  <si>
    <t>ED4-METE</t>
  </si>
  <si>
    <t>METE 454</t>
  </si>
  <si>
    <t>ED4-MSE</t>
  </si>
  <si>
    <t>MSE 452</t>
  </si>
  <si>
    <t>ED4-AE</t>
  </si>
  <si>
    <t>AE 464</t>
  </si>
  <si>
    <t>ED2-METE</t>
  </si>
  <si>
    <t>MATH 252</t>
  </si>
  <si>
    <t>ED2-MSE</t>
  </si>
  <si>
    <t>Computer Based</t>
  </si>
  <si>
    <t>Total F1</t>
  </si>
  <si>
    <t>METE 254</t>
  </si>
  <si>
    <t>ED3-AERO</t>
  </si>
  <si>
    <t>AERO 374</t>
  </si>
  <si>
    <t>TE 262</t>
  </si>
  <si>
    <t>ED3-METE</t>
  </si>
  <si>
    <t>MSE 358</t>
  </si>
  <si>
    <t>ME 356</t>
  </si>
  <si>
    <t>PE 264</t>
  </si>
  <si>
    <t>CHE 250</t>
  </si>
  <si>
    <t>ME 456</t>
  </si>
  <si>
    <t>ED4-AUTO</t>
  </si>
  <si>
    <t>AERO 492</t>
  </si>
  <si>
    <t>CE 352</t>
  </si>
  <si>
    <t>GE 354</t>
  </si>
  <si>
    <t>ED4-IND</t>
  </si>
  <si>
    <t>IE 456</t>
  </si>
  <si>
    <t>Total H5</t>
  </si>
  <si>
    <t>EE 362</t>
  </si>
  <si>
    <t>COE 356</t>
  </si>
  <si>
    <t>CHE 364</t>
  </si>
  <si>
    <t>MSE 352</t>
  </si>
  <si>
    <t>ED3-IND</t>
  </si>
  <si>
    <t>IE 360</t>
  </si>
  <si>
    <t>PHY 154</t>
  </si>
  <si>
    <t>GED 258</t>
  </si>
  <si>
    <t>CHE 366</t>
  </si>
  <si>
    <t>AE 356</t>
  </si>
  <si>
    <t>PE 468</t>
  </si>
  <si>
    <t>EE 472</t>
  </si>
  <si>
    <t>GE 476</t>
  </si>
  <si>
    <t>Total H4</t>
  </si>
  <si>
    <t>GE 262</t>
  </si>
  <si>
    <t>ME 270</t>
  </si>
  <si>
    <t>MME 476</t>
  </si>
  <si>
    <t>ED3-AUTO</t>
  </si>
  <si>
    <t>AME 386</t>
  </si>
  <si>
    <t>PE 156</t>
  </si>
  <si>
    <t>PE 364</t>
  </si>
  <si>
    <t>AERO 368</t>
  </si>
  <si>
    <t>IE 454</t>
  </si>
  <si>
    <t>SOC 152</t>
  </si>
  <si>
    <t>ED1-AERO</t>
  </si>
  <si>
    <t>AERO 174</t>
  </si>
  <si>
    <t>ARC 156</t>
  </si>
  <si>
    <t>CE 456</t>
  </si>
  <si>
    <t>GE 362</t>
  </si>
  <si>
    <t>Adjaottor Albert Amatey</t>
  </si>
  <si>
    <t>MSE 252</t>
  </si>
  <si>
    <t>AE 452</t>
  </si>
  <si>
    <t>CHE 458</t>
  </si>
  <si>
    <t>Total H3</t>
  </si>
  <si>
    <t>GED 462</t>
  </si>
  <si>
    <t>ED1-TEL</t>
  </si>
  <si>
    <t>EE 188</t>
  </si>
  <si>
    <t>ME 262</t>
  </si>
  <si>
    <t>AERO 256</t>
  </si>
  <si>
    <t>AERO 456</t>
  </si>
  <si>
    <t>CE 258</t>
  </si>
  <si>
    <t>IE 356</t>
  </si>
  <si>
    <t>ME 160</t>
  </si>
  <si>
    <t>ED1-ME</t>
  </si>
  <si>
    <t>ED1-MSE</t>
  </si>
  <si>
    <t>Total H2</t>
  </si>
  <si>
    <t>ME 376</t>
  </si>
  <si>
    <t>MSE 456</t>
  </si>
  <si>
    <t>BME 366</t>
  </si>
  <si>
    <t>METE 252</t>
  </si>
  <si>
    <t>CHE 256</t>
  </si>
  <si>
    <t>PE 458</t>
  </si>
  <si>
    <t>AME 476</t>
  </si>
  <si>
    <t>ME 452</t>
  </si>
  <si>
    <t>CHE 358</t>
  </si>
  <si>
    <t>COE 272</t>
  </si>
  <si>
    <t>Total H1</t>
  </si>
  <si>
    <t>MATH 152</t>
  </si>
  <si>
    <t>Total W7</t>
  </si>
  <si>
    <t>TE 484</t>
  </si>
  <si>
    <t>PE 252</t>
  </si>
  <si>
    <t>AE 158</t>
  </si>
  <si>
    <t>BME 362</t>
  </si>
  <si>
    <t>ED4-COE</t>
  </si>
  <si>
    <t>COE 480</t>
  </si>
  <si>
    <t>AERO 452</t>
  </si>
  <si>
    <t>MME 392</t>
  </si>
  <si>
    <t>AME 392</t>
  </si>
  <si>
    <t>ME 292</t>
  </si>
  <si>
    <t>ME 392</t>
  </si>
  <si>
    <t>MSE 362</t>
  </si>
  <si>
    <t>PE 360</t>
  </si>
  <si>
    <t>PHY 170</t>
  </si>
  <si>
    <t>Total W6</t>
  </si>
  <si>
    <t>MME 274</t>
  </si>
  <si>
    <t>IE 274</t>
  </si>
  <si>
    <t>AME 274</t>
  </si>
  <si>
    <t>GED 152</t>
  </si>
  <si>
    <t>CE 458</t>
  </si>
  <si>
    <t>CE 164</t>
  </si>
  <si>
    <t>GED 468</t>
  </si>
  <si>
    <t>METE 256</t>
  </si>
  <si>
    <t>ME 472</t>
  </si>
  <si>
    <t>CHE 370</t>
  </si>
  <si>
    <t>ED3-GEOL</t>
  </si>
  <si>
    <t>GED 366</t>
  </si>
  <si>
    <t>IE 368</t>
  </si>
  <si>
    <t>COE 354</t>
  </si>
  <si>
    <t>Total W5</t>
  </si>
  <si>
    <t>PE 452</t>
  </si>
  <si>
    <t>ME 482</t>
  </si>
  <si>
    <t>CE 264</t>
  </si>
  <si>
    <t>CE 368</t>
  </si>
  <si>
    <t>EE 156</t>
  </si>
  <si>
    <t>MSE 256</t>
  </si>
  <si>
    <t>METE 154</t>
  </si>
  <si>
    <t>ECON 152</t>
  </si>
  <si>
    <t>Total W4</t>
  </si>
  <si>
    <t>CHE 156</t>
  </si>
  <si>
    <t>GED 254</t>
  </si>
  <si>
    <t>CHE 362</t>
  </si>
  <si>
    <t>CHE 252</t>
  </si>
  <si>
    <t>EE 366</t>
  </si>
  <si>
    <t>BME 252</t>
  </si>
  <si>
    <t>AE 352</t>
  </si>
  <si>
    <t>TE 156</t>
  </si>
  <si>
    <t>ME 164</t>
  </si>
  <si>
    <t>MSE 152</t>
  </si>
  <si>
    <t>GE 152</t>
  </si>
  <si>
    <t>ED4-BME</t>
  </si>
  <si>
    <t>BME 454</t>
  </si>
  <si>
    <t>MSE 454</t>
  </si>
  <si>
    <t>ROOM</t>
  </si>
  <si>
    <t>Total W3</t>
  </si>
  <si>
    <t>CE 154</t>
  </si>
  <si>
    <t>PE 258</t>
  </si>
  <si>
    <t>IE 358</t>
  </si>
  <si>
    <t>ME 494</t>
  </si>
  <si>
    <t>MME 494</t>
  </si>
  <si>
    <t>AME 362</t>
  </si>
  <si>
    <t>ME 362</t>
  </si>
  <si>
    <t>Total W2</t>
  </si>
  <si>
    <t>PCE 350</t>
  </si>
  <si>
    <t>CE 478</t>
  </si>
  <si>
    <t>AE 458</t>
  </si>
  <si>
    <t>GED 342</t>
  </si>
  <si>
    <t>ENGL 264</t>
  </si>
  <si>
    <t>Total W1</t>
  </si>
  <si>
    <t>COE 358</t>
  </si>
  <si>
    <t>MSE 254</t>
  </si>
  <si>
    <t>CHE 368</t>
  </si>
  <si>
    <t>PE 358</t>
  </si>
  <si>
    <t>TE 252</t>
  </si>
  <si>
    <t>EE 272</t>
  </si>
  <si>
    <t>ME 166</t>
  </si>
  <si>
    <t>PE 464</t>
  </si>
  <si>
    <t>PCE 464</t>
  </si>
  <si>
    <t>PCE 450</t>
  </si>
  <si>
    <t>Total T7</t>
  </si>
  <si>
    <t>TE 386</t>
  </si>
  <si>
    <t>AE 196</t>
  </si>
  <si>
    <t>SSN 166</t>
  </si>
  <si>
    <t>PCE 352</t>
  </si>
  <si>
    <t>GED 364</t>
  </si>
  <si>
    <t>IE 354</t>
  </si>
  <si>
    <t>PE 354</t>
  </si>
  <si>
    <t>GE 372</t>
  </si>
  <si>
    <t>EE 172</t>
  </si>
  <si>
    <t>IE 452</t>
  </si>
  <si>
    <t>Total T6</t>
  </si>
  <si>
    <t>COE 484</t>
  </si>
  <si>
    <t>COE 288</t>
  </si>
  <si>
    <t>BME 286</t>
  </si>
  <si>
    <t>TE 462</t>
  </si>
  <si>
    <t>CHE 352</t>
  </si>
  <si>
    <t>CE 464</t>
  </si>
  <si>
    <t>METE 352</t>
  </si>
  <si>
    <t>ME 162</t>
  </si>
  <si>
    <t>GED 454</t>
  </si>
  <si>
    <t>ME 462</t>
  </si>
  <si>
    <t>Total T5</t>
  </si>
  <si>
    <t>AE 360</t>
  </si>
  <si>
    <t>CE 156</t>
  </si>
  <si>
    <t>Total T4</t>
  </si>
  <si>
    <t>CE 356</t>
  </si>
  <si>
    <t>BME 364</t>
  </si>
  <si>
    <t>ME 158</t>
  </si>
  <si>
    <t>MSE 360</t>
  </si>
  <si>
    <t>PE 450</t>
  </si>
  <si>
    <t>Sackey Michael Nii</t>
  </si>
  <si>
    <t>Microprocessors and Mechatronics Applications</t>
  </si>
  <si>
    <t>AME 384</t>
  </si>
  <si>
    <t>MSE 260</t>
  </si>
  <si>
    <t>Total T3</t>
  </si>
  <si>
    <t>TE 152</t>
  </si>
  <si>
    <t>EE 360</t>
  </si>
  <si>
    <t>PE 256</t>
  </si>
  <si>
    <t>GE 464</t>
  </si>
  <si>
    <t>CHE 468</t>
  </si>
  <si>
    <t>AE 460</t>
  </si>
  <si>
    <t>GED 352</t>
  </si>
  <si>
    <t>BME 288</t>
  </si>
  <si>
    <t>MSE 458</t>
  </si>
  <si>
    <t>EE 462</t>
  </si>
  <si>
    <t>Total T2</t>
  </si>
  <si>
    <t>CHE 354</t>
  </si>
  <si>
    <t>MME 492</t>
  </si>
  <si>
    <t>CE 256</t>
  </si>
  <si>
    <t>EE 152</t>
  </si>
  <si>
    <t>Total T1</t>
  </si>
  <si>
    <t>ME 264</t>
  </si>
  <si>
    <t>MME 264</t>
  </si>
  <si>
    <t>PE 466</t>
  </si>
  <si>
    <t>COE 152</t>
  </si>
  <si>
    <t>Total M7</t>
  </si>
  <si>
    <t>MSE 154</t>
  </si>
  <si>
    <t>CE 272</t>
  </si>
  <si>
    <t>CHEM 280</t>
  </si>
  <si>
    <t>ME 366</t>
  </si>
  <si>
    <t>TE 384</t>
  </si>
  <si>
    <t>MSE 262</t>
  </si>
  <si>
    <t>METE 258</t>
  </si>
  <si>
    <t>Total M6</t>
  </si>
  <si>
    <t>PL 251/2</t>
  </si>
  <si>
    <t>PE 474</t>
  </si>
  <si>
    <t>GE 162</t>
  </si>
  <si>
    <t>ME 252</t>
  </si>
  <si>
    <t>TE 254</t>
  </si>
  <si>
    <t>CE 364</t>
  </si>
  <si>
    <t>CE 476</t>
  </si>
  <si>
    <t>GED 354</t>
  </si>
  <si>
    <t>Total M5</t>
  </si>
  <si>
    <t>TE 158</t>
  </si>
  <si>
    <t>GED 452</t>
  </si>
  <si>
    <t>CHE 350</t>
  </si>
  <si>
    <t>PE 262</t>
  </si>
  <si>
    <t>GED 164</t>
  </si>
  <si>
    <t>METE 362</t>
  </si>
  <si>
    <t>MSE 354</t>
  </si>
  <si>
    <t>EE 468</t>
  </si>
  <si>
    <t>GED 262</t>
  </si>
  <si>
    <t>EE 252</t>
  </si>
  <si>
    <t>Total M4</t>
  </si>
  <si>
    <t>PE 366</t>
  </si>
  <si>
    <t>AE 482</t>
  </si>
  <si>
    <t>AME 496</t>
  </si>
  <si>
    <t>CE 260</t>
  </si>
  <si>
    <t>IE 458</t>
  </si>
  <si>
    <t>ME 496</t>
  </si>
  <si>
    <t>Total M3</t>
  </si>
  <si>
    <t>PE 352</t>
  </si>
  <si>
    <t>COE 254</t>
  </si>
  <si>
    <t>Adjaidoo Theresa-Samuelle Maame Atwemaah</t>
  </si>
  <si>
    <t>Object-Oriented Programming</t>
  </si>
  <si>
    <t>MME 356</t>
  </si>
  <si>
    <t>GED 370</t>
  </si>
  <si>
    <t>CE 360</t>
  </si>
  <si>
    <t>METE 354</t>
  </si>
  <si>
    <t>MSE 258</t>
  </si>
  <si>
    <t>IE 366</t>
  </si>
  <si>
    <t>GE 472</t>
  </si>
  <si>
    <t>PETE 450</t>
  </si>
  <si>
    <t>AE 358</t>
  </si>
  <si>
    <t>ENGL 158</t>
  </si>
  <si>
    <t xml:space="preserve">Computer Based </t>
  </si>
  <si>
    <t>Total M2</t>
  </si>
  <si>
    <t>PE 472</t>
  </si>
  <si>
    <t>Abdul-Rahman Ahmed</t>
  </si>
  <si>
    <t>Microwave Engineering</t>
  </si>
  <si>
    <t>TE 474</t>
  </si>
  <si>
    <t>METE 452</t>
  </si>
  <si>
    <t>GED 252</t>
  </si>
  <si>
    <t>CHE 258</t>
  </si>
  <si>
    <t>CE 462</t>
  </si>
  <si>
    <t>ME 258</t>
  </si>
  <si>
    <t>BME 462</t>
  </si>
  <si>
    <t>GED 476</t>
  </si>
  <si>
    <t>Total M1</t>
  </si>
  <si>
    <t>CHE 470</t>
  </si>
  <si>
    <t>GE 272</t>
  </si>
  <si>
    <t>COE 486</t>
  </si>
  <si>
    <t>ME 478</t>
  </si>
  <si>
    <t>CHE 464</t>
  </si>
  <si>
    <t>COE 382</t>
  </si>
  <si>
    <t>COE 372</t>
  </si>
  <si>
    <t>BME 374</t>
  </si>
  <si>
    <t>AME 368</t>
  </si>
  <si>
    <t>TE 258</t>
  </si>
  <si>
    <t>TE 372</t>
  </si>
  <si>
    <t>ME 282</t>
  </si>
  <si>
    <t>EE 262</t>
  </si>
  <si>
    <t>Monday, 7 July 2025</t>
  </si>
  <si>
    <t>Tuesday, 8 July 2025</t>
  </si>
  <si>
    <t>Thursday, 10 July 2025</t>
  </si>
  <si>
    <t>F</t>
  </si>
  <si>
    <t>H</t>
  </si>
  <si>
    <t>W</t>
  </si>
  <si>
    <t>T</t>
  </si>
  <si>
    <t>M</t>
  </si>
  <si>
    <t>S7</t>
  </si>
  <si>
    <t>S6</t>
  </si>
  <si>
    <t>S5</t>
  </si>
  <si>
    <t>S4</t>
  </si>
  <si>
    <t>S3</t>
  </si>
  <si>
    <t>S2</t>
  </si>
  <si>
    <t>S1</t>
  </si>
  <si>
    <t>NETWORK PLANNING</t>
  </si>
  <si>
    <t>MICROWAVE ENGINEERING</t>
  </si>
  <si>
    <t>MOBILE AND SATELLITE COMMUNICATION SYSTEM</t>
  </si>
  <si>
    <t>TELECOMMUNICATION POLICY</t>
  </si>
  <si>
    <t>MANAGEMENT AND ENTREPRENEURSHIP DEVELOPMENT</t>
  </si>
  <si>
    <t>ME 492</t>
  </si>
  <si>
    <t>DIGITAL SIGNAL PROCESSING</t>
  </si>
  <si>
    <t xml:space="preserve">COMMUNICATION SYSTEMS LAB </t>
  </si>
  <si>
    <t>TE 392</t>
  </si>
  <si>
    <t>DIGITAL COMMUNICATION SYSTEMS</t>
  </si>
  <si>
    <t>SWITCHING ENGINEERING IN COMMUNICATION</t>
  </si>
  <si>
    <t>DATA COMMUNICATION PRINCIPLES</t>
  </si>
  <si>
    <t>TE 352</t>
  </si>
  <si>
    <t>ENGINEERING PROJECT DESIGN AND MANAGEMENT</t>
  </si>
  <si>
    <t>COMMUNICATION CIRCUITS</t>
  </si>
  <si>
    <t>TE 354</t>
  </si>
  <si>
    <t>TELECOMMUNICATION INFRASTRUCTURE</t>
  </si>
  <si>
    <t>TE 374</t>
  </si>
  <si>
    <t>DIGITAL ELECTRONICS AND MICROPROCESSORS LAB</t>
  </si>
  <si>
    <t>TE 292</t>
  </si>
  <si>
    <t>MICROPROCESSORS</t>
  </si>
  <si>
    <t>TE 256</t>
  </si>
  <si>
    <t>ELECTROMAGNETIC FIELD THEORY</t>
  </si>
  <si>
    <t>FUNDAMENTALS OF DATA SCIENCE</t>
  </si>
  <si>
    <t>CALCULUS WITH SEVERAL VARIABLES</t>
  </si>
  <si>
    <t>FRENCH FOR COMMUNICATION II</t>
  </si>
  <si>
    <t>INTRODUCTORY ECONOMICS II</t>
  </si>
  <si>
    <t>FINANCIAL ACCOUNTING II</t>
  </si>
  <si>
    <t>ACF 256</t>
  </si>
  <si>
    <t>INTRODUCTION TO PROGRAMMING - I</t>
  </si>
  <si>
    <t>INTRODUCTION TO COMMUNICATION NETWORKS</t>
  </si>
  <si>
    <t>ENGINEERING RESEARCH AND TECHNICAL REPORT WRITING</t>
  </si>
  <si>
    <t>INTRODUCTION TO PSYCHOLOGY</t>
  </si>
  <si>
    <t>PSYC 154</t>
  </si>
  <si>
    <t>CALCULUS WITH ANALYSIS</t>
  </si>
  <si>
    <t>COMMUNICATION SKILLS II</t>
  </si>
  <si>
    <t>ELECTRICAL MEASUREMENT AND INSTRUMENTATION</t>
  </si>
  <si>
    <t>BASIC ELECTRONICS</t>
  </si>
  <si>
    <t>ENERGY AND CLIMATE CHANGE</t>
  </si>
  <si>
    <t>PE 476</t>
  </si>
  <si>
    <t>PIPELINE ENGINEERING</t>
  </si>
  <si>
    <t>NATURAL GAS ENGINEERING II</t>
  </si>
  <si>
    <t>PETROLEUM BUSINESS: STRUCTURES, LOGISTICS</t>
  </si>
  <si>
    <t>FUNDAMENTALS OF PETROLEUM LAW</t>
  </si>
  <si>
    <t>REFINING PROCESS TECHNOLOGY</t>
  </si>
  <si>
    <t>OILFIELD GEOLCHEMISTRY</t>
  </si>
  <si>
    <t>WELL COMPLETION AND STIMULATION</t>
  </si>
  <si>
    <t>PETROLEUM PROJECT EVALUATION</t>
  </si>
  <si>
    <t>RESERVOIR RECOVERY TECHNIQUES</t>
  </si>
  <si>
    <t>HEALTH SAFETY AND ENVIRONMENT</t>
  </si>
  <si>
    <t>OIL &amp; GAS GEOLPHYSICS</t>
  </si>
  <si>
    <t>GEOSTATISTICS</t>
  </si>
  <si>
    <t>PE 362</t>
  </si>
  <si>
    <t>WELL TESTING</t>
  </si>
  <si>
    <t>PETROLEUM PRODUCTION ENGINEERING II</t>
  </si>
  <si>
    <t>PETROLEUM ENGINEERING LAB II</t>
  </si>
  <si>
    <t>PE 356</t>
  </si>
  <si>
    <t>DRILLING ENGINEERING II</t>
  </si>
  <si>
    <t>PETROLEUM GEOLOGY</t>
  </si>
  <si>
    <t>NUMERICAL METHODS FOR PETROLEUM ENGINEERS</t>
  </si>
  <si>
    <t>PRINCIPLES OF LAND SURVEYING AND HYDROGRAPHIC SCIENCE</t>
  </si>
  <si>
    <t>COMPUTER PROGRAMMING IN OIL AND GAS</t>
  </si>
  <si>
    <t>RESERVOIR FLUID PROPERTIES</t>
  </si>
  <si>
    <t>PETROLEUM ENGINEERING THERMODYNAMICS II</t>
  </si>
  <si>
    <t>REGIONAL GEOLOGY</t>
  </si>
  <si>
    <t>DRAWING FOR ENGINEERS</t>
  </si>
  <si>
    <t>PE 254</t>
  </si>
  <si>
    <t>HEAT TRANSPORT PROCESSES</t>
  </si>
  <si>
    <t>CALCULUS OF SEVERAL VARIABLES</t>
  </si>
  <si>
    <t>GENERAL PHYSICS</t>
  </si>
  <si>
    <t>PHYSICAL CHEMISTRY FOR ENGINEERS</t>
  </si>
  <si>
    <t>INTRODUCTION TO PETROLEUM ENGINEERING</t>
  </si>
  <si>
    <t>BASIC MECHANICS</t>
  </si>
  <si>
    <t>PETROLEUM REFINING ENGINEERING</t>
  </si>
  <si>
    <t>ENGINEERING PROPERTIES OF POLYMERS</t>
  </si>
  <si>
    <t>ADSORPTION SEPARATION PROCESS TECHNOLOGY</t>
  </si>
  <si>
    <t>ENTREPRENEURSHIP AND BUSINESS DEVELOPMENT</t>
  </si>
  <si>
    <t>PROCESS CONTROL AND SIMULATION</t>
  </si>
  <si>
    <t>NATURAL GAS ENGINEERING</t>
  </si>
  <si>
    <t>PETROLEUM PRODUCTION ENGINEERING</t>
  </si>
  <si>
    <t>PETROCHEMICAL ENGINEERING LABORATORY II</t>
  </si>
  <si>
    <t>PCE 354</t>
  </si>
  <si>
    <t>SEPARATION PROCESSES II</t>
  </si>
  <si>
    <t>KINETICS AND REACTIONS ENGINEERING</t>
  </si>
  <si>
    <t>ENVIRONMENTAL IMPACT ASSESSMENT</t>
  </si>
  <si>
    <t>RENEWABLE ENERGY RESOURCES</t>
  </si>
  <si>
    <t>NUMERICAL METHODS FOR CHEMICAL ENGINEERS</t>
  </si>
  <si>
    <t>MATERIALS SCIENCE</t>
  </si>
  <si>
    <t>PRACTICAL CHEMISTRY II</t>
  </si>
  <si>
    <t>CHEMICAL ENGINEERING THERMODYNAMICS II</t>
  </si>
  <si>
    <t>CHEMICAL PROCESS CALCULATIONS II</t>
  </si>
  <si>
    <t>STRENGTH OF MATERIALS FOR CHEMICAL ENGINEERS</t>
  </si>
  <si>
    <t>INTRODUCTION TO INFORMATION TECHNOLOGY</t>
  </si>
  <si>
    <t>PROCESS DYNANICS AND CONTROL</t>
  </si>
  <si>
    <t>MATERIALS QUALITY CONTROL, ASSURRANCE AND SELECTION</t>
  </si>
  <si>
    <t>METALLURGICAL WASTE MANAGEMENT</t>
  </si>
  <si>
    <t>ELECTROMETALLURGY</t>
  </si>
  <si>
    <t>MATERIALS JOINING PROCESSES</t>
  </si>
  <si>
    <t>NUMERICAL METHODS FOR ENGINEERS</t>
  </si>
  <si>
    <t>PHYSICAL METALLURGY OF FERROUS METALS</t>
  </si>
  <si>
    <t>METALLURGICAL CHARACTERIZATION LABORATORY</t>
  </si>
  <si>
    <t>METE 358</t>
  </si>
  <si>
    <t>THIRD YEAR DESIGN PROJECT</t>
  </si>
  <si>
    <t>METE 356</t>
  </si>
  <si>
    <t>PHYSICAL METALLURGY OF NON-FERROUS METALS</t>
  </si>
  <si>
    <t>HYDROMETALLURGICAL APPLICATIONS</t>
  </si>
  <si>
    <t>PHASE TRANSFORMATIONS</t>
  </si>
  <si>
    <t>HEAT AND MASS TRANSPORT</t>
  </si>
  <si>
    <t>COMPUTER PROGRAMMING AND APPLICATIONS</t>
  </si>
  <si>
    <t>ASSAYING</t>
  </si>
  <si>
    <t>ORE BENEFICIATION</t>
  </si>
  <si>
    <t>METALLURGICAL RATE PROCESSES/SURFACE PHENOMENA</t>
  </si>
  <si>
    <t>OPTICAL AND THERMAL BEHAVIOUR OF MATERIALS</t>
  </si>
  <si>
    <t>ENVIRONMENTAL SCIENCE</t>
  </si>
  <si>
    <t>CHEMISTRY FOR METALLURGICAL ENGINEERS</t>
  </si>
  <si>
    <t>ENGINEERING DRAWING</t>
  </si>
  <si>
    <t>HUMAN FACTORS AND ERGONOMICS</t>
  </si>
  <si>
    <t>MAINTENANCE ENGINEERING</t>
  </si>
  <si>
    <t>MECHANICAL ENGINEERING MATERIALS III</t>
  </si>
  <si>
    <t>PRODUCTION ENGINEERING II</t>
  </si>
  <si>
    <t>SPECIAL VEHICLE DESIGN</t>
  </si>
  <si>
    <t>ME 476</t>
  </si>
  <si>
    <t>PRODUCTION PLANNING AND CONTROL</t>
  </si>
  <si>
    <t>ME 474</t>
  </si>
  <si>
    <t>MACHINE SHOP AND FACTORY DESIGN</t>
  </si>
  <si>
    <t>INTERNAL COMBUSTION ENGINES</t>
  </si>
  <si>
    <t>INSTRUMENTATION</t>
  </si>
  <si>
    <t>ME 464</t>
  </si>
  <si>
    <t>MECHANISMS SYNTHESIS AND ANALYSIS II</t>
  </si>
  <si>
    <t>INTRODUCTION TO FINITE ELEMENT</t>
  </si>
  <si>
    <t>FLUID MACHINERY</t>
  </si>
  <si>
    <t>MECHANICAL ENGINEERING LABORATORY IV</t>
  </si>
  <si>
    <t>ME 396</t>
  </si>
  <si>
    <t>INDUSTRIAL ENGINEERING AND ERGONOMICS</t>
  </si>
  <si>
    <t>MACHINE ELEMENTS DESIGN II</t>
  </si>
  <si>
    <t>HEAT TRANSFER</t>
  </si>
  <si>
    <t>VIBRATIONS I</t>
  </si>
  <si>
    <t>STRENGTH OF MATERIALS II</t>
  </si>
  <si>
    <t>FLUID DYNAMICS  II</t>
  </si>
  <si>
    <t>ME 352</t>
  </si>
  <si>
    <t>ELECTRICAL ENGINEERING MACHINES</t>
  </si>
  <si>
    <t>MECHANICAL ENGINEERING LAB. II</t>
  </si>
  <si>
    <t>ME 296</t>
  </si>
  <si>
    <t>MACHINE DESIGN PROJECT</t>
  </si>
  <si>
    <t>ME 274</t>
  </si>
  <si>
    <t>THERMODYNAMICS I</t>
  </si>
  <si>
    <t>MECHANISMS SYNTHESIS AND ANALYSIS I</t>
  </si>
  <si>
    <t>FLUID DYNAMICS I</t>
  </si>
  <si>
    <t>PRODUCT DESIGN AND MANUFACTURING</t>
  </si>
  <si>
    <t>ME 174</t>
  </si>
  <si>
    <t>COMPUTER PROGRAMMING FOR ENGINEERS</t>
  </si>
  <si>
    <t>ENGINEERING MECHANICS I: STATICS</t>
  </si>
  <si>
    <t>PROCESS DYNAMICS AND CONTROL</t>
  </si>
  <si>
    <t>SURFACE TREATMENT OF MATERIALS</t>
  </si>
  <si>
    <t>WASTE MANAGEMENT</t>
  </si>
  <si>
    <t>MSE 396</t>
  </si>
  <si>
    <t>MATERIALS CHARACTERIZATION LABORATORY</t>
  </si>
  <si>
    <t>MSE 364</t>
  </si>
  <si>
    <t>MECHANICS OF MATERIALS</t>
  </si>
  <si>
    <t>GLASS AND CEMENT TECHNOLOGIES</t>
  </si>
  <si>
    <t>COMPUTER PROGRAMMING AND APPLICATION</t>
  </si>
  <si>
    <t>MATERIALS PROCESSING</t>
  </si>
  <si>
    <t>KINETICS OF CHEMICAL REACTIONS</t>
  </si>
  <si>
    <t>MARINE MAINTENANCE ENGINEERING</t>
  </si>
  <si>
    <t>SHIP OPERATION, REGULATION AND MANAGEMENT</t>
  </si>
  <si>
    <t>SHIP SAFETY, ENVIRONMENTAL PROTECTION AND SAFE WATCH KEEPING</t>
  </si>
  <si>
    <t>NAVAL ARCHITECTURE II</t>
  </si>
  <si>
    <t>MME 482</t>
  </si>
  <si>
    <t>SHIP CONSTRUCTION</t>
  </si>
  <si>
    <t>MARINE CONTROL ENGINEERING AND AUTOMATION</t>
  </si>
  <si>
    <t>MME 462</t>
  </si>
  <si>
    <t>MARINE ENGINEERING LABORATORY III</t>
  </si>
  <si>
    <t>MME 396</t>
  </si>
  <si>
    <t>MARINE INDUSTRIAL ENGINEERING AND ERGONOMICS</t>
  </si>
  <si>
    <t>MARINE ELECTRICAL TECHNOLOGY AND ELECTRICAL MEASUREMENTS</t>
  </si>
  <si>
    <t>NAVAL ARCHITECTURE I</t>
  </si>
  <si>
    <t>MME 382</t>
  </si>
  <si>
    <t>STRENGTH OF MARINE MATERIALS II</t>
  </si>
  <si>
    <t>FLUID DYNAMICS II</t>
  </si>
  <si>
    <t>AQUATIC STROKES DEVELOPMENT AND REFINEMENT</t>
  </si>
  <si>
    <t>MARINE ENGINEERING LABORATORY I</t>
  </si>
  <si>
    <t>MME 296</t>
  </si>
  <si>
    <t>SEAMANSHIP</t>
  </si>
  <si>
    <t>MME 292</t>
  </si>
  <si>
    <t>MARINE MECHANISMS, SYSTHESIS AND ANALYSIS</t>
  </si>
  <si>
    <t>MANUFACTURING TECHNOLOGY</t>
  </si>
  <si>
    <t>MARINE ENGINEERING DESIGN PROJECT I</t>
  </si>
  <si>
    <t>MME 174</t>
  </si>
  <si>
    <t>ENGINEERING MECHANICS I:STATICS</t>
  </si>
  <si>
    <t xml:space="preserve">ENTREPRENEURSHIP MANAGEMENT </t>
  </si>
  <si>
    <t>SYSTEMS INTEGRATION</t>
  </si>
  <si>
    <t>AUTOMATION AND PRODUCTION SYSTEM</t>
  </si>
  <si>
    <t>OPERATIONS RESEARCH II</t>
  </si>
  <si>
    <t>ADVANCED MANUFACTURING TECHNOLOGY I</t>
  </si>
  <si>
    <t>INDUSTRIAL ENGINEERING LAB III</t>
  </si>
  <si>
    <t>IE 362</t>
  </si>
  <si>
    <t>QUALITY ASSURANCE</t>
  </si>
  <si>
    <t>COMPUTER-AIDED DESIGN AND MANUFACTURING</t>
  </si>
  <si>
    <t>RELIABILITY ENGINEERING</t>
  </si>
  <si>
    <t>LOGISTICS AND SUPPLY CHAIN ENGINEERING</t>
  </si>
  <si>
    <t>INDUSTRIAL ENGINEEGING LABORATORY II</t>
  </si>
  <si>
    <t>IE 296</t>
  </si>
  <si>
    <t>LITERATURE IN ENGLISH II</t>
  </si>
  <si>
    <t>FIRST YEAR DESIGN PROJECT</t>
  </si>
  <si>
    <t>IE 174</t>
  </si>
  <si>
    <t>PROFESSIONAL STUDIES AND DEVELOPMENT</t>
  </si>
  <si>
    <t>PRINCIPLES OF VALUATION OF LAND AND BUILDING</t>
  </si>
  <si>
    <t>LAND LAW AND REGISTRATION</t>
  </si>
  <si>
    <t>DATABASE SYSTEMS</t>
  </si>
  <si>
    <t>PLANNING THE PHYSICAL ENVIRONMENT</t>
  </si>
  <si>
    <t>ANALYSIS OF ERRORS</t>
  </si>
  <si>
    <t>PRINCIPLES OF GIS</t>
  </si>
  <si>
    <t>SATELLITE SURVEYING</t>
  </si>
  <si>
    <t>FRENCH FOR COMMUNICATION  II</t>
  </si>
  <si>
    <t>ELEMENTS OF ECONOMICS II</t>
  </si>
  <si>
    <t>ACCOUNTING II</t>
  </si>
  <si>
    <t>CSM 158</t>
  </si>
  <si>
    <t xml:space="preserve"> HIGHWAY ENGINEERING</t>
  </si>
  <si>
    <t>HYDROGRAPHIC SURVEYING AND MARINE SCIENCE</t>
  </si>
  <si>
    <t>ENGINEERING SURVEY II</t>
  </si>
  <si>
    <t>PRINCIPLES OF REMOTE SENSING</t>
  </si>
  <si>
    <t>SOIL AND ROCK MECHANICS</t>
  </si>
  <si>
    <t>LARGE SCALE SURVEYING</t>
  </si>
  <si>
    <t>REPRODUCTION CARTOGRAPHY</t>
  </si>
  <si>
    <t>GROUNDWATER DEVELOPMENT</t>
  </si>
  <si>
    <t>ENGINEERING MANAGEMENT</t>
  </si>
  <si>
    <t>ECONOMIC GEOLLOGY</t>
  </si>
  <si>
    <t>ENVIRONMENTAL GEOLLOGY</t>
  </si>
  <si>
    <t>ADVANCED ENGINEERING GEOLLOGY</t>
  </si>
  <si>
    <t>GROUND ENGINEERING</t>
  </si>
  <si>
    <t>FOUNDATION ENGINEERING</t>
  </si>
  <si>
    <t>GIS APPLICATIONS</t>
  </si>
  <si>
    <t>GED 368(B)</t>
  </si>
  <si>
    <t>MINERAL ECONOMICS AND EVALUATION</t>
  </si>
  <si>
    <t>STRUCTURAL GEOLOGY</t>
  </si>
  <si>
    <t>PRINCIPLES OF GEOLPHYSICS</t>
  </si>
  <si>
    <t>PRINCIPLES OF GEOLCHEMISTRY</t>
  </si>
  <si>
    <t>MINING PRINCIPLES AND SYSTEMS</t>
  </si>
  <si>
    <t>ANALYSIS IV</t>
  </si>
  <si>
    <t>INTRODUCTION TO SOIL MECHANICS</t>
  </si>
  <si>
    <t>OPTICAL MINERALOGY</t>
  </si>
  <si>
    <t>ROCK ENGINEERING</t>
  </si>
  <si>
    <t>STRATIGRAPHY</t>
  </si>
  <si>
    <t>FLUID MECHANICS</t>
  </si>
  <si>
    <t>COMPUTER APPLICATIONS</t>
  </si>
  <si>
    <t>BASIC MINERAL SCIENCE</t>
  </si>
  <si>
    <t>PRINCIPLES OF ACCOUNTING II</t>
  </si>
  <si>
    <t>CIVIL ENGINEERING DRAWING</t>
  </si>
  <si>
    <t>ELEMENTARY FLUIDS MECHANICS</t>
  </si>
  <si>
    <t>ENTREPRENEURSHIP DEVELOPMENT AND MANAGEMENT</t>
  </si>
  <si>
    <t>POWER SYSTEMS PROTECTION</t>
  </si>
  <si>
    <t>POWER SYSTEMS PLANNING AND OPTIMIZATION</t>
  </si>
  <si>
    <t>EE 466</t>
  </si>
  <si>
    <t>ELECTRIC DRIVES</t>
  </si>
  <si>
    <t>INTRODUCTION TO VLSI</t>
  </si>
  <si>
    <t>INDUSTRIAL AUTOMATIC CONTROL</t>
  </si>
  <si>
    <t>ANTENNAS AND PROPAGATION</t>
  </si>
  <si>
    <t>ELECTRICAL ENGINEERING LAB. III</t>
  </si>
  <si>
    <t>EE 392</t>
  </si>
  <si>
    <t>DIGITAL CONTROL SYSTEMS</t>
  </si>
  <si>
    <t>EE 380</t>
  </si>
  <si>
    <t>POWER SYSTEMS ANALYSIS</t>
  </si>
  <si>
    <t>POWER ELECTRONICS</t>
  </si>
  <si>
    <t>SUBSTATIONS AND TRANSMISSION LINE DESIGN</t>
  </si>
  <si>
    <t>HIGH VOLTAGE ENGINEERING</t>
  </si>
  <si>
    <t>ELECTROMAGNETIC FIELDS</t>
  </si>
  <si>
    <t>ELECTRICAL ENGINEERING LAB. II</t>
  </si>
  <si>
    <t>EE 292</t>
  </si>
  <si>
    <t>ELECTRICAL MEASUREMENTS AND INSTRUMENTATION</t>
  </si>
  <si>
    <t>DIGITAL SYSTEMS</t>
  </si>
  <si>
    <t>SYNCHRONOUS MACHINES</t>
  </si>
  <si>
    <t>APPLIED THERMODYNAMICS I</t>
  </si>
  <si>
    <t>ELECTRICAL MEASUREMENTS &amp; INSTRUMENTATION</t>
  </si>
  <si>
    <t>CIRCUIT THEORY</t>
  </si>
  <si>
    <t>EE 166</t>
  </si>
  <si>
    <t>EE 158</t>
  </si>
  <si>
    <t>Digital Control Systems</t>
  </si>
  <si>
    <t>COE 482</t>
  </si>
  <si>
    <t>VLSI CIRCUIT DESIGN</t>
  </si>
  <si>
    <t>FAULT DIAGNOSIS AND FAILURE TOLERANCE</t>
  </si>
  <si>
    <t>COE 472</t>
  </si>
  <si>
    <t>ROBOTICS AND COMPUTER VISION</t>
  </si>
  <si>
    <t>COE 458</t>
  </si>
  <si>
    <t>SECURE NETWORK SYSTEMS</t>
  </si>
  <si>
    <t>COE 456</t>
  </si>
  <si>
    <t>SOFTWARE ENGINEERING</t>
  </si>
  <si>
    <t>COE 454</t>
  </si>
  <si>
    <t>AUTOTRONIC LAB.</t>
  </si>
  <si>
    <t>COE 392</t>
  </si>
  <si>
    <t>DIGITAL SYSTEMS DESIGN II</t>
  </si>
  <si>
    <t>DATABASE AND INFORMATION RETRIEVAL</t>
  </si>
  <si>
    <t>EMBEDDED SYSTEMS</t>
  </si>
  <si>
    <t>INTRODUCTION TO SOFTWARE ENG.</t>
  </si>
  <si>
    <t>OPERATING SYSTEMS</t>
  </si>
  <si>
    <t>FRENCH FOR COMMUNICATION</t>
  </si>
  <si>
    <t>INTRODUCTION TO ECONOMICS II</t>
  </si>
  <si>
    <t>COMPUTER ENGINEERING LAB II</t>
  </si>
  <si>
    <t>COE 292</t>
  </si>
  <si>
    <t>DIGITAL SYSTEMS DESIGN I</t>
  </si>
  <si>
    <t>OBJECT-ORIENTED PROGRAMMING</t>
  </si>
  <si>
    <t>ELECTRICAL MACHINES</t>
  </si>
  <si>
    <t>ELECTRICAL ENG. DRAWING</t>
  </si>
  <si>
    <t>REFINING PROCESSES TECHNOLOGY</t>
  </si>
  <si>
    <t>PHARMACEUTICAL TECHNOLOGY</t>
  </si>
  <si>
    <t>ENVIRONMENTAL ENG. TECHNOLOGY</t>
  </si>
  <si>
    <t>PULP AND PAPER TECHNOLOGY</t>
  </si>
  <si>
    <t>CHE 466</t>
  </si>
  <si>
    <t>FOOD PROCESSING TECHNOLOGY</t>
  </si>
  <si>
    <t>PACKAGING TECHNOLOGY</t>
  </si>
  <si>
    <t>SILICATE TECHNOLOGY II</t>
  </si>
  <si>
    <t>SIMULTANEOUS HEAT/MASS TRANSFER</t>
  </si>
  <si>
    <t>CHEMICAL REACTION ENGINEERING</t>
  </si>
  <si>
    <t>COMMUNICATION  SKILLS II</t>
  </si>
  <si>
    <t>FINITE ELEMENT ANALYSIS</t>
  </si>
  <si>
    <t>CE 480</t>
  </si>
  <si>
    <t>SYSTEM ENGINEERING II</t>
  </si>
  <si>
    <t>TRANSPORTATION ENGINEERING</t>
  </si>
  <si>
    <t>ENVIRONMENTAL QUALITY ENGINEERING II</t>
  </si>
  <si>
    <t>CONSTRUCTION MANAGEMENT</t>
  </si>
  <si>
    <t>WATER RESOURCES ENGINEERING II</t>
  </si>
  <si>
    <t>STRUCTURAL DYNAMICS</t>
  </si>
  <si>
    <t>ROAD DESIGN AND MATERIAL EVOLOUTION LABORATORY</t>
  </si>
  <si>
    <t>CE 390</t>
  </si>
  <si>
    <t>INTEGRATED DESIGN</t>
  </si>
  <si>
    <t>QUANTITIES AND COST ESTIMATION IN CIVIL ENGINEERING</t>
  </si>
  <si>
    <t>HIGHWAY ENGINEERING</t>
  </si>
  <si>
    <t>ENVIRONMENTAL QUALITY ENGINEERING</t>
  </si>
  <si>
    <t>HYDRAULIC ENGINEERING</t>
  </si>
  <si>
    <t>STEEL AND TIMBER DESIGN</t>
  </si>
  <si>
    <t>PRINCIPLE OF DESIGN</t>
  </si>
  <si>
    <t>INTRO TO ENVIRONMENTAL ENG.</t>
  </si>
  <si>
    <t>SOIL AND ROCKS MECHANICS LABORATORY</t>
  </si>
  <si>
    <t>CE 262</t>
  </si>
  <si>
    <t>STRUCTURAL ANALYSIS</t>
  </si>
  <si>
    <t>PROPERTIES OF CIVIL ENGINEERING MATERIAL</t>
  </si>
  <si>
    <t>INTRODUCTION TO LIGHTING AND ACOUSTICS</t>
  </si>
  <si>
    <t>ENTREPRENEURSHIP DEVELOPMENT</t>
  </si>
  <si>
    <t>BIOMECHANICS II</t>
  </si>
  <si>
    <t>MEDICAL DEVICE REGULATION</t>
  </si>
  <si>
    <t>BIOMEDICAL OPTICS</t>
  </si>
  <si>
    <t>BIOINSTRUMENTATION I</t>
  </si>
  <si>
    <t>BIOSIGNAL PROCESSES AND ANALYSIS</t>
  </si>
  <si>
    <t>MEDICAL IMAGING I</t>
  </si>
  <si>
    <t>BIOMATERIALS I</t>
  </si>
  <si>
    <t>CHEMICAL PATHOLOGY</t>
  </si>
  <si>
    <t>ANATOMY AND PHYSIOLOGY FOR ENGINEERS II</t>
  </si>
  <si>
    <t>BIOMEDICAL ENGINEERING DESIGN II</t>
  </si>
  <si>
    <t>BIOCHEMISTRY</t>
  </si>
  <si>
    <t>INTRODUCTION TO SOCIOLOGY II</t>
  </si>
  <si>
    <t>PROPERTIES OF MATTER</t>
  </si>
  <si>
    <t>FINAL YEAR PROJECT II</t>
  </si>
  <si>
    <t>AME 498</t>
  </si>
  <si>
    <t>VEHICLE MAINTENANCE AND REGULATION</t>
  </si>
  <si>
    <t>AME 482</t>
  </si>
  <si>
    <t>MODERN AUTOMOBILE TECHNOLOGY</t>
  </si>
  <si>
    <t>MICROPROCESSORS AND MECHATRONICS APPLICATIONS</t>
  </si>
  <si>
    <t>ME 384</t>
  </si>
  <si>
    <t>AUTOMOBILE ENGINEERING LABORATORY IV</t>
  </si>
  <si>
    <t>AME 396</t>
  </si>
  <si>
    <t>MANUAL POWER TRAIN</t>
  </si>
  <si>
    <t>AUTOMOTIVE CHASSIS</t>
  </si>
  <si>
    <t>AME 376</t>
  </si>
  <si>
    <t>AUTOMOTIVE SPARK-IGNITION ENGINES</t>
  </si>
  <si>
    <t>VIBRATIONS FOR AUTOMOBILE ENGINEERS</t>
  </si>
  <si>
    <t>LAND VEHICLE STRUCTURES</t>
  </si>
  <si>
    <t>AME 356</t>
  </si>
  <si>
    <t>AUTOMOBILE ENGINEERING LABORATORY II</t>
  </si>
  <si>
    <t>AME 296</t>
  </si>
  <si>
    <t>AUTOMOTIVE ELECTRICAL SYSTEMS AND ELECTRONICS</t>
  </si>
  <si>
    <t>DESIGN OF AUTO MACHINE ELEMENTS</t>
  </si>
  <si>
    <t>STATICS OF SOLID MECHANICS</t>
  </si>
  <si>
    <t>MANAGEMENT AND ENTREPRENEURSHIP DEVELOPM</t>
  </si>
  <si>
    <t>AEROSPACE SAFETY AND AIR SECURITY</t>
  </si>
  <si>
    <t>APPLIED METEOROLOGY</t>
  </si>
  <si>
    <t>AERODYNAMICS II</t>
  </si>
  <si>
    <t>AEROSPACE ENGINEERING LAB II</t>
  </si>
  <si>
    <t>AERO 396</t>
  </si>
  <si>
    <t>AIRCRAFT PERFORMANCE AND DESIGN</t>
  </si>
  <si>
    <t>PROPULSION</t>
  </si>
  <si>
    <t>AIR VEHICLE STABILITY AND CONTROL</t>
  </si>
  <si>
    <t>AERO 362</t>
  </si>
  <si>
    <t>COMPUTER-AIDED DESIGN AND MODELLING</t>
  </si>
  <si>
    <t>AEROSPACE DESIGN PROJECT II</t>
  </si>
  <si>
    <t>AEROSPACE STRUCTURES</t>
  </si>
  <si>
    <t>ENGINEERING GRAPHICS</t>
  </si>
  <si>
    <t>AEROSPACE DESIGN PROJECT I</t>
  </si>
  <si>
    <t>FARM MACHINERY DESIGN</t>
  </si>
  <si>
    <t>CROP STORAGE AND STORAGE STRUCTURES</t>
  </si>
  <si>
    <t>MAINTENANCE AND REPAIRS OF AGRIC. MACHINERY</t>
  </si>
  <si>
    <t>CROP LOSSES AND THEIR CONTROL</t>
  </si>
  <si>
    <t>SOIL AND WATER ENGINEERING II</t>
  </si>
  <si>
    <t>INTRODUCTION TO CAD/CAM</t>
  </si>
  <si>
    <t>MACHINE DESIGN II</t>
  </si>
  <si>
    <t>RESEARCH METHODS FOR ENGINEERS</t>
  </si>
  <si>
    <t>RURAL ENGINEERING</t>
  </si>
  <si>
    <t>RENEWABLE ENERGY SYSTEMS AND MANAGEMENT</t>
  </si>
  <si>
    <t>FARM POWER AND MACHINERY</t>
  </si>
  <si>
    <t>SOIL MECHANICS APPLICATION TO MECHANISATION</t>
  </si>
  <si>
    <t>MECHANICAL ENGINEERING MATERIALS II</t>
  </si>
  <si>
    <t>THEORY OF MACHINES</t>
  </si>
  <si>
    <t>PRINCIPLES OF SURVEYING</t>
  </si>
  <si>
    <t>ENGINEERING WORKSHOP PRACTICE</t>
  </si>
  <si>
    <t>BASIC AGRICULTURE</t>
  </si>
  <si>
    <t>No. of Students</t>
  </si>
  <si>
    <t>Name of Lecturer</t>
  </si>
  <si>
    <t>Course Name</t>
  </si>
  <si>
    <t>Course Code</t>
  </si>
  <si>
    <t>Unnamed: 1</t>
  </si>
  <si>
    <t>Obour Agyekum Kwame Opuni-Boachie</t>
  </si>
  <si>
    <t>Network Planning</t>
  </si>
  <si>
    <t>Opare Kwasi Adu-Boahen</t>
  </si>
  <si>
    <t>Mobile And Satellite Communication System</t>
  </si>
  <si>
    <t>Gadze James Dzisi</t>
  </si>
  <si>
    <t>Telecommunication Policy</t>
  </si>
  <si>
    <t>K. S. O. Kwakye</t>
  </si>
  <si>
    <t>Telecommunication Lab IV</t>
  </si>
  <si>
    <t>Agyekum Kwame Agyeman-Prempeh</t>
  </si>
  <si>
    <t>Digital Communication Systems</t>
  </si>
  <si>
    <t>Affum Emmanuel Ampoma</t>
  </si>
  <si>
    <t>Adrah Charles Mawutor</t>
  </si>
  <si>
    <t>Switching Engineering In Communication</t>
  </si>
  <si>
    <t>Antennas And Propagation</t>
  </si>
  <si>
    <t>Ellis Sani Mubarak</t>
  </si>
  <si>
    <t>ANTENNA THEORY AND DESIGN</t>
  </si>
  <si>
    <t>Communication Circuits</t>
  </si>
  <si>
    <t>COMPUTER NETWORKING</t>
  </si>
  <si>
    <t>K. A.-B. Opare</t>
  </si>
  <si>
    <t>Electromagnetic Fields</t>
  </si>
  <si>
    <t>Yeboah-Akowuah Bright</t>
  </si>
  <si>
    <t>Electromagnetic Field Theory</t>
  </si>
  <si>
    <t>Kwame Oteng Gyasi</t>
  </si>
  <si>
    <t>Fundamentals of Data Science</t>
  </si>
  <si>
    <t>Acheampong Francisca Adoma</t>
  </si>
  <si>
    <t>Agyemang Justice Owusu</t>
  </si>
  <si>
    <t>Introduction To Programming - I</t>
  </si>
  <si>
    <t>Introduction To Communication Networks</t>
  </si>
  <si>
    <t>Engineering Research And Technical Report Writing</t>
  </si>
  <si>
    <t>Biochemistry</t>
  </si>
  <si>
    <t>Charles Apprey</t>
  </si>
  <si>
    <t>Introduction To Sociology II</t>
  </si>
  <si>
    <t>Aquatic Strokes Development And Refinement</t>
  </si>
  <si>
    <t>Afrifa Daniel</t>
  </si>
  <si>
    <t>Introduction To Psychology</t>
  </si>
  <si>
    <t>Sarfo Fordjour Elizabeth Anokyewaa</t>
  </si>
  <si>
    <t>Planning The Physical Environment</t>
  </si>
  <si>
    <t>Aboagye Prince Anokye</t>
  </si>
  <si>
    <t>General Physics</t>
  </si>
  <si>
    <t>Boateng Cyril Dziedzorm</t>
  </si>
  <si>
    <t>Abavare Eric Kwabena Kyeh</t>
  </si>
  <si>
    <t>Properties Of Matter</t>
  </si>
  <si>
    <t>R. M. Noye</t>
  </si>
  <si>
    <t>Natural Gas Engineering</t>
  </si>
  <si>
    <t>Ankudey Emmanuel Godwin</t>
  </si>
  <si>
    <t>Petroleum Production Engineering</t>
  </si>
  <si>
    <t>Energy And Climate Change</t>
  </si>
  <si>
    <t>Sokama-Neuyam Yen Adams</t>
  </si>
  <si>
    <t>Pipeline Engineering</t>
  </si>
  <si>
    <t>Adjei Stephen</t>
  </si>
  <si>
    <t>Natural Gas Engineering II</t>
  </si>
  <si>
    <t>Sarkodie Kwame</t>
  </si>
  <si>
    <t>Petroleum Business: Structures, Logistics</t>
  </si>
  <si>
    <t>Quaye Jonathan Atuquaye</t>
  </si>
  <si>
    <t>Fundamentals Of Petroleum Law</t>
  </si>
  <si>
    <t>Amoah Enoch Kwabena</t>
  </si>
  <si>
    <t>Refining Process Technology</t>
  </si>
  <si>
    <t>Oilfield Geochemistry</t>
  </si>
  <si>
    <t>Adenutsi Caspar Daniel</t>
  </si>
  <si>
    <t>Well Completion And Stimulation</t>
  </si>
  <si>
    <t>Erzuah Samuel</t>
  </si>
  <si>
    <t>Petroleum Project Evaluation</t>
  </si>
  <si>
    <t>Reservoir Recovery Techniques</t>
  </si>
  <si>
    <t>Health Safety And Environment</t>
  </si>
  <si>
    <t>Oil &amp; Gas Geophysics</t>
  </si>
  <si>
    <t>Geostatistics</t>
  </si>
  <si>
    <t>D. O. B. Nuamah</t>
  </si>
  <si>
    <t>Well Testing</t>
  </si>
  <si>
    <t>Petroleum Production Engineering II</t>
  </si>
  <si>
    <t>Petroleum Engineering Lab II</t>
  </si>
  <si>
    <t>Drilling Engineering II</t>
  </si>
  <si>
    <t>Petroleum Geology</t>
  </si>
  <si>
    <t>Borkloe Julius Kwame</t>
  </si>
  <si>
    <t>Numerical Methods For Petroleum Engineers</t>
  </si>
  <si>
    <t>Principles Of Land Surveying And Hydrographic Science</t>
  </si>
  <si>
    <t>Asante Cosmas Yaw</t>
  </si>
  <si>
    <t>Computer Programming In Oil And Gas</t>
  </si>
  <si>
    <t>Reservoir Fluid Properties</t>
  </si>
  <si>
    <t>Petroleum Engineering Thermodynamics II</t>
  </si>
  <si>
    <t>Regional Geology</t>
  </si>
  <si>
    <t>Drawing For Engineers</t>
  </si>
  <si>
    <t>Jones Twumasi</t>
  </si>
  <si>
    <t>Heat Transport Processes</t>
  </si>
  <si>
    <t>Physical Chemistry For Engineers</t>
  </si>
  <si>
    <t>Boakye Patrick</t>
  </si>
  <si>
    <t>Introduction To Petroleum Engineering</t>
  </si>
  <si>
    <t>Refining Processes Technology</t>
  </si>
  <si>
    <t>Kwao-Boateng Emmanuela</t>
  </si>
  <si>
    <t>Baidoo Martina Francisca</t>
  </si>
  <si>
    <t>Mensah Mary</t>
  </si>
  <si>
    <t>Petroleum Refining Engineering</t>
  </si>
  <si>
    <t>Petrochemical Engineering Laboratory II</t>
  </si>
  <si>
    <t>Bonsu Jude Kwaku</t>
  </si>
  <si>
    <t>Separation Processes II</t>
  </si>
  <si>
    <t>Dogbe Eunice Sefakor Aku</t>
  </si>
  <si>
    <t>Kinetics And Reactions Engineering</t>
  </si>
  <si>
    <t>Asiedu Nana Yaw</t>
  </si>
  <si>
    <t>Introduction To Information Technology</t>
  </si>
  <si>
    <t>Kwofie Samuel</t>
  </si>
  <si>
    <t>Process Dynanics And Control</t>
  </si>
  <si>
    <t>Process Dynamics And Control</t>
  </si>
  <si>
    <t>Materials Quality Control, Assurrance And Selection</t>
  </si>
  <si>
    <t>Arthur Emmanuel Kwesi</t>
  </si>
  <si>
    <t>Surface Treatment Of Materials</t>
  </si>
  <si>
    <t>Andrews Anthony</t>
  </si>
  <si>
    <t>Metallurgical waste Management</t>
  </si>
  <si>
    <t>Koomson Bennetta</t>
  </si>
  <si>
    <t>Waste Management</t>
  </si>
  <si>
    <t>Third Year Design Project</t>
  </si>
  <si>
    <t>Bota Osei Sekyere</t>
  </si>
  <si>
    <t>Materials Characterization Laboratory</t>
  </si>
  <si>
    <t>Gikunoo Emmanuel</t>
  </si>
  <si>
    <t>Materials Joining Processes</t>
  </si>
  <si>
    <t>Mechanics Of Materials</t>
  </si>
  <si>
    <t>Mensah-Darkwa Kwadwo</t>
  </si>
  <si>
    <t>Numerical Methods For Engineers</t>
  </si>
  <si>
    <t>Nartey Martinson Addo</t>
  </si>
  <si>
    <t>Engineering Properties Of Polymers</t>
  </si>
  <si>
    <t>Asare Eric Kwame Anokye</t>
  </si>
  <si>
    <t>Physical Metallurgy Of Ferrous Metals</t>
  </si>
  <si>
    <t>Glass And Cement Technologies</t>
  </si>
  <si>
    <t>Computer Programming And Application</t>
  </si>
  <si>
    <t>Phase Transformations</t>
  </si>
  <si>
    <t>Physical Metallurgy Of Non-Ferrous Metals</t>
  </si>
  <si>
    <t>Agyemang Frank Ofori</t>
  </si>
  <si>
    <t>Environmental Science</t>
  </si>
  <si>
    <t>Appiah-Brempong Miriam</t>
  </si>
  <si>
    <t>Materials Processing</t>
  </si>
  <si>
    <t>Heat And Mass Transport</t>
  </si>
  <si>
    <t>Kinetics Of Chemical Reactions</t>
  </si>
  <si>
    <t>Quansah David Ato</t>
  </si>
  <si>
    <t>Marine Maintenance Engineering</t>
  </si>
  <si>
    <t>Oppong Tawiah Peter</t>
  </si>
  <si>
    <t>Ship Operation, Regulation And Management</t>
  </si>
  <si>
    <t>Ship Safety, Environmental Protection And Safe Watch Keeping</t>
  </si>
  <si>
    <t>Larkai Francis Laako</t>
  </si>
  <si>
    <t>Naval Architecture II</t>
  </si>
  <si>
    <t>Kudzedzi Emmanuel Yaw Mawuko</t>
  </si>
  <si>
    <t>Ship Construction</t>
  </si>
  <si>
    <t>Marine Control Engineering And Automation</t>
  </si>
  <si>
    <t>Adjei Eunice Akyereko</t>
  </si>
  <si>
    <t>Marine Engineering Laboratory III</t>
  </si>
  <si>
    <t>Tay Godwin Fabiola Kwaku</t>
  </si>
  <si>
    <t>Marine Industrial Engineering And Ergonomics</t>
  </si>
  <si>
    <t>Mensah Lena Dzifa</t>
  </si>
  <si>
    <t>Marine Electrical Technology And Electrical Measurements</t>
  </si>
  <si>
    <t>Frimpong Emmanuel Asuming</t>
  </si>
  <si>
    <t>Naval Architecture I</t>
  </si>
  <si>
    <t>Strength Of Marine Materials II</t>
  </si>
  <si>
    <t>Adam Faisal Wahib</t>
  </si>
  <si>
    <t>Boahen Samuel</t>
  </si>
  <si>
    <t>Seamanship</t>
  </si>
  <si>
    <t>Marine Engineering Design Project II</t>
  </si>
  <si>
    <t>Afriyie Nyarko Frank Kwabena</t>
  </si>
  <si>
    <t>Marine Mechanisms, Systhesis And Analysis</t>
  </si>
  <si>
    <t>Ampofo Joshua</t>
  </si>
  <si>
    <t>Marine Engineering Design Project I</t>
  </si>
  <si>
    <t>Electrometallurgy</t>
  </si>
  <si>
    <t>Agbe Henry</t>
  </si>
  <si>
    <t>Metallurgical Characterization Laboratory</t>
  </si>
  <si>
    <t>Hydrometallurgical Applications</t>
  </si>
  <si>
    <t>Computer Programming And Applications</t>
  </si>
  <si>
    <t>Assaying</t>
  </si>
  <si>
    <t>Ore Beneficiation</t>
  </si>
  <si>
    <t>Metallurgical Rate Processes/Surface Phenomena</t>
  </si>
  <si>
    <t>Chemistry For Metallurgical Engineers</t>
  </si>
  <si>
    <t>Human Factors And Ergonomics</t>
  </si>
  <si>
    <t>Sackey Samuel Mensah</t>
  </si>
  <si>
    <t>Maintenance Engineering</t>
  </si>
  <si>
    <t xml:space="preserve">Maintenance Engineering </t>
  </si>
  <si>
    <t>Management And Entrepreneurship Development</t>
  </si>
  <si>
    <t>Intsiful Araba Kwegyirba</t>
  </si>
  <si>
    <t>Asiedu Charlotte</t>
  </si>
  <si>
    <t>Entrepreneurship Development And Management</t>
  </si>
  <si>
    <t>Aikins Stephen Hill Mends</t>
  </si>
  <si>
    <t>Entrepreneurship Development</t>
  </si>
  <si>
    <t>Mechanical Engineering Materials III</t>
  </si>
  <si>
    <t>Production Engineering II</t>
  </si>
  <si>
    <t>Obeng George Yaw</t>
  </si>
  <si>
    <t>Production Planning And Control</t>
  </si>
  <si>
    <t>Dzebre Denis Edem Kwame</t>
  </si>
  <si>
    <t>Machine Shop And Factory Design</t>
  </si>
  <si>
    <t>Internal Combustion Engines</t>
  </si>
  <si>
    <t>Forson Francis Kofi</t>
  </si>
  <si>
    <t>Instrumentation</t>
  </si>
  <si>
    <t>Mechanisms Synthesis And Analysis II</t>
  </si>
  <si>
    <t>Introduction To Finite Element</t>
  </si>
  <si>
    <t>Andoh Prince Yaw</t>
  </si>
  <si>
    <t>Special Vehicle Design (AME 482)</t>
  </si>
  <si>
    <t>G. K. K. Ayetor</t>
  </si>
  <si>
    <t>Fluid Machinery</t>
  </si>
  <si>
    <t>Opoku Richard</t>
  </si>
  <si>
    <t>Mechanical Engineering Laboratory IV</t>
  </si>
  <si>
    <t>Fiagbe Yesuenyeagbe Atsu Kwabla</t>
  </si>
  <si>
    <t xml:space="preserve">Industrial Engineering And Ergonomics </t>
  </si>
  <si>
    <t>Industrial Engineering And Ergonomics</t>
  </si>
  <si>
    <t>Microprocessors And Mechatronics Applications</t>
  </si>
  <si>
    <t>Sackey Michael NII</t>
  </si>
  <si>
    <t>Introduction To Cad/Cam</t>
  </si>
  <si>
    <t>Machine Elements Design II</t>
  </si>
  <si>
    <t>Machine Design II</t>
  </si>
  <si>
    <t>Heat Transfer</t>
  </si>
  <si>
    <t>Klogo Griffith Selorm</t>
  </si>
  <si>
    <t>Vibrations I</t>
  </si>
  <si>
    <t>Strength Of Materials II</t>
  </si>
  <si>
    <t>Fluid Dynamics  II</t>
  </si>
  <si>
    <t>Fluid Dynamics II</t>
  </si>
  <si>
    <t>Mechanical Engineering Lab. II</t>
  </si>
  <si>
    <t>Amoabeng Kofi Owura</t>
  </si>
  <si>
    <t>Mechanical Engineering Materials II</t>
  </si>
  <si>
    <t xml:space="preserve">Machine Design Project </t>
  </si>
  <si>
    <t>Manufacturing Technology</t>
  </si>
  <si>
    <t>Thermodynamics I</t>
  </si>
  <si>
    <t>Mechanisms Synthesis And Analysis I</t>
  </si>
  <si>
    <t>Theory Of Machines</t>
  </si>
  <si>
    <t>Computer-Aided Design And Modelling</t>
  </si>
  <si>
    <t>Fluid Dynamics I</t>
  </si>
  <si>
    <t xml:space="preserve">Product Design And Manufacturing </t>
  </si>
  <si>
    <t>Computer Programming For Engineers</t>
  </si>
  <si>
    <t>Applied Thermodynamics I</t>
  </si>
  <si>
    <t xml:space="preserve">Engineering Mechanics I: Statics </t>
  </si>
  <si>
    <t>Statics Of Solid Mechanics</t>
  </si>
  <si>
    <t>Oppong David Kofi</t>
  </si>
  <si>
    <t>Basic Mechanics</t>
  </si>
  <si>
    <t>Engineering Drawing</t>
  </si>
  <si>
    <t>Sekyere Charles Kofi Kafui</t>
  </si>
  <si>
    <t>Aveyire Joseph</t>
  </si>
  <si>
    <t>Engineering Graphics</t>
  </si>
  <si>
    <t>Calculus With Several Variables</t>
  </si>
  <si>
    <t>Boateng Maxwell Akwasi</t>
  </si>
  <si>
    <t>Calculus Of Several Variables</t>
  </si>
  <si>
    <t>Eghan Rhydal Esi</t>
  </si>
  <si>
    <t>Asamoah Joshua Kiddy Kwasi</t>
  </si>
  <si>
    <t>Wireko Fredrick Asenso</t>
  </si>
  <si>
    <t>Analysis IV</t>
  </si>
  <si>
    <t>Calculus With Analysis</t>
  </si>
  <si>
    <t>Kwabi Prince Amponsah</t>
  </si>
  <si>
    <t>Ezearn Jeffery</t>
  </si>
  <si>
    <t>Ayekple Yao Elikem</t>
  </si>
  <si>
    <t>Systems Integration</t>
  </si>
  <si>
    <t>Automation And Production System</t>
  </si>
  <si>
    <t>Operations Research II</t>
  </si>
  <si>
    <t>Kesse Martin Appiah</t>
  </si>
  <si>
    <t>Advanced Manufacturing Technology I</t>
  </si>
  <si>
    <t>Takyi Gabriel</t>
  </si>
  <si>
    <t>Industrial Engineering Lab III</t>
  </si>
  <si>
    <t>Quality Assurance</t>
  </si>
  <si>
    <t>Computer-Aided Design And Manufacturing</t>
  </si>
  <si>
    <t>Reliability Engineering</t>
  </si>
  <si>
    <t>Logistics And Supply Chain Engineering</t>
  </si>
  <si>
    <t>Industrial Engineeging Laboratory II</t>
  </si>
  <si>
    <t>Second Year Design Project</t>
  </si>
  <si>
    <t>First Year Design Project</t>
  </si>
  <si>
    <t>Groundwater Development</t>
  </si>
  <si>
    <t>Ali Bukari</t>
  </si>
  <si>
    <t>Nuamah Daniel Oduro Boatey</t>
  </si>
  <si>
    <t>Foli Gordon</t>
  </si>
  <si>
    <t>Engineering Management</t>
  </si>
  <si>
    <t>Economic Geology</t>
  </si>
  <si>
    <t>Mensah Emmanuel</t>
  </si>
  <si>
    <t>Appiah-Adjei Emmanuel Kwame</t>
  </si>
  <si>
    <t>Environmental Geology</t>
  </si>
  <si>
    <t>Advanced Engineering Geology</t>
  </si>
  <si>
    <t>Gidigasu Solomon Senyo Robert</t>
  </si>
  <si>
    <t>Foundation Engineering</t>
  </si>
  <si>
    <t>Amenuvor Andrew Cudzo</t>
  </si>
  <si>
    <t>Gis Applications</t>
  </si>
  <si>
    <t>Mineral Economics And Evaluation</t>
  </si>
  <si>
    <t>Structural Geology</t>
  </si>
  <si>
    <t>Wilson Matthew Coffie</t>
  </si>
  <si>
    <t>Principles Of Geophysics</t>
  </si>
  <si>
    <t>A. Asare</t>
  </si>
  <si>
    <t>Principles Of Geochemistry</t>
  </si>
  <si>
    <t>Gawu Simon Kafui Yawo</t>
  </si>
  <si>
    <t>Mining Principles</t>
  </si>
  <si>
    <t>Owusu-Sarpong Seth</t>
  </si>
  <si>
    <t>Introduction To Soil Mechanics</t>
  </si>
  <si>
    <t>Optical Mineralogy</t>
  </si>
  <si>
    <t>Rock Engineering</t>
  </si>
  <si>
    <t>Stratigraphy</t>
  </si>
  <si>
    <t>Amedjoe Godfrey Chiri</t>
  </si>
  <si>
    <t>Computer Applications</t>
  </si>
  <si>
    <t>A. K. Kwaw</t>
  </si>
  <si>
    <t>Basic Mineral Science</t>
  </si>
  <si>
    <t>Professional Studies And Development</t>
  </si>
  <si>
    <t>Akrofi Emmanuel Offei</t>
  </si>
  <si>
    <t>Principles Of Valuation Of Land And Building</t>
  </si>
  <si>
    <t>Ayitey Jonathan</t>
  </si>
  <si>
    <t>Land Law And Registration</t>
  </si>
  <si>
    <t>Arko-Adjei Anthony</t>
  </si>
  <si>
    <t>Database Systems</t>
  </si>
  <si>
    <t>Ayer John Wise DIVine</t>
  </si>
  <si>
    <t>Analysis Of Errors</t>
  </si>
  <si>
    <t>Principles Of Gis</t>
  </si>
  <si>
    <t>Forkuo Eric Kwabena</t>
  </si>
  <si>
    <t>Satellite Surveying</t>
  </si>
  <si>
    <t>Andam-Akorful Samuel Ato</t>
  </si>
  <si>
    <t>Principles Of Surveying</t>
  </si>
  <si>
    <t>A. Acheampong</t>
  </si>
  <si>
    <t>Large Scale Surveying</t>
  </si>
  <si>
    <t>Dadzie Isaac</t>
  </si>
  <si>
    <t>Engineering Survey II</t>
  </si>
  <si>
    <t>Principles Of Remote Sensing</t>
  </si>
  <si>
    <t>Y. M. Asare</t>
  </si>
  <si>
    <t>Reproduction Cartography</t>
  </si>
  <si>
    <t>Quaye-Ballard Jonathan Arthur</t>
  </si>
  <si>
    <t>French For Communication  II</t>
  </si>
  <si>
    <t>Osei-Danso Harriet Efua</t>
  </si>
  <si>
    <t>French For Communication II</t>
  </si>
  <si>
    <t>Boakye-Agyeman Candy</t>
  </si>
  <si>
    <t>A. Yegblemenawo</t>
  </si>
  <si>
    <t>Literature In English II</t>
  </si>
  <si>
    <t>Yeboah Philomena Ama Okyeso</t>
  </si>
  <si>
    <t>Communication Skills II</t>
  </si>
  <si>
    <t>Alhassan Yakubu</t>
  </si>
  <si>
    <t>B. Ampong</t>
  </si>
  <si>
    <t>P.G. Asamoah</t>
  </si>
  <si>
    <t>Sarfo-Adu Kwasi</t>
  </si>
  <si>
    <t>Opoku Daniel</t>
  </si>
  <si>
    <t>Digital Signal Processing</t>
  </si>
  <si>
    <t>Kponyo Jerry John</t>
  </si>
  <si>
    <t>Power Systems Protection</t>
  </si>
  <si>
    <t>Power Systems Planning And Optimization</t>
  </si>
  <si>
    <t>Antoh Emmanuel Kwaku</t>
  </si>
  <si>
    <t>Electric DrIVes</t>
  </si>
  <si>
    <t>Effah Francis Boafo</t>
  </si>
  <si>
    <t>Electrical Engineering Lab. III</t>
  </si>
  <si>
    <t>E. K. Anto</t>
  </si>
  <si>
    <t>Power Systems Analysis</t>
  </si>
  <si>
    <t>Twumasi Elvis</t>
  </si>
  <si>
    <t>Power Electronics</t>
  </si>
  <si>
    <t>Substations And Transmission Line Design</t>
  </si>
  <si>
    <t>High Voltage Engineering</t>
  </si>
  <si>
    <t>Asigri Peter</t>
  </si>
  <si>
    <t>Electrical Engineering Lab. II</t>
  </si>
  <si>
    <t>Electrical Measurements And Instrumentation</t>
  </si>
  <si>
    <t>Electrical Measurement And Instrumentation</t>
  </si>
  <si>
    <t>J. Okae</t>
  </si>
  <si>
    <t>Digital Systems</t>
  </si>
  <si>
    <t>Synchronous Machines</t>
  </si>
  <si>
    <t>Electrical Engineering Machines</t>
  </si>
  <si>
    <t>Obeng Kwakye Kingsford Sarkodie</t>
  </si>
  <si>
    <t>Electrical Machines</t>
  </si>
  <si>
    <t>Y. O. M Sekyere</t>
  </si>
  <si>
    <t>Kwegyir Daniel</t>
  </si>
  <si>
    <t>Electrical Eng. Drawing</t>
  </si>
  <si>
    <t>Basic Electronics</t>
  </si>
  <si>
    <t>M. Appiah-Brimpong</t>
  </si>
  <si>
    <t>Y. O. M. Sekyere</t>
  </si>
  <si>
    <t>Introduction To Economics II</t>
  </si>
  <si>
    <t>Takyi Paul Owusu</t>
  </si>
  <si>
    <t>Introductory Economics II</t>
  </si>
  <si>
    <t>Elements Of Economics II</t>
  </si>
  <si>
    <t>M. H. Yussif</t>
  </si>
  <si>
    <t>Accounting II</t>
  </si>
  <si>
    <t>Yeboah Edward</t>
  </si>
  <si>
    <t>Principles Of Accounting II</t>
  </si>
  <si>
    <t>Introduction To VLSI</t>
  </si>
  <si>
    <t>Agbemenu Andrew Selasi</t>
  </si>
  <si>
    <t>Industrial Automatic Control</t>
  </si>
  <si>
    <t>Fault Diagnosis And Failure Tolerance</t>
  </si>
  <si>
    <t>Akowuah Emmanuel Kofi</t>
  </si>
  <si>
    <t>P. Adjei</t>
  </si>
  <si>
    <t>Robotics And Computer Vision</t>
  </si>
  <si>
    <t>Secure Network Systems</t>
  </si>
  <si>
    <t>Tchao Eric Tutu</t>
  </si>
  <si>
    <t>Software Engineering</t>
  </si>
  <si>
    <t>Keelson Eliel</t>
  </si>
  <si>
    <t>Autotronic Lab.</t>
  </si>
  <si>
    <t>Kommey Benjamin</t>
  </si>
  <si>
    <t>Digital Computer Design</t>
  </si>
  <si>
    <t>Boateng Kwame Osei</t>
  </si>
  <si>
    <t>Digital Systems Design II</t>
  </si>
  <si>
    <t>Database And Information Retrieval</t>
  </si>
  <si>
    <t>Embedded Systems</t>
  </si>
  <si>
    <t>Operating Systems</t>
  </si>
  <si>
    <t>Computer Engineering Lab II</t>
  </si>
  <si>
    <t>Circuit Theory</t>
  </si>
  <si>
    <t>Digital Systems Design I</t>
  </si>
  <si>
    <t>Nunoo-Mensah Henry</t>
  </si>
  <si>
    <t>Intro to Python &amp; Computer Networking</t>
  </si>
  <si>
    <t>C. M. Adrah</t>
  </si>
  <si>
    <t>Odame Prince</t>
  </si>
  <si>
    <t>Addo Daniel Akwei</t>
  </si>
  <si>
    <t>Practical Chemistry II</t>
  </si>
  <si>
    <t>Opoku Francis</t>
  </si>
  <si>
    <t>Pharmaceutical Technology</t>
  </si>
  <si>
    <t>Johnson Raphael</t>
  </si>
  <si>
    <t>Environmental Eng. Technology</t>
  </si>
  <si>
    <t>Afotey Benjamin</t>
  </si>
  <si>
    <t>Pulp And Paper Technology</t>
  </si>
  <si>
    <t>Rockson Mizpah Ama Dziedzorm</t>
  </si>
  <si>
    <t>Adsorption Separation Process Technology</t>
  </si>
  <si>
    <t>Ohemeng-Boahen Godfred</t>
  </si>
  <si>
    <t>Entrepreneurship And Business Development</t>
  </si>
  <si>
    <t>Asamoah Boateng Kenneth</t>
  </si>
  <si>
    <t>Process Control And Simulation</t>
  </si>
  <si>
    <t>Baah-Ennumh Emmanuel Kwaku</t>
  </si>
  <si>
    <t>Environmental Impact Assessment</t>
  </si>
  <si>
    <t>Food Processing Technology</t>
  </si>
  <si>
    <t>Anang Daniel Adjah</t>
  </si>
  <si>
    <t>Renewable Energy Resources</t>
  </si>
  <si>
    <t>Packaging Technology</t>
  </si>
  <si>
    <t>Silicate Technology II</t>
  </si>
  <si>
    <t>Momade Zsuzsanna Gál</t>
  </si>
  <si>
    <t>Numerical Methods For Chemical Engineers</t>
  </si>
  <si>
    <t>Darkwah Lawrence</t>
  </si>
  <si>
    <t>Simultaneous Heat/Mass Transfer</t>
  </si>
  <si>
    <t>Chemical Reaction Engineering</t>
  </si>
  <si>
    <t>Materials Science</t>
  </si>
  <si>
    <t>Chemical Engineering Thermodynamics II</t>
  </si>
  <si>
    <t>E. Dogbe</t>
  </si>
  <si>
    <t>Chemical Process Calculations II</t>
  </si>
  <si>
    <t>Strength Of Materials For Chemical Engineers</t>
  </si>
  <si>
    <t>Ground Engineering</t>
  </si>
  <si>
    <t>Finite Element Analysis</t>
  </si>
  <si>
    <t>J. Owusu Twumasi</t>
  </si>
  <si>
    <t>S. I. K. Ampadu</t>
  </si>
  <si>
    <t>System Engineering II</t>
  </si>
  <si>
    <t>Osei Jack Banahene</t>
  </si>
  <si>
    <t>Transportation Engineering</t>
  </si>
  <si>
    <t>Tuffour Yaw Adubofour</t>
  </si>
  <si>
    <t>Environmental Quality Engineering II</t>
  </si>
  <si>
    <t>Appiah-Effah Eugene</t>
  </si>
  <si>
    <t>Construction Management</t>
  </si>
  <si>
    <t>Obeng Daniel Atuah</t>
  </si>
  <si>
    <t>Water Resources Engineering II</t>
  </si>
  <si>
    <t>Anornu Geophrey Kwame</t>
  </si>
  <si>
    <t>Structural Dynamics</t>
  </si>
  <si>
    <t>Road Design And Material Evoloution Laboratory</t>
  </si>
  <si>
    <t>Tutu Kenneth Adomako</t>
  </si>
  <si>
    <t>Integrated Design</t>
  </si>
  <si>
    <t>Ayeh Felix Jojo Fianko</t>
  </si>
  <si>
    <t>Quantities And Cost Estimation In CIVil Engineering</t>
  </si>
  <si>
    <t>Transportation And Highway II</t>
  </si>
  <si>
    <t>Ababio-Donkor Augustus</t>
  </si>
  <si>
    <t>Highway Engineering</t>
  </si>
  <si>
    <t>Environmental Quality Engineering</t>
  </si>
  <si>
    <t>K.B. Nyarko</t>
  </si>
  <si>
    <t>Acquaah Vincent Kofi Abaka</t>
  </si>
  <si>
    <t>Hydraulic Engineering</t>
  </si>
  <si>
    <t>Adjei Kwaku Amaning</t>
  </si>
  <si>
    <t>Steel And Timber Design</t>
  </si>
  <si>
    <t>M. Adom-Asamoah</t>
  </si>
  <si>
    <t>Principle Of Design</t>
  </si>
  <si>
    <t>Intro To Environmental Eng.</t>
  </si>
  <si>
    <t>Essandoh Helen Michelle Korkor</t>
  </si>
  <si>
    <t>Soil And Rocks Mechanics Laboratory</t>
  </si>
  <si>
    <t>Dzikunu-Bansah Nancy Anataba Kyorku</t>
  </si>
  <si>
    <t>Soil And Rock Mechanics</t>
  </si>
  <si>
    <t>Owusu-Nimo Frederick</t>
  </si>
  <si>
    <t>Charkley Frederick Nai</t>
  </si>
  <si>
    <t>Structural Analysis</t>
  </si>
  <si>
    <t>Kankam Charles Kwame</t>
  </si>
  <si>
    <t>Fluid Mechanics</t>
  </si>
  <si>
    <t>CIVil Engineering Drawing</t>
  </si>
  <si>
    <t>Elementary Fluids Mechanics</t>
  </si>
  <si>
    <t>Gyamfi Charles</t>
  </si>
  <si>
    <t>Properties Of CIVil Engineering Material</t>
  </si>
  <si>
    <t>Sossou Gnida</t>
  </si>
  <si>
    <t>Biomechanics II</t>
  </si>
  <si>
    <t>Medical Device Regulation</t>
  </si>
  <si>
    <t>Acquah Isaac</t>
  </si>
  <si>
    <t>Biomedical Optics</t>
  </si>
  <si>
    <t>Kotei Addison Eric Clement</t>
  </si>
  <si>
    <t>Bioinstrumentation I</t>
  </si>
  <si>
    <t>Biosignal Processes And Analysis</t>
  </si>
  <si>
    <t>Adjei Prince Ebenezer</t>
  </si>
  <si>
    <t>Medical Imaging I</t>
  </si>
  <si>
    <t>Biomaterials I</t>
  </si>
  <si>
    <t>Chemical Pathology</t>
  </si>
  <si>
    <t>Sakyi Samuel Asamoah</t>
  </si>
  <si>
    <t>Anatomy And Physiology For Engineers II</t>
  </si>
  <si>
    <t>Agyapong Dorothy Araba Yakoba</t>
  </si>
  <si>
    <t>Biomedical Engineering Design II</t>
  </si>
  <si>
    <t>Introduction To Lighting And Acoustics</t>
  </si>
  <si>
    <t>Amos-Abanyie Samuel</t>
  </si>
  <si>
    <t>Vehicle Maintenance And Regulation</t>
  </si>
  <si>
    <t>Abu Frimpong Solomon</t>
  </si>
  <si>
    <t>Special Vehicle Design</t>
  </si>
  <si>
    <t>Ayetor Godwin Kafui Kwesi</t>
  </si>
  <si>
    <t>Modern Automobile Technology</t>
  </si>
  <si>
    <t>Automobile Engineering Laboratory IV</t>
  </si>
  <si>
    <t>Manual Power Train</t>
  </si>
  <si>
    <t>Vibrations For Automobile Engineers</t>
  </si>
  <si>
    <t>Land Vehicle Structures</t>
  </si>
  <si>
    <t>Automobile Engineering Laboratory II</t>
  </si>
  <si>
    <t>AutomotIVe Electrical Systems And Electronics</t>
  </si>
  <si>
    <t>Design Of Auto Machine Elements</t>
  </si>
  <si>
    <t>Aerospace Safety And Air Security</t>
  </si>
  <si>
    <t>Applied Meteorology</t>
  </si>
  <si>
    <t>Aerodynamics II</t>
  </si>
  <si>
    <t>Bofah Kwasi Kete</t>
  </si>
  <si>
    <t>Aerospace Engineering Lab II</t>
  </si>
  <si>
    <t>Aircraft Performance And Design</t>
  </si>
  <si>
    <t>Agyei Agyemang Anthony</t>
  </si>
  <si>
    <t>Propulsion</t>
  </si>
  <si>
    <t>Air Vehicle Stability And Control</t>
  </si>
  <si>
    <t>Aerospace Design Project II</t>
  </si>
  <si>
    <t>Aerospace Structures</t>
  </si>
  <si>
    <t>Aerospace Design Project I</t>
  </si>
  <si>
    <t>Agodzo Sampson Kwaku</t>
  </si>
  <si>
    <t>Farm Machinery Design</t>
  </si>
  <si>
    <t>Crop Storage And Storage Structures</t>
  </si>
  <si>
    <t>Bart Plange Ato</t>
  </si>
  <si>
    <t>Maintenance And Repairs Of Agric. Machinery</t>
  </si>
  <si>
    <t>Bobobee Emmanuel Yaovi Hunnuor</t>
  </si>
  <si>
    <t>Crop Losses And Their Control</t>
  </si>
  <si>
    <t xml:space="preserve">Darko Joseph Ofei </t>
  </si>
  <si>
    <t>Soil And Water Engineering II</t>
  </si>
  <si>
    <t>Agyare Wilson Agyei</t>
  </si>
  <si>
    <t>Research Methods For Engineers</t>
  </si>
  <si>
    <t>Amponsah William</t>
  </si>
  <si>
    <t>Rural Engineering</t>
  </si>
  <si>
    <t>Mensah Ebenezer</t>
  </si>
  <si>
    <t>Renewable Energy Systems And Management</t>
  </si>
  <si>
    <t>Kemausuor Francis</t>
  </si>
  <si>
    <t>Farm Power And Machinery</t>
  </si>
  <si>
    <t>Soil Mechanics Application To Mechanisation</t>
  </si>
  <si>
    <t>Engineering Workshop Practice</t>
  </si>
  <si>
    <t>Asante Eric Amoah</t>
  </si>
  <si>
    <t>Basic Agriculture</t>
  </si>
  <si>
    <t>Bessah Enoch</t>
  </si>
  <si>
    <t>Financial Accounting II</t>
  </si>
  <si>
    <t>Data Communication Principles</t>
  </si>
  <si>
    <t>Microprocessors</t>
  </si>
  <si>
    <t xml:space="preserve">Digital Electronics &amp; Microprocessor Lab </t>
  </si>
  <si>
    <t>Engineering Mechanics I:Statics</t>
  </si>
  <si>
    <t>Finite Element Methods</t>
  </si>
  <si>
    <t>Marine Engineering Laboratory II</t>
  </si>
  <si>
    <t>Z. Osei</t>
  </si>
  <si>
    <t xml:space="preserve">Software Engineering I             </t>
  </si>
  <si>
    <t>VLSI Circuit Design</t>
  </si>
  <si>
    <t>B. Sarpong-Danquah</t>
  </si>
  <si>
    <t>E. Yeboah</t>
  </si>
  <si>
    <t xml:space="preserve">Hydrographic Surveying </t>
  </si>
  <si>
    <t>J. B. Dramani</t>
  </si>
  <si>
    <t>B. Sarpong- Danquah</t>
  </si>
  <si>
    <t>Optical and Thermal Behaviour of Materials</t>
  </si>
  <si>
    <t>Emmanuel Kwesi Arthur</t>
  </si>
  <si>
    <t>Session, 6 (5:00 PM - 6:00 PM)</t>
  </si>
  <si>
    <t>Session, 7 (6:45 PM - 7:45 PM)</t>
  </si>
  <si>
    <t>AME 156</t>
  </si>
  <si>
    <t>Samuel Boahen</t>
  </si>
  <si>
    <t xml:space="preserve">Basic Thermodynamics </t>
  </si>
  <si>
    <t>ME 370</t>
  </si>
  <si>
    <t>Francis Davis</t>
  </si>
  <si>
    <t>SKY Gawu</t>
  </si>
  <si>
    <t>Basic Geology</t>
  </si>
  <si>
    <t>BASIC GEOLOGY</t>
  </si>
  <si>
    <t>CE 452</t>
  </si>
  <si>
    <t>Computer Applications in Civil Engineering</t>
  </si>
  <si>
    <t>E. Amponsah</t>
  </si>
  <si>
    <t>COMPUTER APPLICATIONS IN CIVIL ENGINEERING</t>
  </si>
  <si>
    <t>TE 356</t>
  </si>
  <si>
    <t>TE 358</t>
  </si>
  <si>
    <t>coe 382</t>
  </si>
  <si>
    <t xml:space="preserve">Digital System Design II    </t>
  </si>
  <si>
    <t xml:space="preserve">Digital System Design II      </t>
  </si>
  <si>
    <t>COE 181</t>
  </si>
  <si>
    <t>Applied Electricity</t>
  </si>
  <si>
    <t>ME 161</t>
  </si>
  <si>
    <t>K. O. Amoabeng</t>
  </si>
  <si>
    <t>BME 161</t>
  </si>
  <si>
    <t>Cell Biology</t>
  </si>
  <si>
    <t>CELL BIOLOGY</t>
  </si>
  <si>
    <t>BME 166</t>
  </si>
  <si>
    <t>Computer based</t>
  </si>
  <si>
    <t>GED 162</t>
  </si>
  <si>
    <t>R. N. Borkor</t>
  </si>
  <si>
    <t>I. Azure</t>
  </si>
  <si>
    <t>E. Abekah</t>
  </si>
  <si>
    <t>Isaac Addae</t>
  </si>
  <si>
    <t>Emmanuel Mensah</t>
  </si>
  <si>
    <t>Prince Junior Asilevi</t>
  </si>
  <si>
    <t>Eunice Akyereko Adjei</t>
  </si>
  <si>
    <t>Automotive Spark-Ignition Engines</t>
  </si>
  <si>
    <t>Automotive Chassis</t>
  </si>
  <si>
    <t>N. K. Prah II</t>
  </si>
  <si>
    <t>F. M. Newman</t>
  </si>
  <si>
    <t>R. Amankwah-Loglo</t>
  </si>
  <si>
    <t>T. Tienaah</t>
  </si>
  <si>
    <t>Ayer John Wise Divine</t>
  </si>
  <si>
    <t>P. O. Tawiah</t>
  </si>
  <si>
    <t>D. K. Oppong</t>
  </si>
  <si>
    <t>J. Opoku-Ware</t>
  </si>
  <si>
    <t>ged 162</t>
  </si>
  <si>
    <t>NEB-SF</t>
  </si>
  <si>
    <t>E. BONYA</t>
  </si>
  <si>
    <t>GED 368</t>
  </si>
  <si>
    <t>NEB-TF/NEB-SF/NEB-FF2</t>
  </si>
  <si>
    <t>160/160/58</t>
  </si>
  <si>
    <t>Total</t>
  </si>
  <si>
    <t>NEB-TF</t>
  </si>
  <si>
    <t>COHORT D3</t>
  </si>
  <si>
    <t>NEB-FF1</t>
  </si>
  <si>
    <t>COHORT D2</t>
  </si>
  <si>
    <t>NEB-FF2</t>
  </si>
  <si>
    <r>
      <t xml:space="preserve">NEB
</t>
    </r>
    <r>
      <rPr>
        <sz val="24"/>
        <color theme="1"/>
        <rFont val="Times New Roman"/>
        <family val="1"/>
      </rPr>
      <t>D</t>
    </r>
  </si>
  <si>
    <t>COHORT D1</t>
  </si>
  <si>
    <t>NEB-SF1</t>
  </si>
  <si>
    <t>NAF1</t>
  </si>
  <si>
    <t>COHORT C2</t>
  </si>
  <si>
    <t>EA</t>
  </si>
  <si>
    <t>A110</t>
  </si>
  <si>
    <t>ECR</t>
  </si>
  <si>
    <r>
      <t xml:space="preserve">EXAMS
OFFICE
</t>
    </r>
    <r>
      <rPr>
        <sz val="26"/>
        <rFont val="Times New Roman"/>
        <family val="1"/>
      </rPr>
      <t>C</t>
    </r>
  </si>
  <si>
    <t>COHORT C1</t>
  </si>
  <si>
    <t>VCR</t>
  </si>
  <si>
    <t>PB208</t>
  </si>
  <si>
    <t>PB212</t>
  </si>
  <si>
    <t>PB214</t>
  </si>
  <si>
    <t>COHORT B2</t>
  </si>
  <si>
    <t>PB201</t>
  </si>
  <si>
    <t>PB008</t>
  </si>
  <si>
    <t>PB012</t>
  </si>
  <si>
    <t>PB014</t>
  </si>
  <si>
    <t>PB020</t>
  </si>
  <si>
    <r>
      <t xml:space="preserve">PETROLEUM
 BUILDING
</t>
    </r>
    <r>
      <rPr>
        <sz val="24"/>
        <color theme="1"/>
        <rFont val="Times New Roman"/>
        <family val="1"/>
      </rPr>
      <t>B</t>
    </r>
  </si>
  <si>
    <t>COHORT B1</t>
  </si>
  <si>
    <t>PB001</t>
  </si>
  <si>
    <t>N2</t>
  </si>
  <si>
    <t>COHORT A3</t>
  </si>
  <si>
    <t>N1</t>
  </si>
  <si>
    <t>COHORT A2</t>
  </si>
  <si>
    <t>VSLA</t>
  </si>
  <si>
    <t>RMB</t>
  </si>
  <si>
    <t>RMA</t>
  </si>
  <si>
    <r>
      <t xml:space="preserve">BAMFO 
KWAKYE 
</t>
    </r>
    <r>
      <rPr>
        <b/>
        <sz val="24"/>
        <color theme="1"/>
        <rFont val="Times New Roman"/>
        <family val="1"/>
      </rPr>
      <t>A</t>
    </r>
  </si>
  <si>
    <t>COHORT A1</t>
  </si>
  <si>
    <t>LT</t>
  </si>
  <si>
    <t>Exam Capacity</t>
  </si>
  <si>
    <t>Rooms</t>
  </si>
  <si>
    <t>Available Rooms</t>
  </si>
  <si>
    <t>College of Engineering</t>
  </si>
  <si>
    <t>40/40/40/40/40/30/25</t>
  </si>
  <si>
    <t>PB001/PB020/PB014/PB201/PB214/PB208/PB212</t>
  </si>
  <si>
    <t>40/40/40/40/40/30/28</t>
  </si>
  <si>
    <t>PB001/PB020/PB014/PB201/PB214/PB208/PB008</t>
  </si>
  <si>
    <t>NEB-SF/NEB-TF</t>
  </si>
  <si>
    <t>80/78</t>
  </si>
  <si>
    <t>NEB-SF/NEB-TF/NEB-FF2</t>
  </si>
  <si>
    <t>NAF1/EA/A110/ECR</t>
  </si>
  <si>
    <t>45/30/30/25/22</t>
  </si>
  <si>
    <t>NAF1/EA/A110/ECR/VCR</t>
  </si>
  <si>
    <t>NEB-FF1/NEB-FF2</t>
  </si>
  <si>
    <t>VSLA/303/LT/N1</t>
  </si>
  <si>
    <t>40/30/21/20</t>
  </si>
  <si>
    <t>RMA/RMB/206</t>
  </si>
  <si>
    <t>23/20/20</t>
  </si>
  <si>
    <t>40/40/40/40/40/26</t>
  </si>
  <si>
    <t>PB001/PB020/PB014/PB201/PB214/PB208</t>
  </si>
  <si>
    <t>VSLA/303/LT/N1/RMA/RMB</t>
  </si>
  <si>
    <t>40/30/25/25/20/17</t>
  </si>
  <si>
    <t>NAF1/EA/A110/VCR/ECR</t>
  </si>
  <si>
    <t>40/30/30/22/20</t>
  </si>
  <si>
    <t xml:space="preserve">NEB-SF </t>
  </si>
  <si>
    <t>NEB-TF/NEB-FF1</t>
  </si>
  <si>
    <t>NAF1/EA/A110</t>
  </si>
  <si>
    <t>45/30/30</t>
  </si>
  <si>
    <t>40/24/20</t>
  </si>
  <si>
    <t>VSLA/303/LT/206</t>
  </si>
  <si>
    <t>40/30/23/10</t>
  </si>
  <si>
    <t>40/21</t>
  </si>
  <si>
    <t>40/40/40/40/40/24/20</t>
  </si>
  <si>
    <t>40/40/40/40/40/11</t>
  </si>
  <si>
    <t>PB001/PB020/PB014/PB201/PB214/PB212</t>
  </si>
  <si>
    <t>35/30/30/13</t>
  </si>
  <si>
    <t>NAF1/EA/A110/VCR</t>
  </si>
  <si>
    <t>35/30/30/12</t>
  </si>
  <si>
    <t>VSLA/303/RMA</t>
  </si>
  <si>
    <t>40/28/20</t>
  </si>
  <si>
    <t>40/25/20</t>
  </si>
  <si>
    <t>LT/N1/RMB/206</t>
  </si>
  <si>
    <t>20/20/20/15</t>
  </si>
  <si>
    <t>PB008/PB208</t>
  </si>
  <si>
    <t>30/25</t>
  </si>
  <si>
    <t xml:space="preserve">LT/N1/RMB </t>
  </si>
  <si>
    <t>22/20/20</t>
  </si>
  <si>
    <t>PB001/PB020/PB014/PB201/PB214/PB008</t>
  </si>
  <si>
    <t>40/40/40/40/40/27</t>
  </si>
  <si>
    <t>80/76</t>
  </si>
  <si>
    <t>40/30/30/21/20</t>
  </si>
  <si>
    <t>43/30/25/20/20/20</t>
  </si>
  <si>
    <t>PB208/PB212</t>
  </si>
  <si>
    <t>28/21</t>
  </si>
  <si>
    <t>PB001/PB020</t>
  </si>
  <si>
    <t>40/29</t>
  </si>
  <si>
    <t>PB014/PB201/PB008</t>
  </si>
  <si>
    <t>30/30/26</t>
  </si>
  <si>
    <t>80/74</t>
  </si>
  <si>
    <t>40/40/40/40/15</t>
  </si>
  <si>
    <t>PB001/PB020/PB201/PB214/PB212</t>
  </si>
  <si>
    <t>PB014/PB208/PB008</t>
  </si>
  <si>
    <t>34/30/30</t>
  </si>
  <si>
    <t>40/30/25/25/24/21/20</t>
  </si>
  <si>
    <t>NAF1/A110/EA</t>
  </si>
  <si>
    <t>ECR/VCR</t>
  </si>
  <si>
    <t>22/20</t>
  </si>
  <si>
    <t>80/80/24</t>
  </si>
  <si>
    <t>VSLA/RMA/206/N2</t>
  </si>
  <si>
    <t>40/30/20/13</t>
  </si>
  <si>
    <t xml:space="preserve">NAF1 </t>
  </si>
  <si>
    <t>A110/VCR/ECR</t>
  </si>
  <si>
    <t>40/40/40/40/40/20/17</t>
  </si>
  <si>
    <t>72/70</t>
  </si>
  <si>
    <t>A110/ECR/VCR</t>
  </si>
  <si>
    <t>EA/A110</t>
  </si>
  <si>
    <t>30/29</t>
  </si>
  <si>
    <t>20/20/20/12</t>
  </si>
  <si>
    <t>NAF1/EA</t>
  </si>
  <si>
    <t>VSLA/303/LT</t>
  </si>
  <si>
    <t>PB001/PB020/PB014/PB008/PB201/PB214</t>
  </si>
  <si>
    <t>PB001/PB020/PB014/PB008/PB201/PB214/PB212</t>
  </si>
  <si>
    <t>NEB-TF/NEB-SF</t>
  </si>
  <si>
    <t>40/25/25/25</t>
  </si>
  <si>
    <t>40/40/40/30/40/40</t>
  </si>
  <si>
    <t>40/40/40/30/40/40/25</t>
  </si>
  <si>
    <t>50/25</t>
  </si>
  <si>
    <t>75/75/20</t>
  </si>
  <si>
    <t>40/30/30/25</t>
  </si>
  <si>
    <t>20/20/15/15</t>
  </si>
  <si>
    <t>LT/RMA/RMB</t>
  </si>
  <si>
    <t>VSLA/303/304/LT</t>
  </si>
  <si>
    <t>VSLA/303/304</t>
  </si>
  <si>
    <t>PB001/PB020/PB014/PB008</t>
  </si>
  <si>
    <t>PB201/PB214/PB212</t>
  </si>
  <si>
    <t>N1/N2</t>
  </si>
  <si>
    <t>NEB-SF/NEB-FF1/NEB-FF2</t>
  </si>
  <si>
    <t>40/25/20/20</t>
  </si>
  <si>
    <t>40/25/21</t>
  </si>
  <si>
    <t>20/20/22</t>
  </si>
  <si>
    <t>42/26/28/23</t>
  </si>
  <si>
    <t>30/30/16</t>
  </si>
  <si>
    <t>40/25/25/20</t>
  </si>
  <si>
    <t>78/53/25</t>
  </si>
  <si>
    <t>78/53/27</t>
  </si>
  <si>
    <t>NEB-SF/NEB-FF2</t>
  </si>
  <si>
    <t>LT/RMA/RMB/206</t>
  </si>
  <si>
    <t>VSLA/303/304/206</t>
  </si>
  <si>
    <t>PB001/PB020/PB014/PB008/PB201/PB214/PB212/PB208</t>
  </si>
  <si>
    <t>79/28</t>
  </si>
  <si>
    <t>23/23/23</t>
  </si>
  <si>
    <t>23/22/22/22</t>
  </si>
  <si>
    <t>40/24/23/20</t>
  </si>
  <si>
    <t>75/50/25</t>
  </si>
  <si>
    <t>35/25/20/20</t>
  </si>
  <si>
    <t>40/40/40/30/40/40/25/22</t>
  </si>
  <si>
    <t>37/24/23/20</t>
  </si>
  <si>
    <t>43/28/28/23</t>
  </si>
  <si>
    <t>40/39/40/30/40/38</t>
  </si>
  <si>
    <t>35/25/25/20/20</t>
  </si>
  <si>
    <t>22/22/21</t>
  </si>
  <si>
    <t>50/28</t>
  </si>
  <si>
    <t>80/75</t>
  </si>
  <si>
    <t>30/20/20/20</t>
  </si>
  <si>
    <t>80/77</t>
  </si>
  <si>
    <t>35/26/26/20/18</t>
  </si>
  <si>
    <t>VSLA/303/304/206/LT/RMA/RMB</t>
  </si>
  <si>
    <t>NEB-TF/NEB-SF/NEB-FF1</t>
  </si>
  <si>
    <t>VSLA/303/304/206/LT</t>
  </si>
  <si>
    <t>RMA/RMB/N1</t>
  </si>
  <si>
    <t>40/25/20/20/20/20/10</t>
  </si>
  <si>
    <t>75/75/50</t>
  </si>
  <si>
    <t>79/77</t>
  </si>
  <si>
    <t>52/30</t>
  </si>
  <si>
    <t>40/40/40/25/35/35/20/25</t>
  </si>
  <si>
    <t>40/25/20/20/10</t>
  </si>
  <si>
    <t>35/35/35/25/35/35/20</t>
  </si>
  <si>
    <t>40/27/27/20</t>
  </si>
  <si>
    <t>42/28/28/23/21</t>
  </si>
  <si>
    <t>PB001/PB020/PB014/PB008/PB201/PB214/PB208</t>
  </si>
  <si>
    <t>LT/RMA/RMB/N1</t>
  </si>
  <si>
    <t>NEB-TF/NEB-SF/NEB-FF1/NEB-FF2</t>
  </si>
  <si>
    <t>VSLA/303/304/206/LT/RMA/RMB/N1</t>
  </si>
  <si>
    <t>20/19</t>
  </si>
  <si>
    <t>40/40/40/30/40/40/26</t>
  </si>
  <si>
    <t>75/72</t>
  </si>
  <si>
    <t>78/78/54/27</t>
  </si>
  <si>
    <t>40/25/20/20/20/20/20/20</t>
  </si>
  <si>
    <t>42/28/28/23/20</t>
  </si>
  <si>
    <t>40/20/20/14</t>
  </si>
  <si>
    <t>PB001/PB020/PB014</t>
  </si>
  <si>
    <t>30/20/20/14</t>
  </si>
  <si>
    <t>40/35/33</t>
  </si>
  <si>
    <t>42/26/24/23</t>
  </si>
  <si>
    <t>40/25/25/18</t>
  </si>
  <si>
    <t>40/40/40/30/40/40/24</t>
  </si>
  <si>
    <t>20/20/15/13</t>
  </si>
  <si>
    <t>39/20</t>
  </si>
  <si>
    <t>30/20/20/12</t>
  </si>
  <si>
    <t>80/80/20</t>
  </si>
  <si>
    <t>40/25/20/21/21/20</t>
  </si>
  <si>
    <t>43/25/20/21/21/20</t>
  </si>
  <si>
    <t>40/25/25/13</t>
  </si>
  <si>
    <t>25/20/20/20</t>
  </si>
  <si>
    <t>PB008/PB212/PB214</t>
  </si>
  <si>
    <t>PB001/PB020/PB014/PB008/PB201/PB214/PB212/PB208/NEB-SF/NEB-FF1</t>
  </si>
  <si>
    <t>303/304/206/LT/RMA/RMB</t>
  </si>
  <si>
    <t>PB201/PB208</t>
  </si>
  <si>
    <t>40/25/25/21</t>
  </si>
  <si>
    <t>50/26</t>
  </si>
  <si>
    <t>42/27/27/24</t>
  </si>
  <si>
    <t>36/36</t>
  </si>
  <si>
    <t>30/25/34</t>
  </si>
  <si>
    <t>32/32/32</t>
  </si>
  <si>
    <t>43/25/20/21/20/20</t>
  </si>
  <si>
    <t>40/40/40/30/40/40/25/30/75/38</t>
  </si>
  <si>
    <t>25/20/21/18/13</t>
  </si>
  <si>
    <t>35/27</t>
  </si>
  <si>
    <t>PB214/PB201</t>
  </si>
  <si>
    <t>PB212/PB208</t>
  </si>
  <si>
    <t>PB014/PB008</t>
  </si>
  <si>
    <t>35/28</t>
  </si>
  <si>
    <t>80/77/27</t>
  </si>
  <si>
    <t>43/29/29/20</t>
  </si>
  <si>
    <t>21/20</t>
  </si>
  <si>
    <t>38/27</t>
  </si>
  <si>
    <t>40/25/20/21/21/15</t>
  </si>
  <si>
    <t>35/34</t>
  </si>
  <si>
    <t>25/34</t>
  </si>
  <si>
    <t>PB201/PB214</t>
  </si>
  <si>
    <t>VSLA/303/304/206/LT/RMA</t>
  </si>
  <si>
    <t>PB001/PB020/PB008</t>
  </si>
  <si>
    <t>NEB-TF/NEB-FF1/NEB-FF2</t>
  </si>
  <si>
    <t>39/19/19/19/19</t>
  </si>
  <si>
    <t>31/31</t>
  </si>
  <si>
    <t>40/25/20/20/20/14</t>
  </si>
  <si>
    <t xml:space="preserve"> 30/30/16</t>
  </si>
  <si>
    <t>40/39/40/30/40/37</t>
  </si>
  <si>
    <t>40/20/20/20/19</t>
  </si>
  <si>
    <t>19/18</t>
  </si>
  <si>
    <t>21/20/20</t>
  </si>
  <si>
    <t>29/20/20/20</t>
  </si>
  <si>
    <t>75/75/50/27</t>
  </si>
  <si>
    <t>30/20/20/20/15</t>
  </si>
  <si>
    <t>23/23/22</t>
  </si>
  <si>
    <t>N1/RMA</t>
  </si>
  <si>
    <t>N1/RMB</t>
  </si>
  <si>
    <t>80/80/55/29</t>
  </si>
  <si>
    <t>30/20/20/20/17</t>
  </si>
  <si>
    <t>30/20/20/20/14</t>
  </si>
  <si>
    <t>40/25/20/15/17</t>
  </si>
  <si>
    <t>35/31/20</t>
  </si>
  <si>
    <t>31/31/20</t>
  </si>
  <si>
    <t>25/23</t>
  </si>
  <si>
    <t>MARINE ENGINEERING DESIGN PROJECT II</t>
  </si>
  <si>
    <t>SECOND YEAR DESIGN PROJECT</t>
  </si>
  <si>
    <t>40/25/23/22/22/15</t>
  </si>
  <si>
    <t>25/35</t>
  </si>
  <si>
    <t>30/35/20</t>
  </si>
  <si>
    <t>40/25/25/21/18</t>
  </si>
  <si>
    <t>40/25/20/21/21/14</t>
  </si>
  <si>
    <t>40/25/20/20/18</t>
  </si>
  <si>
    <t>PB008/PB201</t>
  </si>
  <si>
    <t>PB008/PB201/PB214</t>
  </si>
  <si>
    <t>PB001/PB014/PB020/PB201/PB214/PB008/PB208</t>
  </si>
  <si>
    <t>VSLA/303/LT/RMA/RMB/304</t>
  </si>
  <si>
    <t>A110/EA/VCR</t>
  </si>
  <si>
    <t>PB001/PB014/PB020/PB201/PB214/PB008/PB212</t>
  </si>
  <si>
    <t>LT/RMA/RMB/304</t>
  </si>
  <si>
    <t>VSLA/303</t>
  </si>
  <si>
    <t>40/40/40/40/40/30/30</t>
  </si>
  <si>
    <t>40/30/23/22/22/18</t>
  </si>
  <si>
    <t>30/28/20</t>
  </si>
  <si>
    <t>78/78/55/26</t>
  </si>
  <si>
    <t>20/20/20/16</t>
  </si>
  <si>
    <t>45/27</t>
  </si>
  <si>
    <t>303/206/304</t>
  </si>
  <si>
    <t>PB214/PB008/PB208/PB212</t>
  </si>
  <si>
    <t>VSLA/LT/RMA</t>
  </si>
  <si>
    <t>PB001/PB014/PB020/PB201/PB214/PB008/PB208/NEB-SF/NEB-FF1</t>
  </si>
  <si>
    <t>VSLA/303/LT/RMA/RMB</t>
  </si>
  <si>
    <t>PB001/PB014/PB020/PB201/PB212</t>
  </si>
  <si>
    <t>206/304</t>
  </si>
  <si>
    <t>40/24/24</t>
  </si>
  <si>
    <t>25/20/14</t>
  </si>
  <si>
    <t>35/24/23/15</t>
  </si>
  <si>
    <t>40/18/17</t>
  </si>
  <si>
    <t>40/40/40/40/40/28/25/75/50</t>
  </si>
  <si>
    <t>75/51/30</t>
  </si>
  <si>
    <t>45/30/22/22/20</t>
  </si>
  <si>
    <t>40/40/40/40/20</t>
  </si>
  <si>
    <t>42/25/25/22</t>
  </si>
  <si>
    <t>PB001/PB014/PB020/PB008</t>
  </si>
  <si>
    <t>NEB-TF/NEB-FF2</t>
  </si>
  <si>
    <t>PB201/PB214/PB208</t>
  </si>
  <si>
    <t>NEB-SF/NEB-FF1</t>
  </si>
  <si>
    <t>NAF1/A110/VCR/ECR</t>
  </si>
  <si>
    <t>VSLA/LT</t>
  </si>
  <si>
    <t>303/RMA/206/304</t>
  </si>
  <si>
    <t>NAF1/A110/VCR</t>
  </si>
  <si>
    <t>38/38/38/23</t>
  </si>
  <si>
    <t>70/27</t>
  </si>
  <si>
    <t>40/40/25</t>
  </si>
  <si>
    <t>75/50</t>
  </si>
  <si>
    <t>30/20</t>
  </si>
  <si>
    <t>40/22/20</t>
  </si>
  <si>
    <t>42/30/25/24</t>
  </si>
  <si>
    <t>40/22</t>
  </si>
  <si>
    <t>75/51</t>
  </si>
  <si>
    <t>30/20/20/17</t>
  </si>
  <si>
    <t>40/26/20</t>
  </si>
  <si>
    <t>PB001/PB014/PB020/PB201/PB214/PB008</t>
  </si>
  <si>
    <t>40/40/40/40/40/30/24</t>
  </si>
  <si>
    <t>VSLA/303/LT/RMA/RMB/206</t>
  </si>
  <si>
    <t>VSLA/303/LT/RMA/RMB/206/304</t>
  </si>
  <si>
    <t>40/30/30/19</t>
  </si>
  <si>
    <t>45/20</t>
  </si>
  <si>
    <t>40/25/20/20/20/16</t>
  </si>
  <si>
    <t>40/30/22/20/20/20/18</t>
  </si>
  <si>
    <t>VCR/ECR</t>
  </si>
  <si>
    <t>PB001/PB014/PB208/PB212</t>
  </si>
  <si>
    <t>VSLA/303/RMA/RMB</t>
  </si>
  <si>
    <t>PB214/PB212</t>
  </si>
  <si>
    <t>31/30</t>
  </si>
  <si>
    <t>20/20/19</t>
  </si>
  <si>
    <t>20/17</t>
  </si>
  <si>
    <t>55/29</t>
  </si>
  <si>
    <t>40/40/30/16</t>
  </si>
  <si>
    <t>39/39/26</t>
  </si>
  <si>
    <t>42/28/22/22</t>
  </si>
  <si>
    <t>40/27/27</t>
  </si>
  <si>
    <t>40/23</t>
  </si>
  <si>
    <t>VSLA/303/LT/RMA</t>
  </si>
  <si>
    <t>40/20/20/16</t>
  </si>
  <si>
    <t>42/23/20/20</t>
  </si>
  <si>
    <t>40/40/40/40/40/30</t>
  </si>
  <si>
    <t>206/304/N1/N2</t>
  </si>
  <si>
    <t>A110/VCR</t>
  </si>
  <si>
    <t>RMA/RMB/206/304</t>
  </si>
  <si>
    <t>NEB-TF/NEB-SF/NEB-FF1/NEB-FF2/EA</t>
  </si>
  <si>
    <t>43/30/22/22/22</t>
  </si>
  <si>
    <t>22/20/20/16</t>
  </si>
  <si>
    <t>78/77</t>
  </si>
  <si>
    <t>40/40/40/40/40/30/15</t>
  </si>
  <si>
    <t>75/75/55/25/25</t>
  </si>
  <si>
    <t>PB001/PB014/PB020/PB201/PB214/PB008/PB208/PB212</t>
  </si>
  <si>
    <t>40/40/40/40/40/30/30/17</t>
  </si>
  <si>
    <t>43/28/23</t>
  </si>
  <si>
    <t>38/28/28/20</t>
  </si>
  <si>
    <t>78/78/28</t>
  </si>
  <si>
    <t>PB001/PB014/PB020/PB201</t>
  </si>
  <si>
    <t>78/25</t>
  </si>
  <si>
    <t>40/28/22/20/20/17</t>
  </si>
  <si>
    <t>40/40/40/38</t>
  </si>
  <si>
    <t>23/22/22/18</t>
  </si>
  <si>
    <t>NAF1/ECR</t>
  </si>
  <si>
    <t>NEB-SF/NEB-TF/NEB-FF1/NEB-FF2</t>
  </si>
  <si>
    <t>EA/A110/VCR</t>
  </si>
  <si>
    <t>VSLA/303/206/304</t>
  </si>
  <si>
    <t>40/40/40/37</t>
  </si>
  <si>
    <t>42/28/22/20/20/17</t>
  </si>
  <si>
    <t>77/75/50/25</t>
  </si>
  <si>
    <t>40/40/40/40/40/30/26</t>
  </si>
  <si>
    <t>76/75/50/25</t>
  </si>
  <si>
    <t>39/30/30/20</t>
  </si>
  <si>
    <t>28/28/20</t>
  </si>
  <si>
    <t>42/30/21/18</t>
  </si>
  <si>
    <t>42/30/30/20/20</t>
  </si>
  <si>
    <t>PB020/PB214/PB008</t>
  </si>
  <si>
    <t>303/RMA/RMB</t>
  </si>
  <si>
    <t>36/35/25</t>
  </si>
  <si>
    <t>25/17/17</t>
  </si>
  <si>
    <t>38/38/25/20</t>
  </si>
  <si>
    <t>43/20</t>
  </si>
  <si>
    <t>72/25</t>
  </si>
  <si>
    <t>40/25/20/20/17</t>
  </si>
  <si>
    <t>PB020/PB201/PB208</t>
  </si>
  <si>
    <t>40/40/27</t>
  </si>
  <si>
    <t>41/30/30/20/20</t>
  </si>
  <si>
    <t>76/55/25</t>
  </si>
  <si>
    <t>24/22/22/18</t>
  </si>
  <si>
    <t>42/27/20</t>
  </si>
  <si>
    <t>40/23/23</t>
  </si>
  <si>
    <t>40/25/20/18</t>
  </si>
  <si>
    <t>NEB-TF/NEB-SF/NEB-FF1/NEB-FF2/PB001/PB014/PB020/PB008</t>
  </si>
  <si>
    <t>VSLA/RMA/RMB</t>
  </si>
  <si>
    <t>80/53</t>
  </si>
  <si>
    <t>80/80/55/30/38/38/38/19</t>
  </si>
  <si>
    <t>38/37</t>
  </si>
  <si>
    <t>28/23</t>
  </si>
  <si>
    <t>42/20/20</t>
  </si>
  <si>
    <t>40/28/28/19</t>
  </si>
  <si>
    <t>25/22/18</t>
  </si>
  <si>
    <t>80/28</t>
  </si>
  <si>
    <t>25/25/19</t>
  </si>
  <si>
    <t>VSLA/303/LT/RMA/RMB/N1/N2</t>
  </si>
  <si>
    <t>40/25/20/20/20/20/11</t>
  </si>
  <si>
    <t>40/28/20/20/20/20/10</t>
  </si>
  <si>
    <t>38/38/38/38/38/28/26</t>
  </si>
  <si>
    <t>70/24</t>
  </si>
  <si>
    <t>PB001/PB014</t>
  </si>
  <si>
    <t>39/39/39/25</t>
  </si>
  <si>
    <t>39/39/39/24</t>
  </si>
  <si>
    <t>VSLA/N1/N2</t>
  </si>
  <si>
    <t>303/304/206</t>
  </si>
  <si>
    <t>25/15/19</t>
  </si>
  <si>
    <t>PB001/PB020/PB014/PB008/PB201/PB214/PB208/PB212</t>
  </si>
  <si>
    <t>35/27/27/15</t>
  </si>
  <si>
    <t>NAF1/A110/EA/ECR</t>
  </si>
  <si>
    <t>42/30/30/24</t>
  </si>
  <si>
    <t>82/60</t>
  </si>
  <si>
    <t>35/25</t>
  </si>
  <si>
    <t>25/20/20</t>
  </si>
  <si>
    <t>70/50/27</t>
  </si>
  <si>
    <t>72/50</t>
  </si>
  <si>
    <t>45/30/25</t>
  </si>
  <si>
    <t>30/17</t>
  </si>
  <si>
    <t>25/20</t>
  </si>
  <si>
    <t>VSLA/303/LT/N1/RMA/RMB/N2</t>
  </si>
  <si>
    <t>303/206</t>
  </si>
  <si>
    <t>40/28/28/23/20</t>
  </si>
  <si>
    <t>VSLA/LT/RMA/RMB</t>
  </si>
  <si>
    <t>40/23/21/21</t>
  </si>
  <si>
    <t>42/22/22</t>
  </si>
  <si>
    <t>30/24/18</t>
  </si>
  <si>
    <t>RMB/N1/N2</t>
  </si>
  <si>
    <t>25/20/17</t>
  </si>
  <si>
    <t>40/25</t>
  </si>
  <si>
    <t>NAF1/A110</t>
  </si>
  <si>
    <t>PB201/PB208/PB212</t>
  </si>
  <si>
    <t>30/22</t>
  </si>
  <si>
    <t>73/72/25</t>
  </si>
  <si>
    <t>77/75/28</t>
  </si>
  <si>
    <t>32/25/20/20</t>
  </si>
  <si>
    <t>40/25/17</t>
  </si>
  <si>
    <t>Wednesday, 9 July 2025</t>
  </si>
  <si>
    <t>40/16/16</t>
  </si>
  <si>
    <t>25/15</t>
  </si>
  <si>
    <t>NEB-SF/NEB-TF/NEB-FF1</t>
  </si>
  <si>
    <t>76/74/50</t>
  </si>
  <si>
    <t>VSLA/303/206/LT/RMA</t>
  </si>
  <si>
    <t>40/26/20/12/10</t>
  </si>
  <si>
    <t>34/30/15</t>
  </si>
  <si>
    <t>PB014/PB208</t>
  </si>
  <si>
    <t>35/35/33</t>
  </si>
  <si>
    <t>35/24</t>
  </si>
  <si>
    <t>LT/RMB/206/304</t>
  </si>
  <si>
    <t>S</t>
  </si>
  <si>
    <t>RMA/RMB</t>
  </si>
  <si>
    <t>16/16</t>
  </si>
  <si>
    <t>Friday, 11 July 2025</t>
  </si>
  <si>
    <t>Engineering Project Design and Management</t>
  </si>
  <si>
    <t>COE 382,ED3-EE</t>
  </si>
  <si>
    <t>DIGITAL COMPUTER DESIGN</t>
  </si>
  <si>
    <t>RMA/RMB/206/N2</t>
  </si>
  <si>
    <t>48/30</t>
  </si>
  <si>
    <t>45/30/30/25/25</t>
  </si>
  <si>
    <t>40/30/30/20/22</t>
  </si>
  <si>
    <t>VSLA/303/LT/RMA/RMB/N2</t>
  </si>
  <si>
    <t>45/30/25/20/20/16</t>
  </si>
  <si>
    <t>45/30/11</t>
  </si>
  <si>
    <t>VSLA/303/N2</t>
  </si>
  <si>
    <t>24/24/20/20</t>
  </si>
  <si>
    <t>45/30</t>
  </si>
  <si>
    <t>NEB-TF/NEB-SF/NEB-FF1/NEB-FF2/NAF1/EA/A110/VCR/ECR</t>
  </si>
  <si>
    <t>80/80/55/30/40/27/26/20/20</t>
  </si>
  <si>
    <t>40/20/18</t>
  </si>
  <si>
    <t>NAF1/A110/EA/VCR</t>
  </si>
  <si>
    <t>49/20</t>
  </si>
  <si>
    <t>Session, 1 (8:15 AM - 9:15 AM)</t>
  </si>
  <si>
    <t>Principles of Land Surveying and Hydrographic Science</t>
  </si>
  <si>
    <t>Soil and Rocks Mechanics Laboratory</t>
  </si>
  <si>
    <t>Introduction to VLSI</t>
  </si>
  <si>
    <t>Session, 2 (10:00 AM - 11:00 AM)</t>
  </si>
  <si>
    <t>Aircraft Performance and Design</t>
  </si>
  <si>
    <t>GIS Applications</t>
  </si>
  <si>
    <t>Drawing for Engineers</t>
  </si>
  <si>
    <t>Computer-Aided Design and Modelling</t>
  </si>
  <si>
    <t>Renewable Energy Systems and Management</t>
  </si>
  <si>
    <t>Session, 3 (11:45 AM - 12:45 PM)</t>
  </si>
  <si>
    <t>Land Law and Registration</t>
  </si>
  <si>
    <t>Physical Metallurgy of Non-Ferrous Metals</t>
  </si>
  <si>
    <t>Steel and Timber Design</t>
  </si>
  <si>
    <t>Strength of Marine Materials II</t>
  </si>
  <si>
    <t>Strength of Materials II</t>
  </si>
  <si>
    <t>Session, 4 (1:30 PM - 2:30 PM)</t>
  </si>
  <si>
    <t>Human Factors and Ergonomics</t>
  </si>
  <si>
    <t>Soil and Rock Mechanics</t>
  </si>
  <si>
    <t>Glass and Cement Technologies</t>
  </si>
  <si>
    <t>Vehicle Maintenance and Regulation</t>
  </si>
  <si>
    <t>Physical Chemistry for Engineers</t>
  </si>
  <si>
    <t>Pulp and Paper Technology</t>
  </si>
  <si>
    <t>Session, 5 (3:15 PM - 4:15 PM)</t>
  </si>
  <si>
    <t>Introduction to Soil Mechanics</t>
  </si>
  <si>
    <t>Computer Programming In Oil and Gas</t>
  </si>
  <si>
    <t>Properties of Civil Engineering Material</t>
  </si>
  <si>
    <t>Principles of Surveying</t>
  </si>
  <si>
    <t>Robotics and Computer Vision</t>
  </si>
  <si>
    <t>Introduction to Psychology</t>
  </si>
  <si>
    <t>Health Safety and Environment</t>
  </si>
  <si>
    <t>Computer Programming and Applications</t>
  </si>
  <si>
    <t>Computer Programming and Application</t>
  </si>
  <si>
    <t>Process Dynamics and Control</t>
  </si>
  <si>
    <t>Process Dynanics and Control</t>
  </si>
  <si>
    <t>Ship Operation, Regulation and Management</t>
  </si>
  <si>
    <t>Mechanism Synthesis and Analysis I</t>
  </si>
  <si>
    <t>Aquatic Strokes Development and Refinement</t>
  </si>
  <si>
    <t>Electric Drives</t>
  </si>
  <si>
    <t>Principles of Geochemistry</t>
  </si>
  <si>
    <t>Maintenance and Repairs of Agriculture Machinery</t>
  </si>
  <si>
    <t>Automation and Production System</t>
  </si>
  <si>
    <t>Mechanics of Materials</t>
  </si>
  <si>
    <t>Statics of Solid Mechanics</t>
  </si>
  <si>
    <t>Electrical Measurements and Instrumentation</t>
  </si>
  <si>
    <t>Calculus with Several Variables</t>
  </si>
  <si>
    <t>Calculus with Analysis</t>
  </si>
  <si>
    <t>Mechanism Synthesis and Analysis</t>
  </si>
  <si>
    <t>Process Control and Simulation</t>
  </si>
  <si>
    <t>Civil Engineering Quantities</t>
  </si>
  <si>
    <t>Anatomy and Physiology for Engineers II</t>
  </si>
  <si>
    <t>Air Vehicle Stability and Control</t>
  </si>
  <si>
    <t>Analysis of Errors</t>
  </si>
  <si>
    <t>Logistics and Supply Chain Engineering</t>
  </si>
  <si>
    <t>Fundamentals of Petroleum Law</t>
  </si>
  <si>
    <t>Introduction to Programming I</t>
  </si>
  <si>
    <t>Fundamentals Of Data Science</t>
  </si>
  <si>
    <t>Literature in English II</t>
  </si>
  <si>
    <t>Transportation and Highway II</t>
  </si>
  <si>
    <t>Introduction to Information Technology</t>
  </si>
  <si>
    <t>Kinetics and Reactions Engineering</t>
  </si>
  <si>
    <t>Vibrations for Automobile Engineers</t>
  </si>
  <si>
    <t>Marine Mechanisms, Systhesis and Analysis</t>
  </si>
  <si>
    <t>Power Systems Planning and Optimization</t>
  </si>
  <si>
    <t>Physical Metallurgy of Ferrous Metals</t>
  </si>
  <si>
    <t>Surface Treatment of Materials</t>
  </si>
  <si>
    <t>Introduction to Communication Networks</t>
  </si>
  <si>
    <t>Soil Mechanics Application to Mechanisation</t>
  </si>
  <si>
    <t>Elements of Economics II</t>
  </si>
  <si>
    <t>Electrical Engineering Drawing</t>
  </si>
  <si>
    <t>Intro to Environmental Eng.</t>
  </si>
  <si>
    <t>Mineral Economics and Evaluation</t>
  </si>
  <si>
    <t>Marine Control Engineering and Automation</t>
  </si>
  <si>
    <t>Machine Shop and Factory Design</t>
  </si>
  <si>
    <t>Design of Auto Machine Elements</t>
  </si>
  <si>
    <t>Industrial Engineering and Ergonomics</t>
  </si>
  <si>
    <t>Marine Industrial Engineering and Ergonomics</t>
  </si>
  <si>
    <t>Fault Diagnosis and Failure Tolerance</t>
  </si>
  <si>
    <t>Crop Losses and Their Control</t>
  </si>
  <si>
    <t>Strength of Materials for Chemical Engineers</t>
  </si>
  <si>
    <t>Numerical Methods for Chemical Engineers</t>
  </si>
  <si>
    <t>Machine Design</t>
  </si>
  <si>
    <t>Biosignal Processes and Analysis</t>
  </si>
  <si>
    <t>Farm Power and Machinery</t>
  </si>
  <si>
    <t>Substations and Transmission Line Design</t>
  </si>
  <si>
    <t>Theory of Machines</t>
  </si>
  <si>
    <t>Entrepreneurship and Business Development</t>
  </si>
  <si>
    <t>Soil and Water Engineering II</t>
  </si>
  <si>
    <t>Principles of GIS</t>
  </si>
  <si>
    <t>Production Planning and Control</t>
  </si>
  <si>
    <t>Electrical Measurement and Instrumentation</t>
  </si>
  <si>
    <t>Principles of Remote Sensing</t>
  </si>
  <si>
    <t>Professional Studies and Development</t>
  </si>
  <si>
    <t>Properties of Matter</t>
  </si>
  <si>
    <t>Heat and Mass Transport</t>
  </si>
  <si>
    <t>Introduction to Software Eng.</t>
  </si>
  <si>
    <t>Introduction to Finite Element</t>
  </si>
  <si>
    <t>Introduction to Lighting and Acoustics</t>
  </si>
  <si>
    <t>Fluid Mechanics II</t>
  </si>
  <si>
    <t>Introduction to CAD/CAM</t>
  </si>
  <si>
    <t>Computer-Aided Design and Manufacturing</t>
  </si>
  <si>
    <t>Materials Quality Control, Assurrance and Selection</t>
  </si>
  <si>
    <t>Principle of Design</t>
  </si>
  <si>
    <t>Energy and Climate Change</t>
  </si>
  <si>
    <t>Engineering Research and Technical Report Writing</t>
  </si>
  <si>
    <t>Introduction to Petroleum Engineering</t>
  </si>
  <si>
    <t>Numerical Methods for Engineers</t>
  </si>
  <si>
    <t>Crop Storage and Storage Structures</t>
  </si>
  <si>
    <t>Kinetics of Chemical Reactions</t>
  </si>
  <si>
    <t>Chemistry for Metallurgical Engineers</t>
  </si>
  <si>
    <t>Database and Information Retrieval</t>
  </si>
  <si>
    <t>Ship Safety, Environmental Protection and Safe Watch Keeping</t>
  </si>
  <si>
    <t>Internal Combustion Engine</t>
  </si>
  <si>
    <t>Research Methods for Engineers</t>
  </si>
  <si>
    <t>Principles of Valuation of Land and Building</t>
  </si>
  <si>
    <t>Computer Programming for Engineers</t>
  </si>
  <si>
    <t>Hydrographic Surveying and Marine Science</t>
  </si>
  <si>
    <t>Metallurgical Waste Management</t>
  </si>
  <si>
    <t>Mobile and Satellite Communication System</t>
  </si>
  <si>
    <t>Well Completion and Stimulation</t>
  </si>
  <si>
    <t>French for Communication II</t>
  </si>
  <si>
    <t>Marine Electrical Technology and Electrical Measurements</t>
  </si>
  <si>
    <t>Engineering Properties of Polymers</t>
  </si>
  <si>
    <t>Numerical Methods for Petroleum Engineers</t>
  </si>
  <si>
    <t>Principles of Geophysics</t>
  </si>
  <si>
    <t>Aerospace Safety and Air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</si>
</sst>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10"/>
      <color theme="1"/>
      <name val="Times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9"/>
      <color rgb="FF000000"/>
      <name val="Tahoma"/>
      <family val="2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24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26"/>
      <name val="Times New Roman"/>
      <family val="1"/>
    </font>
    <font>
      <b/>
      <sz val="24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  <charset val="1"/>
    </font>
    <font>
      <sz val="10"/>
      <name val="Times New Roman"/>
      <family val="1"/>
      <charset val="1"/>
    </font>
    <font>
      <sz val="9"/>
      <color theme="1"/>
      <name val="Times New Roman"/>
      <family val="1"/>
      <charset val="1"/>
    </font>
    <font>
      <sz val="9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4" fillId="0" borderId="1" xfId="0" applyFont="1" applyBorder="1"/>
    <xf numFmtId="0" fontId="1" fillId="0" borderId="0" xfId="0" applyFont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right" vertical="center"/>
    </xf>
    <xf numFmtId="0" fontId="6" fillId="0" borderId="2" xfId="0" applyFont="1" applyBorder="1"/>
    <xf numFmtId="0" fontId="6" fillId="0" borderId="0" xfId="0" applyFont="1" applyAlignment="1">
      <alignment vertical="center"/>
    </xf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0" borderId="1" xfId="0" applyBorder="1"/>
    <xf numFmtId="0" fontId="10" fillId="0" borderId="1" xfId="0" applyFont="1" applyBorder="1"/>
    <xf numFmtId="0" fontId="0" fillId="2" borderId="1" xfId="0" applyFill="1" applyBorder="1"/>
    <xf numFmtId="0" fontId="11" fillId="0" borderId="1" xfId="0" applyFont="1" applyBorder="1"/>
    <xf numFmtId="0" fontId="0" fillId="2" borderId="2" xfId="0" applyFill="1" applyBorder="1"/>
    <xf numFmtId="0" fontId="0" fillId="0" borderId="2" xfId="0" applyBorder="1"/>
    <xf numFmtId="1" fontId="0" fillId="2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4" fillId="0" borderId="0" xfId="0" applyFont="1"/>
    <xf numFmtId="0" fontId="15" fillId="4" borderId="1" xfId="0" applyFont="1" applyFill="1" applyBorder="1" applyAlignment="1">
      <alignment vertical="top" wrapText="1" readingOrder="1"/>
    </xf>
    <xf numFmtId="0" fontId="15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0" xfId="0" applyFill="1"/>
    <xf numFmtId="0" fontId="3" fillId="0" borderId="0" xfId="0" applyFont="1"/>
    <xf numFmtId="0" fontId="4" fillId="0" borderId="9" xfId="0" applyFont="1" applyBorder="1"/>
    <xf numFmtId="0" fontId="2" fillId="0" borderId="10" xfId="0" applyFont="1" applyBorder="1"/>
    <xf numFmtId="0" fontId="2" fillId="0" borderId="10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1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right" vertical="center"/>
    </xf>
    <xf numFmtId="0" fontId="6" fillId="0" borderId="0" xfId="0" applyFont="1"/>
    <xf numFmtId="0" fontId="2" fillId="0" borderId="9" xfId="0" applyFont="1" applyBorder="1" applyAlignment="1">
      <alignment vertical="center"/>
    </xf>
    <xf numFmtId="0" fontId="16" fillId="0" borderId="0" xfId="0" applyFont="1"/>
    <xf numFmtId="0" fontId="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6" fillId="0" borderId="0" xfId="0" applyFont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8" fillId="5" borderId="3" xfId="0" applyFont="1" applyFill="1" applyBorder="1" applyAlignment="1">
      <alignment horizontal="center"/>
    </xf>
    <xf numFmtId="0" fontId="18" fillId="6" borderId="5" xfId="0" applyFont="1" applyFill="1" applyBorder="1" applyAlignment="1">
      <alignment horizontal="center"/>
    </xf>
    <xf numFmtId="0" fontId="19" fillId="6" borderId="1" xfId="0" applyFont="1" applyFill="1" applyBorder="1"/>
    <xf numFmtId="0" fontId="16" fillId="5" borderId="0" xfId="0" applyFont="1" applyFill="1" applyAlignment="1">
      <alignment horizontal="center"/>
    </xf>
    <xf numFmtId="0" fontId="19" fillId="5" borderId="0" xfId="0" applyFont="1" applyFill="1" applyAlignment="1">
      <alignment horizontal="center"/>
    </xf>
    <xf numFmtId="0" fontId="19" fillId="6" borderId="5" xfId="0" applyFont="1" applyFill="1" applyBorder="1" applyAlignment="1">
      <alignment horizontal="center"/>
    </xf>
    <xf numFmtId="0" fontId="19" fillId="6" borderId="17" xfId="0" quotePrefix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/>
    </xf>
    <xf numFmtId="0" fontId="22" fillId="7" borderId="3" xfId="0" applyFont="1" applyFill="1" applyBorder="1" applyAlignment="1">
      <alignment horizontal="center"/>
    </xf>
    <xf numFmtId="0" fontId="22" fillId="8" borderId="5" xfId="0" applyFont="1" applyFill="1" applyBorder="1" applyAlignment="1">
      <alignment horizontal="center"/>
    </xf>
    <xf numFmtId="0" fontId="22" fillId="8" borderId="1" xfId="0" applyFont="1" applyFill="1" applyBorder="1"/>
    <xf numFmtId="0" fontId="21" fillId="7" borderId="0" xfId="0" applyFont="1" applyFill="1" applyAlignment="1">
      <alignment horizontal="center"/>
    </xf>
    <xf numFmtId="0" fontId="22" fillId="7" borderId="0" xfId="0" applyFont="1" applyFill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0" fontId="19" fillId="10" borderId="5" xfId="0" applyFont="1" applyFill="1" applyBorder="1" applyAlignment="1">
      <alignment horizontal="center"/>
    </xf>
    <xf numFmtId="0" fontId="19" fillId="10" borderId="1" xfId="0" applyFont="1" applyFill="1" applyBorder="1"/>
    <xf numFmtId="0" fontId="16" fillId="9" borderId="0" xfId="0" applyFont="1" applyFill="1" applyAlignment="1">
      <alignment horizontal="center"/>
    </xf>
    <xf numFmtId="0" fontId="19" fillId="9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9" fillId="11" borderId="5" xfId="0" applyFont="1" applyFill="1" applyBorder="1" applyAlignment="1">
      <alignment horizontal="center"/>
    </xf>
    <xf numFmtId="0" fontId="19" fillId="11" borderId="1" xfId="0" applyFont="1" applyFill="1" applyBorder="1"/>
    <xf numFmtId="0" fontId="19" fillId="11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6" fillId="0" borderId="12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6" fillId="0" borderId="10" xfId="0" applyFont="1" applyBorder="1" applyAlignment="1">
      <alignment vertical="center"/>
    </xf>
    <xf numFmtId="0" fontId="25" fillId="0" borderId="0" xfId="0" applyFont="1" applyAlignment="1">
      <alignment horizontal="left" vertical="center"/>
    </xf>
    <xf numFmtId="0" fontId="26" fillId="0" borderId="1" xfId="0" applyFont="1" applyBorder="1" applyAlignment="1">
      <alignment vertical="center" wrapText="1"/>
    </xf>
    <xf numFmtId="0" fontId="26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vertical="center"/>
    </xf>
    <xf numFmtId="0" fontId="27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/>
    </xf>
    <xf numFmtId="0" fontId="26" fillId="0" borderId="10" xfId="0" applyFont="1" applyBorder="1" applyAlignment="1">
      <alignment vertical="center"/>
    </xf>
    <xf numFmtId="0" fontId="26" fillId="0" borderId="9" xfId="0" applyFont="1" applyBorder="1" applyAlignment="1">
      <alignment vertical="center"/>
    </xf>
    <xf numFmtId="0" fontId="26" fillId="0" borderId="9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14" fontId="6" fillId="0" borderId="0" xfId="0" applyNumberFormat="1" applyFont="1" applyAlignment="1">
      <alignment horizontal="left"/>
    </xf>
    <xf numFmtId="0" fontId="29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29" fillId="0" borderId="1" xfId="0" applyFont="1" applyBorder="1" applyAlignment="1">
      <alignment vertical="center" wrapText="1"/>
    </xf>
    <xf numFmtId="0" fontId="0" fillId="0" borderId="0" xfId="0"/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2" fillId="8" borderId="17" xfId="0" quotePrefix="1" applyFont="1" applyFill="1" applyBorder="1" applyAlignment="1">
      <alignment horizontal="center" vertical="center"/>
    </xf>
    <xf numFmtId="0" fontId="19" fillId="6" borderId="17" xfId="0" quotePrefix="1" applyFont="1" applyFill="1" applyBorder="1" applyAlignment="1">
      <alignment horizontal="center" vertical="center"/>
    </xf>
    <xf numFmtId="0" fontId="19" fillId="6" borderId="15" xfId="0" quotePrefix="1" applyFont="1" applyFill="1" applyBorder="1" applyAlignment="1">
      <alignment horizontal="center" vertical="center"/>
    </xf>
    <xf numFmtId="0" fontId="22" fillId="8" borderId="16" xfId="0" quotePrefix="1" applyFont="1" applyFill="1" applyBorder="1" applyAlignment="1">
      <alignment horizontal="center" vertical="center" wrapText="1"/>
    </xf>
    <xf numFmtId="0" fontId="22" fillId="8" borderId="16" xfId="0" quotePrefix="1" applyFont="1" applyFill="1" applyBorder="1" applyAlignment="1">
      <alignment horizontal="center" vertical="center"/>
    </xf>
    <xf numFmtId="0" fontId="19" fillId="6" borderId="16" xfId="0" quotePrefix="1" applyFont="1" applyFill="1" applyBorder="1" applyAlignment="1">
      <alignment horizontal="center" vertical="center" wrapText="1"/>
    </xf>
    <xf numFmtId="0" fontId="19" fillId="6" borderId="16" xfId="0" quotePrefix="1" applyFont="1" applyFill="1" applyBorder="1" applyAlignment="1">
      <alignment horizontal="center" vertical="center"/>
    </xf>
    <xf numFmtId="0" fontId="19" fillId="6" borderId="14" xfId="0" quotePrefix="1" applyFont="1" applyFill="1" applyBorder="1" applyAlignment="1">
      <alignment horizontal="center" vertical="center"/>
    </xf>
    <xf numFmtId="0" fontId="19" fillId="11" borderId="21" xfId="0" quotePrefix="1" applyFont="1" applyFill="1" applyBorder="1" applyAlignment="1">
      <alignment horizontal="center" vertical="center"/>
    </xf>
    <xf numFmtId="0" fontId="19" fillId="11" borderId="19" xfId="0" quotePrefix="1" applyFont="1" applyFill="1" applyBorder="1" applyAlignment="1">
      <alignment horizontal="center" vertical="center"/>
    </xf>
    <xf numFmtId="0" fontId="19" fillId="11" borderId="18" xfId="0" quotePrefix="1" applyFont="1" applyFill="1" applyBorder="1" applyAlignment="1">
      <alignment horizontal="center" vertical="center"/>
    </xf>
    <xf numFmtId="0" fontId="19" fillId="11" borderId="17" xfId="0" quotePrefix="1" applyFont="1" applyFill="1" applyBorder="1" applyAlignment="1">
      <alignment horizontal="center" vertical="center"/>
    </xf>
    <xf numFmtId="0" fontId="19" fillId="11" borderId="20" xfId="0" quotePrefix="1" applyFont="1" applyFill="1" applyBorder="1" applyAlignment="1">
      <alignment horizontal="center" vertical="center" wrapText="1"/>
    </xf>
    <xf numFmtId="0" fontId="19" fillId="11" borderId="16" xfId="0" quotePrefix="1" applyFont="1" applyFill="1" applyBorder="1" applyAlignment="1">
      <alignment horizontal="center" vertical="center"/>
    </xf>
    <xf numFmtId="0" fontId="19" fillId="10" borderId="16" xfId="0" quotePrefix="1" applyFont="1" applyFill="1" applyBorder="1" applyAlignment="1">
      <alignment horizontal="center" vertical="center" wrapText="1"/>
    </xf>
    <xf numFmtId="0" fontId="19" fillId="10" borderId="16" xfId="0" quotePrefix="1" applyFont="1" applyFill="1" applyBorder="1" applyAlignment="1">
      <alignment horizontal="center" vertical="center"/>
    </xf>
    <xf numFmtId="0" fontId="19" fillId="10" borderId="17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WORKING%20FOLDER/FIRST%20SEMESTER/MID%20SEMESTER%20EXAMS/MID%20SEMESTER%20EXAMS%202023A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Exams%20Office_kmd/Examinations/Time%20Table/Exams/SS/2024-2025_Exams%20TT/Mid%20sem/MidExamtt2k22_24s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WORKING%20FOLDER/FIRST%20SEMESTER/FINAL%20EXAMS/Examtt2k22_24_SS_EXAM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XAMINATION%20OFFICE/Dropbox/Exams%20Office_kmd/Examinations/Time%20Table/Exams/SS/2022_23_Exams%20TT/exams/Examtt2k22_23_ss_FINA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WORKING%20FOLDER/SECOND%20SEMESTER/combined_data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 (Working)"/>
      <sheetName val="TT (Values)"/>
      <sheetName val="FREQ"/>
      <sheetName val="TALLY"/>
      <sheetName val="ROOMS"/>
      <sheetName val="ROOMS (2)"/>
      <sheetName val="WATER"/>
      <sheetName val="SESSIONS"/>
      <sheetName val="COURSES"/>
      <sheetName val="TEO_fred"/>
      <sheetName val="Working sheet"/>
    </sheetNames>
    <sheetDataSet>
      <sheetData sheetId="0">
        <row r="3">
          <cell r="D3" t="str">
            <v>CLASS</v>
          </cell>
        </row>
        <row r="4">
          <cell r="D4" t="str">
            <v>ED1-AERO</v>
          </cell>
        </row>
        <row r="5">
          <cell r="D5" t="str">
            <v>ED1-AE</v>
          </cell>
        </row>
        <row r="6">
          <cell r="D6" t="str">
            <v>ED1-AUTO</v>
          </cell>
        </row>
        <row r="7">
          <cell r="D7" t="str">
            <v>ED1-BME</v>
          </cell>
        </row>
        <row r="8">
          <cell r="D8" t="str">
            <v>ED1-CHE</v>
          </cell>
        </row>
        <row r="9">
          <cell r="D9" t="str">
            <v>ED1-COE</v>
          </cell>
        </row>
        <row r="10">
          <cell r="D10" t="str">
            <v>ED1-IND</v>
          </cell>
        </row>
        <row r="11">
          <cell r="D11" t="str">
            <v>ED3-EE</v>
          </cell>
        </row>
        <row r="12">
          <cell r="D12" t="str">
            <v>ED2-EE</v>
          </cell>
        </row>
        <row r="13">
          <cell r="D13" t="str">
            <v>ED3-TEL</v>
          </cell>
        </row>
        <row r="14">
          <cell r="D14" t="str">
            <v>ED3-CHE</v>
          </cell>
        </row>
        <row r="15">
          <cell r="D15" t="str">
            <v>ED3-IND</v>
          </cell>
        </row>
        <row r="16">
          <cell r="D16" t="str">
            <v>ED3-BME</v>
          </cell>
        </row>
        <row r="17">
          <cell r="D17" t="str">
            <v>ED4-METE</v>
          </cell>
        </row>
        <row r="18">
          <cell r="D18" t="str">
            <v>ED4-ME</v>
          </cell>
        </row>
        <row r="19">
          <cell r="D19" t="str">
            <v>ED4-CHE</v>
          </cell>
        </row>
        <row r="20">
          <cell r="D20" t="str">
            <v>ED3-COE</v>
          </cell>
        </row>
        <row r="21">
          <cell r="D21" t="str">
            <v>Total M1</v>
          </cell>
        </row>
        <row r="26">
          <cell r="D26" t="str">
            <v>CLASS</v>
          </cell>
        </row>
        <row r="27">
          <cell r="D27" t="str">
            <v>ED1-CE</v>
          </cell>
        </row>
        <row r="28">
          <cell r="D28" t="str">
            <v>ED1-EE</v>
          </cell>
        </row>
        <row r="29">
          <cell r="D29" t="str">
            <v>ED1-GEOL</v>
          </cell>
        </row>
        <row r="30">
          <cell r="D30" t="str">
            <v>ED1-METE</v>
          </cell>
        </row>
        <row r="31">
          <cell r="D31" t="str">
            <v>ED1-PCE</v>
          </cell>
        </row>
        <row r="32">
          <cell r="D32" t="str">
            <v>ED2-COE</v>
          </cell>
        </row>
        <row r="33">
          <cell r="D33" t="str">
            <v>ED3-AERO</v>
          </cell>
        </row>
        <row r="34">
          <cell r="D34" t="str">
            <v>ED2-METE</v>
          </cell>
        </row>
        <row r="35">
          <cell r="D35" t="str">
            <v>ED4-GEOL</v>
          </cell>
        </row>
        <row r="36">
          <cell r="D36" t="str">
            <v>ED4-BME</v>
          </cell>
        </row>
        <row r="37">
          <cell r="D37" t="str">
            <v>ED2-AERO</v>
          </cell>
        </row>
        <row r="38">
          <cell r="D38" t="str">
            <v>ED4-CE</v>
          </cell>
        </row>
        <row r="39">
          <cell r="D39" t="str">
            <v>ED3-GEOL</v>
          </cell>
        </row>
        <row r="40">
          <cell r="D40" t="str">
            <v>ED2-CHE</v>
          </cell>
        </row>
        <row r="41">
          <cell r="D41" t="str">
            <v>ED2-PCE</v>
          </cell>
        </row>
        <row r="42">
          <cell r="D42" t="str">
            <v>ED3-AUTO</v>
          </cell>
        </row>
        <row r="43">
          <cell r="D43" t="str">
            <v>ED4-TEL</v>
          </cell>
        </row>
        <row r="44">
          <cell r="D44" t="str">
            <v>ED4-PETE</v>
          </cell>
        </row>
        <row r="45">
          <cell r="D45" t="str">
            <v>Total M2</v>
          </cell>
        </row>
        <row r="50">
          <cell r="D50" t="str">
            <v>CLASS</v>
          </cell>
        </row>
        <row r="51">
          <cell r="D51" t="str">
            <v>ED1-GEOM</v>
          </cell>
        </row>
        <row r="52">
          <cell r="D52" t="str">
            <v>ED1-MARI</v>
          </cell>
        </row>
        <row r="53">
          <cell r="D53" t="str">
            <v>ED1-MSE</v>
          </cell>
        </row>
        <row r="54">
          <cell r="D54" t="str">
            <v>ED1-ME</v>
          </cell>
        </row>
        <row r="55">
          <cell r="D55" t="str">
            <v>ED1-PETE</v>
          </cell>
        </row>
        <row r="56">
          <cell r="D56" t="str">
            <v>ED1-TEL</v>
          </cell>
        </row>
        <row r="57">
          <cell r="D57" t="str">
            <v>ED3-AE</v>
          </cell>
        </row>
        <row r="58">
          <cell r="D58" t="str">
            <v>ED4-MARI</v>
          </cell>
        </row>
        <row r="59">
          <cell r="D59" t="str">
            <v>ED3-PCE</v>
          </cell>
        </row>
        <row r="60">
          <cell r="D60" t="str">
            <v>ED2-ME</v>
          </cell>
        </row>
        <row r="61">
          <cell r="D61" t="str">
            <v>ED3-COE</v>
          </cell>
        </row>
        <row r="62">
          <cell r="D62" t="str">
            <v>ED3-EE</v>
          </cell>
        </row>
        <row r="63">
          <cell r="D63" t="str">
            <v>ED4-CE</v>
          </cell>
        </row>
        <row r="64">
          <cell r="D64" t="str">
            <v>ED3-MARI</v>
          </cell>
        </row>
        <row r="65">
          <cell r="D65" t="str">
            <v>ED2-COE</v>
          </cell>
        </row>
        <row r="66">
          <cell r="D66" t="str">
            <v>ED3-PETE</v>
          </cell>
        </row>
        <row r="67">
          <cell r="D67" t="str">
            <v>Total M3</v>
          </cell>
        </row>
        <row r="72">
          <cell r="D72" t="str">
            <v>CLASS</v>
          </cell>
        </row>
        <row r="73">
          <cell r="D73" t="str">
            <v>ED4-AERO</v>
          </cell>
        </row>
        <row r="74">
          <cell r="D74" t="str">
            <v>ED4-ME</v>
          </cell>
        </row>
        <row r="75">
          <cell r="D75" t="str">
            <v>ED4-IND</v>
          </cell>
        </row>
        <row r="76">
          <cell r="D76" t="str">
            <v>ED3-EE</v>
          </cell>
        </row>
        <row r="77">
          <cell r="D77" t="str">
            <v>ED4-TEL</v>
          </cell>
        </row>
        <row r="78">
          <cell r="D78" t="str">
            <v>ED4-EE</v>
          </cell>
        </row>
        <row r="79">
          <cell r="D79" t="str">
            <v>ED4-COE</v>
          </cell>
        </row>
        <row r="80">
          <cell r="D80" t="str">
            <v>ED3-MSE</v>
          </cell>
        </row>
        <row r="81">
          <cell r="D81" t="str">
            <v>ED4-GEOL</v>
          </cell>
        </row>
        <row r="82">
          <cell r="D82" t="str">
            <v>ED4-GEOM</v>
          </cell>
        </row>
        <row r="83">
          <cell r="D83" t="str">
            <v>ED2-BME</v>
          </cell>
        </row>
        <row r="84">
          <cell r="D84" t="str">
            <v>ED2-CE</v>
          </cell>
        </row>
        <row r="85">
          <cell r="D85" t="str">
            <v>ED2-GEOM</v>
          </cell>
        </row>
        <row r="86">
          <cell r="D86" t="str">
            <v>ED4-AE</v>
          </cell>
        </row>
        <row r="87">
          <cell r="D87" t="str">
            <v>ED4-PETE</v>
          </cell>
        </row>
        <row r="88">
          <cell r="D88" t="str">
            <v>ED3-PETE</v>
          </cell>
        </row>
        <row r="89">
          <cell r="D89" t="str">
            <v>ED3-METE</v>
          </cell>
        </row>
        <row r="90">
          <cell r="D90" t="str">
            <v>Total M4</v>
          </cell>
        </row>
        <row r="95">
          <cell r="D95" t="str">
            <v>CLASS</v>
          </cell>
        </row>
        <row r="96">
          <cell r="D96" t="str">
            <v>ED2-AE</v>
          </cell>
        </row>
        <row r="97">
          <cell r="D97" t="str">
            <v>ED3-ME</v>
          </cell>
        </row>
        <row r="98">
          <cell r="D98" t="str">
            <v>ED2-GEOL</v>
          </cell>
        </row>
        <row r="99">
          <cell r="D99" t="str">
            <v>ED1-GEOL</v>
          </cell>
        </row>
        <row r="100">
          <cell r="D100" t="str">
            <v>ED2-PETE</v>
          </cell>
        </row>
        <row r="101">
          <cell r="D101" t="str">
            <v>ED3-CHE</v>
          </cell>
        </row>
        <row r="102">
          <cell r="D102" t="str">
            <v>ED3-PCE</v>
          </cell>
        </row>
        <row r="103">
          <cell r="D103" t="str">
            <v>ED3-CE</v>
          </cell>
        </row>
        <row r="104">
          <cell r="D104" t="str">
            <v>ED4-AERO</v>
          </cell>
        </row>
        <row r="105">
          <cell r="D105" t="str">
            <v>ED1-TEL</v>
          </cell>
        </row>
        <row r="106">
          <cell r="D106" t="str">
            <v>Total M5</v>
          </cell>
        </row>
        <row r="111">
          <cell r="D111" t="str">
            <v>CLASS</v>
          </cell>
        </row>
        <row r="112">
          <cell r="D112" t="str">
            <v>ED3-GEOL</v>
          </cell>
        </row>
        <row r="113">
          <cell r="D113" t="str">
            <v>ED4-CE</v>
          </cell>
        </row>
        <row r="114">
          <cell r="D114" t="str">
            <v>ED3-CE</v>
          </cell>
        </row>
        <row r="115">
          <cell r="D115" t="str">
            <v>ED1-BME</v>
          </cell>
        </row>
        <row r="116">
          <cell r="D116" t="str">
            <v>ED2-IND</v>
          </cell>
        </row>
        <row r="117">
          <cell r="D117" t="str">
            <v>ED2-MARI</v>
          </cell>
        </row>
        <row r="118">
          <cell r="D118" t="str">
            <v>ED2-ME</v>
          </cell>
        </row>
        <row r="119">
          <cell r="D119" t="str">
            <v>ED2-AUTO</v>
          </cell>
        </row>
        <row r="120">
          <cell r="D120" t="str">
            <v>ED2-MSE</v>
          </cell>
        </row>
        <row r="121">
          <cell r="D121" t="str">
            <v>ED3-METE</v>
          </cell>
        </row>
        <row r="122">
          <cell r="D122" t="str">
            <v>ED1-GEOM</v>
          </cell>
        </row>
        <row r="123">
          <cell r="D123" t="str">
            <v>ED4-PETE</v>
          </cell>
        </row>
        <row r="124">
          <cell r="D124" t="str">
            <v>ED3-GEOM</v>
          </cell>
        </row>
        <row r="125">
          <cell r="D125" t="str">
            <v>Total M6</v>
          </cell>
        </row>
        <row r="130">
          <cell r="D130" t="str">
            <v>CLASS</v>
          </cell>
        </row>
        <row r="131">
          <cell r="D131" t="str">
            <v>ED2-METE</v>
          </cell>
        </row>
        <row r="132">
          <cell r="D132" t="str">
            <v>ED2-MSE</v>
          </cell>
        </row>
        <row r="133">
          <cell r="D133" t="str">
            <v>ED3-EE</v>
          </cell>
        </row>
        <row r="134">
          <cell r="D134" t="str">
            <v>ED3-TEL</v>
          </cell>
        </row>
        <row r="135">
          <cell r="D135" t="str">
            <v>ED3-ME</v>
          </cell>
        </row>
        <row r="136">
          <cell r="D136" t="str">
            <v>ED3-AERO</v>
          </cell>
        </row>
        <row r="137">
          <cell r="D137" t="str">
            <v>ED3-AE</v>
          </cell>
        </row>
        <row r="138">
          <cell r="D138" t="str">
            <v>ED3-MARI</v>
          </cell>
        </row>
        <row r="139">
          <cell r="D139" t="str">
            <v>ED4-AUTO</v>
          </cell>
        </row>
        <row r="140">
          <cell r="D140" t="str">
            <v>ED2-CHE</v>
          </cell>
        </row>
        <row r="141">
          <cell r="D141" t="str">
            <v>ED2-PCE</v>
          </cell>
        </row>
        <row r="142">
          <cell r="D142" t="str">
            <v>ED2-CE</v>
          </cell>
        </row>
        <row r="143">
          <cell r="D143" t="str">
            <v>ED1-METE</v>
          </cell>
        </row>
        <row r="144">
          <cell r="D144" t="str">
            <v>ED1-MSE</v>
          </cell>
        </row>
        <row r="145">
          <cell r="D145" t="str">
            <v>Total M7</v>
          </cell>
        </row>
        <row r="150">
          <cell r="D150" t="str">
            <v>CLASS</v>
          </cell>
        </row>
        <row r="151">
          <cell r="D151" t="str">
            <v>ED1-CE</v>
          </cell>
        </row>
        <row r="152">
          <cell r="D152" t="str">
            <v>ED1-BME</v>
          </cell>
        </row>
        <row r="153">
          <cell r="D153" t="str">
            <v>ED1-CHE</v>
          </cell>
        </row>
        <row r="154">
          <cell r="D154" t="str">
            <v>ED1-PCE</v>
          </cell>
        </row>
        <row r="155">
          <cell r="D155" t="str">
            <v>ED1-PETE</v>
          </cell>
        </row>
        <row r="156">
          <cell r="D156" t="str">
            <v>ED1-TEL</v>
          </cell>
        </row>
        <row r="157">
          <cell r="D157" t="str">
            <v>ED1-AERO</v>
          </cell>
        </row>
        <row r="158">
          <cell r="D158" t="str">
            <v>ED1-COE</v>
          </cell>
        </row>
        <row r="159">
          <cell r="D159" t="str">
            <v>ED3-CE</v>
          </cell>
        </row>
        <row r="160">
          <cell r="D160" t="str">
            <v>ED4-MSE</v>
          </cell>
        </row>
        <row r="161">
          <cell r="D161" t="str">
            <v>ED4-METE</v>
          </cell>
        </row>
        <row r="162">
          <cell r="D162" t="str">
            <v>Total T1</v>
          </cell>
        </row>
        <row r="167">
          <cell r="D167" t="str">
            <v>CLASS</v>
          </cell>
        </row>
        <row r="168">
          <cell r="D168" t="str">
            <v>ED1-AUTO</v>
          </cell>
        </row>
        <row r="169">
          <cell r="D169" t="str">
            <v>ED1-ME</v>
          </cell>
        </row>
        <row r="170">
          <cell r="D170" t="str">
            <v>ED1-MSE</v>
          </cell>
        </row>
        <row r="171">
          <cell r="D171" t="str">
            <v>ED1-IND</v>
          </cell>
        </row>
        <row r="172">
          <cell r="D172" t="str">
            <v>ED1-MARI</v>
          </cell>
        </row>
        <row r="173">
          <cell r="D173" t="str">
            <v>ED1-EE</v>
          </cell>
        </row>
        <row r="174">
          <cell r="D174" t="str">
            <v>ED1-GEOL</v>
          </cell>
        </row>
        <row r="175">
          <cell r="D175" t="str">
            <v>ED1-GEOM</v>
          </cell>
        </row>
        <row r="176">
          <cell r="D176" t="str">
            <v>ED1-AE</v>
          </cell>
        </row>
        <row r="177">
          <cell r="D177" t="str">
            <v>ED2-GEOL</v>
          </cell>
        </row>
        <row r="178">
          <cell r="D178" t="str">
            <v>ED2-CE</v>
          </cell>
        </row>
        <row r="179">
          <cell r="D179" t="str">
            <v>ED4-PETE</v>
          </cell>
        </row>
        <row r="180">
          <cell r="D180" t="str">
            <v>ED4-MARI</v>
          </cell>
        </row>
        <row r="181">
          <cell r="D181" t="str">
            <v>ED3-CHE</v>
          </cell>
        </row>
        <row r="182">
          <cell r="D182" t="str">
            <v>Total T2</v>
          </cell>
        </row>
        <row r="187">
          <cell r="D187" t="str">
            <v>CLASS</v>
          </cell>
        </row>
        <row r="188">
          <cell r="D188" t="str">
            <v>ED1-METE</v>
          </cell>
        </row>
        <row r="189">
          <cell r="D189" t="str">
            <v>ED1-PCE</v>
          </cell>
        </row>
        <row r="190">
          <cell r="D190" t="str">
            <v>ED1-PETE</v>
          </cell>
        </row>
        <row r="191">
          <cell r="D191" t="str">
            <v>ED1-MSE</v>
          </cell>
        </row>
        <row r="192">
          <cell r="D192" t="str">
            <v>ED1-AE</v>
          </cell>
        </row>
        <row r="193">
          <cell r="D193" t="str">
            <v>ED3-ME</v>
          </cell>
        </row>
        <row r="194">
          <cell r="D194" t="str">
            <v>ED3-MARI</v>
          </cell>
        </row>
        <row r="195">
          <cell r="D195" t="str">
            <v>ED2-BME</v>
          </cell>
        </row>
        <row r="196">
          <cell r="D196" t="str">
            <v>ED2-CHE</v>
          </cell>
        </row>
        <row r="197">
          <cell r="D197" t="str">
            <v>ED4-AE</v>
          </cell>
        </row>
        <row r="198">
          <cell r="D198" t="str">
            <v>ED2-PETE</v>
          </cell>
        </row>
        <row r="199">
          <cell r="D199" t="str">
            <v>ED3-EE</v>
          </cell>
        </row>
        <row r="200">
          <cell r="D200" t="str">
            <v>ED1-TEL</v>
          </cell>
        </row>
        <row r="201">
          <cell r="D201" t="str">
            <v>ED4-PETE</v>
          </cell>
        </row>
        <row r="202">
          <cell r="D202" t="str">
            <v>Total T3</v>
          </cell>
        </row>
        <row r="207">
          <cell r="D207" t="str">
            <v>CLASS</v>
          </cell>
        </row>
        <row r="208">
          <cell r="D208" t="str">
            <v>ED2-COE</v>
          </cell>
        </row>
        <row r="209">
          <cell r="D209" t="str">
            <v>ED2-GEOL</v>
          </cell>
        </row>
        <row r="210">
          <cell r="D210" t="str">
            <v>ED2-GEOM</v>
          </cell>
        </row>
        <row r="211">
          <cell r="D211" t="str">
            <v>ED2-IND</v>
          </cell>
        </row>
        <row r="212">
          <cell r="D212" t="str">
            <v>ED2-TEL</v>
          </cell>
        </row>
        <row r="213">
          <cell r="D213" t="str">
            <v>ED3-GEOL</v>
          </cell>
        </row>
        <row r="214">
          <cell r="D214" t="str">
            <v>ED2-MSE</v>
          </cell>
        </row>
        <row r="215">
          <cell r="D215" t="str">
            <v>ED2-METE</v>
          </cell>
        </row>
        <row r="216">
          <cell r="D216" t="str">
            <v>ED1-CHE</v>
          </cell>
        </row>
        <row r="217">
          <cell r="D217" t="str">
            <v>ED1-AUTO</v>
          </cell>
        </row>
        <row r="218">
          <cell r="D218" t="str">
            <v>ED3-MSE</v>
          </cell>
        </row>
        <row r="219">
          <cell r="D219" t="str">
            <v>ED3-BME</v>
          </cell>
        </row>
        <row r="220">
          <cell r="D220" t="str">
            <v>ED4-EE</v>
          </cell>
        </row>
        <row r="221">
          <cell r="D221" t="str">
            <v>Total T4</v>
          </cell>
        </row>
        <row r="226">
          <cell r="D226" t="str">
            <v>CLASS</v>
          </cell>
        </row>
        <row r="227">
          <cell r="D227" t="str">
            <v>ED2-AE</v>
          </cell>
        </row>
        <row r="228">
          <cell r="D228" t="str">
            <v>ED2-AERO</v>
          </cell>
        </row>
        <row r="229">
          <cell r="D229" t="str">
            <v>ED2-CE</v>
          </cell>
        </row>
        <row r="230">
          <cell r="D230" t="str">
            <v>ED2-MARI</v>
          </cell>
        </row>
        <row r="231">
          <cell r="D231" t="str">
            <v>ED2-ME</v>
          </cell>
        </row>
        <row r="232">
          <cell r="D232" t="str">
            <v>ED2-CHE</v>
          </cell>
        </row>
        <row r="233">
          <cell r="D233" t="str">
            <v>ED1-CE</v>
          </cell>
        </row>
        <row r="234">
          <cell r="D234" t="str">
            <v>ED1-GEOL</v>
          </cell>
        </row>
        <row r="235">
          <cell r="D235" t="str">
            <v>ED1-EE</v>
          </cell>
        </row>
        <row r="236">
          <cell r="D236" t="str">
            <v>ED3-AE</v>
          </cell>
        </row>
        <row r="237">
          <cell r="D237" t="str">
            <v>ED1-AERO</v>
          </cell>
        </row>
        <row r="238">
          <cell r="D238" t="str">
            <v>Total T5</v>
          </cell>
        </row>
        <row r="243">
          <cell r="D243" t="str">
            <v>CLASS</v>
          </cell>
        </row>
        <row r="244">
          <cell r="D244" t="str">
            <v>ED2-MARI</v>
          </cell>
        </row>
        <row r="245">
          <cell r="D245" t="str">
            <v>ED2-ME</v>
          </cell>
        </row>
        <row r="246">
          <cell r="D246" t="str">
            <v>ED2-AERO</v>
          </cell>
        </row>
        <row r="247">
          <cell r="D247" t="str">
            <v>ED2-IND</v>
          </cell>
        </row>
        <row r="248">
          <cell r="D248" t="str">
            <v>ED2-AUTO</v>
          </cell>
        </row>
        <row r="249">
          <cell r="D249" t="str">
            <v>ED4-AERO</v>
          </cell>
        </row>
        <row r="250">
          <cell r="D250" t="str">
            <v>ED4-ME</v>
          </cell>
        </row>
        <row r="251">
          <cell r="D251" t="str">
            <v>ED4-GEOL</v>
          </cell>
        </row>
        <row r="252">
          <cell r="D252" t="str">
            <v>ED3-CHE</v>
          </cell>
        </row>
        <row r="253">
          <cell r="D253" t="str">
            <v>ED4-TEL</v>
          </cell>
        </row>
        <row r="254">
          <cell r="D254" t="str">
            <v>ED4-PCE</v>
          </cell>
        </row>
        <row r="255">
          <cell r="D255" t="str">
            <v>ED3-PCE</v>
          </cell>
        </row>
        <row r="256">
          <cell r="D256" t="str">
            <v>ED2-BME</v>
          </cell>
        </row>
        <row r="257">
          <cell r="D257" t="str">
            <v>ED2-COE</v>
          </cell>
        </row>
        <row r="258">
          <cell r="D258" t="str">
            <v>ED4-EE</v>
          </cell>
        </row>
        <row r="259">
          <cell r="D259" t="str">
            <v>Total T6</v>
          </cell>
        </row>
        <row r="264">
          <cell r="D264" t="str">
            <v>CLASS</v>
          </cell>
        </row>
        <row r="265">
          <cell r="D265" t="str">
            <v>ED4-IND</v>
          </cell>
        </row>
        <row r="266">
          <cell r="D266" t="str">
            <v>ED1-COE</v>
          </cell>
        </row>
        <row r="267">
          <cell r="D267" t="str">
            <v>ED3-GEOM</v>
          </cell>
        </row>
        <row r="268">
          <cell r="D268" t="str">
            <v>ED3-PETE</v>
          </cell>
        </row>
        <row r="269">
          <cell r="D269" t="str">
            <v>ED3-IND</v>
          </cell>
        </row>
        <row r="270">
          <cell r="D270" t="str">
            <v>ED2-EE</v>
          </cell>
        </row>
        <row r="271">
          <cell r="D271" t="str">
            <v>ED2-TEL</v>
          </cell>
        </row>
        <row r="272">
          <cell r="D272" t="str">
            <v>ED3-EE</v>
          </cell>
        </row>
        <row r="273">
          <cell r="D273" t="str">
            <v>ED3-TEL</v>
          </cell>
        </row>
        <row r="274">
          <cell r="D274" t="str">
            <v>Total T7</v>
          </cell>
        </row>
        <row r="279">
          <cell r="D279" t="str">
            <v>CLASS</v>
          </cell>
        </row>
        <row r="280">
          <cell r="D280" t="str">
            <v>ED4-PCE</v>
          </cell>
        </row>
        <row r="281">
          <cell r="D281" t="str">
            <v>ED4-CHE</v>
          </cell>
        </row>
        <row r="282">
          <cell r="D282" t="str">
            <v>ED4-PETE</v>
          </cell>
        </row>
        <row r="283">
          <cell r="D283" t="str">
            <v>ED1-AUTO</v>
          </cell>
        </row>
        <row r="284">
          <cell r="D284" t="str">
            <v>ED1-EE</v>
          </cell>
        </row>
        <row r="285">
          <cell r="D285" t="str">
            <v>ED4-MARI</v>
          </cell>
        </row>
        <row r="286">
          <cell r="D286" t="str">
            <v>ED3-PETE</v>
          </cell>
        </row>
        <row r="287">
          <cell r="D287" t="str">
            <v>ED3-MSE</v>
          </cell>
        </row>
        <row r="288">
          <cell r="D288" t="str">
            <v>ED3-METE</v>
          </cell>
        </row>
        <row r="289">
          <cell r="D289" t="str">
            <v>ED3-CHE</v>
          </cell>
        </row>
        <row r="290">
          <cell r="D290" t="str">
            <v>ED2-MSE</v>
          </cell>
        </row>
        <row r="291">
          <cell r="D291" t="str">
            <v>ED3-COE</v>
          </cell>
        </row>
        <row r="292">
          <cell r="D292" t="str">
            <v>ED3-BME</v>
          </cell>
        </row>
        <row r="293">
          <cell r="D293" t="str">
            <v>Total W1</v>
          </cell>
        </row>
        <row r="298">
          <cell r="D298" t="str">
            <v>CLASS</v>
          </cell>
        </row>
        <row r="299">
          <cell r="D299" t="str">
            <v>ED2-AE</v>
          </cell>
        </row>
        <row r="300">
          <cell r="D300" t="str">
            <v>ED2-AERO</v>
          </cell>
        </row>
        <row r="301">
          <cell r="D301" t="str">
            <v>ED2-BME</v>
          </cell>
        </row>
        <row r="302">
          <cell r="D302" t="str">
            <v>ED2-GEOM</v>
          </cell>
        </row>
        <row r="303">
          <cell r="D303" t="str">
            <v>ED2-IND</v>
          </cell>
        </row>
        <row r="304">
          <cell r="D304" t="str">
            <v>ED2-ME</v>
          </cell>
        </row>
        <row r="305">
          <cell r="D305" t="str">
            <v>ED3-GEOL</v>
          </cell>
        </row>
        <row r="306">
          <cell r="D306" t="str">
            <v>ED3-IND</v>
          </cell>
        </row>
        <row r="307">
          <cell r="D307" t="str">
            <v>ED3-CE</v>
          </cell>
        </row>
        <row r="308">
          <cell r="D308" t="str">
            <v>ED3-GEOM</v>
          </cell>
        </row>
        <row r="309">
          <cell r="D309" t="str">
            <v>ED3-PCE</v>
          </cell>
        </row>
        <row r="310">
          <cell r="D310" t="str">
            <v>ED1-TEL</v>
          </cell>
        </row>
        <row r="311">
          <cell r="D311" t="str">
            <v>Total W2</v>
          </cell>
        </row>
        <row r="316">
          <cell r="D316" t="str">
            <v>CLASS</v>
          </cell>
        </row>
        <row r="317">
          <cell r="D317" t="str">
            <v>ED3-AERO</v>
          </cell>
        </row>
        <row r="318">
          <cell r="D318" t="str">
            <v>ED3-ME</v>
          </cell>
        </row>
        <row r="319">
          <cell r="D319" t="str">
            <v>ED3-MARI</v>
          </cell>
        </row>
        <row r="320">
          <cell r="D320" t="str">
            <v>ED3-AUTO</v>
          </cell>
        </row>
        <row r="321">
          <cell r="D321" t="str">
            <v>ED4-MARI</v>
          </cell>
        </row>
        <row r="322">
          <cell r="D322" t="str">
            <v>ED4-ME</v>
          </cell>
        </row>
        <row r="323">
          <cell r="D323" t="str">
            <v>ED4-IND</v>
          </cell>
        </row>
        <row r="324">
          <cell r="D324" t="str">
            <v>ED1-IND</v>
          </cell>
        </row>
        <row r="325">
          <cell r="D325" t="str">
            <v>ED1-MARI</v>
          </cell>
        </row>
        <row r="326">
          <cell r="D326" t="str">
            <v>ED2-PETE</v>
          </cell>
        </row>
        <row r="327">
          <cell r="D327" t="str">
            <v>ED2-EE</v>
          </cell>
        </row>
        <row r="328">
          <cell r="D328" t="str">
            <v>ED4-AE</v>
          </cell>
        </row>
        <row r="329">
          <cell r="D329" t="str">
            <v>ED1-GEOL</v>
          </cell>
        </row>
        <row r="330">
          <cell r="D330" t="str">
            <v>ED1-CE</v>
          </cell>
        </row>
        <row r="331">
          <cell r="D331" t="str">
            <v>Total W3</v>
          </cell>
        </row>
        <row r="336">
          <cell r="D336" t="str">
            <v>CLASS</v>
          </cell>
        </row>
        <row r="337">
          <cell r="D337" t="str">
            <v>ED4-MSE</v>
          </cell>
        </row>
        <row r="338">
          <cell r="D338" t="str">
            <v>ED4-BME</v>
          </cell>
        </row>
        <row r="339">
          <cell r="D339" t="str">
            <v>ED1-PETE</v>
          </cell>
        </row>
        <row r="340">
          <cell r="D340" t="str">
            <v>ED1-GEOM</v>
          </cell>
        </row>
        <row r="341">
          <cell r="D341" t="str">
            <v>ED1-MSE</v>
          </cell>
        </row>
        <row r="342">
          <cell r="D342" t="str">
            <v>ED2-AE</v>
          </cell>
        </row>
        <row r="343">
          <cell r="D343" t="str">
            <v>ED1-ME</v>
          </cell>
        </row>
        <row r="344">
          <cell r="D344" t="str">
            <v>ED1-AERO</v>
          </cell>
        </row>
        <row r="345">
          <cell r="D345" t="str">
            <v>ED3-AE</v>
          </cell>
        </row>
        <row r="346">
          <cell r="D346" t="str">
            <v>ED3-EE</v>
          </cell>
        </row>
        <row r="347">
          <cell r="D347" t="str">
            <v>ED4-ME</v>
          </cell>
        </row>
        <row r="348">
          <cell r="D348" t="str">
            <v>ED1-BME</v>
          </cell>
        </row>
        <row r="349">
          <cell r="D349" t="str">
            <v>ED2-CHE</v>
          </cell>
        </row>
        <row r="350">
          <cell r="D350" t="str">
            <v>ED2-GEOL</v>
          </cell>
        </row>
        <row r="351">
          <cell r="D351" t="str">
            <v>ED1-PCE</v>
          </cell>
        </row>
        <row r="352">
          <cell r="D352" t="str">
            <v>Total W4</v>
          </cell>
        </row>
        <row r="357">
          <cell r="D357" t="str">
            <v>CLASS</v>
          </cell>
        </row>
        <row r="358">
          <cell r="D358" t="str">
            <v>ED2-EE</v>
          </cell>
        </row>
        <row r="359">
          <cell r="D359" t="str">
            <v>ED3-GEOM</v>
          </cell>
        </row>
        <row r="360">
          <cell r="D360" t="str">
            <v>ED1-CE</v>
          </cell>
        </row>
        <row r="361">
          <cell r="D361" t="str">
            <v>ED1-GEOL</v>
          </cell>
        </row>
        <row r="362">
          <cell r="D362" t="str">
            <v>ED2-BME</v>
          </cell>
        </row>
        <row r="363">
          <cell r="D363" t="str">
            <v>ED2-COE</v>
          </cell>
        </row>
        <row r="364">
          <cell r="D364" t="str">
            <v>ED2-TEL</v>
          </cell>
        </row>
        <row r="365">
          <cell r="D365" t="str">
            <v>ED3-CHE</v>
          </cell>
        </row>
        <row r="366">
          <cell r="D366" t="str">
            <v>ED1-METE</v>
          </cell>
        </row>
        <row r="367">
          <cell r="D367" t="str">
            <v>ED2-MSE</v>
          </cell>
        </row>
        <row r="368">
          <cell r="D368" t="str">
            <v>ED1-EE</v>
          </cell>
        </row>
        <row r="369">
          <cell r="D369" t="str">
            <v>ED1-COE</v>
          </cell>
        </row>
        <row r="370">
          <cell r="D370" t="str">
            <v>ED1-BME</v>
          </cell>
        </row>
        <row r="371">
          <cell r="D371" t="str">
            <v>ED2-CE</v>
          </cell>
        </row>
        <row r="372">
          <cell r="D372" t="str">
            <v>ED4-GEOM</v>
          </cell>
        </row>
        <row r="373">
          <cell r="D373" t="str">
            <v>ED4-ME</v>
          </cell>
        </row>
        <row r="374">
          <cell r="D374" t="str">
            <v>ED4-PETE</v>
          </cell>
        </row>
        <row r="375">
          <cell r="D375" t="str">
            <v>ED4-CE</v>
          </cell>
        </row>
        <row r="376">
          <cell r="D376" t="str">
            <v>ED4-GEOL</v>
          </cell>
        </row>
        <row r="377">
          <cell r="D377" t="str">
            <v>ED1-AE</v>
          </cell>
        </row>
        <row r="378">
          <cell r="D378" t="str">
            <v>Total W5</v>
          </cell>
        </row>
        <row r="383">
          <cell r="D383" t="str">
            <v>CLASS</v>
          </cell>
        </row>
        <row r="384">
          <cell r="D384" t="str">
            <v>ED3-TEL</v>
          </cell>
        </row>
        <row r="385">
          <cell r="D385" t="str">
            <v>ED3-COE</v>
          </cell>
        </row>
        <row r="386">
          <cell r="D386" t="str">
            <v>ED3-IND</v>
          </cell>
        </row>
        <row r="387">
          <cell r="D387" t="str">
            <v>ED3-GEOL</v>
          </cell>
        </row>
        <row r="388">
          <cell r="D388" t="str">
            <v>ED3-PCE</v>
          </cell>
        </row>
        <row r="389">
          <cell r="D389" t="str">
            <v>ED4-ME</v>
          </cell>
        </row>
        <row r="390">
          <cell r="D390" t="str">
            <v>ED4-AERO</v>
          </cell>
        </row>
        <row r="391">
          <cell r="D391" t="str">
            <v>ED3-CHE</v>
          </cell>
        </row>
        <row r="392">
          <cell r="D392" t="str">
            <v>ED2-METE</v>
          </cell>
        </row>
        <row r="393">
          <cell r="D393" t="str">
            <v>ED1-AE</v>
          </cell>
        </row>
        <row r="394">
          <cell r="D394" t="str">
            <v>ED3-AE</v>
          </cell>
        </row>
        <row r="395">
          <cell r="D395" t="str">
            <v>ED4-GEOL</v>
          </cell>
        </row>
        <row r="396">
          <cell r="D396" t="str">
            <v>ED4-CE</v>
          </cell>
        </row>
        <row r="397">
          <cell r="D397" t="str">
            <v>ED2-AUTO</v>
          </cell>
        </row>
        <row r="398">
          <cell r="D398" t="str">
            <v>ED2-IND</v>
          </cell>
        </row>
        <row r="399">
          <cell r="D399" t="str">
            <v>ED2-MARI</v>
          </cell>
        </row>
        <row r="400">
          <cell r="D400" t="str">
            <v>Total W6</v>
          </cell>
        </row>
        <row r="405">
          <cell r="D405" t="str">
            <v>CLASS</v>
          </cell>
        </row>
        <row r="406">
          <cell r="D406" t="str">
            <v>ED1-CHE</v>
          </cell>
        </row>
        <row r="407">
          <cell r="D407" t="str">
            <v>ED1-PCE</v>
          </cell>
        </row>
        <row r="408">
          <cell r="D408" t="str">
            <v>ED1-PETE</v>
          </cell>
        </row>
        <row r="409">
          <cell r="D409" t="str">
            <v>ED3-PETE</v>
          </cell>
        </row>
        <row r="410">
          <cell r="D410" t="str">
            <v>ED3-METE</v>
          </cell>
        </row>
        <row r="411">
          <cell r="D411" t="str">
            <v>ED3-MSE</v>
          </cell>
        </row>
        <row r="412">
          <cell r="D412" t="str">
            <v>ED3-AERO</v>
          </cell>
        </row>
        <row r="413">
          <cell r="D413" t="str">
            <v>ED3-ME</v>
          </cell>
        </row>
        <row r="414">
          <cell r="D414" t="str">
            <v>ED3-AUTO</v>
          </cell>
        </row>
        <row r="415">
          <cell r="D415" t="str">
            <v>ED3-MARI</v>
          </cell>
        </row>
        <row r="416">
          <cell r="D416" t="str">
            <v>ED4-AERO</v>
          </cell>
        </row>
        <row r="417">
          <cell r="D417" t="str">
            <v>ED4-COE</v>
          </cell>
        </row>
        <row r="418">
          <cell r="D418" t="str">
            <v>ED3-BME</v>
          </cell>
        </row>
        <row r="419">
          <cell r="D419" t="str">
            <v>ED4-TEL</v>
          </cell>
        </row>
        <row r="420">
          <cell r="D420" t="str">
            <v>ED2-CHE</v>
          </cell>
        </row>
        <row r="421">
          <cell r="D421" t="str">
            <v>ED2-PCE</v>
          </cell>
        </row>
        <row r="422">
          <cell r="D422" t="str">
            <v>Total W7</v>
          </cell>
        </row>
        <row r="427">
          <cell r="D427" t="str">
            <v>CLASS</v>
          </cell>
        </row>
        <row r="428">
          <cell r="D428" t="str">
            <v>ED1-EE</v>
          </cell>
        </row>
        <row r="429">
          <cell r="D429" t="str">
            <v>ED1-TEL</v>
          </cell>
        </row>
        <row r="430">
          <cell r="D430" t="str">
            <v>ED1-AUTO</v>
          </cell>
        </row>
        <row r="431">
          <cell r="D431" t="str">
            <v>ED1-GEOM</v>
          </cell>
        </row>
        <row r="432">
          <cell r="D432" t="str">
            <v>ED1-CHE</v>
          </cell>
        </row>
        <row r="433">
          <cell r="D433" t="str">
            <v>ED1-PCE</v>
          </cell>
        </row>
        <row r="434">
          <cell r="D434" t="str">
            <v>ED1-AERO</v>
          </cell>
        </row>
        <row r="435">
          <cell r="D435" t="str">
            <v>ED1-IND</v>
          </cell>
        </row>
        <row r="436">
          <cell r="D436" t="str">
            <v>ED1-MARI</v>
          </cell>
        </row>
        <row r="437">
          <cell r="D437" t="str">
            <v>ED1-CE</v>
          </cell>
        </row>
        <row r="438">
          <cell r="D438" t="str">
            <v>ED1-COE</v>
          </cell>
        </row>
        <row r="439">
          <cell r="D439" t="str">
            <v>ED1-ME</v>
          </cell>
        </row>
        <row r="440">
          <cell r="D440" t="str">
            <v>ED1-AE</v>
          </cell>
        </row>
        <row r="441">
          <cell r="D441" t="str">
            <v>ED1-BME</v>
          </cell>
        </row>
        <row r="442">
          <cell r="D442" t="str">
            <v>ED1-PETE</v>
          </cell>
        </row>
        <row r="443">
          <cell r="D443" t="str">
            <v>ED1-GEOL</v>
          </cell>
        </row>
        <row r="444">
          <cell r="D444" t="str">
            <v>ED1-METE</v>
          </cell>
        </row>
        <row r="445">
          <cell r="D445" t="str">
            <v>ED1-MSE</v>
          </cell>
        </row>
        <row r="446">
          <cell r="D446" t="str">
            <v>Total H1</v>
          </cell>
        </row>
        <row r="451">
          <cell r="D451" t="str">
            <v>CLASS</v>
          </cell>
        </row>
        <row r="452">
          <cell r="D452" t="str">
            <v>ED2-COE</v>
          </cell>
        </row>
        <row r="453">
          <cell r="D453" t="str">
            <v>ED2-BME</v>
          </cell>
        </row>
        <row r="454">
          <cell r="D454" t="str">
            <v>ED3-PCE</v>
          </cell>
        </row>
        <row r="455">
          <cell r="D455" t="str">
            <v>ED3-CHE</v>
          </cell>
        </row>
        <row r="456">
          <cell r="D456" t="str">
            <v>ED1-BME</v>
          </cell>
        </row>
        <row r="457">
          <cell r="D457" t="str">
            <v>ED4-PETE</v>
          </cell>
        </row>
        <row r="458">
          <cell r="D458" t="str">
            <v>ED3-IND</v>
          </cell>
        </row>
        <row r="459">
          <cell r="D459" t="str">
            <v>ED2-TEL</v>
          </cell>
        </row>
        <row r="460">
          <cell r="D460" t="str">
            <v>ED2-METE</v>
          </cell>
        </row>
        <row r="461">
          <cell r="D461" t="str">
            <v>ED3-BME</v>
          </cell>
        </row>
        <row r="462">
          <cell r="D462" t="str">
            <v>ED4-MSE</v>
          </cell>
        </row>
        <row r="463">
          <cell r="D463" t="str">
            <v>ED4-METE</v>
          </cell>
        </row>
        <row r="464">
          <cell r="D464" t="str">
            <v>ED2-PETE</v>
          </cell>
        </row>
        <row r="465">
          <cell r="D465" t="str">
            <v>Total H2</v>
          </cell>
        </row>
        <row r="470">
          <cell r="D470" t="str">
            <v>CLASS</v>
          </cell>
        </row>
        <row r="471">
          <cell r="D471" t="str">
            <v>ED1-AE</v>
          </cell>
        </row>
        <row r="472">
          <cell r="D472" t="str">
            <v>ED1-METE</v>
          </cell>
        </row>
        <row r="473">
          <cell r="D473" t="str">
            <v>ED1-MSE</v>
          </cell>
        </row>
        <row r="474">
          <cell r="D474" t="str">
            <v>ED1-ME</v>
          </cell>
        </row>
        <row r="475">
          <cell r="D475" t="str">
            <v>ED1-AUTO</v>
          </cell>
        </row>
        <row r="476">
          <cell r="D476" t="str">
            <v>ED1-IND</v>
          </cell>
        </row>
        <row r="477">
          <cell r="D477" t="str">
            <v>ED1-MARI</v>
          </cell>
        </row>
        <row r="478">
          <cell r="D478" t="str">
            <v>ED2-CE</v>
          </cell>
        </row>
        <row r="479">
          <cell r="D479" t="str">
            <v>ED4-AERO</v>
          </cell>
        </row>
        <row r="480">
          <cell r="D480" t="str">
            <v>ED4-GEOL</v>
          </cell>
        </row>
        <row r="481">
          <cell r="D481" t="str">
            <v>ED2-AE</v>
          </cell>
        </row>
        <row r="482">
          <cell r="D482" t="str">
            <v>ED1-TEL</v>
          </cell>
        </row>
        <row r="483">
          <cell r="D483" t="str">
            <v>ED2-COE</v>
          </cell>
        </row>
        <row r="484">
          <cell r="D484" t="str">
            <v>Total H3</v>
          </cell>
        </row>
        <row r="489">
          <cell r="D489" t="str">
            <v>CLASS</v>
          </cell>
        </row>
        <row r="490">
          <cell r="D490" t="str">
            <v>ED4-BME</v>
          </cell>
        </row>
        <row r="491">
          <cell r="D491" t="str">
            <v>ED4-COE</v>
          </cell>
        </row>
        <row r="492">
          <cell r="D492" t="str">
            <v>ED4-CHE</v>
          </cell>
        </row>
        <row r="493">
          <cell r="D493" t="str">
            <v>ED4-PCE</v>
          </cell>
        </row>
        <row r="494">
          <cell r="D494" t="str">
            <v>ED4-AE</v>
          </cell>
        </row>
        <row r="495">
          <cell r="D495" t="str">
            <v>ED2-MSE</v>
          </cell>
        </row>
        <row r="496">
          <cell r="D496" t="str">
            <v>ED2-METE</v>
          </cell>
        </row>
        <row r="497">
          <cell r="D497" t="str">
            <v>ED4-CE</v>
          </cell>
        </row>
        <row r="498">
          <cell r="D498" t="str">
            <v>ED1-AERO</v>
          </cell>
        </row>
        <row r="499">
          <cell r="D499" t="str">
            <v>ED4-AERO</v>
          </cell>
        </row>
        <row r="500">
          <cell r="D500" t="str">
            <v>ED4-ME</v>
          </cell>
        </row>
        <row r="501">
          <cell r="D501" t="str">
            <v>ED4-IND</v>
          </cell>
        </row>
        <row r="502">
          <cell r="D502" t="str">
            <v>ED3-AERO</v>
          </cell>
        </row>
        <row r="503">
          <cell r="D503" t="str">
            <v>ED3-PETE</v>
          </cell>
        </row>
        <row r="504">
          <cell r="D504" t="str">
            <v>ED3-PCE</v>
          </cell>
        </row>
        <row r="505">
          <cell r="D505" t="str">
            <v>ED4-MARI</v>
          </cell>
        </row>
        <row r="506">
          <cell r="D506" t="str">
            <v>ED2-IND</v>
          </cell>
        </row>
        <row r="507">
          <cell r="D507" t="str">
            <v>ED2-MARI</v>
          </cell>
        </row>
        <row r="508">
          <cell r="D508" t="str">
            <v>ED2-AUTO</v>
          </cell>
        </row>
        <row r="509">
          <cell r="D509" t="str">
            <v>ED2-GEOM</v>
          </cell>
        </row>
        <row r="510">
          <cell r="D510" t="str">
            <v>ED3-AE</v>
          </cell>
        </row>
        <row r="511">
          <cell r="D511" t="str">
            <v>Total H4</v>
          </cell>
        </row>
        <row r="516">
          <cell r="D516" t="str">
            <v>CLASS</v>
          </cell>
        </row>
        <row r="517">
          <cell r="D517" t="str">
            <v>ED4-GEOM</v>
          </cell>
        </row>
        <row r="518">
          <cell r="D518" t="str">
            <v>ED4-TEL</v>
          </cell>
        </row>
        <row r="519">
          <cell r="D519" t="str">
            <v>ED4-EE</v>
          </cell>
        </row>
        <row r="520">
          <cell r="D520" t="str">
            <v>ED4-PETE</v>
          </cell>
        </row>
        <row r="521">
          <cell r="D521" t="str">
            <v>ED3-AE</v>
          </cell>
        </row>
        <row r="522">
          <cell r="D522" t="str">
            <v>ED3-IND</v>
          </cell>
        </row>
        <row r="523">
          <cell r="D523" t="str">
            <v>ED3-CE</v>
          </cell>
        </row>
        <row r="524">
          <cell r="D524" t="str">
            <v>ED3-CHE</v>
          </cell>
        </row>
        <row r="525">
          <cell r="D525" t="str">
            <v>ED3-EE</v>
          </cell>
        </row>
        <row r="526">
          <cell r="D526" t="str">
            <v>ED4-AUTO</v>
          </cell>
        </row>
        <row r="527">
          <cell r="D527" t="str">
            <v>ED4-ME</v>
          </cell>
        </row>
        <row r="528">
          <cell r="D528" t="str">
            <v>Total H5</v>
          </cell>
        </row>
        <row r="533">
          <cell r="D533" t="str">
            <v>CLASS</v>
          </cell>
        </row>
        <row r="534">
          <cell r="D534" t="str">
            <v>ED4-AUTO</v>
          </cell>
        </row>
        <row r="535">
          <cell r="D535" t="str">
            <v>ED2-AUTO</v>
          </cell>
        </row>
        <row r="536">
          <cell r="D536" t="str">
            <v>ED3-GEOM</v>
          </cell>
        </row>
        <row r="537">
          <cell r="D537" t="str">
            <v>ED2-PETE</v>
          </cell>
        </row>
        <row r="538">
          <cell r="D538" t="str">
            <v>ED2-PCE</v>
          </cell>
        </row>
        <row r="539">
          <cell r="D539" t="str">
            <v>ED3-TEL</v>
          </cell>
        </row>
        <row r="540">
          <cell r="D540" t="str">
            <v>ED1-CE</v>
          </cell>
        </row>
        <row r="541">
          <cell r="D541" t="str">
            <v>ED2-AERO</v>
          </cell>
        </row>
        <row r="542">
          <cell r="D542" t="str">
            <v>ED2-GEOM</v>
          </cell>
        </row>
        <row r="543">
          <cell r="D543" t="str">
            <v>ED1-CHE</v>
          </cell>
        </row>
        <row r="544">
          <cell r="D544" t="str">
            <v>ED1-PCE</v>
          </cell>
        </row>
        <row r="545">
          <cell r="D545" t="str">
            <v>ED2-MARI</v>
          </cell>
        </row>
        <row r="546">
          <cell r="D546" t="str">
            <v>ED2-GEOL</v>
          </cell>
        </row>
        <row r="547">
          <cell r="D547" t="str">
            <v>ED3-ME</v>
          </cell>
        </row>
        <row r="548">
          <cell r="D548" t="str">
            <v>Total H6</v>
          </cell>
        </row>
        <row r="553">
          <cell r="D553" t="str">
            <v>CLASS</v>
          </cell>
        </row>
        <row r="554">
          <cell r="D554" t="str">
            <v>ED3-AUTO</v>
          </cell>
        </row>
        <row r="555">
          <cell r="D555" t="str">
            <v>ED2-EE</v>
          </cell>
        </row>
        <row r="556">
          <cell r="D556" t="str">
            <v>ED2-TEL</v>
          </cell>
        </row>
        <row r="557">
          <cell r="D557" t="str">
            <v>ED4-EE</v>
          </cell>
        </row>
        <row r="558">
          <cell r="D558" t="str">
            <v>ED3-MSE</v>
          </cell>
        </row>
        <row r="559">
          <cell r="D559" t="str">
            <v>ED3-METE</v>
          </cell>
        </row>
        <row r="560">
          <cell r="D560" t="str">
            <v>ED3-CE</v>
          </cell>
        </row>
        <row r="561">
          <cell r="D561" t="str">
            <v>ED3-GEOL</v>
          </cell>
        </row>
        <row r="562">
          <cell r="D562" t="str">
            <v>ED3-MARI</v>
          </cell>
        </row>
        <row r="563">
          <cell r="D563" t="str">
            <v>ED2-AERO</v>
          </cell>
        </row>
        <row r="564">
          <cell r="D564" t="str">
            <v>ED2-PCE</v>
          </cell>
        </row>
        <row r="565">
          <cell r="D565" t="str">
            <v>Total H7</v>
          </cell>
        </row>
        <row r="570">
          <cell r="D570" t="str">
            <v>CLASS</v>
          </cell>
        </row>
        <row r="571">
          <cell r="D571" t="str">
            <v>ED1-GEOL</v>
          </cell>
        </row>
        <row r="572">
          <cell r="D572" t="str">
            <v>ED2-BME</v>
          </cell>
        </row>
        <row r="573">
          <cell r="D573" t="str">
            <v>ED2-COE</v>
          </cell>
        </row>
        <row r="574">
          <cell r="D574" t="str">
            <v>ED2-TEL</v>
          </cell>
        </row>
        <row r="575">
          <cell r="D575" t="str">
            <v>ED3-GEOM</v>
          </cell>
        </row>
        <row r="576">
          <cell r="D576" t="str">
            <v>ED3-GEOL</v>
          </cell>
        </row>
        <row r="577">
          <cell r="D577" t="str">
            <v>ED4-PCE</v>
          </cell>
        </row>
        <row r="578">
          <cell r="D578" t="str">
            <v>ED3-MSE</v>
          </cell>
        </row>
        <row r="579">
          <cell r="D579" t="str">
            <v>ED1-TEL</v>
          </cell>
        </row>
        <row r="580">
          <cell r="D580" t="str">
            <v>ED4-ME</v>
          </cell>
        </row>
        <row r="581">
          <cell r="D581" t="str">
            <v>ED3-PETE</v>
          </cell>
        </row>
        <row r="582">
          <cell r="D582" t="str">
            <v>ED4-EE</v>
          </cell>
        </row>
        <row r="583">
          <cell r="D583" t="str">
            <v>ED4-CHE</v>
          </cell>
        </row>
        <row r="584">
          <cell r="D584" t="str">
            <v>ED1-PETE</v>
          </cell>
        </row>
        <row r="585">
          <cell r="D585" t="str">
            <v>Total F1</v>
          </cell>
        </row>
        <row r="590">
          <cell r="D590" t="str">
            <v>CLASS</v>
          </cell>
        </row>
        <row r="591">
          <cell r="D591" t="str">
            <v>ED2-EE</v>
          </cell>
        </row>
        <row r="592">
          <cell r="D592" t="str">
            <v>ED2-BME</v>
          </cell>
        </row>
        <row r="593">
          <cell r="D593" t="str">
            <v>ED2-AUTO</v>
          </cell>
        </row>
        <row r="594">
          <cell r="D594" t="str">
            <v>ED2-PCE</v>
          </cell>
        </row>
        <row r="595">
          <cell r="D595" t="str">
            <v>ED2-PETE</v>
          </cell>
        </row>
        <row r="596">
          <cell r="D596" t="str">
            <v>ED2-MSE</v>
          </cell>
        </row>
        <row r="597">
          <cell r="D597" t="str">
            <v>ED2-METE</v>
          </cell>
        </row>
        <row r="598">
          <cell r="D598" t="str">
            <v>ED3-GEOL</v>
          </cell>
        </row>
        <row r="599">
          <cell r="D599" t="str">
            <v>ED4-AE</v>
          </cell>
        </row>
        <row r="600">
          <cell r="D600" t="str">
            <v>ED4-MSE</v>
          </cell>
        </row>
        <row r="601">
          <cell r="D601" t="str">
            <v>ED4-METE</v>
          </cell>
        </row>
        <row r="602">
          <cell r="D602" t="str">
            <v>ED4-CHE</v>
          </cell>
        </row>
        <row r="603">
          <cell r="D603" t="str">
            <v>ED4-PCE</v>
          </cell>
        </row>
        <row r="604">
          <cell r="D604" t="str">
            <v>ED1-AE</v>
          </cell>
        </row>
        <row r="605">
          <cell r="D605" t="str">
            <v>ED4-GEOL</v>
          </cell>
        </row>
        <row r="606">
          <cell r="D606" t="str">
            <v>ED3-PCE</v>
          </cell>
        </row>
        <row r="607">
          <cell r="D607" t="str">
            <v>ED3-TEL</v>
          </cell>
        </row>
        <row r="608">
          <cell r="D608" t="str">
            <v>ED4-GEOM</v>
          </cell>
        </row>
        <row r="609">
          <cell r="D609" t="str">
            <v>ED4-AERO</v>
          </cell>
        </row>
        <row r="610">
          <cell r="D610" t="str">
            <v>ED4-ME</v>
          </cell>
        </row>
        <row r="611">
          <cell r="D611" t="str">
            <v>Total F2</v>
          </cell>
        </row>
        <row r="616">
          <cell r="D616" t="str">
            <v>CLASS</v>
          </cell>
        </row>
        <row r="617">
          <cell r="D617" t="str">
            <v>ED3-AE</v>
          </cell>
        </row>
        <row r="618">
          <cell r="D618" t="str">
            <v>ED3-AUTO</v>
          </cell>
        </row>
        <row r="619">
          <cell r="D619" t="str">
            <v>ED3-AERO</v>
          </cell>
        </row>
        <row r="620">
          <cell r="D620" t="str">
            <v>ED4-COE</v>
          </cell>
        </row>
        <row r="621">
          <cell r="D621" t="str">
            <v>ED2-MARI</v>
          </cell>
        </row>
        <row r="622">
          <cell r="D622" t="str">
            <v>ED4-CE</v>
          </cell>
        </row>
        <row r="623">
          <cell r="D623" t="str">
            <v>ED1-AERO</v>
          </cell>
        </row>
        <row r="624">
          <cell r="D624" t="str">
            <v>ED1-ME</v>
          </cell>
        </row>
        <row r="625">
          <cell r="D625" t="str">
            <v>ED1-IND</v>
          </cell>
        </row>
        <row r="626">
          <cell r="D626" t="str">
            <v>ED1-MARI</v>
          </cell>
        </row>
        <row r="627">
          <cell r="D627" t="str">
            <v>ED3-ME</v>
          </cell>
        </row>
        <row r="628">
          <cell r="D628" t="str">
            <v>ED3-BME</v>
          </cell>
        </row>
        <row r="629">
          <cell r="D629" t="str">
            <v>ED3-COE</v>
          </cell>
        </row>
        <row r="630">
          <cell r="D630" t="str">
            <v>Total F3</v>
          </cell>
        </row>
        <row r="635">
          <cell r="D635" t="str">
            <v>CLASS</v>
          </cell>
        </row>
        <row r="636">
          <cell r="D636" t="str">
            <v>ED2-CHE</v>
          </cell>
        </row>
        <row r="637">
          <cell r="D637" t="str">
            <v>ED2-PCE</v>
          </cell>
        </row>
        <row r="638">
          <cell r="D638" t="str">
            <v>ED3-EE</v>
          </cell>
        </row>
        <row r="639">
          <cell r="D639" t="str">
            <v>ED2-PETE</v>
          </cell>
        </row>
        <row r="640">
          <cell r="D640" t="str">
            <v>ED3-GEOM</v>
          </cell>
        </row>
        <row r="641">
          <cell r="D641" t="str">
            <v>ED2-CE</v>
          </cell>
        </row>
        <row r="642">
          <cell r="D642" t="str">
            <v>ED2-GEOL</v>
          </cell>
        </row>
        <row r="643">
          <cell r="D643" t="str">
            <v>ED2-GEOM</v>
          </cell>
        </row>
        <row r="644">
          <cell r="D644" t="str">
            <v>ED2-AE</v>
          </cell>
        </row>
        <row r="645">
          <cell r="D645" t="str">
            <v>Total F4</v>
          </cell>
        </row>
        <row r="650">
          <cell r="D650" t="str">
            <v>CLASS</v>
          </cell>
        </row>
        <row r="651">
          <cell r="D651" t="str">
            <v>ED2-TEL</v>
          </cell>
        </row>
        <row r="652">
          <cell r="D652" t="str">
            <v>ED3-CHE</v>
          </cell>
        </row>
        <row r="653">
          <cell r="D653" t="str">
            <v>ED2-EE</v>
          </cell>
        </row>
        <row r="654">
          <cell r="D654" t="str">
            <v>ED1-GEOL</v>
          </cell>
        </row>
        <row r="655">
          <cell r="D655" t="str">
            <v>ED1-CE</v>
          </cell>
        </row>
        <row r="656">
          <cell r="D656" t="str">
            <v>ED1-MARI</v>
          </cell>
        </row>
        <row r="657">
          <cell r="D657" t="str">
            <v>ED3-GEOM</v>
          </cell>
        </row>
        <row r="658">
          <cell r="D658" t="str">
            <v>ED2-BME</v>
          </cell>
        </row>
        <row r="659">
          <cell r="D659" t="str">
            <v>ED2-COE</v>
          </cell>
        </row>
        <row r="660">
          <cell r="D660" t="str">
            <v>ED3-AUTO</v>
          </cell>
        </row>
        <row r="661">
          <cell r="D661" t="str">
            <v>ED3-MARI</v>
          </cell>
        </row>
        <row r="662">
          <cell r="D662" t="str">
            <v>ED3-PETE</v>
          </cell>
        </row>
        <row r="663">
          <cell r="D663" t="str">
            <v>ED3-CE</v>
          </cell>
        </row>
        <row r="664">
          <cell r="D664" t="str">
            <v>Total F5</v>
          </cell>
        </row>
        <row r="669">
          <cell r="D669" t="str">
            <v>CLASS</v>
          </cell>
        </row>
        <row r="670">
          <cell r="D670" t="str">
            <v>ED1-CE</v>
          </cell>
        </row>
        <row r="671">
          <cell r="D671" t="str">
            <v>ED1-EE</v>
          </cell>
        </row>
        <row r="672">
          <cell r="D672" t="str">
            <v>ED1-GEOM</v>
          </cell>
        </row>
        <row r="673">
          <cell r="D673" t="str">
            <v>ED1-BME</v>
          </cell>
        </row>
        <row r="674">
          <cell r="D674" t="str">
            <v>ED1-COE</v>
          </cell>
        </row>
        <row r="675">
          <cell r="D675" t="str">
            <v>ED1-METE</v>
          </cell>
        </row>
        <row r="676">
          <cell r="D676" t="str">
            <v>ED2-GEOL</v>
          </cell>
        </row>
        <row r="677">
          <cell r="D677" t="str">
            <v>ED4-MARI</v>
          </cell>
        </row>
        <row r="678">
          <cell r="D678" t="str">
            <v>ED2-IND</v>
          </cell>
        </row>
        <row r="679">
          <cell r="D679" t="str">
            <v>ED2-ME</v>
          </cell>
        </row>
        <row r="680">
          <cell r="D680" t="str">
            <v>ED1-AUTO</v>
          </cell>
        </row>
        <row r="681">
          <cell r="D681" t="str">
            <v>ED2-AERO</v>
          </cell>
        </row>
        <row r="682">
          <cell r="D682" t="str">
            <v>ED4-PETE</v>
          </cell>
        </row>
        <row r="683">
          <cell r="D683" t="str">
            <v>ED1-CHE</v>
          </cell>
        </row>
        <row r="690">
          <cell r="D690" t="str">
            <v>CLASS</v>
          </cell>
        </row>
        <row r="691">
          <cell r="D691" t="str">
            <v>ED1-GEOL</v>
          </cell>
        </row>
        <row r="701">
          <cell r="D701" t="str">
            <v>Total F7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TALLY"/>
      <sheetName val="Tally sheet(TAs)"/>
      <sheetName val="WATER (2)"/>
      <sheetName val="TT (Values)"/>
      <sheetName val="FREQ"/>
      <sheetName val="ROOMS"/>
      <sheetName val="ROOMS (2)"/>
      <sheetName val="SESSIONS"/>
      <sheetName val="COURSES"/>
      <sheetName val="TEO_fred"/>
    </sheetNames>
    <sheetDataSet>
      <sheetData sheetId="0">
        <row r="3">
          <cell r="D3" t="str">
            <v>CLASS</v>
          </cell>
        </row>
        <row r="4">
          <cell r="D4" t="str">
            <v>ED1-AERO</v>
          </cell>
        </row>
        <row r="5">
          <cell r="D5" t="str">
            <v>ED1-AE</v>
          </cell>
        </row>
        <row r="6">
          <cell r="D6" t="str">
            <v>ED1-BME</v>
          </cell>
        </row>
        <row r="7">
          <cell r="D7" t="str">
            <v>ED1-CHE</v>
          </cell>
        </row>
        <row r="8">
          <cell r="D8" t="str">
            <v>ED1-COE</v>
          </cell>
        </row>
        <row r="9">
          <cell r="D9" t="str">
            <v>ED1-IND</v>
          </cell>
        </row>
        <row r="10">
          <cell r="D10" t="str">
            <v>ED2-EE</v>
          </cell>
        </row>
        <row r="11">
          <cell r="D11" t="str">
            <v>ED2-AE</v>
          </cell>
        </row>
        <row r="12">
          <cell r="D12" t="str">
            <v>ED3-TEL</v>
          </cell>
        </row>
        <row r="13">
          <cell r="D13" t="str">
            <v>ED2-TEL</v>
          </cell>
        </row>
        <row r="14">
          <cell r="D14" t="str">
            <v>ED3-AUTO</v>
          </cell>
        </row>
        <row r="15">
          <cell r="D15" t="str">
            <v>ED3-BME</v>
          </cell>
        </row>
        <row r="16">
          <cell r="D16" t="str">
            <v>ED3-COE</v>
          </cell>
        </row>
        <row r="17">
          <cell r="D17" t="str">
            <v>ED3-EE</v>
          </cell>
        </row>
        <row r="18">
          <cell r="D18" t="str">
            <v>ED4-PCE</v>
          </cell>
        </row>
        <row r="19">
          <cell r="D19" t="str">
            <v>ED4-ME</v>
          </cell>
        </row>
        <row r="20">
          <cell r="D20" t="str">
            <v>ED4-EE</v>
          </cell>
        </row>
        <row r="21">
          <cell r="D21" t="str">
            <v>ED4-COE</v>
          </cell>
        </row>
        <row r="22">
          <cell r="D22" t="str">
            <v>ED2-GEOM</v>
          </cell>
        </row>
        <row r="23">
          <cell r="D23" t="str">
            <v>ED4-CHE</v>
          </cell>
        </row>
        <row r="29">
          <cell r="D29" t="str">
            <v>CLASS</v>
          </cell>
        </row>
        <row r="30">
          <cell r="D30" t="str">
            <v>ED1-CE</v>
          </cell>
        </row>
        <row r="31">
          <cell r="D31" t="str">
            <v>ED1-EE</v>
          </cell>
        </row>
        <row r="32">
          <cell r="D32" t="str">
            <v>ED1-AUTO</v>
          </cell>
        </row>
        <row r="33">
          <cell r="D33" t="str">
            <v>ED1-GEOL</v>
          </cell>
        </row>
        <row r="34">
          <cell r="D34" t="str">
            <v>ED1-METE</v>
          </cell>
        </row>
        <row r="35">
          <cell r="D35" t="str">
            <v>ED1-PCE</v>
          </cell>
        </row>
        <row r="36">
          <cell r="D36" t="str">
            <v>ED3-AERO</v>
          </cell>
        </row>
        <row r="37">
          <cell r="D37" t="str">
            <v>ED2-METE</v>
          </cell>
        </row>
        <row r="38">
          <cell r="D38" t="str">
            <v>ED4-GEOL</v>
          </cell>
        </row>
        <row r="39">
          <cell r="D39" t="str">
            <v>ED4-BME</v>
          </cell>
        </row>
        <row r="40">
          <cell r="D40" t="str">
            <v>ED2-AERO</v>
          </cell>
        </row>
        <row r="41">
          <cell r="D41" t="str">
            <v>ED4-CE</v>
          </cell>
        </row>
        <row r="42">
          <cell r="D42" t="str">
            <v>ED2-CHE</v>
          </cell>
        </row>
        <row r="43">
          <cell r="D43" t="str">
            <v>ED2-PCE</v>
          </cell>
        </row>
        <row r="44">
          <cell r="D44" t="str">
            <v>ED2-GEOL</v>
          </cell>
        </row>
        <row r="45">
          <cell r="D45" t="str">
            <v>ED4-METE</v>
          </cell>
        </row>
        <row r="46">
          <cell r="D46" t="str">
            <v>ED4-TEL</v>
          </cell>
        </row>
        <row r="47">
          <cell r="D47" t="str">
            <v>ED4-PETE</v>
          </cell>
        </row>
        <row r="53">
          <cell r="D53" t="str">
            <v>CLASS</v>
          </cell>
        </row>
        <row r="54">
          <cell r="D54" t="str">
            <v>ED1-GEOM</v>
          </cell>
        </row>
        <row r="55">
          <cell r="D55" t="str">
            <v>ED1-MARI</v>
          </cell>
        </row>
        <row r="56">
          <cell r="D56" t="str">
            <v>ED1-MSE</v>
          </cell>
        </row>
        <row r="57">
          <cell r="D57" t="str">
            <v>ED1-ME</v>
          </cell>
        </row>
        <row r="58">
          <cell r="D58" t="str">
            <v>ED1-PETE</v>
          </cell>
        </row>
        <row r="59">
          <cell r="D59" t="str">
            <v>ED1-TEL</v>
          </cell>
        </row>
        <row r="60">
          <cell r="D60" t="str">
            <v>ED3-AE</v>
          </cell>
        </row>
        <row r="61">
          <cell r="D61" t="str">
            <v>ED3-PCE</v>
          </cell>
        </row>
        <row r="62">
          <cell r="D62" t="str">
            <v>ED4-GEOM</v>
          </cell>
        </row>
        <row r="63">
          <cell r="D63" t="str">
            <v>ED3-IND</v>
          </cell>
        </row>
        <row r="64">
          <cell r="D64" t="str">
            <v>ED2-MSE</v>
          </cell>
        </row>
        <row r="65">
          <cell r="D65" t="str">
            <v>ED3-METE</v>
          </cell>
        </row>
        <row r="66">
          <cell r="D66" t="str">
            <v>ED3-CE</v>
          </cell>
        </row>
        <row r="67">
          <cell r="D67" t="str">
            <v>ED3-GEOL</v>
          </cell>
        </row>
        <row r="68">
          <cell r="D68" t="str">
            <v>ED3-MARI</v>
          </cell>
        </row>
        <row r="69">
          <cell r="D69" t="str">
            <v>ED2-BME</v>
          </cell>
        </row>
        <row r="70">
          <cell r="D70" t="str">
            <v>ED2-COE</v>
          </cell>
        </row>
        <row r="71">
          <cell r="D71" t="str">
            <v>ED3-PETE</v>
          </cell>
        </row>
        <row r="77">
          <cell r="D77" t="str">
            <v>CLASS</v>
          </cell>
        </row>
        <row r="78">
          <cell r="D78" t="str">
            <v>ED4-AERO</v>
          </cell>
        </row>
        <row r="79">
          <cell r="D79" t="str">
            <v>ED4-ME</v>
          </cell>
        </row>
        <row r="80">
          <cell r="D80" t="str">
            <v>ED4-IND</v>
          </cell>
        </row>
        <row r="81">
          <cell r="D81" t="str">
            <v>ED2-CE</v>
          </cell>
        </row>
        <row r="82">
          <cell r="D82" t="str">
            <v>ED2-GEOM</v>
          </cell>
        </row>
        <row r="83">
          <cell r="D83" t="str">
            <v>ED4-AUTO</v>
          </cell>
        </row>
        <row r="84">
          <cell r="D84" t="str">
            <v>ED1-CHE</v>
          </cell>
        </row>
        <row r="85">
          <cell r="D85" t="str">
            <v>ED4-AE</v>
          </cell>
        </row>
        <row r="86">
          <cell r="D86" t="str">
            <v>ED3-PETE</v>
          </cell>
        </row>
        <row r="92">
          <cell r="D92" t="str">
            <v>CLASS</v>
          </cell>
        </row>
        <row r="93">
          <cell r="D93" t="str">
            <v>ED2-AE</v>
          </cell>
        </row>
        <row r="94">
          <cell r="D94" t="str">
            <v>ED3-ME</v>
          </cell>
        </row>
        <row r="95">
          <cell r="D95" t="str">
            <v>ED2-GEOL</v>
          </cell>
        </row>
        <row r="96">
          <cell r="D96" t="str">
            <v>ED4-EE</v>
          </cell>
        </row>
        <row r="97">
          <cell r="D97" t="str">
            <v>ED3-MSE</v>
          </cell>
        </row>
        <row r="98">
          <cell r="D98" t="str">
            <v>ED3-METE</v>
          </cell>
        </row>
        <row r="99">
          <cell r="D99" t="str">
            <v>ED1-GEOL</v>
          </cell>
        </row>
        <row r="100">
          <cell r="D100" t="str">
            <v>ED2-PETE</v>
          </cell>
        </row>
        <row r="101">
          <cell r="D101" t="str">
            <v>ED3-CHE</v>
          </cell>
        </row>
        <row r="102">
          <cell r="D102" t="str">
            <v>ED3-PCE</v>
          </cell>
        </row>
        <row r="103">
          <cell r="D103" t="str">
            <v>ED4-GEOL</v>
          </cell>
        </row>
        <row r="104">
          <cell r="D104" t="str">
            <v>ED4-AERO</v>
          </cell>
        </row>
        <row r="105">
          <cell r="D105" t="str">
            <v>ED1-TEL</v>
          </cell>
        </row>
        <row r="111">
          <cell r="D111" t="str">
            <v>CLASS</v>
          </cell>
        </row>
        <row r="112">
          <cell r="D112" t="str">
            <v>ED3-GEOL</v>
          </cell>
        </row>
        <row r="113">
          <cell r="D113" t="str">
            <v>ED4-CE</v>
          </cell>
        </row>
        <row r="114">
          <cell r="D114" t="str">
            <v>ED3-CE</v>
          </cell>
        </row>
        <row r="115">
          <cell r="D115" t="str">
            <v>ED2-EE</v>
          </cell>
        </row>
        <row r="116">
          <cell r="D116" t="str">
            <v>ED2-TEL</v>
          </cell>
        </row>
        <row r="117">
          <cell r="D117" t="str">
            <v>ED1-AE</v>
          </cell>
        </row>
        <row r="118">
          <cell r="D118" t="str">
            <v>ED2-IND</v>
          </cell>
        </row>
        <row r="119">
          <cell r="D119" t="str">
            <v>ED2-MARI</v>
          </cell>
        </row>
        <row r="120">
          <cell r="D120" t="str">
            <v>ED2-ME</v>
          </cell>
        </row>
        <row r="121">
          <cell r="D121" t="str">
            <v>ED2-AUTO</v>
          </cell>
        </row>
        <row r="122">
          <cell r="D122" t="str">
            <v>ED2-COE</v>
          </cell>
        </row>
        <row r="123">
          <cell r="D123" t="str">
            <v>ED1-GEOM</v>
          </cell>
        </row>
        <row r="124">
          <cell r="D124" t="str">
            <v>ED4-PETE</v>
          </cell>
        </row>
        <row r="125">
          <cell r="D125" t="str">
            <v>ED3-GEOM</v>
          </cell>
        </row>
        <row r="131">
          <cell r="D131" t="str">
            <v>CLASS</v>
          </cell>
        </row>
        <row r="132">
          <cell r="D132" t="str">
            <v>ED2-METE</v>
          </cell>
        </row>
        <row r="133">
          <cell r="D133" t="str">
            <v>ED2-MSE</v>
          </cell>
        </row>
        <row r="134">
          <cell r="D134" t="str">
            <v>ED3-EE</v>
          </cell>
        </row>
        <row r="135">
          <cell r="D135" t="str">
            <v>ED3-TEL</v>
          </cell>
        </row>
        <row r="136">
          <cell r="D136" t="str">
            <v>ED3-ME</v>
          </cell>
        </row>
        <row r="137">
          <cell r="D137" t="str">
            <v>ED3-AERO</v>
          </cell>
        </row>
        <row r="138">
          <cell r="D138" t="str">
            <v>ED3-AE</v>
          </cell>
        </row>
        <row r="139">
          <cell r="D139" t="str">
            <v>ED3-MARI</v>
          </cell>
        </row>
        <row r="140">
          <cell r="D140" t="str">
            <v>ED2-CHE</v>
          </cell>
        </row>
        <row r="141">
          <cell r="D141" t="str">
            <v>ED2-PCE</v>
          </cell>
        </row>
        <row r="142">
          <cell r="D142" t="str">
            <v>ED2-CE</v>
          </cell>
        </row>
        <row r="143">
          <cell r="D143" t="str">
            <v>ED1-METE</v>
          </cell>
        </row>
        <row r="144">
          <cell r="D144" t="str">
            <v>ED1-MSE</v>
          </cell>
        </row>
        <row r="150">
          <cell r="D150" t="str">
            <v>CLASS</v>
          </cell>
        </row>
        <row r="151">
          <cell r="D151" t="str">
            <v>ED1-CE</v>
          </cell>
        </row>
        <row r="152">
          <cell r="D152" t="str">
            <v>ED1-BME</v>
          </cell>
        </row>
        <row r="153">
          <cell r="D153" t="str">
            <v>ED1-CHE</v>
          </cell>
        </row>
        <row r="154">
          <cell r="D154" t="str">
            <v>ED1-PCE</v>
          </cell>
        </row>
        <row r="155">
          <cell r="D155" t="str">
            <v>ED1-PETE</v>
          </cell>
        </row>
        <row r="156">
          <cell r="D156" t="str">
            <v>ED1-TEL</v>
          </cell>
        </row>
        <row r="157">
          <cell r="D157" t="str">
            <v>ED1-AERO</v>
          </cell>
        </row>
        <row r="158">
          <cell r="D158" t="str">
            <v>ED1-COE</v>
          </cell>
        </row>
        <row r="159">
          <cell r="D159" t="str">
            <v>ED4-PETE</v>
          </cell>
        </row>
        <row r="160">
          <cell r="D160" t="str">
            <v>ED2-MARI</v>
          </cell>
        </row>
        <row r="161">
          <cell r="D161" t="str">
            <v>ED2-ME</v>
          </cell>
        </row>
        <row r="162">
          <cell r="D162" t="str">
            <v>ED2-AERO</v>
          </cell>
        </row>
        <row r="163">
          <cell r="D163" t="str">
            <v>ED2-IND</v>
          </cell>
        </row>
        <row r="164">
          <cell r="D164" t="str">
            <v>ED2-AUTO</v>
          </cell>
        </row>
        <row r="170">
          <cell r="D170" t="str">
            <v>CLASS</v>
          </cell>
        </row>
        <row r="171">
          <cell r="D171" t="str">
            <v>ED1-AUTO</v>
          </cell>
        </row>
        <row r="172">
          <cell r="D172" t="str">
            <v>ED1-ME</v>
          </cell>
        </row>
        <row r="173">
          <cell r="D173" t="str">
            <v>ED1-MSE</v>
          </cell>
        </row>
        <row r="174">
          <cell r="D174" t="str">
            <v>ED1-IND</v>
          </cell>
        </row>
        <row r="175">
          <cell r="D175" t="str">
            <v>ED1-MARI</v>
          </cell>
        </row>
        <row r="176">
          <cell r="D176" t="str">
            <v>ED1-EE</v>
          </cell>
        </row>
        <row r="177">
          <cell r="D177" t="str">
            <v>ED1-GEOL</v>
          </cell>
        </row>
        <row r="178">
          <cell r="D178" t="str">
            <v>ED1-GEOM</v>
          </cell>
        </row>
        <row r="179">
          <cell r="D179" t="str">
            <v>ED1-AE</v>
          </cell>
        </row>
        <row r="180">
          <cell r="D180" t="str">
            <v>ED2-GEOL</v>
          </cell>
        </row>
        <row r="181">
          <cell r="D181" t="str">
            <v>ED2-CE</v>
          </cell>
        </row>
        <row r="182">
          <cell r="D182" t="str">
            <v>ED4-MARI</v>
          </cell>
        </row>
        <row r="183">
          <cell r="D183" t="str">
            <v>ED3-CHE</v>
          </cell>
        </row>
        <row r="189">
          <cell r="D189" t="str">
            <v>CLASS</v>
          </cell>
        </row>
        <row r="190">
          <cell r="D190" t="str">
            <v>ED4-EE</v>
          </cell>
        </row>
        <row r="191">
          <cell r="D191" t="str">
            <v>ED4-MSE</v>
          </cell>
        </row>
        <row r="192">
          <cell r="D192" t="str">
            <v>ED4-METE</v>
          </cell>
        </row>
        <row r="193">
          <cell r="D193" t="str">
            <v>ED2-BME</v>
          </cell>
        </row>
        <row r="194">
          <cell r="D194" t="str">
            <v>ED3-GEOL</v>
          </cell>
        </row>
        <row r="195">
          <cell r="D195" t="str">
            <v>ED2-CHE</v>
          </cell>
        </row>
        <row r="196">
          <cell r="D196" t="str">
            <v>ED4-AE</v>
          </cell>
        </row>
        <row r="197">
          <cell r="D197" t="str">
            <v>ED4-CHE</v>
          </cell>
        </row>
        <row r="198">
          <cell r="D198" t="str">
            <v>ED4-GEOM</v>
          </cell>
        </row>
        <row r="199">
          <cell r="D199" t="str">
            <v>ED2-PETE</v>
          </cell>
        </row>
        <row r="200">
          <cell r="D200" t="str">
            <v>ED3-EE</v>
          </cell>
        </row>
        <row r="201">
          <cell r="D201" t="str">
            <v>ED1-TEL</v>
          </cell>
        </row>
        <row r="207">
          <cell r="D207" t="str">
            <v>CLASS</v>
          </cell>
        </row>
        <row r="208">
          <cell r="D208" t="str">
            <v>ED2-COE</v>
          </cell>
        </row>
        <row r="209">
          <cell r="D209" t="str">
            <v>ED2-GEOL</v>
          </cell>
        </row>
        <row r="210">
          <cell r="D210" t="str">
            <v>ED2-GEOM</v>
          </cell>
        </row>
        <row r="211">
          <cell r="D211" t="str">
            <v>ED2-IND</v>
          </cell>
        </row>
        <row r="212">
          <cell r="D212" t="str">
            <v>ED2-TEL</v>
          </cell>
        </row>
        <row r="213">
          <cell r="D213" t="str">
            <v>ED2-MSE</v>
          </cell>
        </row>
        <row r="214">
          <cell r="D214" t="str">
            <v>ED2-METE</v>
          </cell>
        </row>
        <row r="215">
          <cell r="D215" t="str">
            <v>ED3-AUTO</v>
          </cell>
        </row>
        <row r="216">
          <cell r="D216" t="str">
            <v>ED1-CHE</v>
          </cell>
        </row>
        <row r="217">
          <cell r="D217" t="str">
            <v>ED1-AUTO</v>
          </cell>
        </row>
        <row r="218">
          <cell r="D218" t="str">
            <v>ED4-PETE</v>
          </cell>
        </row>
        <row r="219">
          <cell r="D219" t="str">
            <v>ED3-MSE</v>
          </cell>
        </row>
        <row r="220">
          <cell r="D220" t="str">
            <v>ED1-AERO</v>
          </cell>
        </row>
        <row r="221">
          <cell r="D221" t="str">
            <v>ED3-BME</v>
          </cell>
        </row>
        <row r="222">
          <cell r="D222" t="str">
            <v>ED3-CE</v>
          </cell>
        </row>
        <row r="228">
          <cell r="D228" t="str">
            <v>CLASS</v>
          </cell>
        </row>
        <row r="229">
          <cell r="D229" t="str">
            <v>ED2-AE</v>
          </cell>
        </row>
        <row r="230">
          <cell r="D230" t="str">
            <v>ED2-AERO</v>
          </cell>
        </row>
        <row r="231">
          <cell r="D231" t="str">
            <v>ED2-CE</v>
          </cell>
        </row>
        <row r="232">
          <cell r="D232" t="str">
            <v>ED2-MARI</v>
          </cell>
        </row>
        <row r="233">
          <cell r="D233" t="str">
            <v>ED2-ME</v>
          </cell>
        </row>
        <row r="234">
          <cell r="D234" t="str">
            <v>ED2-CHE</v>
          </cell>
        </row>
        <row r="235">
          <cell r="D235" t="str">
            <v>ED2-EE</v>
          </cell>
        </row>
        <row r="236">
          <cell r="D236" t="str">
            <v>ED1-CE</v>
          </cell>
        </row>
        <row r="237">
          <cell r="D237" t="str">
            <v>ED1-GEOL</v>
          </cell>
        </row>
        <row r="238">
          <cell r="D238" t="str">
            <v>ED1-EE</v>
          </cell>
        </row>
        <row r="239">
          <cell r="D239" t="str">
            <v>ED3-AE</v>
          </cell>
        </row>
        <row r="245">
          <cell r="D245" t="str">
            <v>CLASS</v>
          </cell>
        </row>
        <row r="246">
          <cell r="D246" t="str">
            <v>ED4-AERO</v>
          </cell>
        </row>
        <row r="247">
          <cell r="D247" t="str">
            <v>ED4-ME</v>
          </cell>
        </row>
        <row r="248">
          <cell r="D248" t="str">
            <v>ED4-GEOL</v>
          </cell>
        </row>
        <row r="249">
          <cell r="D249" t="str">
            <v>ED1-METE</v>
          </cell>
        </row>
        <row r="250">
          <cell r="D250" t="str">
            <v>ED1-PCE</v>
          </cell>
        </row>
        <row r="251">
          <cell r="D251" t="str">
            <v>ED1-PETE</v>
          </cell>
        </row>
        <row r="252">
          <cell r="D252" t="str">
            <v>ED1-MSE</v>
          </cell>
        </row>
        <row r="253">
          <cell r="D253" t="str">
            <v>ED3-METE</v>
          </cell>
        </row>
        <row r="254">
          <cell r="D254" t="str">
            <v>ED4-CE</v>
          </cell>
        </row>
        <row r="255">
          <cell r="D255" t="str">
            <v>ED3-CHE</v>
          </cell>
        </row>
        <row r="256">
          <cell r="D256" t="str">
            <v>ED4-TEL</v>
          </cell>
        </row>
        <row r="257">
          <cell r="D257" t="str">
            <v>ED2-BME</v>
          </cell>
        </row>
        <row r="258">
          <cell r="D258" t="str">
            <v>ED2-COE</v>
          </cell>
        </row>
        <row r="259">
          <cell r="D259" t="str">
            <v>ED4-EE</v>
          </cell>
        </row>
        <row r="265">
          <cell r="D265" t="str">
            <v>CLASS</v>
          </cell>
        </row>
        <row r="266">
          <cell r="D266" t="str">
            <v>ED4-IND</v>
          </cell>
        </row>
        <row r="267">
          <cell r="D267" t="str">
            <v>ED1-COE</v>
          </cell>
        </row>
        <row r="268">
          <cell r="D268" t="str">
            <v>ED3-GEOM</v>
          </cell>
        </row>
        <row r="269">
          <cell r="D269" t="str">
            <v>ED3-PETE</v>
          </cell>
        </row>
        <row r="270">
          <cell r="D270" t="str">
            <v>ED3-IND</v>
          </cell>
        </row>
        <row r="271">
          <cell r="D271" t="str">
            <v>ED3-GEOL</v>
          </cell>
        </row>
        <row r="272">
          <cell r="D272" t="str">
            <v>ED3-PCE</v>
          </cell>
        </row>
        <row r="273">
          <cell r="D273" t="str">
            <v>ED1-BME</v>
          </cell>
        </row>
        <row r="274">
          <cell r="D274" t="str">
            <v>ED1-AE</v>
          </cell>
        </row>
        <row r="275">
          <cell r="D275" t="str">
            <v>ED3-EE</v>
          </cell>
        </row>
        <row r="276">
          <cell r="D276" t="str">
            <v>ED3-TEL</v>
          </cell>
        </row>
        <row r="282">
          <cell r="D282" t="str">
            <v>CLASS</v>
          </cell>
        </row>
        <row r="283">
          <cell r="D283" t="str">
            <v>ED4-PCE</v>
          </cell>
        </row>
        <row r="284">
          <cell r="D284" t="str">
            <v>ED4-CHE</v>
          </cell>
        </row>
        <row r="285">
          <cell r="D285" t="str">
            <v>ED4-PETE</v>
          </cell>
        </row>
        <row r="286">
          <cell r="D286" t="str">
            <v>ED1-AUTO</v>
          </cell>
        </row>
        <row r="287">
          <cell r="D287" t="str">
            <v>ED1-EE</v>
          </cell>
        </row>
        <row r="288">
          <cell r="D288" t="str">
            <v>ED2-EE</v>
          </cell>
        </row>
        <row r="289">
          <cell r="D289" t="str">
            <v>ED2-TEL</v>
          </cell>
        </row>
        <row r="290">
          <cell r="D290" t="str">
            <v>ED3-PETE</v>
          </cell>
        </row>
        <row r="291">
          <cell r="D291" t="str">
            <v>ED3-CHE</v>
          </cell>
        </row>
        <row r="292">
          <cell r="D292" t="str">
            <v>ED2-MSE</v>
          </cell>
        </row>
        <row r="293">
          <cell r="D293" t="str">
            <v>ED3-COE</v>
          </cell>
        </row>
        <row r="294">
          <cell r="D294" t="str">
            <v>ED3-BME</v>
          </cell>
        </row>
        <row r="300">
          <cell r="D300" t="str">
            <v>CLASS</v>
          </cell>
        </row>
        <row r="301">
          <cell r="D301" t="str">
            <v>ED2-AE</v>
          </cell>
        </row>
        <row r="302">
          <cell r="D302" t="str">
            <v>ED2-AERO</v>
          </cell>
        </row>
        <row r="303">
          <cell r="D303" t="str">
            <v>ED2-GEOM</v>
          </cell>
        </row>
        <row r="304">
          <cell r="D304" t="str">
            <v>ED2-IND</v>
          </cell>
        </row>
        <row r="305">
          <cell r="D305" t="str">
            <v>ED3-GEOL</v>
          </cell>
        </row>
        <row r="306">
          <cell r="D306" t="str">
            <v>ED3-CE</v>
          </cell>
        </row>
        <row r="307">
          <cell r="D307" t="str">
            <v>ED4-AE</v>
          </cell>
        </row>
        <row r="308">
          <cell r="D308" t="str">
            <v>ED3-GEOM</v>
          </cell>
        </row>
        <row r="309">
          <cell r="D309" t="str">
            <v>ED4-CE</v>
          </cell>
        </row>
        <row r="310">
          <cell r="D310" t="str">
            <v>ED4-GEOL</v>
          </cell>
        </row>
        <row r="311">
          <cell r="D311" t="str">
            <v>ED1-ME</v>
          </cell>
        </row>
        <row r="312">
          <cell r="D312" t="str">
            <v>ED1-AE</v>
          </cell>
        </row>
        <row r="313">
          <cell r="D313" t="str">
            <v>ED1-BME</v>
          </cell>
        </row>
        <row r="314">
          <cell r="D314" t="str">
            <v>ED1-PETE</v>
          </cell>
        </row>
        <row r="315">
          <cell r="D315" t="str">
            <v>ED1-GEOL</v>
          </cell>
        </row>
        <row r="316">
          <cell r="D316" t="str">
            <v>ED3-PCE</v>
          </cell>
        </row>
        <row r="322">
          <cell r="D322" t="str">
            <v>CLASS</v>
          </cell>
        </row>
        <row r="323">
          <cell r="D323" t="str">
            <v>ED3-AERO</v>
          </cell>
        </row>
        <row r="324">
          <cell r="D324" t="str">
            <v>ED3-ME</v>
          </cell>
        </row>
        <row r="325">
          <cell r="D325" t="str">
            <v>ED3-MARI</v>
          </cell>
        </row>
        <row r="326">
          <cell r="D326" t="str">
            <v>ED3-AUTO</v>
          </cell>
        </row>
        <row r="327">
          <cell r="D327" t="str">
            <v>ED4-MARI</v>
          </cell>
        </row>
        <row r="328">
          <cell r="D328" t="str">
            <v>ED4-ME</v>
          </cell>
        </row>
        <row r="329">
          <cell r="D329" t="str">
            <v>ED4-IND</v>
          </cell>
        </row>
        <row r="330">
          <cell r="D330" t="str">
            <v>ED1-IND</v>
          </cell>
        </row>
        <row r="331">
          <cell r="D331" t="str">
            <v>ED2-PCE</v>
          </cell>
        </row>
        <row r="332">
          <cell r="D332" t="str">
            <v>ED1-MARI</v>
          </cell>
        </row>
        <row r="333">
          <cell r="D333" t="str">
            <v>ED3-IND</v>
          </cell>
        </row>
        <row r="334">
          <cell r="D334" t="str">
            <v>ED2-PETE</v>
          </cell>
        </row>
        <row r="335">
          <cell r="D335" t="str">
            <v>ED3-MSE</v>
          </cell>
        </row>
        <row r="336">
          <cell r="D336" t="str">
            <v>ED3-METE</v>
          </cell>
        </row>
        <row r="337">
          <cell r="D337" t="str">
            <v>ED1-CE</v>
          </cell>
        </row>
        <row r="343">
          <cell r="D343" t="str">
            <v>CLASS</v>
          </cell>
        </row>
        <row r="344">
          <cell r="D344" t="str">
            <v>ED4-MSE</v>
          </cell>
        </row>
        <row r="345">
          <cell r="D345" t="str">
            <v>ED4-BME</v>
          </cell>
        </row>
        <row r="346">
          <cell r="D346" t="str">
            <v>ED1-GEOM</v>
          </cell>
        </row>
        <row r="347">
          <cell r="D347" t="str">
            <v>ED1-MSE</v>
          </cell>
        </row>
        <row r="348">
          <cell r="D348" t="str">
            <v>ED1-AERO</v>
          </cell>
        </row>
        <row r="349">
          <cell r="D349" t="str">
            <v>ED1-TEL</v>
          </cell>
        </row>
        <row r="350">
          <cell r="D350" t="str">
            <v>ED3-AE</v>
          </cell>
        </row>
        <row r="351">
          <cell r="D351" t="str">
            <v>ED2-BME</v>
          </cell>
        </row>
        <row r="352">
          <cell r="D352" t="str">
            <v>ED3-EE</v>
          </cell>
        </row>
        <row r="353">
          <cell r="D353" t="str">
            <v>ED2-CHE</v>
          </cell>
        </row>
        <row r="354">
          <cell r="D354" t="str">
            <v>ED3-CHE</v>
          </cell>
        </row>
        <row r="355">
          <cell r="D355" t="str">
            <v>ED2-GEOL</v>
          </cell>
        </row>
        <row r="356">
          <cell r="D356" t="str">
            <v>ED1-PCE</v>
          </cell>
        </row>
        <row r="362">
          <cell r="D362" t="str">
            <v>CLASS</v>
          </cell>
        </row>
        <row r="363">
          <cell r="D363" t="str">
            <v>ED2-EE</v>
          </cell>
        </row>
        <row r="364">
          <cell r="D364" t="str">
            <v>ED3-GEOM</v>
          </cell>
        </row>
        <row r="365">
          <cell r="D365" t="str">
            <v>ED1-CE</v>
          </cell>
        </row>
        <row r="366">
          <cell r="D366" t="str">
            <v>ED1-GEOL</v>
          </cell>
        </row>
        <row r="367">
          <cell r="D367" t="str">
            <v>ED2-BME</v>
          </cell>
        </row>
        <row r="368">
          <cell r="D368" t="str">
            <v>ED2-COE</v>
          </cell>
        </row>
        <row r="369">
          <cell r="D369" t="str">
            <v>ED2-TEL</v>
          </cell>
        </row>
        <row r="370">
          <cell r="D370" t="str">
            <v>ED3-CHE</v>
          </cell>
        </row>
        <row r="371">
          <cell r="D371" t="str">
            <v>ED1-METE</v>
          </cell>
        </row>
        <row r="372">
          <cell r="D372" t="str">
            <v>ED2-MSE</v>
          </cell>
        </row>
        <row r="373">
          <cell r="D373" t="str">
            <v>ED1-EE</v>
          </cell>
        </row>
        <row r="374">
          <cell r="D374" t="str">
            <v>ED1-COE</v>
          </cell>
        </row>
        <row r="375">
          <cell r="D375" t="str">
            <v>ED1-BME</v>
          </cell>
        </row>
        <row r="376">
          <cell r="D376" t="str">
            <v>ED3-CE</v>
          </cell>
        </row>
        <row r="377">
          <cell r="D377" t="str">
            <v>ED2-CE</v>
          </cell>
        </row>
        <row r="378">
          <cell r="D378" t="str">
            <v>ED4-ME</v>
          </cell>
        </row>
        <row r="379">
          <cell r="D379" t="str">
            <v>ED4-PETE</v>
          </cell>
        </row>
        <row r="385">
          <cell r="D385" t="str">
            <v>CLASS</v>
          </cell>
        </row>
        <row r="386">
          <cell r="D386" t="str">
            <v>ED3-TEL</v>
          </cell>
        </row>
        <row r="387">
          <cell r="D387" t="str">
            <v>ED3-COE</v>
          </cell>
        </row>
        <row r="388">
          <cell r="D388" t="str">
            <v>ED3-IND</v>
          </cell>
        </row>
        <row r="389">
          <cell r="D389" t="str">
            <v>ED3-GEOL</v>
          </cell>
        </row>
        <row r="390">
          <cell r="D390" t="str">
            <v>ED3-PCE</v>
          </cell>
        </row>
        <row r="391">
          <cell r="D391" t="str">
            <v>ED4-ME</v>
          </cell>
        </row>
        <row r="392">
          <cell r="D392" t="str">
            <v>ED4-AERO</v>
          </cell>
        </row>
        <row r="393">
          <cell r="D393" t="str">
            <v>ED2-METE</v>
          </cell>
        </row>
        <row r="394">
          <cell r="D394" t="str">
            <v>ED3-AE</v>
          </cell>
        </row>
        <row r="395">
          <cell r="D395" t="str">
            <v>ED4-GEOL</v>
          </cell>
        </row>
        <row r="396">
          <cell r="D396" t="str">
            <v>ED1-CE</v>
          </cell>
        </row>
        <row r="397">
          <cell r="D397" t="str">
            <v>ED4-CE</v>
          </cell>
        </row>
        <row r="398">
          <cell r="D398" t="str">
            <v>ED1-GEOL</v>
          </cell>
        </row>
        <row r="399">
          <cell r="D399" t="str">
            <v>ED2-AUTO</v>
          </cell>
        </row>
        <row r="400">
          <cell r="D400" t="str">
            <v>ED2-IND</v>
          </cell>
        </row>
        <row r="401">
          <cell r="D401" t="str">
            <v>ED2-MARI</v>
          </cell>
        </row>
        <row r="407">
          <cell r="D407" t="str">
            <v>CLASS</v>
          </cell>
        </row>
        <row r="408">
          <cell r="D408" t="str">
            <v>ED1-CHE</v>
          </cell>
        </row>
        <row r="409">
          <cell r="D409" t="str">
            <v>ED1-PCE</v>
          </cell>
        </row>
        <row r="410">
          <cell r="D410" t="str">
            <v>ED1-PETE</v>
          </cell>
        </row>
        <row r="411">
          <cell r="D411" t="str">
            <v>ED3-PETE</v>
          </cell>
        </row>
        <row r="412">
          <cell r="D412" t="str">
            <v>ED3-METE</v>
          </cell>
        </row>
        <row r="413">
          <cell r="D413" t="str">
            <v>ED3-MSE</v>
          </cell>
        </row>
        <row r="414">
          <cell r="D414" t="str">
            <v>ED3-AERO</v>
          </cell>
        </row>
        <row r="415">
          <cell r="D415" t="str">
            <v>ED3-ME</v>
          </cell>
        </row>
        <row r="416">
          <cell r="D416" t="str">
            <v>ED2-ME</v>
          </cell>
        </row>
        <row r="417">
          <cell r="D417" t="str">
            <v>ED3-AUTO</v>
          </cell>
        </row>
        <row r="418">
          <cell r="D418" t="str">
            <v>ED3-MARI</v>
          </cell>
        </row>
        <row r="419">
          <cell r="D419" t="str">
            <v>ED4-AERO</v>
          </cell>
        </row>
        <row r="420">
          <cell r="D420" t="str">
            <v>ED4-COE</v>
          </cell>
        </row>
        <row r="421">
          <cell r="D421" t="str">
            <v>ED3-BME</v>
          </cell>
        </row>
        <row r="422">
          <cell r="D422" t="str">
            <v>ED1-AE</v>
          </cell>
        </row>
        <row r="423">
          <cell r="D423" t="str">
            <v>ED3-GEOM</v>
          </cell>
        </row>
        <row r="424">
          <cell r="D424" t="str">
            <v>ED2-PETE</v>
          </cell>
        </row>
        <row r="425">
          <cell r="D425" t="str">
            <v>ED4-TEL</v>
          </cell>
        </row>
        <row r="426">
          <cell r="D426" t="str">
            <v>ED2-CHE</v>
          </cell>
        </row>
        <row r="427">
          <cell r="D427" t="str">
            <v>ED2-PCE</v>
          </cell>
        </row>
        <row r="433">
          <cell r="D433" t="str">
            <v>CLASS</v>
          </cell>
        </row>
        <row r="434">
          <cell r="D434" t="str">
            <v>ED1-EE</v>
          </cell>
        </row>
        <row r="435">
          <cell r="D435" t="str">
            <v>ED1-TEL</v>
          </cell>
        </row>
        <row r="436">
          <cell r="D436" t="str">
            <v>ED1-AUTO</v>
          </cell>
        </row>
        <row r="437">
          <cell r="D437" t="str">
            <v>ED1-GEOM</v>
          </cell>
        </row>
        <row r="438">
          <cell r="D438" t="str">
            <v>ED1-CHE</v>
          </cell>
        </row>
        <row r="439">
          <cell r="D439" t="str">
            <v>ED1-PCE</v>
          </cell>
        </row>
        <row r="440">
          <cell r="D440" t="str">
            <v>ED1-AERO</v>
          </cell>
        </row>
        <row r="441">
          <cell r="D441" t="str">
            <v>ED1-IND</v>
          </cell>
        </row>
        <row r="442">
          <cell r="D442" t="str">
            <v>ED1-MARI</v>
          </cell>
        </row>
        <row r="443">
          <cell r="D443" t="str">
            <v>ED1-CE</v>
          </cell>
        </row>
        <row r="444">
          <cell r="D444" t="str">
            <v>ED1-COE</v>
          </cell>
        </row>
        <row r="445">
          <cell r="D445" t="str">
            <v>ED1-METE</v>
          </cell>
        </row>
        <row r="446">
          <cell r="D446" t="str">
            <v>ED1-MSE</v>
          </cell>
        </row>
        <row r="452">
          <cell r="D452" t="str">
            <v>CLASS</v>
          </cell>
        </row>
        <row r="453">
          <cell r="D453" t="str">
            <v>ED2-COE</v>
          </cell>
        </row>
        <row r="454">
          <cell r="D454" t="str">
            <v>ED2-BME</v>
          </cell>
        </row>
        <row r="455">
          <cell r="D455" t="str">
            <v>ED3-PCE</v>
          </cell>
        </row>
        <row r="456">
          <cell r="D456" t="str">
            <v>ED3-CHE</v>
          </cell>
        </row>
        <row r="457">
          <cell r="D457" t="str">
            <v>ED4-ME</v>
          </cell>
        </row>
        <row r="458">
          <cell r="D458" t="str">
            <v>ED4-AUTO</v>
          </cell>
        </row>
        <row r="459">
          <cell r="D459" t="str">
            <v>ED4-PETE</v>
          </cell>
        </row>
        <row r="460">
          <cell r="D460" t="str">
            <v>ED2-PCE</v>
          </cell>
        </row>
        <row r="461">
          <cell r="D461" t="str">
            <v>ED2-METE</v>
          </cell>
        </row>
        <row r="462">
          <cell r="D462" t="str">
            <v>ED3-BME</v>
          </cell>
        </row>
        <row r="463">
          <cell r="D463" t="str">
            <v>ED4-MSE</v>
          </cell>
        </row>
        <row r="464">
          <cell r="D464" t="str">
            <v>ED4-METE</v>
          </cell>
        </row>
        <row r="465">
          <cell r="D465" t="str">
            <v>ED3-AE</v>
          </cell>
        </row>
        <row r="466">
          <cell r="D466" t="str">
            <v>ED2-PETE</v>
          </cell>
        </row>
        <row r="472">
          <cell r="D472" t="str">
            <v>CLASS</v>
          </cell>
        </row>
        <row r="473">
          <cell r="D473" t="str">
            <v>ED1-AE</v>
          </cell>
        </row>
        <row r="474">
          <cell r="D474" t="str">
            <v>ED1-METE</v>
          </cell>
        </row>
        <row r="475">
          <cell r="D475" t="str">
            <v>ED1-MSE</v>
          </cell>
        </row>
        <row r="476">
          <cell r="D476" t="str">
            <v>ED1-ME</v>
          </cell>
        </row>
        <row r="477">
          <cell r="D477" t="str">
            <v>ED1-AUTO</v>
          </cell>
        </row>
        <row r="478">
          <cell r="D478" t="str">
            <v>ED1-IND</v>
          </cell>
        </row>
        <row r="479">
          <cell r="D479" t="str">
            <v>ED1-MARI</v>
          </cell>
        </row>
        <row r="480">
          <cell r="D480" t="str">
            <v>ED3-IND</v>
          </cell>
        </row>
        <row r="481">
          <cell r="D481" t="str">
            <v>ED2-CE</v>
          </cell>
        </row>
        <row r="482">
          <cell r="D482" t="str">
            <v>ED4-AERO</v>
          </cell>
        </row>
        <row r="483">
          <cell r="D483" t="str">
            <v>ED2-AERO</v>
          </cell>
        </row>
        <row r="484">
          <cell r="D484" t="str">
            <v>ED2-AE</v>
          </cell>
        </row>
        <row r="485">
          <cell r="D485" t="str">
            <v>ED1-TEL</v>
          </cell>
        </row>
        <row r="486">
          <cell r="D486" t="str">
            <v>ED4-GEOL</v>
          </cell>
        </row>
        <row r="492">
          <cell r="D492" t="str">
            <v>CLASS</v>
          </cell>
        </row>
        <row r="493">
          <cell r="D493" t="str">
            <v>ED2-EE</v>
          </cell>
        </row>
        <row r="494">
          <cell r="D494" t="str">
            <v>ED4-CHE</v>
          </cell>
        </row>
        <row r="495">
          <cell r="D495" t="str">
            <v>ED4-PCE</v>
          </cell>
        </row>
        <row r="496">
          <cell r="D496" t="str">
            <v>ED4-AE</v>
          </cell>
        </row>
        <row r="497">
          <cell r="D497" t="str">
            <v>ED2-MSE</v>
          </cell>
        </row>
        <row r="498">
          <cell r="D498" t="str">
            <v>ED2-METE</v>
          </cell>
        </row>
        <row r="499">
          <cell r="D499" t="str">
            <v>ED3-GEOM</v>
          </cell>
        </row>
        <row r="500">
          <cell r="D500" t="str">
            <v>ED4-CE</v>
          </cell>
        </row>
        <row r="501">
          <cell r="D501" t="str">
            <v>ED1-CE</v>
          </cell>
        </row>
        <row r="502">
          <cell r="D502" t="str">
            <v>ED1-AERO</v>
          </cell>
        </row>
        <row r="503">
          <cell r="D503" t="str">
            <v>ED1-BME</v>
          </cell>
        </row>
        <row r="504">
          <cell r="D504" t="str">
            <v>ED4-IND</v>
          </cell>
        </row>
        <row r="505">
          <cell r="D505" t="str">
            <v>ED3-AERO</v>
          </cell>
        </row>
        <row r="506">
          <cell r="D506" t="str">
            <v>ED3-PETE</v>
          </cell>
        </row>
        <row r="507">
          <cell r="D507" t="str">
            <v>ED1-PETE</v>
          </cell>
        </row>
        <row r="508">
          <cell r="D508" t="str">
            <v>ED3-AUTO</v>
          </cell>
        </row>
        <row r="509">
          <cell r="D509" t="str">
            <v>ED4-MARI</v>
          </cell>
        </row>
        <row r="510">
          <cell r="D510" t="str">
            <v>ED2-IND</v>
          </cell>
        </row>
        <row r="511">
          <cell r="D511" t="str">
            <v>ED2-MARI</v>
          </cell>
        </row>
        <row r="512">
          <cell r="D512" t="str">
            <v>ED2-AUTO</v>
          </cell>
        </row>
        <row r="513">
          <cell r="D513" t="str">
            <v>ED2-GEOM</v>
          </cell>
        </row>
        <row r="519">
          <cell r="D519" t="str">
            <v>CLASS</v>
          </cell>
        </row>
        <row r="520">
          <cell r="D520" t="str">
            <v>ED4-GEOM</v>
          </cell>
        </row>
        <row r="521">
          <cell r="D521" t="str">
            <v>ED4-TEL</v>
          </cell>
        </row>
        <row r="522">
          <cell r="D522" t="str">
            <v>ED4-EE</v>
          </cell>
        </row>
        <row r="523">
          <cell r="D523" t="str">
            <v>ED4-PETE</v>
          </cell>
        </row>
        <row r="524">
          <cell r="D524" t="str">
            <v>ED3-AE</v>
          </cell>
        </row>
        <row r="525">
          <cell r="D525" t="str">
            <v>ED3-PCE</v>
          </cell>
        </row>
        <row r="526">
          <cell r="D526" t="str">
            <v>ED2-GEOL</v>
          </cell>
        </row>
        <row r="527">
          <cell r="D527" t="str">
            <v>ED1-BME</v>
          </cell>
        </row>
        <row r="528">
          <cell r="D528" t="str">
            <v>ED3-IND</v>
          </cell>
        </row>
        <row r="529">
          <cell r="D529" t="str">
            <v>ED3-MSE</v>
          </cell>
        </row>
        <row r="530">
          <cell r="D530" t="str">
            <v>ED3-CHE</v>
          </cell>
        </row>
        <row r="531">
          <cell r="D531" t="str">
            <v>ED3-COE</v>
          </cell>
        </row>
        <row r="532">
          <cell r="D532" t="str">
            <v>ED3-EE</v>
          </cell>
        </row>
        <row r="533">
          <cell r="D533" t="str">
            <v>ED4-AUTO</v>
          </cell>
        </row>
        <row r="534">
          <cell r="D534" t="str">
            <v>ED4-ME</v>
          </cell>
        </row>
        <row r="540">
          <cell r="D540" t="str">
            <v>CLASS</v>
          </cell>
        </row>
        <row r="541">
          <cell r="D541" t="str">
            <v>ED4-IND</v>
          </cell>
        </row>
        <row r="542">
          <cell r="D542" t="str">
            <v>ED3-GEOM</v>
          </cell>
        </row>
        <row r="543">
          <cell r="D543" t="str">
            <v>ED3-CE</v>
          </cell>
        </row>
        <row r="544">
          <cell r="D544" t="str">
            <v>ED4-AERO</v>
          </cell>
        </row>
        <row r="545">
          <cell r="D545" t="str">
            <v>ED4-AUTO</v>
          </cell>
        </row>
        <row r="546">
          <cell r="D546" t="str">
            <v>ED4-ME</v>
          </cell>
        </row>
        <row r="547">
          <cell r="D547" t="str">
            <v>ED2-CHE</v>
          </cell>
        </row>
        <row r="548">
          <cell r="D548" t="str">
            <v>ED2-PCE</v>
          </cell>
        </row>
        <row r="549">
          <cell r="D549" t="str">
            <v>ED2-PETE</v>
          </cell>
        </row>
        <row r="550">
          <cell r="D550" t="str">
            <v>ED3-ME</v>
          </cell>
        </row>
        <row r="551">
          <cell r="D551" t="str">
            <v>ED3-MSE</v>
          </cell>
        </row>
        <row r="552">
          <cell r="D552" t="str">
            <v>ED3-METE</v>
          </cell>
        </row>
        <row r="553">
          <cell r="D553" t="str">
            <v>ED2-COE</v>
          </cell>
        </row>
        <row r="554">
          <cell r="D554" t="str">
            <v>ED3-AERO</v>
          </cell>
        </row>
        <row r="555">
          <cell r="D555" t="str">
            <v>ED2-METE</v>
          </cell>
        </row>
        <row r="561">
          <cell r="D561" t="str">
            <v>CLASS</v>
          </cell>
        </row>
        <row r="562">
          <cell r="D562" t="str">
            <v>ED2-BME</v>
          </cell>
        </row>
        <row r="563">
          <cell r="D563" t="str">
            <v>ED2-AUTO</v>
          </cell>
        </row>
        <row r="564">
          <cell r="D564" t="str">
            <v>ED2-PCE</v>
          </cell>
        </row>
        <row r="565">
          <cell r="D565" t="str">
            <v>ED2-PETE</v>
          </cell>
        </row>
        <row r="566">
          <cell r="D566" t="str">
            <v>ED2-MSE</v>
          </cell>
        </row>
        <row r="567">
          <cell r="D567" t="str">
            <v>ED2-METE</v>
          </cell>
        </row>
        <row r="568">
          <cell r="D568" t="str">
            <v>ED4-AE</v>
          </cell>
        </row>
        <row r="569">
          <cell r="D569" t="str">
            <v>ED4-MSE</v>
          </cell>
        </row>
        <row r="570">
          <cell r="D570" t="str">
            <v>ED4-METE</v>
          </cell>
        </row>
        <row r="571">
          <cell r="D571" t="str">
            <v>ED4-CHE</v>
          </cell>
        </row>
        <row r="572">
          <cell r="D572" t="str">
            <v>ED4-PCE</v>
          </cell>
        </row>
        <row r="573">
          <cell r="D573" t="str">
            <v>ED1-AE</v>
          </cell>
        </row>
        <row r="574">
          <cell r="D574" t="str">
            <v>ED4-GEOL</v>
          </cell>
        </row>
        <row r="575">
          <cell r="D575" t="str">
            <v>ED1-PETE</v>
          </cell>
        </row>
        <row r="576">
          <cell r="D576" t="str">
            <v>ED3-TEL</v>
          </cell>
        </row>
        <row r="577">
          <cell r="D577" t="str">
            <v>ED4-MARI</v>
          </cell>
        </row>
        <row r="578">
          <cell r="D578" t="str">
            <v>ED4-GEOM</v>
          </cell>
        </row>
        <row r="579">
          <cell r="D579" t="str">
            <v>ED4-AERO</v>
          </cell>
        </row>
        <row r="580">
          <cell r="D580" t="str">
            <v>ED4-ME</v>
          </cell>
        </row>
        <row r="586">
          <cell r="D586" t="str">
            <v>CLASS</v>
          </cell>
        </row>
        <row r="587">
          <cell r="D587" t="str">
            <v>ED3-AE</v>
          </cell>
        </row>
        <row r="588">
          <cell r="D588" t="str">
            <v>ED3-CE</v>
          </cell>
        </row>
        <row r="589">
          <cell r="D589" t="str">
            <v>ED2-AERO</v>
          </cell>
        </row>
        <row r="590">
          <cell r="D590" t="str">
            <v>ED4-CE</v>
          </cell>
        </row>
        <row r="591">
          <cell r="D591" t="str">
            <v>ED2-COE</v>
          </cell>
        </row>
        <row r="592">
          <cell r="D592" t="str">
            <v>ED1-IND</v>
          </cell>
        </row>
        <row r="593">
          <cell r="D593" t="str">
            <v>ED1-MARI</v>
          </cell>
        </row>
        <row r="594">
          <cell r="D594" t="str">
            <v>ED3-PCE</v>
          </cell>
        </row>
        <row r="595">
          <cell r="D595" t="str">
            <v>ED3-ME</v>
          </cell>
        </row>
        <row r="596">
          <cell r="D596" t="str">
            <v>ED3-BME</v>
          </cell>
        </row>
        <row r="597">
          <cell r="D597" t="str">
            <v>ED3-COE</v>
          </cell>
        </row>
        <row r="603">
          <cell r="D603" t="str">
            <v>CLASS</v>
          </cell>
        </row>
        <row r="604">
          <cell r="D604" t="str">
            <v>ED2-CHE</v>
          </cell>
        </row>
        <row r="605">
          <cell r="D605" t="str">
            <v>ED2-PCE</v>
          </cell>
        </row>
        <row r="606">
          <cell r="D606" t="str">
            <v>ED3-EE</v>
          </cell>
        </row>
        <row r="607">
          <cell r="D607" t="str">
            <v>ED2-GEOM</v>
          </cell>
        </row>
        <row r="608">
          <cell r="D608" t="str">
            <v>ED2-CE</v>
          </cell>
        </row>
        <row r="609">
          <cell r="D609" t="str">
            <v>ED2-GEOL</v>
          </cell>
        </row>
        <row r="610">
          <cell r="D610" t="str">
            <v>ED1-CHE</v>
          </cell>
        </row>
        <row r="611">
          <cell r="D611" t="str">
            <v>ED1-PCE</v>
          </cell>
        </row>
        <row r="612">
          <cell r="D612" t="str">
            <v>ED4-EE</v>
          </cell>
        </row>
        <row r="613">
          <cell r="D613" t="str">
            <v>ED4-TEL</v>
          </cell>
        </row>
        <row r="614">
          <cell r="D614" t="str">
            <v>ED4-PETE</v>
          </cell>
        </row>
        <row r="615">
          <cell r="D615" t="str">
            <v>ED2-AE</v>
          </cell>
        </row>
        <row r="621">
          <cell r="D621" t="str">
            <v>CLASS</v>
          </cell>
        </row>
        <row r="622">
          <cell r="D622" t="str">
            <v>ED2-TEL</v>
          </cell>
        </row>
        <row r="623">
          <cell r="D623" t="str">
            <v>ED3-CHE</v>
          </cell>
        </row>
        <row r="624">
          <cell r="D624" t="str">
            <v>ED3-GEOM</v>
          </cell>
        </row>
        <row r="625">
          <cell r="D625" t="str">
            <v>ED2-EE</v>
          </cell>
        </row>
        <row r="626">
          <cell r="D626" t="str">
            <v>ED1-GEOL</v>
          </cell>
        </row>
        <row r="627">
          <cell r="D627" t="str">
            <v>ED1-CE</v>
          </cell>
        </row>
        <row r="628">
          <cell r="D628" t="str">
            <v>ED1-MARI</v>
          </cell>
        </row>
        <row r="629">
          <cell r="D629" t="str">
            <v>ED2-BME</v>
          </cell>
        </row>
        <row r="630">
          <cell r="D630" t="str">
            <v>ED2-COE</v>
          </cell>
        </row>
        <row r="631">
          <cell r="D631" t="str">
            <v>ED3-MARI</v>
          </cell>
        </row>
        <row r="632">
          <cell r="D632" t="str">
            <v>ED2-PETE</v>
          </cell>
        </row>
        <row r="633">
          <cell r="D633" t="str">
            <v>ED4-PCE</v>
          </cell>
        </row>
        <row r="634">
          <cell r="D634" t="str">
            <v>ED3-MSE</v>
          </cell>
        </row>
        <row r="635">
          <cell r="D635" t="str">
            <v>ED2-MARI</v>
          </cell>
        </row>
        <row r="636">
          <cell r="D636" t="str">
            <v>ED3-PETE</v>
          </cell>
        </row>
        <row r="637">
          <cell r="D637" t="str">
            <v>ED3-CE</v>
          </cell>
        </row>
        <row r="643">
          <cell r="D643" t="str">
            <v>CLASS</v>
          </cell>
        </row>
        <row r="644">
          <cell r="D644" t="str">
            <v>ED1-EE</v>
          </cell>
        </row>
        <row r="645">
          <cell r="D645" t="str">
            <v>ED1-GEOM</v>
          </cell>
        </row>
        <row r="646">
          <cell r="D646" t="str">
            <v>ED1-BME</v>
          </cell>
        </row>
        <row r="647">
          <cell r="D647" t="str">
            <v>ED1-COE</v>
          </cell>
        </row>
        <row r="648">
          <cell r="D648" t="str">
            <v>ED1-METE</v>
          </cell>
        </row>
        <row r="649">
          <cell r="D649" t="str">
            <v>ED2-IND</v>
          </cell>
        </row>
        <row r="650">
          <cell r="D650" t="str">
            <v>ED2-ME</v>
          </cell>
        </row>
        <row r="651">
          <cell r="D651" t="str">
            <v>ED1-AUTO</v>
          </cell>
        </row>
        <row r="652">
          <cell r="D652" t="str">
            <v>ED2-AERO</v>
          </cell>
        </row>
        <row r="653">
          <cell r="D653" t="str">
            <v>ED2-AUTO</v>
          </cell>
        </row>
        <row r="654">
          <cell r="D654" t="str">
            <v>ED3-TEL</v>
          </cell>
        </row>
        <row r="655">
          <cell r="D655" t="str">
            <v>ED4-GEOL</v>
          </cell>
        </row>
        <row r="661">
          <cell r="D661" t="str">
            <v>CLASS</v>
          </cell>
        </row>
      </sheetData>
      <sheetData sheetId="1"/>
      <sheetData sheetId="2"/>
      <sheetData sheetId="3"/>
      <sheetData sheetId="4"/>
      <sheetData sheetId="5">
        <row r="2">
          <cell r="B2">
            <v>1420</v>
          </cell>
        </row>
        <row r="3">
          <cell r="B3">
            <v>1587</v>
          </cell>
        </row>
        <row r="4">
          <cell r="B4">
            <v>1569</v>
          </cell>
        </row>
        <row r="5">
          <cell r="B5">
            <v>1117</v>
          </cell>
        </row>
        <row r="6">
          <cell r="B6">
            <v>1690</v>
          </cell>
        </row>
        <row r="7">
          <cell r="B7">
            <v>1453</v>
          </cell>
        </row>
        <row r="8">
          <cell r="B8">
            <v>1406</v>
          </cell>
        </row>
        <row r="10">
          <cell r="B10">
            <v>1663</v>
          </cell>
        </row>
        <row r="11">
          <cell r="B11">
            <v>1763</v>
          </cell>
        </row>
        <row r="12">
          <cell r="B12">
            <v>1720</v>
          </cell>
        </row>
        <row r="13">
          <cell r="B13">
            <v>1796</v>
          </cell>
        </row>
        <row r="14">
          <cell r="B14">
            <v>1784</v>
          </cell>
        </row>
        <row r="15">
          <cell r="B15">
            <v>1705</v>
          </cell>
        </row>
        <row r="16">
          <cell r="B16">
            <v>1647</v>
          </cell>
        </row>
        <row r="18">
          <cell r="B18">
            <v>1600</v>
          </cell>
        </row>
        <row r="19">
          <cell r="B19">
            <v>1922</v>
          </cell>
        </row>
        <row r="20">
          <cell r="B20">
            <v>1717</v>
          </cell>
        </row>
        <row r="21">
          <cell r="B21">
            <v>1418</v>
          </cell>
        </row>
        <row r="22">
          <cell r="B22">
            <v>1838</v>
          </cell>
        </row>
        <row r="23">
          <cell r="B23">
            <v>1721</v>
          </cell>
        </row>
        <row r="24">
          <cell r="B24">
            <v>1836</v>
          </cell>
        </row>
        <row r="26">
          <cell r="B26">
            <v>1668</v>
          </cell>
        </row>
        <row r="27">
          <cell r="B27">
            <v>1686</v>
          </cell>
        </row>
        <row r="28">
          <cell r="B28">
            <v>1665</v>
          </cell>
        </row>
        <row r="29">
          <cell r="B29">
            <v>1812</v>
          </cell>
        </row>
        <row r="30">
          <cell r="B30">
            <v>1812</v>
          </cell>
        </row>
        <row r="34">
          <cell r="B34">
            <v>1773</v>
          </cell>
        </row>
        <row r="35">
          <cell r="B35">
            <v>1533</v>
          </cell>
        </row>
        <row r="36">
          <cell r="B36">
            <v>1525</v>
          </cell>
        </row>
        <row r="37">
          <cell r="B37">
            <v>1586</v>
          </cell>
        </row>
        <row r="38">
          <cell r="B38">
            <v>1530</v>
          </cell>
        </row>
        <row r="39">
          <cell r="B39">
            <v>1588</v>
          </cell>
        </row>
        <row r="40">
          <cell r="B40">
            <v>0</v>
          </cell>
        </row>
      </sheetData>
      <sheetData sheetId="6"/>
      <sheetData sheetId="7"/>
      <sheetData sheetId="8">
        <row r="1">
          <cell r="K1" t="str">
            <v>Session, 1 (8:15 AM - 9:15 AM)</v>
          </cell>
        </row>
        <row r="2">
          <cell r="K2" t="str">
            <v>Session, 2 (10:00 AM - 11:00 AM)</v>
          </cell>
        </row>
        <row r="3">
          <cell r="K3" t="str">
            <v>Session, 3 (11:45 AM - 12:45 PM)</v>
          </cell>
        </row>
        <row r="4">
          <cell r="K4" t="str">
            <v>Session, 4 (1:30 PM - 2:30 PM)</v>
          </cell>
        </row>
        <row r="5">
          <cell r="K5" t="str">
            <v>Session, 5 (3:15 PM - 4:15 PM)</v>
          </cell>
        </row>
        <row r="6">
          <cell r="K6" t="str">
            <v>Session, 6 (5:00 PM - 6:00 PM)</v>
          </cell>
        </row>
        <row r="7">
          <cell r="K7" t="str">
            <v>Session, 7 (6:45 PM - 7:45 PM)</v>
          </cell>
        </row>
      </sheetData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 (Values)"/>
      <sheetName val="FREQ"/>
      <sheetName val="COMBINED_ATTD_INV_1"/>
      <sheetName val="Collection_"/>
      <sheetName val="ROOMS"/>
      <sheetName val="WATER"/>
      <sheetName val="WATER_old"/>
      <sheetName val="COMBINED_ATTD_INV"/>
      <sheetName val="COMBINED_ATTD_INV (2)"/>
      <sheetName val="COMBINED_ATTD_INV (final)"/>
      <sheetName val="TAs"/>
      <sheetName val="floor_coordinators (2)"/>
      <sheetName val="SESSIONS"/>
      <sheetName val="Sheet3"/>
      <sheetName val="tt_rm"/>
      <sheetName val="COURSES"/>
      <sheetName val="Sheet1"/>
      <sheetName val="TOTALSTD"/>
      <sheetName val="TEO (2)"/>
      <sheetName val="LECT"/>
      <sheetName val="ATTDD"/>
      <sheetName val="TA_NSS"/>
      <sheetName val="TA_SCHED"/>
    </sheetNames>
    <sheetDataSet>
      <sheetData sheetId="0">
        <row r="3">
          <cell r="D3" t="str">
            <v>CLASS</v>
          </cell>
        </row>
        <row r="4">
          <cell r="D4" t="str">
            <v>ED1-PCE</v>
          </cell>
        </row>
        <row r="5">
          <cell r="D5" t="str">
            <v>ED2-CHE</v>
          </cell>
        </row>
        <row r="6">
          <cell r="D6" t="str">
            <v>ED2-PCE</v>
          </cell>
        </row>
        <row r="12">
          <cell r="D12" t="str">
            <v>CLASS</v>
          </cell>
        </row>
        <row r="13">
          <cell r="D13" t="str">
            <v>ED1-CHE</v>
          </cell>
        </row>
        <row r="14">
          <cell r="D14" t="str">
            <v>ED2-AUTO</v>
          </cell>
        </row>
        <row r="15">
          <cell r="D15" t="str">
            <v>ED3-AUTO</v>
          </cell>
        </row>
        <row r="20">
          <cell r="D20" t="str">
            <v>CLASS</v>
          </cell>
        </row>
        <row r="21">
          <cell r="D21" t="str">
            <v>ED3-IND</v>
          </cell>
        </row>
        <row r="22">
          <cell r="D22" t="str">
            <v>ED3-MARI</v>
          </cell>
        </row>
        <row r="23">
          <cell r="D23" t="str">
            <v>ED4-TEL</v>
          </cell>
        </row>
        <row r="24">
          <cell r="D24" t="str">
            <v>ED4-CE</v>
          </cell>
        </row>
        <row r="25">
          <cell r="D25" t="str">
            <v>ED4-PETE</v>
          </cell>
        </row>
        <row r="26">
          <cell r="D26" t="str">
            <v>ED3-TEL</v>
          </cell>
        </row>
        <row r="32">
          <cell r="D32" t="str">
            <v>CLASS</v>
          </cell>
        </row>
        <row r="33">
          <cell r="D33" t="str">
            <v>ED3-AE</v>
          </cell>
        </row>
        <row r="34">
          <cell r="D34" t="str">
            <v>ED2-COE</v>
          </cell>
        </row>
        <row r="35">
          <cell r="D35" t="str">
            <v>ED2-BME</v>
          </cell>
        </row>
        <row r="36">
          <cell r="D36" t="str">
            <v>ED1-METE</v>
          </cell>
        </row>
        <row r="37">
          <cell r="D37" t="str">
            <v>ED1-MSE</v>
          </cell>
        </row>
        <row r="38">
          <cell r="D38" t="str">
            <v>ED1-AUTO</v>
          </cell>
        </row>
        <row r="39">
          <cell r="D39" t="str">
            <v>ED1-GEOM</v>
          </cell>
        </row>
        <row r="40">
          <cell r="D40" t="str">
            <v>ED3-MSE</v>
          </cell>
        </row>
        <row r="41">
          <cell r="D41" t="str">
            <v>ED3-METE</v>
          </cell>
        </row>
        <row r="42">
          <cell r="D42" t="str">
            <v>ED2-METE</v>
          </cell>
        </row>
        <row r="43">
          <cell r="D43" t="str">
            <v>ED1-EE</v>
          </cell>
        </row>
        <row r="44">
          <cell r="D44" t="str">
            <v>ED1-COE</v>
          </cell>
        </row>
        <row r="45">
          <cell r="D45" t="str">
            <v>ED1-BME</v>
          </cell>
        </row>
        <row r="51">
          <cell r="D51" t="str">
            <v>CLASS</v>
          </cell>
        </row>
        <row r="52">
          <cell r="D52" t="str">
            <v>ED2-EE</v>
          </cell>
        </row>
        <row r="53">
          <cell r="D53" t="str">
            <v>ED2-PETE</v>
          </cell>
        </row>
        <row r="54">
          <cell r="D54" t="str">
            <v>ED3-ME</v>
          </cell>
        </row>
        <row r="55">
          <cell r="D55" t="str">
            <v>ED2-CE</v>
          </cell>
        </row>
        <row r="56">
          <cell r="D56" t="str">
            <v>ED3-EE</v>
          </cell>
        </row>
        <row r="57">
          <cell r="D57" t="str">
            <v>ED3-PCE</v>
          </cell>
        </row>
        <row r="58">
          <cell r="D58" t="str">
            <v>ED1-TEL</v>
          </cell>
        </row>
        <row r="64">
          <cell r="D64" t="str">
            <v>CLASS</v>
          </cell>
        </row>
        <row r="65">
          <cell r="D65" t="str">
            <v>ED2-CHE</v>
          </cell>
        </row>
        <row r="66">
          <cell r="D66" t="str">
            <v>ED2-PCE</v>
          </cell>
        </row>
        <row r="67">
          <cell r="D67" t="str">
            <v>ED4-COE</v>
          </cell>
        </row>
        <row r="68">
          <cell r="D68" t="str">
            <v>ED2-GEOM</v>
          </cell>
        </row>
        <row r="69">
          <cell r="D69" t="str">
            <v>ED1-CHE</v>
          </cell>
        </row>
        <row r="70">
          <cell r="D70" t="str">
            <v>ED1-PCE</v>
          </cell>
        </row>
        <row r="71">
          <cell r="D71" t="str">
            <v>ED1-PETE</v>
          </cell>
        </row>
        <row r="72">
          <cell r="D72" t="str">
            <v>ED3-CE</v>
          </cell>
        </row>
        <row r="78">
          <cell r="D78" t="str">
            <v>CLASS</v>
          </cell>
        </row>
        <row r="79">
          <cell r="D79" t="str">
            <v>ED1-AE</v>
          </cell>
        </row>
        <row r="80">
          <cell r="D80" t="str">
            <v>ED1-MARI</v>
          </cell>
        </row>
        <row r="81">
          <cell r="D81" t="str">
            <v>ED1-METE</v>
          </cell>
        </row>
        <row r="82">
          <cell r="D82" t="str">
            <v>ED1-MSE</v>
          </cell>
        </row>
        <row r="83">
          <cell r="D83" t="str">
            <v>ED1-ME</v>
          </cell>
        </row>
        <row r="84">
          <cell r="D84" t="str">
            <v>ED1-AUTO</v>
          </cell>
        </row>
        <row r="85">
          <cell r="D85" t="str">
            <v>ED1-IND</v>
          </cell>
        </row>
        <row r="86">
          <cell r="D86" t="str">
            <v>ED2-BME</v>
          </cell>
        </row>
        <row r="87">
          <cell r="D87" t="str">
            <v>ED3-BME</v>
          </cell>
        </row>
        <row r="88">
          <cell r="D88" t="str">
            <v>ED3-AUTO</v>
          </cell>
        </row>
        <row r="89">
          <cell r="D89" t="str">
            <v>ED3-GEOL</v>
          </cell>
        </row>
        <row r="90">
          <cell r="D90" t="str">
            <v>ED2-COE</v>
          </cell>
        </row>
        <row r="96">
          <cell r="D96" t="str">
            <v>CLASS</v>
          </cell>
        </row>
        <row r="97">
          <cell r="D97" t="str">
            <v>ED3-PETE</v>
          </cell>
        </row>
        <row r="98">
          <cell r="D98" t="str">
            <v>ED3-MSE</v>
          </cell>
        </row>
        <row r="99">
          <cell r="D99" t="str">
            <v>ED3-TEL</v>
          </cell>
        </row>
        <row r="100">
          <cell r="D100" t="str">
            <v>ED3-METE</v>
          </cell>
        </row>
        <row r="101">
          <cell r="D101" t="str">
            <v>ED3-GEOM</v>
          </cell>
        </row>
        <row r="102">
          <cell r="D102" t="str">
            <v>ED3-GEOL</v>
          </cell>
        </row>
        <row r="103">
          <cell r="D103" t="str">
            <v>ED2-METE</v>
          </cell>
        </row>
        <row r="104">
          <cell r="D104" t="str">
            <v>ED2-MSE</v>
          </cell>
        </row>
        <row r="105">
          <cell r="D105" t="str">
            <v>ED4-CE</v>
          </cell>
        </row>
        <row r="106">
          <cell r="D106" t="str">
            <v>ED2-TEL</v>
          </cell>
        </row>
        <row r="107">
          <cell r="D107" t="str">
            <v>ED3-EE</v>
          </cell>
        </row>
        <row r="113">
          <cell r="D113" t="str">
            <v>CLASS</v>
          </cell>
        </row>
        <row r="114">
          <cell r="D114" t="str">
            <v>ED2-PETE</v>
          </cell>
        </row>
        <row r="115">
          <cell r="D115" t="str">
            <v>ED1-AE</v>
          </cell>
        </row>
        <row r="116">
          <cell r="D116" t="str">
            <v>ED4-MARI</v>
          </cell>
        </row>
        <row r="117">
          <cell r="D117" t="str">
            <v>ED1-IND</v>
          </cell>
        </row>
        <row r="118">
          <cell r="D118" t="str">
            <v>ED1-MARI</v>
          </cell>
        </row>
        <row r="119">
          <cell r="D119" t="str">
            <v>ED3-AE</v>
          </cell>
        </row>
        <row r="120">
          <cell r="D120" t="str">
            <v>ED3-AERO</v>
          </cell>
        </row>
        <row r="121">
          <cell r="D121" t="str">
            <v>ED1-COE</v>
          </cell>
        </row>
        <row r="122">
          <cell r="D122" t="str">
            <v>ED1-CHE</v>
          </cell>
        </row>
        <row r="123">
          <cell r="D123" t="str">
            <v>ED1-AERO</v>
          </cell>
        </row>
        <row r="124">
          <cell r="D124" t="str">
            <v>ED1-PETE</v>
          </cell>
        </row>
        <row r="125">
          <cell r="D125" t="str">
            <v>ED3-GEOL</v>
          </cell>
        </row>
        <row r="126">
          <cell r="D126" t="str">
            <v>ED4-GEOM</v>
          </cell>
        </row>
        <row r="127">
          <cell r="D127" t="str">
            <v>ED3-IND</v>
          </cell>
        </row>
        <row r="128">
          <cell r="D128" t="str">
            <v>ED1-TEL</v>
          </cell>
        </row>
        <row r="129">
          <cell r="D129" t="str">
            <v>ED2-AE</v>
          </cell>
        </row>
        <row r="135">
          <cell r="D135" t="str">
            <v>CLASS</v>
          </cell>
        </row>
        <row r="136">
          <cell r="D136" t="str">
            <v>ED1-GEOL</v>
          </cell>
        </row>
        <row r="137">
          <cell r="D137" t="str">
            <v>ED1-BME</v>
          </cell>
        </row>
        <row r="138">
          <cell r="D138" t="str">
            <v>ED4-COE</v>
          </cell>
        </row>
        <row r="139">
          <cell r="D139" t="str">
            <v>ED4-EE</v>
          </cell>
        </row>
        <row r="140">
          <cell r="D140" t="str">
            <v>ED4-IND</v>
          </cell>
        </row>
        <row r="141">
          <cell r="D141" t="str">
            <v>ED4-ME</v>
          </cell>
        </row>
        <row r="142">
          <cell r="D142" t="str">
            <v>ED4-METE</v>
          </cell>
        </row>
        <row r="143">
          <cell r="D143" t="str">
            <v>ED4-AERO</v>
          </cell>
        </row>
        <row r="144">
          <cell r="D144" t="str">
            <v>ED4-AUTO</v>
          </cell>
        </row>
        <row r="145">
          <cell r="D145" t="str">
            <v>ED4-BME</v>
          </cell>
        </row>
        <row r="146">
          <cell r="D146" t="str">
            <v>ED4-AE</v>
          </cell>
        </row>
        <row r="147">
          <cell r="D147" t="str">
            <v>ED4-MSE</v>
          </cell>
        </row>
        <row r="148">
          <cell r="D148" t="str">
            <v>ED4-TEL</v>
          </cell>
        </row>
        <row r="154">
          <cell r="D154" t="str">
            <v>CLASS</v>
          </cell>
        </row>
        <row r="155">
          <cell r="D155" t="str">
            <v>ED1-CE</v>
          </cell>
        </row>
        <row r="156">
          <cell r="D156" t="str">
            <v>ED2-ME</v>
          </cell>
        </row>
        <row r="157">
          <cell r="D157" t="str">
            <v>ED2-AERO</v>
          </cell>
        </row>
        <row r="158">
          <cell r="D158" t="str">
            <v>ED2-IND</v>
          </cell>
        </row>
        <row r="159">
          <cell r="D159" t="str">
            <v>ED2-AUTO</v>
          </cell>
        </row>
        <row r="160">
          <cell r="D160" t="str">
            <v>ED2-MARI</v>
          </cell>
        </row>
        <row r="161">
          <cell r="D161" t="str">
            <v>ED2-GEOL</v>
          </cell>
        </row>
        <row r="162">
          <cell r="D162" t="str">
            <v>ED2-CE</v>
          </cell>
        </row>
        <row r="163">
          <cell r="D163" t="str">
            <v>ED4-PCE</v>
          </cell>
        </row>
        <row r="164">
          <cell r="D164" t="str">
            <v>ED4-CHE</v>
          </cell>
        </row>
        <row r="165">
          <cell r="D165" t="str">
            <v>ED4-CE</v>
          </cell>
        </row>
        <row r="166">
          <cell r="D166" t="str">
            <v>ED4-PETE</v>
          </cell>
        </row>
        <row r="167">
          <cell r="D167" t="str">
            <v>ED3-CHE</v>
          </cell>
        </row>
        <row r="168">
          <cell r="D168" t="str">
            <v>ED3-PCE</v>
          </cell>
        </row>
        <row r="169">
          <cell r="D169" t="str">
            <v>ED2-EE</v>
          </cell>
        </row>
        <row r="170">
          <cell r="D170" t="str">
            <v>ED3-ME</v>
          </cell>
        </row>
        <row r="176">
          <cell r="D176" t="str">
            <v>CLASS</v>
          </cell>
        </row>
        <row r="177">
          <cell r="D177" t="str">
            <v>ED2-COE</v>
          </cell>
        </row>
        <row r="178">
          <cell r="D178" t="str">
            <v>ED2-GEOL</v>
          </cell>
        </row>
        <row r="179">
          <cell r="D179" t="str">
            <v>ED2-AE</v>
          </cell>
        </row>
        <row r="180">
          <cell r="D180" t="str">
            <v>ED2-AERO</v>
          </cell>
        </row>
        <row r="181">
          <cell r="D181" t="str">
            <v>ED2-IND</v>
          </cell>
        </row>
        <row r="182">
          <cell r="D182" t="str">
            <v>ED2-TEL</v>
          </cell>
        </row>
        <row r="183">
          <cell r="D183" t="str">
            <v>ED3-MARI</v>
          </cell>
        </row>
        <row r="184">
          <cell r="D184" t="str">
            <v>ED2-GEOM</v>
          </cell>
        </row>
        <row r="185">
          <cell r="D185" t="str">
            <v>ED4-GEOL</v>
          </cell>
        </row>
        <row r="186">
          <cell r="D186" t="str">
            <v>ED2-PCE</v>
          </cell>
        </row>
        <row r="187">
          <cell r="D187" t="str">
            <v>ED2-CHE</v>
          </cell>
        </row>
        <row r="188">
          <cell r="D188" t="str">
            <v>ED1-AUTO</v>
          </cell>
        </row>
        <row r="189">
          <cell r="D189" t="str">
            <v>ED3-GEOM</v>
          </cell>
        </row>
        <row r="190">
          <cell r="D190" t="str">
            <v>ED2-MSE</v>
          </cell>
        </row>
        <row r="191">
          <cell r="D191" t="str">
            <v>ED1-METE</v>
          </cell>
        </row>
        <row r="192">
          <cell r="D192" t="str">
            <v>ED1-PCE</v>
          </cell>
        </row>
        <row r="193">
          <cell r="D193" t="str">
            <v>ED1-AE</v>
          </cell>
        </row>
        <row r="194">
          <cell r="D194" t="str">
            <v>ED4-ME</v>
          </cell>
        </row>
        <row r="213">
          <cell r="D213" t="str">
            <v>CLASS</v>
          </cell>
        </row>
        <row r="214">
          <cell r="D214" t="str">
            <v>ED4-AUTO</v>
          </cell>
        </row>
        <row r="215">
          <cell r="D215" t="str">
            <v>ED3-EE</v>
          </cell>
        </row>
        <row r="216">
          <cell r="D216" t="str">
            <v>ED3-AE</v>
          </cell>
        </row>
        <row r="217">
          <cell r="D217" t="str">
            <v>ED3-ME</v>
          </cell>
        </row>
        <row r="218">
          <cell r="D218" t="str">
            <v>ED3-MARI</v>
          </cell>
        </row>
        <row r="219">
          <cell r="D219" t="str">
            <v>ED2-GEOL</v>
          </cell>
        </row>
        <row r="220">
          <cell r="D220" t="str">
            <v>ED2-TEL</v>
          </cell>
        </row>
        <row r="221">
          <cell r="D221" t="str">
            <v>ED3-CHE</v>
          </cell>
        </row>
        <row r="222">
          <cell r="D222" t="str">
            <v>ED3-GEOM</v>
          </cell>
        </row>
        <row r="223">
          <cell r="D223" t="str">
            <v>ED2-EE</v>
          </cell>
        </row>
        <row r="224">
          <cell r="D224" t="str">
            <v>ED1-GEOL</v>
          </cell>
        </row>
        <row r="225">
          <cell r="D225" t="str">
            <v>ED1-CE</v>
          </cell>
        </row>
        <row r="226">
          <cell r="D226" t="str">
            <v>ED1-MARI</v>
          </cell>
        </row>
        <row r="227">
          <cell r="D227" t="str">
            <v>ED2-BME</v>
          </cell>
        </row>
        <row r="228">
          <cell r="D228" t="str">
            <v>ED2-COE</v>
          </cell>
        </row>
        <row r="234">
          <cell r="D234" t="str">
            <v>CLASS</v>
          </cell>
        </row>
        <row r="235">
          <cell r="D235" t="str">
            <v>ED4-BME</v>
          </cell>
        </row>
        <row r="236">
          <cell r="D236" t="str">
            <v>ED4-COE</v>
          </cell>
        </row>
        <row r="237">
          <cell r="D237" t="str">
            <v>ED4-MARI</v>
          </cell>
        </row>
        <row r="238">
          <cell r="D238" t="str">
            <v>ED2-MSE</v>
          </cell>
        </row>
        <row r="239">
          <cell r="D239" t="str">
            <v>ED2-METE</v>
          </cell>
        </row>
        <row r="240">
          <cell r="D240" t="str">
            <v>ED3-PETE</v>
          </cell>
        </row>
        <row r="241">
          <cell r="D241" t="str">
            <v>ED4-TEL</v>
          </cell>
        </row>
        <row r="242">
          <cell r="D242" t="str">
            <v>ED3-METE</v>
          </cell>
        </row>
        <row r="243">
          <cell r="D243" t="str">
            <v>ED4-AE</v>
          </cell>
        </row>
        <row r="244">
          <cell r="D244" t="str">
            <v>ED3-AERO</v>
          </cell>
        </row>
        <row r="245">
          <cell r="D245" t="str">
            <v>ED1-GEOM</v>
          </cell>
        </row>
        <row r="246">
          <cell r="D246" t="str">
            <v>ED3-GEOL</v>
          </cell>
        </row>
        <row r="247">
          <cell r="D247" t="str">
            <v>ED1-BME</v>
          </cell>
        </row>
        <row r="248">
          <cell r="D248" t="str">
            <v>ED3-COE</v>
          </cell>
        </row>
        <row r="249">
          <cell r="D249" t="str">
            <v>ED3-BME</v>
          </cell>
        </row>
        <row r="250">
          <cell r="D250" t="str">
            <v>ED2-PCE</v>
          </cell>
        </row>
        <row r="251">
          <cell r="D251" t="str">
            <v>ED2-CHE</v>
          </cell>
        </row>
        <row r="252">
          <cell r="D252" t="str">
            <v>ED4-GEOL</v>
          </cell>
        </row>
        <row r="258">
          <cell r="D258" t="str">
            <v>CLASS</v>
          </cell>
        </row>
        <row r="259">
          <cell r="D259" t="str">
            <v>ED1-TEL</v>
          </cell>
        </row>
        <row r="260">
          <cell r="D260" t="str">
            <v>ED1-CHE</v>
          </cell>
        </row>
        <row r="261">
          <cell r="D261" t="str">
            <v>ED1-PCE</v>
          </cell>
        </row>
        <row r="262">
          <cell r="D262" t="str">
            <v>ED2-PETE</v>
          </cell>
        </row>
        <row r="263">
          <cell r="D263" t="str">
            <v>ED4-PETE</v>
          </cell>
        </row>
        <row r="264">
          <cell r="D264" t="str">
            <v>ED3-IND</v>
          </cell>
        </row>
        <row r="265">
          <cell r="D265" t="str">
            <v>ED4-EE</v>
          </cell>
        </row>
        <row r="266">
          <cell r="D266" t="str">
            <v>ED1-ME</v>
          </cell>
        </row>
        <row r="267">
          <cell r="D267" t="str">
            <v>ED3-PCE</v>
          </cell>
        </row>
        <row r="268">
          <cell r="D268" t="str">
            <v>ED4-PCE</v>
          </cell>
        </row>
        <row r="269">
          <cell r="D269" t="str">
            <v>ED3-MSE</v>
          </cell>
        </row>
        <row r="270">
          <cell r="D270" t="str">
            <v>ED4-CE</v>
          </cell>
        </row>
        <row r="276">
          <cell r="D276" t="str">
            <v>CLASS</v>
          </cell>
        </row>
        <row r="277">
          <cell r="D277" t="str">
            <v>ED3-EE</v>
          </cell>
        </row>
        <row r="278">
          <cell r="D278" t="str">
            <v>ED3-PETE</v>
          </cell>
        </row>
        <row r="279">
          <cell r="D279" t="str">
            <v>ED2-AE</v>
          </cell>
        </row>
        <row r="280">
          <cell r="D280" t="str">
            <v>ED2-AERO</v>
          </cell>
        </row>
        <row r="281">
          <cell r="D281" t="str">
            <v>ED2-GEOM</v>
          </cell>
        </row>
        <row r="282">
          <cell r="D282" t="str">
            <v>ED2-IND</v>
          </cell>
        </row>
        <row r="283">
          <cell r="D283" t="str">
            <v>ED4-GEOL</v>
          </cell>
        </row>
        <row r="284">
          <cell r="D284" t="str">
            <v>ED3-CHE</v>
          </cell>
        </row>
        <row r="285">
          <cell r="D285" t="str">
            <v>ED4-CHE</v>
          </cell>
        </row>
        <row r="286">
          <cell r="D286" t="str">
            <v>ED3-AUTO</v>
          </cell>
        </row>
        <row r="287">
          <cell r="D287" t="str">
            <v>ED1-METE</v>
          </cell>
        </row>
        <row r="288">
          <cell r="D288" t="str">
            <v>ED4-CE</v>
          </cell>
        </row>
        <row r="289">
          <cell r="D289" t="str">
            <v>ED2-MARI</v>
          </cell>
        </row>
        <row r="290">
          <cell r="D290" t="str">
            <v>ED2-ME</v>
          </cell>
        </row>
        <row r="296">
          <cell r="D296" t="str">
            <v>CLASS</v>
          </cell>
        </row>
        <row r="297">
          <cell r="D297" t="str">
            <v>ED1-AERO</v>
          </cell>
        </row>
        <row r="298">
          <cell r="D298" t="str">
            <v>ED1-MSE</v>
          </cell>
        </row>
        <row r="299">
          <cell r="D299" t="str">
            <v>ED1-CHE</v>
          </cell>
        </row>
        <row r="300">
          <cell r="D300" t="str">
            <v>ED1-PCE</v>
          </cell>
        </row>
        <row r="301">
          <cell r="D301" t="str">
            <v>ED1-PETE</v>
          </cell>
        </row>
        <row r="302">
          <cell r="D302" t="str">
            <v>ED1-AUTO</v>
          </cell>
        </row>
        <row r="303">
          <cell r="D303" t="str">
            <v>ED1-MARI</v>
          </cell>
        </row>
        <row r="304">
          <cell r="D304" t="str">
            <v>ED1-ME</v>
          </cell>
        </row>
        <row r="305">
          <cell r="D305" t="str">
            <v>ED1-GEOL</v>
          </cell>
        </row>
        <row r="306">
          <cell r="D306" t="str">
            <v>ED1-IND</v>
          </cell>
        </row>
        <row r="307">
          <cell r="D307" t="str">
            <v>ED1-CE</v>
          </cell>
        </row>
        <row r="308">
          <cell r="D308" t="str">
            <v>ED1-EE</v>
          </cell>
        </row>
        <row r="309">
          <cell r="D309" t="str">
            <v>ED1-GEOM</v>
          </cell>
        </row>
        <row r="310">
          <cell r="D310" t="str">
            <v>ED1-AE</v>
          </cell>
        </row>
        <row r="316">
          <cell r="D316" t="str">
            <v>CLASS</v>
          </cell>
        </row>
        <row r="317">
          <cell r="D317" t="str">
            <v>ED1-TEL</v>
          </cell>
        </row>
        <row r="318">
          <cell r="D318" t="str">
            <v>ED4-METE</v>
          </cell>
        </row>
        <row r="319">
          <cell r="D319" t="str">
            <v>ED4-MSE</v>
          </cell>
        </row>
        <row r="320">
          <cell r="D320" t="str">
            <v>ED4-GEOM</v>
          </cell>
        </row>
        <row r="321">
          <cell r="D321" t="str">
            <v>ED3-CE</v>
          </cell>
        </row>
        <row r="322">
          <cell r="D322" t="str">
            <v>ED4-ME</v>
          </cell>
        </row>
        <row r="323">
          <cell r="D323" t="str">
            <v>ED4-IND</v>
          </cell>
        </row>
        <row r="324">
          <cell r="D324" t="str">
            <v>ED3-AE</v>
          </cell>
        </row>
        <row r="325">
          <cell r="D325" t="str">
            <v>ED3-PCE</v>
          </cell>
        </row>
        <row r="326">
          <cell r="D326" t="str">
            <v>ED2-TEL</v>
          </cell>
        </row>
        <row r="327">
          <cell r="D327" t="str">
            <v>ED3-TEL</v>
          </cell>
        </row>
        <row r="333">
          <cell r="D333" t="str">
            <v>CLASS</v>
          </cell>
        </row>
        <row r="334">
          <cell r="D334" t="str">
            <v>ED2-BME</v>
          </cell>
        </row>
        <row r="335">
          <cell r="D335" t="str">
            <v>ED2-AUTO</v>
          </cell>
        </row>
        <row r="336">
          <cell r="D336" t="str">
            <v>ED2-CE</v>
          </cell>
        </row>
        <row r="337">
          <cell r="D337" t="str">
            <v>ED2-PCE</v>
          </cell>
        </row>
        <row r="338">
          <cell r="D338" t="str">
            <v>ED2-PETE</v>
          </cell>
        </row>
        <row r="339">
          <cell r="D339" t="str">
            <v>ED4-EE</v>
          </cell>
        </row>
        <row r="340">
          <cell r="D340" t="str">
            <v>ED4-COE</v>
          </cell>
        </row>
        <row r="341">
          <cell r="D341" t="str">
            <v>ED2-GEOL</v>
          </cell>
        </row>
        <row r="342">
          <cell r="D342" t="str">
            <v>ED4-BME</v>
          </cell>
        </row>
        <row r="343">
          <cell r="D343" t="str">
            <v>ED4-MARI</v>
          </cell>
        </row>
        <row r="344">
          <cell r="D344" t="str">
            <v>ED2-COE</v>
          </cell>
        </row>
        <row r="345">
          <cell r="D345" t="str">
            <v>ED1-CE</v>
          </cell>
        </row>
        <row r="346">
          <cell r="D346" t="str">
            <v>ED2-MSE</v>
          </cell>
        </row>
        <row r="347">
          <cell r="D347" t="str">
            <v>ED2-METE</v>
          </cell>
        </row>
        <row r="348">
          <cell r="D348" t="str">
            <v>ED3-AERO</v>
          </cell>
        </row>
        <row r="349">
          <cell r="D349" t="str">
            <v>ED3-ME</v>
          </cell>
        </row>
        <row r="350">
          <cell r="D350" t="str">
            <v>ED2-ME</v>
          </cell>
        </row>
        <row r="351">
          <cell r="D351" t="str">
            <v>ED3-AUTO</v>
          </cell>
        </row>
        <row r="352">
          <cell r="D352" t="str">
            <v>ED3-MARI</v>
          </cell>
        </row>
        <row r="358">
          <cell r="D358" t="str">
            <v>CLASS</v>
          </cell>
        </row>
        <row r="359">
          <cell r="D359" t="str">
            <v>ED1-BME</v>
          </cell>
        </row>
        <row r="360">
          <cell r="D360" t="str">
            <v>ED1-AE</v>
          </cell>
        </row>
        <row r="361">
          <cell r="D361" t="str">
            <v>ED3-PCE</v>
          </cell>
        </row>
        <row r="362">
          <cell r="D362" t="str">
            <v>ED3-CHE</v>
          </cell>
        </row>
        <row r="363">
          <cell r="D363" t="str">
            <v>ED1-GEOL</v>
          </cell>
        </row>
        <row r="364">
          <cell r="D364" t="str">
            <v>ED4-GEOL</v>
          </cell>
        </row>
        <row r="365">
          <cell r="D365" t="str">
            <v>ED3-EE</v>
          </cell>
        </row>
        <row r="366">
          <cell r="D366" t="str">
            <v>ED4-AERO</v>
          </cell>
        </row>
        <row r="367">
          <cell r="D367" t="str">
            <v>ED4-ME</v>
          </cell>
        </row>
        <row r="368">
          <cell r="D368" t="str">
            <v>ED3-COE</v>
          </cell>
        </row>
        <row r="369">
          <cell r="D369" t="str">
            <v>ED1-COE</v>
          </cell>
        </row>
        <row r="375">
          <cell r="D375" t="str">
            <v>CLASS</v>
          </cell>
        </row>
        <row r="376">
          <cell r="D376" t="str">
            <v>ED4-PETE</v>
          </cell>
        </row>
        <row r="377">
          <cell r="D377" t="str">
            <v>ED1-AERO</v>
          </cell>
        </row>
        <row r="378">
          <cell r="D378" t="str">
            <v>ED3-METE</v>
          </cell>
        </row>
        <row r="379">
          <cell r="D379" t="str">
            <v>ED3-MSE</v>
          </cell>
        </row>
        <row r="380">
          <cell r="D380" t="str">
            <v>ED4-AE</v>
          </cell>
        </row>
        <row r="381">
          <cell r="D381" t="str">
            <v>ED2-GEOM</v>
          </cell>
        </row>
        <row r="382">
          <cell r="D382" t="str">
            <v>ED2-EE</v>
          </cell>
        </row>
        <row r="383">
          <cell r="D383" t="str">
            <v>ED3-GEOM</v>
          </cell>
        </row>
        <row r="384">
          <cell r="D384" t="str">
            <v>ED3-PETE</v>
          </cell>
        </row>
        <row r="385">
          <cell r="D385" t="str">
            <v>ED2-TEL</v>
          </cell>
        </row>
        <row r="386">
          <cell r="D386" t="str">
            <v>ED3-BME</v>
          </cell>
        </row>
        <row r="392">
          <cell r="D392" t="str">
            <v>CLASS</v>
          </cell>
        </row>
        <row r="393">
          <cell r="D393" t="str">
            <v>ED2-COE</v>
          </cell>
        </row>
        <row r="394">
          <cell r="D394" t="str">
            <v>ED2-BME</v>
          </cell>
        </row>
        <row r="395">
          <cell r="D395" t="str">
            <v>ED3-GEOL</v>
          </cell>
        </row>
        <row r="396">
          <cell r="D396" t="str">
            <v>ED3-CE</v>
          </cell>
        </row>
        <row r="397">
          <cell r="D397" t="str">
            <v>ED2-IND</v>
          </cell>
        </row>
        <row r="398">
          <cell r="D398" t="str">
            <v>ED2-MARI</v>
          </cell>
        </row>
        <row r="399">
          <cell r="D399" t="str">
            <v>ED2-AUTO</v>
          </cell>
        </row>
        <row r="400">
          <cell r="D400" t="str">
            <v>ED2-CHE</v>
          </cell>
        </row>
        <row r="401">
          <cell r="D401" t="str">
            <v>ED2-PCE</v>
          </cell>
        </row>
        <row r="402">
          <cell r="D402" t="str">
            <v>ED4-CE</v>
          </cell>
        </row>
        <row r="403">
          <cell r="D403" t="str">
            <v>ED3-EE</v>
          </cell>
        </row>
        <row r="404">
          <cell r="D404" t="str">
            <v>ED3-TEL</v>
          </cell>
        </row>
        <row r="405">
          <cell r="D405" t="str">
            <v>ED4-GEOM</v>
          </cell>
        </row>
        <row r="411">
          <cell r="D411" t="str">
            <v>CLASS</v>
          </cell>
        </row>
        <row r="412">
          <cell r="D412" t="str">
            <v>ED2-AE</v>
          </cell>
        </row>
        <row r="413">
          <cell r="D413" t="str">
            <v>ED1-TEL</v>
          </cell>
        </row>
        <row r="414">
          <cell r="D414" t="str">
            <v>ED4-GEOL</v>
          </cell>
        </row>
        <row r="415">
          <cell r="D415" t="str">
            <v>ED4-CHE</v>
          </cell>
        </row>
        <row r="416">
          <cell r="D416" t="str">
            <v>ED4-PCE</v>
          </cell>
        </row>
        <row r="417">
          <cell r="D417" t="str">
            <v>ED4-ME</v>
          </cell>
        </row>
        <row r="418">
          <cell r="D418" t="str">
            <v>ED4-AERO</v>
          </cell>
        </row>
        <row r="419">
          <cell r="D419" t="str">
            <v>ED4-AE</v>
          </cell>
        </row>
        <row r="420">
          <cell r="D420" t="str">
            <v>ED4-EE</v>
          </cell>
        </row>
        <row r="421">
          <cell r="D421" t="str">
            <v>ED3-ME</v>
          </cell>
        </row>
        <row r="422">
          <cell r="D422" t="str">
            <v>ED3-AERO</v>
          </cell>
        </row>
        <row r="423">
          <cell r="D423" t="str">
            <v>ED3-AE</v>
          </cell>
        </row>
        <row r="424">
          <cell r="D424" t="str">
            <v>ED3-MARI</v>
          </cell>
        </row>
        <row r="425">
          <cell r="D425" t="str">
            <v>ED3-PETE</v>
          </cell>
        </row>
        <row r="431">
          <cell r="D431" t="str">
            <v>CLASS</v>
          </cell>
        </row>
        <row r="432">
          <cell r="D432" t="str">
            <v>ED1-CE</v>
          </cell>
        </row>
        <row r="433">
          <cell r="D433" t="str">
            <v>ED2-TEL</v>
          </cell>
        </row>
        <row r="434">
          <cell r="D434" t="str">
            <v>ED2-AERO</v>
          </cell>
        </row>
        <row r="435">
          <cell r="D435" t="str">
            <v>ED3-IND</v>
          </cell>
        </row>
        <row r="436">
          <cell r="D436" t="str">
            <v>ED4-MSE</v>
          </cell>
        </row>
        <row r="437">
          <cell r="D437" t="str">
            <v>ED4-METE</v>
          </cell>
        </row>
        <row r="438">
          <cell r="D438" t="str">
            <v>ED3-COE</v>
          </cell>
        </row>
        <row r="439">
          <cell r="D439" t="str">
            <v>ED4-IND</v>
          </cell>
        </row>
        <row r="440">
          <cell r="D440" t="str">
            <v>ED3-MSE</v>
          </cell>
        </row>
        <row r="441">
          <cell r="D441" t="str">
            <v>ED2-PETE</v>
          </cell>
        </row>
        <row r="442">
          <cell r="D442" t="str">
            <v>ED4-AERO</v>
          </cell>
        </row>
        <row r="443">
          <cell r="D443" t="str">
            <v>ED4-AUTO</v>
          </cell>
        </row>
        <row r="444">
          <cell r="D444" t="str">
            <v>ED4-ME</v>
          </cell>
        </row>
        <row r="450">
          <cell r="D450" t="str">
            <v>CLASS</v>
          </cell>
        </row>
        <row r="451">
          <cell r="D451" t="str">
            <v>ED1-AERO</v>
          </cell>
        </row>
        <row r="452">
          <cell r="D452" t="str">
            <v>ED1-AE</v>
          </cell>
        </row>
        <row r="453">
          <cell r="D453" t="str">
            <v>ED1-BME</v>
          </cell>
        </row>
        <row r="454">
          <cell r="D454" t="str">
            <v>ED1-PCE</v>
          </cell>
        </row>
        <row r="455">
          <cell r="D455" t="str">
            <v>ED1-AUTO</v>
          </cell>
        </row>
        <row r="456">
          <cell r="D456" t="str">
            <v>ED1-CHE</v>
          </cell>
        </row>
        <row r="457">
          <cell r="D457" t="str">
            <v>ED1-COE</v>
          </cell>
        </row>
        <row r="458">
          <cell r="D458" t="str">
            <v>ED3-EE</v>
          </cell>
        </row>
        <row r="459">
          <cell r="D459" t="str">
            <v>ED3-GEOM</v>
          </cell>
        </row>
        <row r="460">
          <cell r="D460" t="str">
            <v>ED2-CE</v>
          </cell>
        </row>
        <row r="461">
          <cell r="D461" t="str">
            <v>ED2-GEOM</v>
          </cell>
        </row>
        <row r="462">
          <cell r="D462" t="str">
            <v>ED4-TEL</v>
          </cell>
        </row>
        <row r="463">
          <cell r="D463" t="str">
            <v>ED4-EE</v>
          </cell>
        </row>
        <row r="464">
          <cell r="D464" t="str">
            <v>ED4-AERO</v>
          </cell>
        </row>
        <row r="465">
          <cell r="D465" t="str">
            <v>ED3-BME</v>
          </cell>
        </row>
        <row r="466">
          <cell r="D466" t="str">
            <v>ED4-PETE</v>
          </cell>
        </row>
        <row r="467">
          <cell r="D467" t="str">
            <v>ED2-AUTO</v>
          </cell>
        </row>
        <row r="468">
          <cell r="D468" t="str">
            <v>ED2-IND</v>
          </cell>
        </row>
        <row r="469">
          <cell r="D469" t="str">
            <v>ED2-MARI</v>
          </cell>
        </row>
        <row r="470">
          <cell r="D470" t="str">
            <v>ED2-COE</v>
          </cell>
        </row>
        <row r="471">
          <cell r="D471" t="str">
            <v>ED3-PCE</v>
          </cell>
        </row>
        <row r="472">
          <cell r="D472" t="str">
            <v>ED2-GEOL</v>
          </cell>
        </row>
        <row r="473">
          <cell r="D473" t="str">
            <v>ED3-CHE</v>
          </cell>
        </row>
        <row r="479">
          <cell r="D479" t="str">
            <v>CLASS</v>
          </cell>
        </row>
        <row r="480">
          <cell r="D480" t="str">
            <v>ED1-CE</v>
          </cell>
        </row>
        <row r="481">
          <cell r="D481" t="str">
            <v>ED1-EE</v>
          </cell>
        </row>
        <row r="482">
          <cell r="D482" t="str">
            <v>ED1-GEOL</v>
          </cell>
        </row>
        <row r="483">
          <cell r="D483" t="str">
            <v>ED1-METE</v>
          </cell>
        </row>
        <row r="489">
          <cell r="D489" t="str">
            <v>CLASS</v>
          </cell>
        </row>
        <row r="490">
          <cell r="D490" t="str">
            <v>ED1-GEOM</v>
          </cell>
        </row>
        <row r="491">
          <cell r="D491" t="str">
            <v>ED1-MARI</v>
          </cell>
        </row>
        <row r="492">
          <cell r="D492" t="str">
            <v>ED1-MSE</v>
          </cell>
        </row>
        <row r="493">
          <cell r="D493" t="str">
            <v>ED1-ME</v>
          </cell>
        </row>
        <row r="494">
          <cell r="D494" t="str">
            <v>ED1-PETE</v>
          </cell>
        </row>
        <row r="495">
          <cell r="D495" t="str">
            <v>ED1-TEL</v>
          </cell>
        </row>
        <row r="496">
          <cell r="D496" t="str">
            <v>ED1-IND</v>
          </cell>
        </row>
        <row r="502">
          <cell r="D502" t="str">
            <v>CLASS</v>
          </cell>
        </row>
        <row r="503">
          <cell r="D503" t="str">
            <v>ED2-AE</v>
          </cell>
        </row>
        <row r="504">
          <cell r="D504" t="str">
            <v>ED3-ME</v>
          </cell>
        </row>
        <row r="505">
          <cell r="D505" t="str">
            <v>ED2-MSE</v>
          </cell>
        </row>
        <row r="506">
          <cell r="D506" t="str">
            <v>ED3-METE</v>
          </cell>
        </row>
        <row r="507">
          <cell r="D507" t="str">
            <v>ED1-EE</v>
          </cell>
        </row>
        <row r="508">
          <cell r="D508" t="str">
            <v>ED3-TEL</v>
          </cell>
        </row>
        <row r="509">
          <cell r="D509" t="str">
            <v>ED3-MARI</v>
          </cell>
        </row>
        <row r="510">
          <cell r="D510" t="str">
            <v>ED4-AUTO</v>
          </cell>
        </row>
        <row r="511">
          <cell r="D511" t="str">
            <v>ED3-GEOL</v>
          </cell>
        </row>
        <row r="512">
          <cell r="D512" t="str">
            <v>ED4-PETE</v>
          </cell>
        </row>
        <row r="513">
          <cell r="D513" t="str">
            <v>ED2-IND</v>
          </cell>
        </row>
        <row r="514">
          <cell r="D514" t="str">
            <v>ED2-MARI</v>
          </cell>
        </row>
        <row r="515">
          <cell r="D515" t="str">
            <v>ED2-ME</v>
          </cell>
        </row>
        <row r="516">
          <cell r="D516" t="str">
            <v>ED2-AUTO</v>
          </cell>
        </row>
        <row r="522">
          <cell r="D522" t="str">
            <v>CLASS</v>
          </cell>
        </row>
        <row r="523">
          <cell r="D523" t="str">
            <v>ED2-CHE</v>
          </cell>
        </row>
        <row r="524">
          <cell r="D524" t="str">
            <v>ED2-PCE</v>
          </cell>
        </row>
        <row r="525">
          <cell r="D525" t="str">
            <v>ED2-PETE</v>
          </cell>
        </row>
        <row r="526">
          <cell r="D526" t="str">
            <v>ED1-PETE</v>
          </cell>
        </row>
        <row r="527">
          <cell r="D527" t="str">
            <v>ED1-MSE</v>
          </cell>
        </row>
        <row r="528">
          <cell r="D528" t="str">
            <v>ED3-COE</v>
          </cell>
        </row>
        <row r="529">
          <cell r="D529" t="str">
            <v>ED3-PCE</v>
          </cell>
        </row>
        <row r="530">
          <cell r="D530" t="str">
            <v>ED4-PCE</v>
          </cell>
        </row>
        <row r="531">
          <cell r="D531" t="str">
            <v>ED4-EE</v>
          </cell>
        </row>
        <row r="532">
          <cell r="D532" t="str">
            <v>ED4-GEOL</v>
          </cell>
        </row>
        <row r="533">
          <cell r="D533" t="str">
            <v>ED3-IND</v>
          </cell>
        </row>
        <row r="534">
          <cell r="D534" t="str">
            <v>ED2-METE</v>
          </cell>
        </row>
        <row r="535">
          <cell r="D535" t="str">
            <v>ED4-CE</v>
          </cell>
        </row>
        <row r="541">
          <cell r="D541" t="str">
            <v>CLASS</v>
          </cell>
        </row>
        <row r="542">
          <cell r="D542" t="str">
            <v>ED2-EE</v>
          </cell>
        </row>
        <row r="543">
          <cell r="D543" t="str">
            <v>ED3-GEOM</v>
          </cell>
        </row>
        <row r="544">
          <cell r="D544" t="str">
            <v>ED1-CE</v>
          </cell>
        </row>
        <row r="545">
          <cell r="D545" t="str">
            <v>ED1-GEOL</v>
          </cell>
        </row>
        <row r="546">
          <cell r="D546" t="str">
            <v>ED2-BME</v>
          </cell>
        </row>
        <row r="547">
          <cell r="D547" t="str">
            <v>ED2-COE</v>
          </cell>
        </row>
        <row r="548">
          <cell r="D548" t="str">
            <v>ED2-TEL</v>
          </cell>
        </row>
        <row r="549">
          <cell r="D549" t="str">
            <v>ED3-CHE</v>
          </cell>
        </row>
        <row r="550">
          <cell r="D550" t="str">
            <v>ED4-AERO</v>
          </cell>
        </row>
        <row r="551">
          <cell r="D551" t="str">
            <v>ED4-ME</v>
          </cell>
        </row>
        <row r="552">
          <cell r="D552" t="str">
            <v>ED3-EE</v>
          </cell>
        </row>
        <row r="553">
          <cell r="D553" t="str">
            <v>ED2-AERO</v>
          </cell>
        </row>
        <row r="554">
          <cell r="D554" t="str">
            <v>ED2-GEOL</v>
          </cell>
        </row>
        <row r="555">
          <cell r="D555" t="str">
            <v>ED3-PETE</v>
          </cell>
        </row>
        <row r="556">
          <cell r="D556" t="str">
            <v>ED3-CE</v>
          </cell>
        </row>
        <row r="557">
          <cell r="D557" t="str">
            <v>ED3-AE</v>
          </cell>
        </row>
        <row r="558">
          <cell r="D558" t="str">
            <v>ED3-MSE</v>
          </cell>
        </row>
        <row r="559">
          <cell r="D559" t="str">
            <v>ED4-MARI</v>
          </cell>
        </row>
        <row r="560">
          <cell r="D560" t="str">
            <v>ED4-CHE</v>
          </cell>
        </row>
        <row r="561">
          <cell r="D561" t="str">
            <v>ED4-COE</v>
          </cell>
        </row>
        <row r="562">
          <cell r="D562" t="str">
            <v>ED4-IND</v>
          </cell>
        </row>
        <row r="568">
          <cell r="D568" t="str">
            <v>CLASS</v>
          </cell>
        </row>
        <row r="569">
          <cell r="D569" t="str">
            <v>ED1-GEOM</v>
          </cell>
        </row>
        <row r="570">
          <cell r="D570" t="str">
            <v>ED1-BME</v>
          </cell>
        </row>
        <row r="571">
          <cell r="D571" t="str">
            <v>ED1-COE</v>
          </cell>
        </row>
        <row r="572">
          <cell r="D572" t="str">
            <v>ED1-AERO</v>
          </cell>
        </row>
        <row r="573">
          <cell r="D573" t="str">
            <v>ED1-ME</v>
          </cell>
        </row>
        <row r="574">
          <cell r="D574" t="str">
            <v>ED2-IND</v>
          </cell>
        </row>
        <row r="575">
          <cell r="D575" t="str">
            <v>ED2-ME</v>
          </cell>
        </row>
        <row r="576">
          <cell r="D576" t="str">
            <v>ED1-AUTO</v>
          </cell>
        </row>
        <row r="577">
          <cell r="D577" t="str">
            <v>ED2-AERO</v>
          </cell>
        </row>
        <row r="578">
          <cell r="D578" t="str">
            <v>ED1-EE</v>
          </cell>
        </row>
        <row r="579">
          <cell r="D579" t="str">
            <v>ED4-ME</v>
          </cell>
        </row>
        <row r="580">
          <cell r="D580" t="str">
            <v>ED1-GEOL</v>
          </cell>
        </row>
        <row r="581">
          <cell r="D581" t="str">
            <v>ED2-BME</v>
          </cell>
        </row>
        <row r="582">
          <cell r="D582" t="str">
            <v>ED2-COE</v>
          </cell>
        </row>
        <row r="583">
          <cell r="D583" t="str">
            <v>ED2-TEL</v>
          </cell>
        </row>
        <row r="584">
          <cell r="D584" t="str">
            <v>ED3-GEOM</v>
          </cell>
        </row>
        <row r="590">
          <cell r="D590" t="str">
            <v>CLASS</v>
          </cell>
        </row>
        <row r="591">
          <cell r="D591" t="str">
            <v>ED4-AERO</v>
          </cell>
        </row>
        <row r="592">
          <cell r="D592" t="str">
            <v>ED4-ME</v>
          </cell>
        </row>
        <row r="593">
          <cell r="D593" t="str">
            <v>ED4-IND</v>
          </cell>
        </row>
        <row r="594">
          <cell r="D594" t="str">
            <v>ED4-AUTO</v>
          </cell>
        </row>
        <row r="595">
          <cell r="D595" t="str">
            <v>ED3-BME</v>
          </cell>
        </row>
        <row r="596">
          <cell r="D596" t="str">
            <v>ED1-METE</v>
          </cell>
        </row>
        <row r="597">
          <cell r="D597" t="str">
            <v>ED1-MSE</v>
          </cell>
        </row>
        <row r="598">
          <cell r="D598" t="str">
            <v>ED4-AE</v>
          </cell>
        </row>
        <row r="599">
          <cell r="D599" t="str">
            <v>ED3-MARI</v>
          </cell>
        </row>
        <row r="600">
          <cell r="D600" t="str">
            <v>ED4-CHE</v>
          </cell>
        </row>
        <row r="601">
          <cell r="D601" t="str">
            <v>ED2-CE</v>
          </cell>
        </row>
        <row r="602">
          <cell r="D602" t="str">
            <v>ED4-METE</v>
          </cell>
        </row>
        <row r="603">
          <cell r="D603" t="str">
            <v>ED4-COE</v>
          </cell>
        </row>
        <row r="604">
          <cell r="D604" t="str">
            <v>ED4-EE</v>
          </cell>
        </row>
        <row r="605">
          <cell r="D605" t="str">
            <v>ED4-TEL</v>
          </cell>
        </row>
        <row r="606">
          <cell r="D606" t="str">
            <v>ED4-MSE</v>
          </cell>
        </row>
        <row r="607">
          <cell r="D607" t="str">
            <v>Total T3-2</v>
          </cell>
        </row>
        <row r="613">
          <cell r="D613" t="str">
            <v>ED3-AERO</v>
          </cell>
        </row>
        <row r="614">
          <cell r="D614" t="str">
            <v>ED3-GEOL</v>
          </cell>
        </row>
        <row r="615">
          <cell r="D615" t="str">
            <v>ED4-PETE</v>
          </cell>
        </row>
        <row r="616">
          <cell r="D616" t="str">
            <v>ED2-PETE</v>
          </cell>
        </row>
        <row r="617">
          <cell r="D617" t="str">
            <v>ED3-CHE</v>
          </cell>
        </row>
        <row r="618">
          <cell r="D618" t="str">
            <v>ED4-ME</v>
          </cell>
        </row>
        <row r="619">
          <cell r="D619" t="str">
            <v>ED4-BME</v>
          </cell>
        </row>
        <row r="620">
          <cell r="D620" t="str">
            <v>ED3-AUTO</v>
          </cell>
        </row>
        <row r="621">
          <cell r="D621" t="str">
            <v>ED3-CE</v>
          </cell>
        </row>
        <row r="622">
          <cell r="D622" t="str">
            <v>ED3-IND</v>
          </cell>
        </row>
        <row r="623">
          <cell r="D623" t="str">
            <v>ED4-GEOL</v>
          </cell>
        </row>
        <row r="624">
          <cell r="D624" t="str">
            <v>ED1-TEL</v>
          </cell>
        </row>
        <row r="625">
          <cell r="D625" t="str">
            <v>ED3-PCE</v>
          </cell>
        </row>
        <row r="626">
          <cell r="D626" t="str">
            <v>ED4-MARI</v>
          </cell>
        </row>
        <row r="627">
          <cell r="D627" t="str">
            <v>Total T3-3</v>
          </cell>
        </row>
        <row r="633">
          <cell r="D633" t="str">
            <v>ED1-AE</v>
          </cell>
        </row>
        <row r="634">
          <cell r="D634" t="str">
            <v>ED3-ME</v>
          </cell>
        </row>
        <row r="635">
          <cell r="D635" t="str">
            <v>ED3-AE</v>
          </cell>
        </row>
        <row r="636">
          <cell r="D636" t="str">
            <v>ED2-TEL</v>
          </cell>
        </row>
        <row r="637">
          <cell r="D637" t="str">
            <v>ED2-BME</v>
          </cell>
        </row>
        <row r="638">
          <cell r="D638" t="str">
            <v>ED4-IND</v>
          </cell>
        </row>
        <row r="639">
          <cell r="D639" t="str">
            <v>ED4-ME</v>
          </cell>
        </row>
        <row r="640">
          <cell r="D640" t="str">
            <v>ED1-CE</v>
          </cell>
        </row>
        <row r="641">
          <cell r="D641" t="str">
            <v>ED1-GEOL</v>
          </cell>
        </row>
        <row r="642">
          <cell r="D642" t="str">
            <v>Total W3-1</v>
          </cell>
        </row>
        <row r="648">
          <cell r="D648" t="str">
            <v>ED3-TEL</v>
          </cell>
        </row>
        <row r="649">
          <cell r="D649" t="str">
            <v>ED3-EE</v>
          </cell>
        </row>
        <row r="650">
          <cell r="D650" t="str">
            <v>ED2-ME</v>
          </cell>
        </row>
        <row r="651">
          <cell r="D651" t="str">
            <v>ED2-AERO</v>
          </cell>
        </row>
        <row r="652">
          <cell r="D652" t="str">
            <v>ED3-PETE</v>
          </cell>
        </row>
        <row r="653">
          <cell r="D653" t="str">
            <v>ED1-EE</v>
          </cell>
        </row>
        <row r="654">
          <cell r="D654" t="str">
            <v>ED2-MARI</v>
          </cell>
        </row>
        <row r="655">
          <cell r="D655" t="str">
            <v>ED4-TEL</v>
          </cell>
        </row>
        <row r="656">
          <cell r="D656" t="str">
            <v>ED2-EE</v>
          </cell>
        </row>
        <row r="657">
          <cell r="D657" t="str">
            <v>ED2-CHE</v>
          </cell>
        </row>
        <row r="658">
          <cell r="D658" t="str">
            <v>ED2-GEOM</v>
          </cell>
        </row>
        <row r="659">
          <cell r="D659" t="str">
            <v>ED2-MSE</v>
          </cell>
        </row>
        <row r="660">
          <cell r="D660" t="str">
            <v>ED2-METE</v>
          </cell>
        </row>
        <row r="666">
          <cell r="D666" t="str">
            <v>CLASS</v>
          </cell>
        </row>
        <row r="667">
          <cell r="D667" t="str">
            <v>ED1-BME</v>
          </cell>
        </row>
        <row r="668">
          <cell r="D668" t="str">
            <v>ED1-GEOM</v>
          </cell>
        </row>
        <row r="669">
          <cell r="D669" t="str">
            <v>ED4-GEOM</v>
          </cell>
        </row>
        <row r="670">
          <cell r="D670" t="str">
            <v>ED4-GEOL</v>
          </cell>
        </row>
        <row r="671">
          <cell r="D671" t="str">
            <v>ED1-AUTO</v>
          </cell>
        </row>
        <row r="672">
          <cell r="D672" t="str">
            <v>ED1-CHE</v>
          </cell>
        </row>
        <row r="673">
          <cell r="D673" t="str">
            <v>ED3-METE</v>
          </cell>
        </row>
        <row r="674">
          <cell r="D674" t="str">
            <v>ED3-MSE</v>
          </cell>
        </row>
        <row r="675">
          <cell r="D675" t="str">
            <v>ED4-PETE</v>
          </cell>
        </row>
        <row r="676">
          <cell r="D676" t="str">
            <v>ED4-AERO</v>
          </cell>
        </row>
        <row r="677">
          <cell r="D677" t="str">
            <v>ED1-COE</v>
          </cell>
        </row>
        <row r="678">
          <cell r="D678" t="str">
            <v>ED3-CHE</v>
          </cell>
        </row>
        <row r="679">
          <cell r="D679" t="str">
            <v>ED4-AE</v>
          </cell>
        </row>
        <row r="685">
          <cell r="D685" t="str">
            <v>CLASS</v>
          </cell>
        </row>
        <row r="686">
          <cell r="D686" t="str">
            <v>ED1-GEOL</v>
          </cell>
        </row>
        <row r="687">
          <cell r="D687" t="str">
            <v>ED3-IND</v>
          </cell>
        </row>
        <row r="688">
          <cell r="D688" t="str">
            <v>ED1-IND</v>
          </cell>
        </row>
        <row r="689">
          <cell r="D689" t="str">
            <v>ED1-MARI</v>
          </cell>
        </row>
        <row r="690">
          <cell r="D690" t="str">
            <v>ED2-PETE</v>
          </cell>
        </row>
        <row r="691">
          <cell r="D691" t="str">
            <v>ED3-GEOL</v>
          </cell>
        </row>
        <row r="692">
          <cell r="D692" t="str">
            <v>ED2-MARI</v>
          </cell>
        </row>
        <row r="693">
          <cell r="D693" t="str">
            <v>ED4-ME</v>
          </cell>
        </row>
        <row r="694">
          <cell r="D694" t="str">
            <v>ED4-AERO</v>
          </cell>
        </row>
        <row r="695">
          <cell r="D695" t="str">
            <v>ED3-GEOM</v>
          </cell>
        </row>
        <row r="696">
          <cell r="D696" t="str">
            <v>ED2-CE</v>
          </cell>
        </row>
        <row r="697">
          <cell r="D697" t="str">
            <v>ED2-GEOL</v>
          </cell>
        </row>
        <row r="703">
          <cell r="D703" t="str">
            <v>CLASS</v>
          </cell>
        </row>
        <row r="704">
          <cell r="D704" t="str">
            <v>ED1-TEL</v>
          </cell>
        </row>
        <row r="705">
          <cell r="D705" t="str">
            <v>ED3-PETE</v>
          </cell>
        </row>
        <row r="706">
          <cell r="D706" t="str">
            <v>ED3-AE</v>
          </cell>
        </row>
        <row r="707">
          <cell r="D707" t="str">
            <v>ED4-MSE</v>
          </cell>
        </row>
        <row r="708">
          <cell r="D708" t="str">
            <v>ED4-METE</v>
          </cell>
        </row>
        <row r="709">
          <cell r="D709" t="str">
            <v>ED1-PETE</v>
          </cell>
        </row>
        <row r="710">
          <cell r="D710" t="str">
            <v>ED1-PCE</v>
          </cell>
        </row>
        <row r="711">
          <cell r="D711" t="str">
            <v>ED3-AERO</v>
          </cell>
        </row>
        <row r="712">
          <cell r="D712" t="str">
            <v>ED3-ME</v>
          </cell>
        </row>
        <row r="713">
          <cell r="D713" t="str">
            <v>ED3-MARI</v>
          </cell>
        </row>
        <row r="714">
          <cell r="D714" t="str">
            <v>ED3-AUTO</v>
          </cell>
        </row>
        <row r="715">
          <cell r="D715" t="str">
            <v>ED1-METE</v>
          </cell>
        </row>
        <row r="716">
          <cell r="D716" t="str">
            <v>ED2-MSE</v>
          </cell>
        </row>
        <row r="717">
          <cell r="D717" t="str">
            <v>ED4-EE</v>
          </cell>
        </row>
        <row r="723">
          <cell r="D723" t="str">
            <v>CLASS</v>
          </cell>
        </row>
        <row r="724">
          <cell r="D724" t="str">
            <v>ED4-PETE</v>
          </cell>
        </row>
        <row r="725">
          <cell r="D725" t="str">
            <v>ED2-AE</v>
          </cell>
        </row>
        <row r="726">
          <cell r="D726" t="str">
            <v>ED3-PCE</v>
          </cell>
        </row>
        <row r="727">
          <cell r="D727" t="str">
            <v>ED4-CHE</v>
          </cell>
        </row>
        <row r="728">
          <cell r="D728" t="str">
            <v>ED4-PCE</v>
          </cell>
        </row>
        <row r="729">
          <cell r="D729" t="str">
            <v>ED3-COE</v>
          </cell>
        </row>
        <row r="730">
          <cell r="D730" t="str">
            <v>ED3-BME</v>
          </cell>
        </row>
        <row r="731">
          <cell r="D731" t="str">
            <v>ED2-METE</v>
          </cell>
        </row>
        <row r="732">
          <cell r="D732" t="str">
            <v>ED4-MARI</v>
          </cell>
        </row>
        <row r="733">
          <cell r="D733" t="str">
            <v>ED2-EE</v>
          </cell>
        </row>
        <row r="734">
          <cell r="D734" t="str">
            <v>ED3-CE</v>
          </cell>
        </row>
        <row r="740">
          <cell r="D740" t="str">
            <v>CLASS</v>
          </cell>
        </row>
        <row r="741">
          <cell r="D741" t="str">
            <v>ED3-CHE</v>
          </cell>
        </row>
        <row r="742">
          <cell r="D742" t="str">
            <v>ED4-COE</v>
          </cell>
        </row>
        <row r="743">
          <cell r="D743" t="str">
            <v>ED2-BME</v>
          </cell>
        </row>
        <row r="744">
          <cell r="D744" t="str">
            <v>ED1-ME</v>
          </cell>
        </row>
        <row r="745">
          <cell r="D745" t="str">
            <v>ED1-AE</v>
          </cell>
        </row>
        <row r="746">
          <cell r="D746" t="str">
            <v>ED1-BME</v>
          </cell>
        </row>
        <row r="747">
          <cell r="D747" t="str">
            <v>ED1-PETE</v>
          </cell>
        </row>
        <row r="748">
          <cell r="D748" t="str">
            <v>ED1-GEOL</v>
          </cell>
        </row>
        <row r="749">
          <cell r="D749" t="str">
            <v>ED1-EE</v>
          </cell>
        </row>
        <row r="750">
          <cell r="D750" t="str">
            <v>ED1-AERO</v>
          </cell>
        </row>
        <row r="751">
          <cell r="D751" t="str">
            <v>ED1-IND</v>
          </cell>
        </row>
        <row r="752">
          <cell r="D752" t="str">
            <v>ED1-MARI</v>
          </cell>
        </row>
        <row r="753">
          <cell r="D753" t="str">
            <v>ED1-CE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 (2)"/>
      <sheetName val="TT"/>
      <sheetName val="TT (Values)"/>
      <sheetName val="Sheet2"/>
      <sheetName val="FREQ"/>
      <sheetName val="TALLY"/>
      <sheetName val="ROOMS"/>
      <sheetName val="WATER"/>
      <sheetName val="SESSIONS"/>
      <sheetName val="COURSES"/>
      <sheetName val="TEO_fred"/>
      <sheetName val="Collection_"/>
      <sheetName val="WATER_old"/>
      <sheetName val="COMBINED_ATTD_INV"/>
      <sheetName val="COMBINED_ATTD_INV (2)"/>
      <sheetName val="COMBINED_ATTD_INV (final)"/>
      <sheetName val="TAs"/>
      <sheetName val="floor_coordinators (2)"/>
      <sheetName val="Sheet3"/>
      <sheetName val="tt_rm"/>
      <sheetName val="Sheet1"/>
      <sheetName val="TOTALSTD"/>
      <sheetName val="TEO (2)"/>
      <sheetName val="LECT"/>
      <sheetName val="ATTDD"/>
      <sheetName val="TA_NSS"/>
      <sheetName val="TA_SCHED"/>
    </sheetNames>
    <sheetDataSet>
      <sheetData sheetId="0" refreshError="1"/>
      <sheetData sheetId="1" refreshError="1">
        <row r="1">
          <cell r="I1" t="str">
            <v>Monday, 7 August 2023,,</v>
          </cell>
        </row>
        <row r="3">
          <cell r="D3" t="str">
            <v>CLASS</v>
          </cell>
        </row>
        <row r="4">
          <cell r="D4" t="str">
            <v>ED3-CHE</v>
          </cell>
        </row>
        <row r="5">
          <cell r="D5" t="str">
            <v>ED2-CHE</v>
          </cell>
        </row>
        <row r="6">
          <cell r="D6" t="str">
            <v>ED2-PCE</v>
          </cell>
        </row>
        <row r="19">
          <cell r="D19" t="str">
            <v>CLASS</v>
          </cell>
        </row>
        <row r="35">
          <cell r="D35" t="str">
            <v>CLASS</v>
          </cell>
        </row>
        <row r="36">
          <cell r="D36" t="str">
            <v>ED4-BME</v>
          </cell>
        </row>
        <row r="37">
          <cell r="D37" t="str">
            <v>ED4-COE</v>
          </cell>
        </row>
        <row r="51">
          <cell r="D51" t="str">
            <v>CLASS</v>
          </cell>
        </row>
        <row r="52">
          <cell r="D52" t="str">
            <v>ED1-CHE</v>
          </cell>
        </row>
        <row r="53">
          <cell r="D53" t="str">
            <v>ED1-PCE</v>
          </cell>
        </row>
        <row r="67">
          <cell r="D67" t="str">
            <v>CLASS</v>
          </cell>
        </row>
        <row r="83">
          <cell r="D83" t="str">
            <v>CLASS</v>
          </cell>
        </row>
        <row r="84">
          <cell r="D84" t="str">
            <v>ED3-PCE</v>
          </cell>
        </row>
        <row r="99">
          <cell r="D99" t="str">
            <v>CLASS</v>
          </cell>
        </row>
        <row r="100">
          <cell r="D100" t="str">
            <v>ED3-GEOL</v>
          </cell>
        </row>
        <row r="115">
          <cell r="D115" t="str">
            <v>CLASS</v>
          </cell>
        </row>
        <row r="116">
          <cell r="D116" t="str">
            <v>ED3-AE</v>
          </cell>
        </row>
        <row r="117">
          <cell r="D117" t="str">
            <v>ED1-CHE</v>
          </cell>
        </row>
        <row r="118">
          <cell r="D118" t="str">
            <v>ED1-PCE</v>
          </cell>
        </row>
        <row r="119">
          <cell r="D119" t="str">
            <v>ED1-PETE</v>
          </cell>
        </row>
        <row r="120">
          <cell r="D120" t="str">
            <v>ED3-GEOL</v>
          </cell>
        </row>
        <row r="131">
          <cell r="D131" t="str">
            <v>CLASS</v>
          </cell>
        </row>
        <row r="132">
          <cell r="D132" t="str">
            <v>ED3-IND</v>
          </cell>
        </row>
        <row r="147">
          <cell r="D147" t="str">
            <v>CLASS</v>
          </cell>
        </row>
        <row r="148">
          <cell r="D148" t="str">
            <v>ED2-PETE</v>
          </cell>
        </row>
        <row r="149">
          <cell r="D149" t="str">
            <v>ED3-MSE</v>
          </cell>
        </row>
        <row r="150">
          <cell r="D150" t="str">
            <v>ED2-METE</v>
          </cell>
        </row>
        <row r="151">
          <cell r="D151" t="str">
            <v>ED2-MSE</v>
          </cell>
        </row>
        <row r="152">
          <cell r="D152" t="str">
            <v>ED3-AERO</v>
          </cell>
        </row>
        <row r="153">
          <cell r="D153" t="str">
            <v>ED1-IND</v>
          </cell>
        </row>
        <row r="154">
          <cell r="D154" t="str">
            <v>ED1-ME</v>
          </cell>
        </row>
        <row r="155">
          <cell r="D155" t="str">
            <v>ED1-MARI</v>
          </cell>
        </row>
        <row r="156">
          <cell r="D156" t="str">
            <v>ED1-AERO</v>
          </cell>
        </row>
        <row r="157">
          <cell r="D157" t="str">
            <v>ED2-GEOL</v>
          </cell>
        </row>
        <row r="158">
          <cell r="D158" t="str">
            <v>ED2-COE</v>
          </cell>
        </row>
        <row r="159">
          <cell r="D159" t="str">
            <v>ED3-ME</v>
          </cell>
        </row>
        <row r="160">
          <cell r="D160" t="str">
            <v>ED3-MARI</v>
          </cell>
        </row>
        <row r="161">
          <cell r="D161" t="str">
            <v>ED2-BME</v>
          </cell>
        </row>
        <row r="167">
          <cell r="D167" t="str">
            <v>CLASS</v>
          </cell>
        </row>
        <row r="168">
          <cell r="D168" t="str">
            <v>ED1-GEOL</v>
          </cell>
        </row>
        <row r="169">
          <cell r="D169" t="str">
            <v>ED1-GEOM</v>
          </cell>
        </row>
        <row r="170">
          <cell r="D170" t="str">
            <v>ED2-GEOM</v>
          </cell>
        </row>
        <row r="171">
          <cell r="D171" t="str">
            <v>ED2-MARI</v>
          </cell>
        </row>
        <row r="172">
          <cell r="D172" t="str">
            <v>ED3-TEL</v>
          </cell>
        </row>
        <row r="173">
          <cell r="D173" t="str">
            <v>ED2-CE</v>
          </cell>
        </row>
        <row r="174">
          <cell r="D174" t="str">
            <v>ED2-IND</v>
          </cell>
        </row>
        <row r="175">
          <cell r="D175" t="str">
            <v>ED2-AE</v>
          </cell>
        </row>
        <row r="176">
          <cell r="D176" t="str">
            <v>ED3-GEOL</v>
          </cell>
        </row>
        <row r="177">
          <cell r="D177" t="str">
            <v>ED3-BME</v>
          </cell>
        </row>
        <row r="178">
          <cell r="D178" t="str">
            <v>Total H1-2</v>
          </cell>
        </row>
        <row r="184">
          <cell r="D184" t="str">
            <v>ED1-CE</v>
          </cell>
        </row>
        <row r="185">
          <cell r="D185" t="str">
            <v>ED1-TEL</v>
          </cell>
        </row>
        <row r="186">
          <cell r="D186" t="str">
            <v>ED2-TEL</v>
          </cell>
        </row>
        <row r="187">
          <cell r="D187" t="str">
            <v>ED1-BME</v>
          </cell>
        </row>
        <row r="188">
          <cell r="D188" t="str">
            <v>ED3-PETE</v>
          </cell>
        </row>
        <row r="189">
          <cell r="D189" t="str">
            <v>ED4-AE</v>
          </cell>
        </row>
        <row r="190">
          <cell r="D190" t="str">
            <v>ED4-AERO</v>
          </cell>
        </row>
        <row r="191">
          <cell r="D191" t="str">
            <v>ED4-AUTO</v>
          </cell>
        </row>
        <row r="192">
          <cell r="D192" t="str">
            <v>ED4-BME</v>
          </cell>
        </row>
        <row r="193">
          <cell r="D193" t="str">
            <v>ED4-COE</v>
          </cell>
        </row>
        <row r="194">
          <cell r="D194" t="str">
            <v>ED4-EE</v>
          </cell>
        </row>
        <row r="195">
          <cell r="D195" t="str">
            <v>ED4-IND</v>
          </cell>
        </row>
        <row r="196">
          <cell r="D196" t="str">
            <v>ED4-ME</v>
          </cell>
        </row>
        <row r="197">
          <cell r="D197" t="str">
            <v>ED4-METE</v>
          </cell>
        </row>
        <row r="198">
          <cell r="D198" t="str">
            <v>ED4-MSE</v>
          </cell>
        </row>
        <row r="199">
          <cell r="D199" t="str">
            <v>ED4-TEL</v>
          </cell>
        </row>
        <row r="200">
          <cell r="D200" t="str">
            <v>Total H1-3</v>
          </cell>
        </row>
        <row r="205">
          <cell r="D205" t="str">
            <v>CLASS</v>
          </cell>
        </row>
        <row r="206">
          <cell r="D206" t="str">
            <v>ED3-AUTO</v>
          </cell>
        </row>
        <row r="207">
          <cell r="D207" t="str">
            <v>ED2-AE</v>
          </cell>
        </row>
        <row r="208">
          <cell r="D208" t="str">
            <v>ED3-PETE</v>
          </cell>
        </row>
        <row r="209">
          <cell r="D209" t="str">
            <v>ED3-MARI</v>
          </cell>
        </row>
        <row r="210">
          <cell r="D210" t="str">
            <v>ED3-COE</v>
          </cell>
        </row>
        <row r="211">
          <cell r="D211" t="str">
            <v>ED3-BME</v>
          </cell>
        </row>
        <row r="212">
          <cell r="D212" t="str">
            <v>ED3-ME</v>
          </cell>
        </row>
        <row r="213">
          <cell r="D213" t="str">
            <v>ED4-GEOL</v>
          </cell>
        </row>
        <row r="214">
          <cell r="D214" t="str">
            <v>ED3-CHE</v>
          </cell>
        </row>
        <row r="215">
          <cell r="D215" t="str">
            <v>ED4-TEL</v>
          </cell>
        </row>
        <row r="216">
          <cell r="D216" t="str">
            <v>ED3-GEOM</v>
          </cell>
        </row>
        <row r="217">
          <cell r="D217" t="str">
            <v>ED3-PCE</v>
          </cell>
        </row>
        <row r="218">
          <cell r="D218" t="str">
            <v>ED2-BME</v>
          </cell>
        </row>
        <row r="219">
          <cell r="D219" t="str">
            <v>Total F1-1</v>
          </cell>
        </row>
        <row r="224">
          <cell r="D224" t="str">
            <v>CLASS</v>
          </cell>
        </row>
        <row r="225">
          <cell r="D225" t="str">
            <v>ED4-AUTO</v>
          </cell>
        </row>
        <row r="226">
          <cell r="D226" t="str">
            <v>ED2-AUTO</v>
          </cell>
        </row>
        <row r="227">
          <cell r="D227" t="str">
            <v>ED1-CE</v>
          </cell>
        </row>
        <row r="228">
          <cell r="D228" t="str">
            <v>ED1-GEOL</v>
          </cell>
        </row>
        <row r="229">
          <cell r="D229" t="str">
            <v>ED4-GEOM</v>
          </cell>
        </row>
        <row r="230">
          <cell r="D230" t="str">
            <v>ED2-MSE</v>
          </cell>
        </row>
        <row r="231">
          <cell r="D231" t="str">
            <v>ED2-METE</v>
          </cell>
        </row>
        <row r="232">
          <cell r="D232" t="str">
            <v>ED3-EE</v>
          </cell>
        </row>
        <row r="233">
          <cell r="D233" t="str">
            <v>ED1-TEL</v>
          </cell>
        </row>
        <row r="234">
          <cell r="D234" t="str">
            <v>ED1-CHE</v>
          </cell>
        </row>
        <row r="235">
          <cell r="D235" t="str">
            <v>ED1-AUTO</v>
          </cell>
        </row>
        <row r="236">
          <cell r="D236" t="str">
            <v>ED1-EE</v>
          </cell>
        </row>
        <row r="237">
          <cell r="D237" t="str">
            <v>ED3-AE</v>
          </cell>
        </row>
        <row r="238">
          <cell r="D238" t="str">
            <v>ED1-AERO</v>
          </cell>
        </row>
        <row r="239">
          <cell r="D239" t="str">
            <v>Total F1-2</v>
          </cell>
        </row>
        <row r="245">
          <cell r="D245" t="str">
            <v>ED2-COE</v>
          </cell>
        </row>
        <row r="246">
          <cell r="D246" t="str">
            <v>ED3-MSE</v>
          </cell>
        </row>
        <row r="247">
          <cell r="D247" t="str">
            <v>ED3-METE</v>
          </cell>
        </row>
        <row r="248">
          <cell r="D248" t="str">
            <v>ED4-EE</v>
          </cell>
        </row>
        <row r="249">
          <cell r="D249" t="str">
            <v>ED1-COE</v>
          </cell>
        </row>
        <row r="250">
          <cell r="D250" t="str">
            <v>ED4-PCE</v>
          </cell>
        </row>
        <row r="251">
          <cell r="D251" t="str">
            <v>ED4-CHE</v>
          </cell>
        </row>
        <row r="252">
          <cell r="D252" t="str">
            <v>ED4-PETE</v>
          </cell>
        </row>
        <row r="253">
          <cell r="D253" t="str">
            <v>ED4-CE</v>
          </cell>
        </row>
        <row r="254">
          <cell r="D254" t="str">
            <v>ED4-MARI</v>
          </cell>
        </row>
        <row r="255">
          <cell r="D255" t="str">
            <v>ED2-CE</v>
          </cell>
        </row>
        <row r="256">
          <cell r="D256" t="str">
            <v>ED2-GEOM</v>
          </cell>
        </row>
        <row r="257">
          <cell r="D257" t="str">
            <v>ED2-MARI</v>
          </cell>
        </row>
        <row r="258">
          <cell r="D258" t="str">
            <v>ED1-METE</v>
          </cell>
        </row>
        <row r="259">
          <cell r="D259" t="str">
            <v>ED4-ME</v>
          </cell>
        </row>
        <row r="260">
          <cell r="D260" t="str">
            <v>ED2-PETE</v>
          </cell>
        </row>
        <row r="261">
          <cell r="D261" t="str">
            <v>Total F1-3</v>
          </cell>
        </row>
        <row r="267">
          <cell r="D267" t="str">
            <v>ED2-CHE</v>
          </cell>
        </row>
        <row r="268">
          <cell r="D268" t="str">
            <v>ED2-PCE</v>
          </cell>
        </row>
        <row r="269">
          <cell r="D269" t="str">
            <v>ED2-TEL</v>
          </cell>
        </row>
        <row r="270">
          <cell r="D270" t="str">
            <v>ED3-CHE</v>
          </cell>
        </row>
        <row r="271">
          <cell r="D271" t="str">
            <v>ED2-EE</v>
          </cell>
        </row>
        <row r="272">
          <cell r="D272" t="str">
            <v>ED1-GEOL</v>
          </cell>
        </row>
        <row r="273">
          <cell r="D273" t="str">
            <v>ED1-CE</v>
          </cell>
        </row>
        <row r="274">
          <cell r="D274" t="str">
            <v>ED1-MARI</v>
          </cell>
        </row>
        <row r="275">
          <cell r="D275" t="str">
            <v>ED3-GEOM</v>
          </cell>
        </row>
        <row r="276">
          <cell r="D276" t="str">
            <v>ED2-BME</v>
          </cell>
        </row>
        <row r="277">
          <cell r="D277" t="str">
            <v>ED2-COE</v>
          </cell>
        </row>
        <row r="278">
          <cell r="D278" t="str">
            <v>ED2-METE</v>
          </cell>
        </row>
        <row r="279">
          <cell r="D279" t="str">
            <v>ED2-MSE</v>
          </cell>
        </row>
        <row r="280">
          <cell r="D280" t="str">
            <v>ED4-GEOL</v>
          </cell>
        </row>
        <row r="281">
          <cell r="D281" t="str">
            <v>ED4-PCE</v>
          </cell>
        </row>
        <row r="282">
          <cell r="D282" t="str">
            <v>ED3-GEOL</v>
          </cell>
        </row>
        <row r="283">
          <cell r="D283" t="str">
            <v>ED3-PCE</v>
          </cell>
        </row>
        <row r="284">
          <cell r="D284" t="str">
            <v>ED1-TEL</v>
          </cell>
        </row>
        <row r="285">
          <cell r="D285" t="str">
            <v>Total M2-1</v>
          </cell>
        </row>
        <row r="291">
          <cell r="D291" t="str">
            <v>ED3-AERO</v>
          </cell>
        </row>
        <row r="292">
          <cell r="D292" t="str">
            <v>ED3-ME</v>
          </cell>
        </row>
        <row r="293">
          <cell r="D293" t="str">
            <v>ED3-MARI</v>
          </cell>
        </row>
        <row r="294">
          <cell r="D294" t="str">
            <v>ED3-AUTO</v>
          </cell>
        </row>
        <row r="295">
          <cell r="D295" t="str">
            <v>ED3-TEL</v>
          </cell>
        </row>
        <row r="296">
          <cell r="D296" t="str">
            <v>ED3-PETE</v>
          </cell>
        </row>
        <row r="297">
          <cell r="D297" t="str">
            <v>ED2-IND</v>
          </cell>
        </row>
        <row r="298">
          <cell r="D298" t="str">
            <v>ED2-MARI</v>
          </cell>
        </row>
        <row r="299">
          <cell r="D299" t="str">
            <v>ED2-AUTO</v>
          </cell>
        </row>
        <row r="300">
          <cell r="D300" t="str">
            <v>ED4-MARI</v>
          </cell>
        </row>
        <row r="301">
          <cell r="D301" t="str">
            <v>ED4-ME</v>
          </cell>
        </row>
        <row r="302">
          <cell r="D302" t="str">
            <v>ED4-IND</v>
          </cell>
        </row>
        <row r="303">
          <cell r="D303" t="str">
            <v>ED2-PETE</v>
          </cell>
        </row>
        <row r="304">
          <cell r="D304" t="str">
            <v>ED4-AE</v>
          </cell>
        </row>
        <row r="305">
          <cell r="D305" t="str">
            <v>Total M2-2</v>
          </cell>
        </row>
        <row r="310">
          <cell r="D310" t="str">
            <v>CLASS</v>
          </cell>
        </row>
        <row r="311">
          <cell r="D311" t="str">
            <v>ED4-MSE</v>
          </cell>
        </row>
        <row r="312">
          <cell r="D312" t="str">
            <v>ED4-BME</v>
          </cell>
        </row>
        <row r="313">
          <cell r="D313" t="str">
            <v>ED1-PETE</v>
          </cell>
        </row>
        <row r="314">
          <cell r="D314" t="str">
            <v>ED1-GEOM</v>
          </cell>
        </row>
        <row r="315">
          <cell r="D315" t="str">
            <v>ED4-COE</v>
          </cell>
        </row>
        <row r="316">
          <cell r="D316" t="str">
            <v>ED1-MSE</v>
          </cell>
        </row>
        <row r="317">
          <cell r="D317" t="str">
            <v>ED1-ME</v>
          </cell>
        </row>
        <row r="318">
          <cell r="D318" t="str">
            <v>ED3-MSE</v>
          </cell>
        </row>
        <row r="319">
          <cell r="D319" t="str">
            <v>ED1-AERO</v>
          </cell>
        </row>
        <row r="320">
          <cell r="D320" t="str">
            <v>ED3-AE</v>
          </cell>
        </row>
        <row r="321">
          <cell r="D321" t="str">
            <v>ED3-EE</v>
          </cell>
        </row>
        <row r="322">
          <cell r="D322" t="str">
            <v>ED1-BME</v>
          </cell>
        </row>
        <row r="323">
          <cell r="D323" t="str">
            <v>ED2-GEOL</v>
          </cell>
        </row>
        <row r="324">
          <cell r="D324" t="str">
            <v>ED1-PCE</v>
          </cell>
        </row>
        <row r="325">
          <cell r="D325" t="str">
            <v>Total M2-3</v>
          </cell>
        </row>
        <row r="330">
          <cell r="D330" t="str">
            <v>CLASS</v>
          </cell>
        </row>
        <row r="331">
          <cell r="D331" t="str">
            <v>ED2-AE</v>
          </cell>
        </row>
        <row r="332">
          <cell r="D332" t="str">
            <v>ED2-AERO</v>
          </cell>
        </row>
        <row r="333">
          <cell r="D333" t="str">
            <v>ED2-BME</v>
          </cell>
        </row>
        <row r="334">
          <cell r="D334" t="str">
            <v>ED2-GEOM</v>
          </cell>
        </row>
        <row r="335">
          <cell r="D335" t="str">
            <v>ED2-IND</v>
          </cell>
        </row>
        <row r="336">
          <cell r="D336" t="str">
            <v>ED2-ME</v>
          </cell>
        </row>
        <row r="337">
          <cell r="D337" t="str">
            <v>ED2-MSE</v>
          </cell>
        </row>
        <row r="338">
          <cell r="D338" t="str">
            <v>ED3-METE</v>
          </cell>
        </row>
        <row r="339">
          <cell r="D339" t="str">
            <v>ED1-EE</v>
          </cell>
        </row>
        <row r="340">
          <cell r="D340" t="str">
            <v>ED1-COE</v>
          </cell>
        </row>
        <row r="341">
          <cell r="D341" t="str">
            <v>ED1-BME</v>
          </cell>
        </row>
        <row r="342">
          <cell r="D342" t="str">
            <v>ED4-PETE</v>
          </cell>
        </row>
        <row r="343">
          <cell r="D343" t="str">
            <v>ED4-CE</v>
          </cell>
        </row>
        <row r="344">
          <cell r="D344" t="str">
            <v>ED4-GEOL</v>
          </cell>
        </row>
        <row r="345">
          <cell r="D345" t="str">
            <v>ED1-AE</v>
          </cell>
        </row>
        <row r="346">
          <cell r="D346" t="str">
            <v>Total T2-1</v>
          </cell>
        </row>
        <row r="351">
          <cell r="D351" t="str">
            <v>CLASS</v>
          </cell>
        </row>
        <row r="352">
          <cell r="D352" t="str">
            <v>ED3-EE</v>
          </cell>
        </row>
        <row r="353">
          <cell r="D353" t="str">
            <v>ED3-IND</v>
          </cell>
        </row>
        <row r="354">
          <cell r="D354" t="str">
            <v>ED3-GEOL</v>
          </cell>
        </row>
        <row r="355">
          <cell r="D355" t="str">
            <v>ED3-PCE</v>
          </cell>
        </row>
        <row r="356">
          <cell r="D356" t="str">
            <v>ED4-ME</v>
          </cell>
        </row>
        <row r="357">
          <cell r="D357" t="str">
            <v>ED4-AERO</v>
          </cell>
        </row>
        <row r="358">
          <cell r="D358" t="str">
            <v>ED1-GEOL</v>
          </cell>
        </row>
        <row r="359">
          <cell r="D359" t="str">
            <v>ED3-CE</v>
          </cell>
        </row>
        <row r="360">
          <cell r="D360" t="str">
            <v>ED3-GEOM</v>
          </cell>
        </row>
        <row r="361">
          <cell r="D361" t="str">
            <v>ED3-AE</v>
          </cell>
        </row>
        <row r="362">
          <cell r="D362" t="str">
            <v>ED4-COE</v>
          </cell>
        </row>
        <row r="363">
          <cell r="D363" t="str">
            <v>ED3-BME</v>
          </cell>
        </row>
        <row r="364">
          <cell r="D364" t="str">
            <v>ED3-CHE</v>
          </cell>
        </row>
        <row r="365">
          <cell r="D365" t="str">
            <v>Total T2-2</v>
          </cell>
        </row>
        <row r="370">
          <cell r="D370" t="str">
            <v>CLASS</v>
          </cell>
        </row>
        <row r="371">
          <cell r="D371" t="str">
            <v>ED3-PETE</v>
          </cell>
        </row>
        <row r="372">
          <cell r="D372" t="str">
            <v>ED3-AERO</v>
          </cell>
        </row>
        <row r="373">
          <cell r="D373" t="str">
            <v>ED3-ME</v>
          </cell>
        </row>
        <row r="374">
          <cell r="D374" t="str">
            <v>ED3-AUTO</v>
          </cell>
        </row>
        <row r="375">
          <cell r="D375" t="str">
            <v>ED3-MARI</v>
          </cell>
        </row>
        <row r="376">
          <cell r="D376" t="str">
            <v>ED4-EE</v>
          </cell>
        </row>
        <row r="377">
          <cell r="D377" t="str">
            <v>ED4-CHE</v>
          </cell>
        </row>
        <row r="378">
          <cell r="D378" t="str">
            <v>ED4-PCE</v>
          </cell>
        </row>
        <row r="379">
          <cell r="D379" t="str">
            <v>ED2-EE</v>
          </cell>
        </row>
        <row r="380">
          <cell r="D380" t="str">
            <v>ED4-TEL</v>
          </cell>
        </row>
        <row r="381">
          <cell r="D381" t="str">
            <v>Total T2-3</v>
          </cell>
        </row>
        <row r="386">
          <cell r="D386" t="str">
            <v>CLASS</v>
          </cell>
        </row>
        <row r="387">
          <cell r="D387" t="str">
            <v>ED2-EE</v>
          </cell>
        </row>
        <row r="388">
          <cell r="D388" t="str">
            <v>ED2-BME</v>
          </cell>
        </row>
        <row r="389">
          <cell r="D389" t="str">
            <v>ED2-AUTO</v>
          </cell>
        </row>
        <row r="390">
          <cell r="D390" t="str">
            <v>ED2-PCE</v>
          </cell>
        </row>
        <row r="391">
          <cell r="D391" t="str">
            <v>ED2-PETE</v>
          </cell>
        </row>
        <row r="392">
          <cell r="D392" t="str">
            <v>ED2-MSE</v>
          </cell>
        </row>
        <row r="393">
          <cell r="D393" t="str">
            <v>ED2-METE</v>
          </cell>
        </row>
        <row r="394">
          <cell r="D394" t="str">
            <v>ED2-COE</v>
          </cell>
        </row>
        <row r="395">
          <cell r="D395" t="str">
            <v>ED2-GEOL</v>
          </cell>
        </row>
        <row r="396">
          <cell r="D396" t="str">
            <v>ED2-GEOM</v>
          </cell>
        </row>
        <row r="397">
          <cell r="D397" t="str">
            <v>ED2-IND</v>
          </cell>
        </row>
        <row r="398">
          <cell r="D398" t="str">
            <v>ED2-TEL</v>
          </cell>
        </row>
        <row r="399">
          <cell r="D399" t="str">
            <v>ED2-AE</v>
          </cell>
        </row>
        <row r="400">
          <cell r="D400" t="str">
            <v>ED2-AERO</v>
          </cell>
        </row>
        <row r="401">
          <cell r="D401" t="str">
            <v>ED2-CE</v>
          </cell>
        </row>
        <row r="402">
          <cell r="D402" t="str">
            <v>ED2-MARI</v>
          </cell>
        </row>
        <row r="403">
          <cell r="D403" t="str">
            <v>ED2-ME</v>
          </cell>
        </row>
        <row r="404">
          <cell r="D404" t="str">
            <v>ED2-CHE</v>
          </cell>
        </row>
        <row r="405">
          <cell r="D405" t="str">
            <v>Total W2-1</v>
          </cell>
        </row>
        <row r="410">
          <cell r="D410" t="str">
            <v>CLASS</v>
          </cell>
        </row>
        <row r="411">
          <cell r="D411" t="str">
            <v>ED1-BME</v>
          </cell>
        </row>
        <row r="412">
          <cell r="D412" t="str">
            <v>ED3-TEL</v>
          </cell>
        </row>
        <row r="413">
          <cell r="D413" t="str">
            <v>ED3-PCE</v>
          </cell>
        </row>
        <row r="414">
          <cell r="D414" t="str">
            <v>ED3-CHE</v>
          </cell>
        </row>
        <row r="415">
          <cell r="D415" t="str">
            <v>ED4-AERO</v>
          </cell>
        </row>
        <row r="416">
          <cell r="D416" t="str">
            <v>ED4-ME</v>
          </cell>
        </row>
        <row r="417">
          <cell r="D417" t="str">
            <v>ED4-CE</v>
          </cell>
        </row>
        <row r="418">
          <cell r="D418" t="str">
            <v>ED3-GEOM</v>
          </cell>
        </row>
        <row r="419">
          <cell r="D419" t="str">
            <v>ED3-CE</v>
          </cell>
        </row>
        <row r="420">
          <cell r="D420" t="str">
            <v>ED4-PETE</v>
          </cell>
        </row>
        <row r="421">
          <cell r="D421" t="str">
            <v>ED3-IND</v>
          </cell>
        </row>
        <row r="422">
          <cell r="D422" t="str">
            <v>ED4-MSE</v>
          </cell>
        </row>
        <row r="423">
          <cell r="D423" t="str">
            <v>ED4-METE</v>
          </cell>
        </row>
        <row r="424">
          <cell r="D424" t="str">
            <v>Total W2-2</v>
          </cell>
        </row>
        <row r="429">
          <cell r="D429" t="str">
            <v>CLASS</v>
          </cell>
        </row>
        <row r="430">
          <cell r="D430" t="str">
            <v>ED1-AE</v>
          </cell>
        </row>
        <row r="431">
          <cell r="D431" t="str">
            <v>ED1-METE</v>
          </cell>
        </row>
        <row r="432">
          <cell r="D432" t="str">
            <v>ED1-MSE</v>
          </cell>
        </row>
        <row r="433">
          <cell r="D433" t="str">
            <v>ED1-ME</v>
          </cell>
        </row>
        <row r="434">
          <cell r="D434" t="str">
            <v>ED1-AUTO</v>
          </cell>
        </row>
        <row r="435">
          <cell r="D435" t="str">
            <v>ED1-IND</v>
          </cell>
        </row>
        <row r="436">
          <cell r="D436" t="str">
            <v>ED1-MARI</v>
          </cell>
        </row>
        <row r="437">
          <cell r="D437" t="str">
            <v>ED3-METE</v>
          </cell>
        </row>
        <row r="438">
          <cell r="D438" t="str">
            <v>ED3-MSE</v>
          </cell>
        </row>
        <row r="439">
          <cell r="D439" t="str">
            <v>ED4-GEOM</v>
          </cell>
        </row>
        <row r="440">
          <cell r="D440" t="str">
            <v>ED1-GEOL</v>
          </cell>
        </row>
        <row r="441">
          <cell r="D441" t="str">
            <v>ED1-CE</v>
          </cell>
        </row>
        <row r="442">
          <cell r="D442" t="str">
            <v>ED4-GEOL</v>
          </cell>
        </row>
        <row r="443">
          <cell r="D443" t="str">
            <v>ED3-EE</v>
          </cell>
        </row>
        <row r="444">
          <cell r="D444" t="str">
            <v>Total W2-3</v>
          </cell>
        </row>
        <row r="450">
          <cell r="D450" t="str">
            <v>ED4-CHE</v>
          </cell>
        </row>
        <row r="451">
          <cell r="D451" t="str">
            <v>ED4-PCE</v>
          </cell>
        </row>
        <row r="452">
          <cell r="D452" t="str">
            <v>ED4-AERO</v>
          </cell>
        </row>
        <row r="453">
          <cell r="D453" t="str">
            <v>ED4-AE</v>
          </cell>
        </row>
        <row r="454">
          <cell r="D454" t="str">
            <v>ED3-AERO</v>
          </cell>
        </row>
        <row r="455">
          <cell r="D455" t="str">
            <v>ED3-PETE</v>
          </cell>
        </row>
        <row r="456">
          <cell r="D456" t="str">
            <v>ED4-AUTO</v>
          </cell>
        </row>
        <row r="457">
          <cell r="D457" t="str">
            <v>ED3-PCE</v>
          </cell>
        </row>
        <row r="458">
          <cell r="D458" t="str">
            <v>ED3-BME</v>
          </cell>
        </row>
        <row r="459">
          <cell r="D459" t="str">
            <v>ED4-TEL</v>
          </cell>
        </row>
        <row r="460">
          <cell r="D460" t="str">
            <v>ED4-MARI</v>
          </cell>
        </row>
        <row r="461">
          <cell r="D461" t="str">
            <v>ED2-IND</v>
          </cell>
        </row>
        <row r="462">
          <cell r="D462" t="str">
            <v>ED2-MARI</v>
          </cell>
        </row>
        <row r="463">
          <cell r="D463" t="str">
            <v>ED2-AUTO</v>
          </cell>
        </row>
        <row r="464">
          <cell r="D464" t="str">
            <v>Total H2-1</v>
          </cell>
        </row>
        <row r="469">
          <cell r="D469" t="str">
            <v>CLASS</v>
          </cell>
        </row>
        <row r="470">
          <cell r="D470" t="str">
            <v>ED4-PETE</v>
          </cell>
        </row>
        <row r="471">
          <cell r="D471" t="str">
            <v>ED3-AE</v>
          </cell>
        </row>
        <row r="472">
          <cell r="D472" t="str">
            <v>ED1-AE</v>
          </cell>
        </row>
        <row r="473">
          <cell r="D473" t="str">
            <v>ED3-COE</v>
          </cell>
        </row>
        <row r="474">
          <cell r="D474" t="str">
            <v>ED2-COE</v>
          </cell>
        </row>
        <row r="475">
          <cell r="D475" t="str">
            <v>ED2-BME</v>
          </cell>
        </row>
        <row r="476">
          <cell r="D476" t="str">
            <v>ED1-COE</v>
          </cell>
        </row>
        <row r="477">
          <cell r="D477" t="str">
            <v>ED1-AUTO</v>
          </cell>
        </row>
        <row r="478">
          <cell r="D478" t="str">
            <v>ED3-IND</v>
          </cell>
        </row>
        <row r="479">
          <cell r="D479" t="str">
            <v>ED3-CHE</v>
          </cell>
        </row>
        <row r="480">
          <cell r="D480" t="str">
            <v>Total H2-2</v>
          </cell>
        </row>
        <row r="485">
          <cell r="D485" t="str">
            <v>CLASS</v>
          </cell>
        </row>
        <row r="486">
          <cell r="D486" t="str">
            <v>ED2-PETE</v>
          </cell>
        </row>
        <row r="487">
          <cell r="D487" t="str">
            <v>ED2-PCE</v>
          </cell>
        </row>
        <row r="488">
          <cell r="D488" t="str">
            <v>ED1-TEL</v>
          </cell>
        </row>
        <row r="489">
          <cell r="D489" t="str">
            <v>ED4-ME</v>
          </cell>
        </row>
        <row r="490">
          <cell r="D490" t="str">
            <v>ED2-ME</v>
          </cell>
        </row>
        <row r="491">
          <cell r="D491" t="str">
            <v>ED1-PETE</v>
          </cell>
        </row>
        <row r="492">
          <cell r="D492" t="str">
            <v>ED2-CHE</v>
          </cell>
        </row>
        <row r="493">
          <cell r="D493" t="str">
            <v>ED1-IND</v>
          </cell>
        </row>
        <row r="494">
          <cell r="D494" t="str">
            <v>ED1-MARI</v>
          </cell>
        </row>
        <row r="495">
          <cell r="D495" t="str">
            <v>ED3-AUTO</v>
          </cell>
        </row>
        <row r="496">
          <cell r="D496" t="str">
            <v>ED2-AERO</v>
          </cell>
        </row>
        <row r="497">
          <cell r="D497" t="str">
            <v>Total H2-3</v>
          </cell>
        </row>
        <row r="502">
          <cell r="D502" t="str">
            <v>CLASS</v>
          </cell>
        </row>
        <row r="503">
          <cell r="D503" t="str">
            <v>ED1-AERO</v>
          </cell>
        </row>
        <row r="504">
          <cell r="D504" t="str">
            <v>ED1-AE</v>
          </cell>
        </row>
        <row r="505">
          <cell r="D505" t="str">
            <v>ED1-AUTO</v>
          </cell>
        </row>
        <row r="506">
          <cell r="D506" t="str">
            <v>ED1-BME</v>
          </cell>
        </row>
        <row r="507">
          <cell r="D507" t="str">
            <v>ED1-CHE</v>
          </cell>
        </row>
        <row r="508">
          <cell r="D508" t="str">
            <v>ED1-PCE</v>
          </cell>
        </row>
        <row r="509">
          <cell r="D509" t="str">
            <v>ED1-COE</v>
          </cell>
        </row>
        <row r="510">
          <cell r="D510" t="str">
            <v>ED2-EE</v>
          </cell>
        </row>
        <row r="511">
          <cell r="D511" t="str">
            <v>ED2-TEL</v>
          </cell>
        </row>
        <row r="512">
          <cell r="D512" t="str">
            <v>ED3-MSE</v>
          </cell>
        </row>
        <row r="513">
          <cell r="D513" t="str">
            <v>ED3-METE</v>
          </cell>
        </row>
        <row r="514">
          <cell r="D514" t="str">
            <v>ED2-METE</v>
          </cell>
        </row>
        <row r="515">
          <cell r="D515" t="str">
            <v>ED2-AE</v>
          </cell>
        </row>
        <row r="516">
          <cell r="D516" t="str">
            <v>ED3-CE</v>
          </cell>
        </row>
        <row r="517">
          <cell r="D517" t="str">
            <v>ED3-GEOL</v>
          </cell>
        </row>
        <row r="518">
          <cell r="D518" t="str">
            <v>ED3-MARI</v>
          </cell>
        </row>
        <row r="519">
          <cell r="D519" t="str">
            <v>ED2-AERO</v>
          </cell>
        </row>
        <row r="520">
          <cell r="D520" t="str">
            <v>Total F2-1</v>
          </cell>
        </row>
        <row r="525">
          <cell r="D525" t="str">
            <v>CLASS</v>
          </cell>
        </row>
        <row r="526">
          <cell r="D526" t="str">
            <v>ED1-CE</v>
          </cell>
        </row>
        <row r="527">
          <cell r="D527" t="str">
            <v>ED1-EE</v>
          </cell>
        </row>
        <row r="528">
          <cell r="D528" t="str">
            <v>ED1-GEOL</v>
          </cell>
        </row>
        <row r="529">
          <cell r="D529" t="str">
            <v>ED1-METE</v>
          </cell>
        </row>
        <row r="530">
          <cell r="D530" t="str">
            <v>ED2-GEOM</v>
          </cell>
        </row>
        <row r="531">
          <cell r="D531" t="str">
            <v>ED3-EE</v>
          </cell>
        </row>
        <row r="532">
          <cell r="D532" t="str">
            <v>ED4-ME</v>
          </cell>
        </row>
        <row r="533">
          <cell r="D533" t="str">
            <v>ED3-PETE</v>
          </cell>
        </row>
        <row r="534">
          <cell r="D534" t="str">
            <v>ED4-EE</v>
          </cell>
        </row>
        <row r="535">
          <cell r="D535" t="str">
            <v>ED4-CHE</v>
          </cell>
        </row>
        <row r="536">
          <cell r="D536" t="str">
            <v>Total F2-2</v>
          </cell>
        </row>
        <row r="541">
          <cell r="D541" t="str">
            <v>CLASS</v>
          </cell>
        </row>
        <row r="542">
          <cell r="D542" t="str">
            <v>ED1-GEOM</v>
          </cell>
        </row>
        <row r="543">
          <cell r="D543" t="str">
            <v>ED1-IND</v>
          </cell>
        </row>
        <row r="544">
          <cell r="D544" t="str">
            <v>ED1-MARI</v>
          </cell>
        </row>
        <row r="545">
          <cell r="D545" t="str">
            <v>ED1-MSE</v>
          </cell>
        </row>
        <row r="546">
          <cell r="D546" t="str">
            <v>ED1-ME</v>
          </cell>
        </row>
        <row r="547">
          <cell r="D547" t="str">
            <v>ED1-PETE</v>
          </cell>
        </row>
        <row r="548">
          <cell r="D548" t="str">
            <v>ED1-TEL</v>
          </cell>
        </row>
        <row r="549">
          <cell r="D549" t="str">
            <v>ED4-AE</v>
          </cell>
        </row>
        <row r="550">
          <cell r="D550" t="str">
            <v>ED4-MSE</v>
          </cell>
        </row>
        <row r="551">
          <cell r="D551" t="str">
            <v>ED4-METE</v>
          </cell>
        </row>
        <row r="552">
          <cell r="D552" t="str">
            <v>ED4-AERO</v>
          </cell>
        </row>
        <row r="553">
          <cell r="D553" t="str">
            <v>ED2-GEOL</v>
          </cell>
        </row>
        <row r="554">
          <cell r="D554" t="str">
            <v>ED3-PCE</v>
          </cell>
        </row>
        <row r="555">
          <cell r="D555" t="str">
            <v>ED4-PETE</v>
          </cell>
        </row>
        <row r="556">
          <cell r="D556" t="str">
            <v>ED3-TEL</v>
          </cell>
        </row>
        <row r="557">
          <cell r="D557" t="str">
            <v>ED4-GEOM</v>
          </cell>
        </row>
        <row r="558">
          <cell r="D558" t="str">
            <v>ED4-GEOL</v>
          </cell>
        </row>
        <row r="559">
          <cell r="D559" t="str">
            <v>Total F2-3</v>
          </cell>
        </row>
        <row r="564">
          <cell r="D564" t="str">
            <v>CLASS</v>
          </cell>
        </row>
        <row r="565">
          <cell r="D565" t="str">
            <v>ED3-AE</v>
          </cell>
        </row>
        <row r="566">
          <cell r="D566" t="str">
            <v>ED3-AERO</v>
          </cell>
        </row>
        <row r="567">
          <cell r="D567" t="str">
            <v>ED4-EE</v>
          </cell>
        </row>
        <row r="568">
          <cell r="D568" t="str">
            <v>ED4-CE</v>
          </cell>
        </row>
        <row r="569">
          <cell r="D569" t="str">
            <v>ED2-METE</v>
          </cell>
        </row>
        <row r="570">
          <cell r="D570" t="str">
            <v>ED1-AERO</v>
          </cell>
        </row>
        <row r="571">
          <cell r="D571" t="str">
            <v>ED1-ME</v>
          </cell>
        </row>
        <row r="572">
          <cell r="D572" t="str">
            <v>ED1-IND</v>
          </cell>
        </row>
        <row r="573">
          <cell r="D573" t="str">
            <v>ED1-MARI</v>
          </cell>
        </row>
        <row r="574">
          <cell r="D574" t="str">
            <v>ED3-ME</v>
          </cell>
        </row>
        <row r="575">
          <cell r="D575" t="str">
            <v>ED3-BME</v>
          </cell>
        </row>
        <row r="576">
          <cell r="D576" t="str">
            <v>ED3-COE</v>
          </cell>
        </row>
        <row r="577">
          <cell r="D577" t="str">
            <v>Total M3-1</v>
          </cell>
        </row>
        <row r="582">
          <cell r="D582" t="str">
            <v>CLASS</v>
          </cell>
        </row>
        <row r="583">
          <cell r="D583" t="str">
            <v>ED2-CHE</v>
          </cell>
        </row>
        <row r="584">
          <cell r="D584" t="str">
            <v>ED2-PCE</v>
          </cell>
        </row>
        <row r="585">
          <cell r="D585" t="str">
            <v>ED4-PCE</v>
          </cell>
        </row>
        <row r="586">
          <cell r="D586" t="str">
            <v>ED3-MSE</v>
          </cell>
        </row>
        <row r="587">
          <cell r="D587" t="str">
            <v>ED1-METE</v>
          </cell>
        </row>
        <row r="588">
          <cell r="D588" t="str">
            <v>ED3-METE</v>
          </cell>
        </row>
        <row r="589">
          <cell r="D589" t="str">
            <v>ED1-MSE</v>
          </cell>
        </row>
        <row r="590">
          <cell r="D590" t="str">
            <v>ED2-PETE</v>
          </cell>
        </row>
        <row r="591">
          <cell r="D591" t="str">
            <v>ED1-EE</v>
          </cell>
        </row>
        <row r="592">
          <cell r="D592" t="str">
            <v>ED2-CE</v>
          </cell>
        </row>
        <row r="593">
          <cell r="D593" t="str">
            <v>ED2-GEOL</v>
          </cell>
        </row>
        <row r="594">
          <cell r="D594" t="str">
            <v>ED2-AE</v>
          </cell>
        </row>
        <row r="595">
          <cell r="D595" t="str">
            <v>Total M3-2</v>
          </cell>
        </row>
        <row r="600">
          <cell r="D600" t="str">
            <v>CLASS</v>
          </cell>
        </row>
        <row r="601">
          <cell r="D601" t="str">
            <v>ED2-EE</v>
          </cell>
        </row>
        <row r="602">
          <cell r="D602" t="str">
            <v>ED3-GEOM</v>
          </cell>
        </row>
        <row r="603">
          <cell r="D603" t="str">
            <v>ED1-CE</v>
          </cell>
        </row>
        <row r="604">
          <cell r="D604" t="str">
            <v>ED1-GEOL</v>
          </cell>
        </row>
        <row r="605">
          <cell r="D605" t="str">
            <v>ED2-BME</v>
          </cell>
        </row>
        <row r="606">
          <cell r="D606" t="str">
            <v>ED2-COE</v>
          </cell>
        </row>
        <row r="607">
          <cell r="D607" t="str">
            <v>ED2-TEL</v>
          </cell>
        </row>
        <row r="608">
          <cell r="D608" t="str">
            <v>ED3-CHE</v>
          </cell>
        </row>
        <row r="609">
          <cell r="D609" t="str">
            <v>ED3-IND</v>
          </cell>
        </row>
        <row r="610">
          <cell r="D610" t="str">
            <v>ED2-MSE</v>
          </cell>
        </row>
        <row r="611">
          <cell r="D611" t="str">
            <v>ED4-AERO</v>
          </cell>
        </row>
        <row r="612">
          <cell r="D612" t="str">
            <v>ED4-ME</v>
          </cell>
        </row>
        <row r="613">
          <cell r="D613" t="str">
            <v>ED2-ME</v>
          </cell>
        </row>
        <row r="614">
          <cell r="D614" t="str">
            <v>ED4-IND</v>
          </cell>
        </row>
        <row r="615">
          <cell r="D615" t="str">
            <v>ED4-GEOL</v>
          </cell>
        </row>
        <row r="616">
          <cell r="D616" t="str">
            <v>ED1-AE</v>
          </cell>
        </row>
        <row r="617">
          <cell r="D617" t="str">
            <v>ED4-CHE</v>
          </cell>
        </row>
        <row r="618">
          <cell r="D618" t="str">
            <v>ED3-MARI</v>
          </cell>
        </row>
        <row r="619">
          <cell r="D619" t="str">
            <v>ED3-PETE</v>
          </cell>
        </row>
        <row r="620">
          <cell r="D620" t="str">
            <v>ED3-CE</v>
          </cell>
        </row>
        <row r="621">
          <cell r="D621" t="str">
            <v>Total M3-3</v>
          </cell>
        </row>
        <row r="626">
          <cell r="D626" t="str">
            <v>CLASS</v>
          </cell>
        </row>
        <row r="627">
          <cell r="D627" t="str">
            <v>ED1-GEOL</v>
          </cell>
        </row>
        <row r="628">
          <cell r="D628" t="str">
            <v>ED2-BME</v>
          </cell>
        </row>
        <row r="629">
          <cell r="D629" t="str">
            <v>ED2-COE</v>
          </cell>
        </row>
        <row r="630">
          <cell r="D630" t="str">
            <v>ED2-TEL</v>
          </cell>
        </row>
        <row r="631">
          <cell r="D631" t="str">
            <v>ED3-GEOM</v>
          </cell>
        </row>
        <row r="632">
          <cell r="D632" t="str">
            <v>ED1-EE</v>
          </cell>
        </row>
        <row r="633">
          <cell r="D633" t="str">
            <v>ED1-BME</v>
          </cell>
        </row>
        <row r="634">
          <cell r="D634" t="str">
            <v>ED1-GEOM</v>
          </cell>
        </row>
        <row r="635">
          <cell r="D635" t="str">
            <v>ED4-MARI</v>
          </cell>
        </row>
        <row r="636">
          <cell r="D636" t="str">
            <v>ED2-IND</v>
          </cell>
        </row>
        <row r="637">
          <cell r="D637" t="str">
            <v>ED2-ME</v>
          </cell>
        </row>
        <row r="638">
          <cell r="D638" t="str">
            <v>ED1-AUTO</v>
          </cell>
        </row>
        <row r="639">
          <cell r="D639" t="str">
            <v>ED2-AERO</v>
          </cell>
        </row>
        <row r="640">
          <cell r="D640" t="str">
            <v>ED4-PETE</v>
          </cell>
        </row>
        <row r="641">
          <cell r="D641" t="str">
            <v>ED1-CHE</v>
          </cell>
        </row>
        <row r="642">
          <cell r="D642" t="str">
            <v>Total T3-1</v>
          </cell>
        </row>
        <row r="647">
          <cell r="D647" t="str">
            <v>CLASS</v>
          </cell>
        </row>
        <row r="648">
          <cell r="D648" t="str">
            <v>ED2-EE</v>
          </cell>
        </row>
        <row r="649">
          <cell r="D649" t="str">
            <v>ED4-AERO</v>
          </cell>
        </row>
        <row r="650">
          <cell r="D650" t="str">
            <v>ED4-TEL</v>
          </cell>
        </row>
        <row r="651">
          <cell r="D651" t="str">
            <v>ED4-EE</v>
          </cell>
        </row>
        <row r="652">
          <cell r="D652" t="str">
            <v>ED4-COE</v>
          </cell>
        </row>
        <row r="653">
          <cell r="D653" t="str">
            <v>ED3-IND</v>
          </cell>
        </row>
        <row r="654">
          <cell r="D654" t="str">
            <v>ED4-METE</v>
          </cell>
        </row>
        <row r="655">
          <cell r="D655" t="str">
            <v>ED3-AUTO</v>
          </cell>
        </row>
        <row r="656">
          <cell r="D656" t="str">
            <v>ED4-ME</v>
          </cell>
        </row>
        <row r="657">
          <cell r="D657" t="str">
            <v>ED4-CHE</v>
          </cell>
        </row>
        <row r="658">
          <cell r="D658" t="str">
            <v>ED3-COE</v>
          </cell>
        </row>
        <row r="659">
          <cell r="D659" t="str">
            <v>Total T3-2</v>
          </cell>
        </row>
        <row r="664">
          <cell r="D664" t="str">
            <v>CLASS</v>
          </cell>
        </row>
        <row r="665">
          <cell r="D665" t="str">
            <v>ED4-IND</v>
          </cell>
        </row>
        <row r="666">
          <cell r="D666" t="str">
            <v>ED2-GEOM</v>
          </cell>
        </row>
        <row r="667">
          <cell r="D667" t="str">
            <v>ED1-METE</v>
          </cell>
        </row>
        <row r="668">
          <cell r="D668" t="str">
            <v>ED1-PCE</v>
          </cell>
        </row>
        <row r="669">
          <cell r="D669" t="str">
            <v>ED1-PETE</v>
          </cell>
        </row>
        <row r="670">
          <cell r="D670" t="str">
            <v>ED1-MSE</v>
          </cell>
        </row>
        <row r="671">
          <cell r="D671" t="str">
            <v>ED1-AE</v>
          </cell>
        </row>
        <row r="672">
          <cell r="D672" t="str">
            <v>ED3-PCE</v>
          </cell>
        </row>
        <row r="673">
          <cell r="D673" t="str">
            <v>ED4-AE</v>
          </cell>
        </row>
        <row r="674">
          <cell r="D674" t="str">
            <v>ED2-MARI</v>
          </cell>
        </row>
        <row r="675">
          <cell r="D675" t="str">
            <v>ED1-TEL</v>
          </cell>
        </row>
        <row r="676">
          <cell r="D676" t="str">
            <v>ED4-CE</v>
          </cell>
        </row>
        <row r="677">
          <cell r="D677" t="str">
            <v>ED3-PETE</v>
          </cell>
        </row>
        <row r="678">
          <cell r="D678" t="str">
            <v>ED3-EE</v>
          </cell>
        </row>
        <row r="679">
          <cell r="D679" t="str">
            <v>ED3-TEL</v>
          </cell>
        </row>
        <row r="680">
          <cell r="D680" t="str">
            <v>Total T3-3</v>
          </cell>
        </row>
        <row r="685">
          <cell r="D685" t="str">
            <v>CLASS</v>
          </cell>
        </row>
        <row r="686">
          <cell r="D686" t="str">
            <v>ED4-IND</v>
          </cell>
        </row>
        <row r="687">
          <cell r="D687" t="str">
            <v>ED3-GEOM</v>
          </cell>
        </row>
        <row r="688">
          <cell r="D688" t="str">
            <v>ED3-CE</v>
          </cell>
        </row>
        <row r="689">
          <cell r="D689" t="str">
            <v>ED4-AERO</v>
          </cell>
        </row>
        <row r="690">
          <cell r="D690" t="str">
            <v>ED4-AUTO</v>
          </cell>
        </row>
        <row r="691">
          <cell r="D691" t="str">
            <v>ED4-ME</v>
          </cell>
        </row>
        <row r="692">
          <cell r="D692" t="str">
            <v>ED2-CHE</v>
          </cell>
        </row>
        <row r="693">
          <cell r="D693" t="str">
            <v>ED2-PCE</v>
          </cell>
        </row>
        <row r="694">
          <cell r="D694" t="str">
            <v>ED2-PETE</v>
          </cell>
        </row>
        <row r="695">
          <cell r="D695" t="str">
            <v>ED3-ME</v>
          </cell>
        </row>
        <row r="696">
          <cell r="D696" t="str">
            <v>Total W3-1</v>
          </cell>
        </row>
        <row r="701">
          <cell r="D701" t="str">
            <v>CLASS</v>
          </cell>
        </row>
        <row r="702">
          <cell r="D702" t="str">
            <v>ED3-MSE</v>
          </cell>
        </row>
        <row r="703">
          <cell r="D703" t="str">
            <v>ED3-METE</v>
          </cell>
        </row>
        <row r="704">
          <cell r="D704" t="str">
            <v>ED2-COE</v>
          </cell>
        </row>
        <row r="705">
          <cell r="D705" t="str">
            <v>ED3-AERO</v>
          </cell>
        </row>
        <row r="706">
          <cell r="D706" t="str">
            <v>ED2-METE</v>
          </cell>
        </row>
        <row r="707">
          <cell r="D707" t="str">
            <v>ED4-GEOL</v>
          </cell>
        </row>
        <row r="708">
          <cell r="D708" t="str">
            <v>ED2-GEOM</v>
          </cell>
        </row>
        <row r="709">
          <cell r="D709" t="str">
            <v>ED4-BME</v>
          </cell>
        </row>
        <row r="710">
          <cell r="D710" t="str">
            <v>ED2-BME</v>
          </cell>
        </row>
        <row r="711">
          <cell r="D711" t="str">
            <v>ED2-AERO</v>
          </cell>
        </row>
        <row r="712">
          <cell r="D712" t="str">
            <v>ED3-BME</v>
          </cell>
        </row>
        <row r="713">
          <cell r="D713" t="str">
            <v>ED2-CE</v>
          </cell>
        </row>
        <row r="714">
          <cell r="D714" t="str">
            <v>ED4-CE</v>
          </cell>
        </row>
        <row r="715">
          <cell r="D715" t="str">
            <v>ED3-GEOL</v>
          </cell>
        </row>
        <row r="716">
          <cell r="D716" t="str">
            <v>Total W3-2</v>
          </cell>
        </row>
        <row r="721">
          <cell r="D721" t="str">
            <v>CLASS</v>
          </cell>
        </row>
        <row r="722">
          <cell r="D722" t="str">
            <v>ED3-EE</v>
          </cell>
        </row>
        <row r="723">
          <cell r="D723" t="str">
            <v>ED1-GEOL</v>
          </cell>
        </row>
        <row r="724">
          <cell r="D724" t="str">
            <v>ED1-GEOM</v>
          </cell>
        </row>
        <row r="725">
          <cell r="D725" t="str">
            <v>ED1-AE</v>
          </cell>
        </row>
        <row r="726">
          <cell r="D726" t="str">
            <v>ED1-IND</v>
          </cell>
        </row>
        <row r="727">
          <cell r="D727" t="str">
            <v>ED1-MARI</v>
          </cell>
        </row>
        <row r="728">
          <cell r="D728" t="str">
            <v>ED1-EE</v>
          </cell>
        </row>
        <row r="729">
          <cell r="D729" t="str">
            <v>ED1-AUTO</v>
          </cell>
        </row>
        <row r="730">
          <cell r="D730" t="str">
            <v>ED1-ME</v>
          </cell>
        </row>
        <row r="731">
          <cell r="D731" t="str">
            <v>ED1-MSE</v>
          </cell>
        </row>
        <row r="732">
          <cell r="D732" t="str">
            <v>ED1-CE</v>
          </cell>
        </row>
        <row r="733">
          <cell r="D733" t="str">
            <v>ED1-BME</v>
          </cell>
        </row>
        <row r="734">
          <cell r="D734" t="str">
            <v>ED1-CHE</v>
          </cell>
        </row>
        <row r="735">
          <cell r="D735" t="str">
            <v>ED1-PCE</v>
          </cell>
        </row>
        <row r="736">
          <cell r="D736" t="str">
            <v>ED1-PETE</v>
          </cell>
        </row>
        <row r="737">
          <cell r="D737" t="str">
            <v>ED1-AERO</v>
          </cell>
        </row>
        <row r="738">
          <cell r="D738" t="str">
            <v>Total W3-3</v>
          </cell>
        </row>
        <row r="743">
          <cell r="D743" t="str">
            <v>CLASS</v>
          </cell>
        </row>
        <row r="744">
          <cell r="D744" t="str">
            <v>ED4-AERO</v>
          </cell>
        </row>
        <row r="745">
          <cell r="D745" t="str">
            <v>ED4-ME</v>
          </cell>
        </row>
        <row r="746">
          <cell r="D746" t="str">
            <v>ED4-IND</v>
          </cell>
        </row>
        <row r="747">
          <cell r="D747" t="str">
            <v>ED4-TEL</v>
          </cell>
        </row>
        <row r="748">
          <cell r="D748" t="str">
            <v>ED4-AE</v>
          </cell>
        </row>
        <row r="749">
          <cell r="D749" t="str">
            <v>ED4-PETE</v>
          </cell>
        </row>
        <row r="750">
          <cell r="D750" t="str">
            <v>ED4-GEOL</v>
          </cell>
        </row>
        <row r="751">
          <cell r="D751" t="str">
            <v>ED3-COE</v>
          </cell>
        </row>
        <row r="752">
          <cell r="D752" t="str">
            <v>ED4-MSE</v>
          </cell>
        </row>
        <row r="753">
          <cell r="D753" t="str">
            <v>ED4-METE</v>
          </cell>
        </row>
        <row r="754">
          <cell r="D754" t="str">
            <v>ED3-EE</v>
          </cell>
        </row>
        <row r="755">
          <cell r="D755" t="str">
            <v>ED4-MARI</v>
          </cell>
        </row>
        <row r="756">
          <cell r="D756" t="str">
            <v>ED3-MARI</v>
          </cell>
        </row>
        <row r="757">
          <cell r="D757" t="str">
            <v>ED3-AE</v>
          </cell>
        </row>
        <row r="758">
          <cell r="D758" t="str">
            <v>ED1-TEL</v>
          </cell>
        </row>
        <row r="759">
          <cell r="D759" t="str">
            <v>ED1-COE</v>
          </cell>
        </row>
        <row r="760">
          <cell r="D760" t="str">
            <v>Total H3-1</v>
          </cell>
        </row>
        <row r="766">
          <cell r="D766" t="str">
            <v>ED2-AE</v>
          </cell>
        </row>
        <row r="767">
          <cell r="D767" t="str">
            <v>ED3-ME</v>
          </cell>
        </row>
        <row r="768">
          <cell r="D768" t="str">
            <v>ED2-GEOL</v>
          </cell>
        </row>
        <row r="769">
          <cell r="D769" t="str">
            <v>ED2-IND</v>
          </cell>
        </row>
        <row r="770">
          <cell r="D770" t="str">
            <v>ED2-MARI</v>
          </cell>
        </row>
        <row r="771">
          <cell r="D771" t="str">
            <v>ED2-ME</v>
          </cell>
        </row>
        <row r="772">
          <cell r="D772" t="str">
            <v>ED2-AUTO</v>
          </cell>
        </row>
        <row r="773">
          <cell r="D773" t="str">
            <v>ED2-PETE</v>
          </cell>
        </row>
        <row r="774">
          <cell r="D774" t="str">
            <v>ED3-CE</v>
          </cell>
        </row>
        <row r="775">
          <cell r="D775" t="str">
            <v>Total H3-2</v>
          </cell>
        </row>
        <row r="781">
          <cell r="D781" t="str">
            <v>ED3-GEOL</v>
          </cell>
        </row>
        <row r="782">
          <cell r="D782" t="str">
            <v>ED4-CE</v>
          </cell>
        </row>
        <row r="783">
          <cell r="D783" t="str">
            <v>ED1-CE</v>
          </cell>
        </row>
        <row r="784">
          <cell r="D784" t="str">
            <v>ED1-METE</v>
          </cell>
        </row>
        <row r="785">
          <cell r="D785" t="str">
            <v>ED2-MSE</v>
          </cell>
        </row>
        <row r="786">
          <cell r="D786" t="str">
            <v>ED2-EE</v>
          </cell>
        </row>
        <row r="787">
          <cell r="D787" t="str">
            <v>ED3-CHE</v>
          </cell>
        </row>
        <row r="788">
          <cell r="D788" t="str">
            <v>ED3-PCE</v>
          </cell>
        </row>
        <row r="789">
          <cell r="D789" t="str">
            <v>ED3-AUTO</v>
          </cell>
        </row>
        <row r="790">
          <cell r="D790" t="str">
            <v>ED4-EE</v>
          </cell>
        </row>
        <row r="791">
          <cell r="D791" t="str">
            <v>ED4-COE</v>
          </cell>
        </row>
        <row r="792">
          <cell r="D792" t="str">
            <v>ED4-GEOM</v>
          </cell>
        </row>
        <row r="793">
          <cell r="D793" t="str">
            <v>ED1-GEOM</v>
          </cell>
        </row>
        <row r="794">
          <cell r="D794" t="str">
            <v>ED3-GEOM</v>
          </cell>
        </row>
        <row r="795">
          <cell r="D795" t="str">
            <v>Total H3-3</v>
          </cell>
        </row>
        <row r="801">
          <cell r="D801" t="str">
            <v>ED3-EE</v>
          </cell>
        </row>
        <row r="802">
          <cell r="D802" t="str">
            <v>ED3-TEL</v>
          </cell>
        </row>
        <row r="803">
          <cell r="D803" t="str">
            <v>ED3-ME</v>
          </cell>
        </row>
        <row r="804">
          <cell r="D804" t="str">
            <v>ED3-AERO</v>
          </cell>
        </row>
        <row r="805">
          <cell r="D805" t="str">
            <v>ED3-AE</v>
          </cell>
        </row>
        <row r="806">
          <cell r="D806" t="str">
            <v>ED3-MARI</v>
          </cell>
        </row>
        <row r="807">
          <cell r="D807" t="str">
            <v>ED2-TEL</v>
          </cell>
        </row>
        <row r="808">
          <cell r="D808" t="str">
            <v>ED2-MARI</v>
          </cell>
        </row>
        <row r="809">
          <cell r="D809" t="str">
            <v>ED2-ME</v>
          </cell>
        </row>
        <row r="810">
          <cell r="D810" t="str">
            <v>ED2-AERO</v>
          </cell>
        </row>
        <row r="811">
          <cell r="D811" t="str">
            <v>ED2-IND</v>
          </cell>
        </row>
        <row r="812">
          <cell r="D812" t="str">
            <v>ED2-AUTO</v>
          </cell>
        </row>
        <row r="813">
          <cell r="D813" t="str">
            <v>ED4-AERO</v>
          </cell>
        </row>
        <row r="814">
          <cell r="D814" t="str">
            <v>ED4-ME</v>
          </cell>
        </row>
        <row r="815">
          <cell r="D815" t="str">
            <v>ED2-CHE</v>
          </cell>
        </row>
        <row r="816">
          <cell r="D816" t="str">
            <v>ED2-PCE</v>
          </cell>
        </row>
        <row r="817">
          <cell r="D817" t="str">
            <v>Total F3-1</v>
          </cell>
        </row>
        <row r="823">
          <cell r="D823" t="str">
            <v>ED1-AUTO</v>
          </cell>
        </row>
        <row r="824">
          <cell r="D824" t="str">
            <v>ED1-GEOM</v>
          </cell>
        </row>
        <row r="825">
          <cell r="D825" t="str">
            <v>ED1-CHE</v>
          </cell>
        </row>
        <row r="826">
          <cell r="D826" t="str">
            <v>ED1-PCE</v>
          </cell>
        </row>
        <row r="827">
          <cell r="D827" t="str">
            <v>ED1-AERO</v>
          </cell>
        </row>
        <row r="828">
          <cell r="D828" t="str">
            <v>ED1-IND</v>
          </cell>
        </row>
        <row r="829">
          <cell r="D829" t="str">
            <v>ED1-MARI</v>
          </cell>
        </row>
        <row r="830">
          <cell r="D830" t="str">
            <v>ED1-CE</v>
          </cell>
        </row>
        <row r="831">
          <cell r="D831" t="str">
            <v>ED1-COE</v>
          </cell>
        </row>
        <row r="832">
          <cell r="D832" t="str">
            <v>ED2-COE</v>
          </cell>
        </row>
        <row r="833">
          <cell r="D833" t="str">
            <v>ED3-CE</v>
          </cell>
        </row>
        <row r="834">
          <cell r="D834" t="str">
            <v>ED3-MSE</v>
          </cell>
        </row>
        <row r="835">
          <cell r="D835" t="str">
            <v>ED3-METE</v>
          </cell>
        </row>
        <row r="836">
          <cell r="D836" t="str">
            <v>Total F3-2</v>
          </cell>
        </row>
        <row r="842">
          <cell r="D842" t="str">
            <v>ED1-EE</v>
          </cell>
        </row>
        <row r="843">
          <cell r="D843" t="str">
            <v>ED1-TEL</v>
          </cell>
        </row>
        <row r="844">
          <cell r="D844" t="str">
            <v>ED1-METE</v>
          </cell>
        </row>
        <row r="845">
          <cell r="D845" t="str">
            <v>ED1-MSE</v>
          </cell>
        </row>
        <row r="846">
          <cell r="D846" t="str">
            <v>ED1-ME</v>
          </cell>
        </row>
        <row r="847">
          <cell r="D847" t="str">
            <v>ED1-AE</v>
          </cell>
        </row>
        <row r="848">
          <cell r="D848" t="str">
            <v>ED1-BME</v>
          </cell>
        </row>
        <row r="849">
          <cell r="D849" t="str">
            <v>ED1-PETE</v>
          </cell>
        </row>
        <row r="850">
          <cell r="D850" t="str">
            <v>ED1-GEOL</v>
          </cell>
        </row>
        <row r="851">
          <cell r="D851" t="str">
            <v>ED2-GEOL</v>
          </cell>
        </row>
        <row r="852">
          <cell r="D852" t="str">
            <v>ED2-CE</v>
          </cell>
        </row>
        <row r="853">
          <cell r="D853" t="str">
            <v>ED4-COE</v>
          </cell>
        </row>
        <row r="854">
          <cell r="D854" t="str">
            <v>ED3-PETE</v>
          </cell>
        </row>
        <row r="855">
          <cell r="D855" t="str">
            <v>ED4-PETE</v>
          </cell>
        </row>
        <row r="856">
          <cell r="D856" t="str">
            <v>ED4-MARI</v>
          </cell>
        </row>
        <row r="857">
          <cell r="D857" t="str">
            <v>ED3-CHE</v>
          </cell>
        </row>
        <row r="858">
          <cell r="D858" t="str">
            <v>Total F3-3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ed Data"/>
      <sheetName val="Combined Data (2)"/>
      <sheetName val="ROOMS"/>
      <sheetName val="FREQ"/>
      <sheetName val="TALLY"/>
    </sheetNames>
    <sheetDataSet>
      <sheetData sheetId="0">
        <row r="1">
          <cell r="E1" t="str">
            <v>Course Name</v>
          </cell>
          <cell r="F1"/>
          <cell r="G1" t="str">
            <v>No. of Students</v>
          </cell>
          <cell r="H1" t="str">
            <v>Credits</v>
          </cell>
        </row>
        <row r="2">
          <cell r="D2" t="str">
            <v>GED 368,ED3-GEOL</v>
          </cell>
          <cell r="E2" t="str">
            <v>GIS Applications</v>
          </cell>
          <cell r="F2" t="str">
            <v>Appiah-Adjei Emmanuel Kwame</v>
          </cell>
          <cell r="G2">
            <v>194</v>
          </cell>
          <cell r="H2">
            <v>2</v>
          </cell>
        </row>
        <row r="3">
          <cell r="D3" t="str">
            <v>EE 152,ED1-AE</v>
          </cell>
          <cell r="E3" t="str">
            <v>Basic Electronics</v>
          </cell>
          <cell r="F3" t="str">
            <v>Twumasi Elvis</v>
          </cell>
          <cell r="G3">
            <v>125</v>
          </cell>
          <cell r="H3">
            <v>3</v>
          </cell>
        </row>
        <row r="4">
          <cell r="D4" t="str">
            <v>ENGL 158,ED1-AE</v>
          </cell>
          <cell r="E4" t="str">
            <v>Communication Skills II</v>
          </cell>
          <cell r="F4" t="str">
            <v>Appiah Franklin Benjamin</v>
          </cell>
          <cell r="G4">
            <v>125</v>
          </cell>
          <cell r="H4">
            <v>2</v>
          </cell>
        </row>
        <row r="5">
          <cell r="D5" t="str">
            <v>MATH 152,ED1-AE</v>
          </cell>
          <cell r="E5" t="str">
            <v>Calculus with Analysis</v>
          </cell>
          <cell r="F5" t="str">
            <v>Kwabi Prince Amponsah</v>
          </cell>
          <cell r="G5">
            <v>125</v>
          </cell>
          <cell r="H5">
            <v>4</v>
          </cell>
        </row>
        <row r="6">
          <cell r="D6" t="str">
            <v>ME 162,ED1-AE</v>
          </cell>
          <cell r="E6" t="str">
            <v>Basic Mechanics</v>
          </cell>
          <cell r="F6" t="str">
            <v>Adam Faisal Wahib</v>
          </cell>
          <cell r="G6">
            <v>125</v>
          </cell>
          <cell r="H6">
            <v>3</v>
          </cell>
        </row>
        <row r="7">
          <cell r="D7" t="str">
            <v>AE 162,ED1-AE</v>
          </cell>
          <cell r="E7" t="str">
            <v>Basic Agriculture</v>
          </cell>
          <cell r="F7" t="str">
            <v>Bessah Enoch</v>
          </cell>
          <cell r="G7">
            <v>125</v>
          </cell>
          <cell r="H7">
            <v>2</v>
          </cell>
        </row>
        <row r="8">
          <cell r="D8" t="str">
            <v>ME 160,ED1-AE</v>
          </cell>
          <cell r="E8" t="str">
            <v>Engineering Drawing</v>
          </cell>
          <cell r="F8" t="str">
            <v>Aveyire Joseph</v>
          </cell>
          <cell r="G8">
            <v>125</v>
          </cell>
          <cell r="H8">
            <v>3</v>
          </cell>
        </row>
        <row r="9">
          <cell r="D9" t="str">
            <v>AE 196,ED1-AE</v>
          </cell>
          <cell r="E9" t="str">
            <v>Engineering Workshop Practice</v>
          </cell>
          <cell r="F9" t="str">
            <v>Asante Eric Amoah</v>
          </cell>
          <cell r="G9">
            <v>125</v>
          </cell>
          <cell r="H9">
            <v>1</v>
          </cell>
        </row>
        <row r="10">
          <cell r="D10" t="str">
            <v>AE 158,ED1-AE</v>
          </cell>
          <cell r="E10" t="str">
            <v>Introduction to Information Technology</v>
          </cell>
          <cell r="F10" t="str">
            <v>Bessah Enoch</v>
          </cell>
          <cell r="G10">
            <v>125</v>
          </cell>
          <cell r="H10">
            <v>2</v>
          </cell>
        </row>
        <row r="11">
          <cell r="D11" t="str">
            <v>ENGL 264,ED2-AE</v>
          </cell>
          <cell r="E11" t="str">
            <v>Literature in English II</v>
          </cell>
          <cell r="F11" t="str">
            <v>Poghyaar-Kuutiero Julius</v>
          </cell>
          <cell r="G11">
            <v>144</v>
          </cell>
          <cell r="H11">
            <v>1</v>
          </cell>
        </row>
        <row r="12">
          <cell r="D12" t="str">
            <v>MATH 252,ED2-AE</v>
          </cell>
          <cell r="E12" t="str">
            <v>Calculus with Several Variables</v>
          </cell>
          <cell r="F12" t="str">
            <v>Asamoah Joshua Kiddy Kwasi</v>
          </cell>
          <cell r="G12">
            <v>144</v>
          </cell>
          <cell r="H12">
            <v>4</v>
          </cell>
        </row>
        <row r="13">
          <cell r="D13" t="str">
            <v>EE 252,ED2-AE</v>
          </cell>
          <cell r="E13" t="str">
            <v>Electrical Engineering Machines</v>
          </cell>
          <cell r="F13" t="str">
            <v>Emmanuel Oboubi Addo</v>
          </cell>
          <cell r="G13">
            <v>144</v>
          </cell>
          <cell r="H13">
            <v>3</v>
          </cell>
        </row>
        <row r="14">
          <cell r="D14" t="str">
            <v>ME 282,ED2-AE</v>
          </cell>
          <cell r="E14" t="str">
            <v>Mechanical Engineering Materials II</v>
          </cell>
          <cell r="F14" t="str">
            <v>Agyemang Frank Ofori</v>
          </cell>
          <cell r="G14">
            <v>144</v>
          </cell>
          <cell r="H14">
            <v>3</v>
          </cell>
        </row>
        <row r="15">
          <cell r="D15" t="str">
            <v>GE 286,ED2-AE</v>
          </cell>
          <cell r="E15" t="str">
            <v>Principles of Surveying</v>
          </cell>
          <cell r="F15" t="str">
            <v>Akrofi Emmanuel Offei</v>
          </cell>
          <cell r="G15">
            <v>144</v>
          </cell>
          <cell r="H15">
            <v>4</v>
          </cell>
        </row>
        <row r="16">
          <cell r="D16" t="str">
            <v>ME 262,ED2-AE</v>
          </cell>
          <cell r="E16" t="str">
            <v>Theory of Machines</v>
          </cell>
          <cell r="F16" t="str">
            <v>Adam Faisal Wahib</v>
          </cell>
          <cell r="G16">
            <v>144</v>
          </cell>
          <cell r="H16">
            <v>3</v>
          </cell>
        </row>
        <row r="17">
          <cell r="D17" t="str">
            <v>ME 296,ED2-AE</v>
          </cell>
          <cell r="E17" t="str">
            <v>Mechanical Engineering Lab. II</v>
          </cell>
          <cell r="F17" t="str">
            <v>Boahen Samuel</v>
          </cell>
          <cell r="G17">
            <v>144</v>
          </cell>
          <cell r="H17">
            <v>1</v>
          </cell>
        </row>
        <row r="18">
          <cell r="D18" t="str">
            <v>AE 356,ED3-AE</v>
          </cell>
          <cell r="E18" t="str">
            <v>Farm Power and Machinery</v>
          </cell>
          <cell r="F18" t="str">
            <v>Aikins Stephen Hill Mends</v>
          </cell>
          <cell r="G18">
            <v>167</v>
          </cell>
          <cell r="H18">
            <v>3</v>
          </cell>
        </row>
        <row r="19">
          <cell r="D19" t="str">
            <v>ME 366,ED3-AE</v>
          </cell>
          <cell r="E19" t="str">
            <v>Heat Transfer</v>
          </cell>
          <cell r="F19" t="str">
            <v>Opoku Richard</v>
          </cell>
          <cell r="G19">
            <v>167</v>
          </cell>
          <cell r="H19">
            <v>3</v>
          </cell>
        </row>
        <row r="20">
          <cell r="D20" t="str">
            <v>ME 376,ED3-AE</v>
          </cell>
          <cell r="E20" t="str">
            <v>Introduction to CAD/CAM</v>
          </cell>
          <cell r="F20" t="str">
            <v>Afriyie Nyarko Frank Kwabena</v>
          </cell>
          <cell r="G20">
            <v>167</v>
          </cell>
          <cell r="H20">
            <v>3</v>
          </cell>
        </row>
        <row r="21">
          <cell r="D21" t="str">
            <v>ME 374,ED3-AE</v>
          </cell>
          <cell r="E21" t="str">
            <v>Machine Design II</v>
          </cell>
          <cell r="F21" t="str">
            <v>Afriyie Nyarko Frank Kwabena</v>
          </cell>
          <cell r="G21">
            <v>167</v>
          </cell>
          <cell r="H21">
            <v>3</v>
          </cell>
        </row>
        <row r="22">
          <cell r="D22" t="str">
            <v>AE 358,ED3-AE</v>
          </cell>
          <cell r="E22" t="str">
            <v>Renewable Energy Systems and Management</v>
          </cell>
          <cell r="F22" t="str">
            <v>Kemausuor Francis</v>
          </cell>
          <cell r="G22">
            <v>167</v>
          </cell>
          <cell r="H22">
            <v>3</v>
          </cell>
        </row>
        <row r="23">
          <cell r="D23" t="str">
            <v>AE 362,ED3-AE</v>
          </cell>
          <cell r="E23" t="str">
            <v>Research Methods for Engineers</v>
          </cell>
          <cell r="F23" t="str">
            <v>Amponsah William</v>
          </cell>
          <cell r="G23">
            <v>167</v>
          </cell>
          <cell r="H23">
            <v>2</v>
          </cell>
        </row>
        <row r="24">
          <cell r="D24" t="str">
            <v>AE 360,ED3-AE</v>
          </cell>
          <cell r="E24" t="str">
            <v>Rural Engineering</v>
          </cell>
          <cell r="F24" t="str">
            <v>Mensah Ebenezer</v>
          </cell>
          <cell r="G24">
            <v>167</v>
          </cell>
          <cell r="H24">
            <v>2</v>
          </cell>
        </row>
        <row r="25">
          <cell r="D25" t="str">
            <v>AE 352,ED3-AE</v>
          </cell>
          <cell r="E25" t="str">
            <v>Soil Mechanics Application to Mechanisation</v>
          </cell>
          <cell r="F25" t="str">
            <v>Agodzo Sampson Kwaku</v>
          </cell>
          <cell r="G25">
            <v>167</v>
          </cell>
          <cell r="H25">
            <v>2</v>
          </cell>
        </row>
        <row r="26">
          <cell r="D26" t="str">
            <v>AE 458,ED4-AE</v>
          </cell>
          <cell r="E26" t="str">
            <v>Crop Losses and Their Control</v>
          </cell>
          <cell r="F26" t="str">
            <v xml:space="preserve">Darko Joseph Ofei </v>
          </cell>
          <cell r="G26">
            <v>98</v>
          </cell>
          <cell r="H26">
            <v>2</v>
          </cell>
        </row>
        <row r="27">
          <cell r="D27" t="str">
            <v>AE 464,ED4-AE</v>
          </cell>
          <cell r="E27" t="str">
            <v>Crop Storage and Storage Structures</v>
          </cell>
          <cell r="F27" t="str">
            <v>Bart Plange Ato</v>
          </cell>
          <cell r="G27">
            <v>98</v>
          </cell>
          <cell r="H27">
            <v>3</v>
          </cell>
        </row>
        <row r="28">
          <cell r="D28" t="str">
            <v>AE 482,ED4-AE</v>
          </cell>
          <cell r="E28" t="str">
            <v>Farm Machinery Design</v>
          </cell>
          <cell r="F28" t="str">
            <v>Aveyire Joseph</v>
          </cell>
          <cell r="G28">
            <v>98</v>
          </cell>
          <cell r="H28">
            <v>2</v>
          </cell>
        </row>
        <row r="29">
          <cell r="D29" t="str">
            <v>AE 460,ED4-AE</v>
          </cell>
          <cell r="E29" t="str">
            <v>Maintenance and Repairs of Agriculture Machinery</v>
          </cell>
          <cell r="F29" t="str">
            <v>Bobobee Emmanuel Yaovi Hunnuor</v>
          </cell>
          <cell r="G29">
            <v>98</v>
          </cell>
          <cell r="H29">
            <v>2</v>
          </cell>
        </row>
        <row r="30">
          <cell r="D30" t="str">
            <v>AE 452,ED4-AE</v>
          </cell>
          <cell r="E30" t="str">
            <v>Soil and Water Engineering II</v>
          </cell>
          <cell r="F30" t="str">
            <v>Agyare Wilson Agyei</v>
          </cell>
          <cell r="G30">
            <v>98</v>
          </cell>
          <cell r="H30">
            <v>3</v>
          </cell>
        </row>
        <row r="31">
          <cell r="D31" t="str">
            <v>ME 492,ED4-AE</v>
          </cell>
          <cell r="E31" t="str">
            <v>Management and Entrepreneurship Development</v>
          </cell>
          <cell r="F31" t="str">
            <v>SHM Aikins/LD Mensah/C Asiedu</v>
          </cell>
          <cell r="G31">
            <v>98</v>
          </cell>
          <cell r="H31">
            <v>2</v>
          </cell>
        </row>
        <row r="32">
          <cell r="D32" t="str">
            <v>EE 152,ED1-AERO</v>
          </cell>
          <cell r="E32" t="str">
            <v>Basic Electronics</v>
          </cell>
          <cell r="F32" t="str">
            <v>Twumasi Elvis</v>
          </cell>
          <cell r="G32">
            <v>70</v>
          </cell>
          <cell r="H32">
            <v>2</v>
          </cell>
        </row>
        <row r="33">
          <cell r="D33" t="str">
            <v>ENGL 158,ED1-AERO</v>
          </cell>
          <cell r="E33" t="str">
            <v>Communication Skills II</v>
          </cell>
          <cell r="F33" t="str">
            <v>Yeboah Philomena Ama Okyeso</v>
          </cell>
          <cell r="G33">
            <v>70</v>
          </cell>
          <cell r="H33">
            <v>2</v>
          </cell>
        </row>
        <row r="34">
          <cell r="D34" t="str">
            <v>MATH 152,ED1-AERO</v>
          </cell>
          <cell r="E34" t="str">
            <v>Calculus with Analysis</v>
          </cell>
          <cell r="F34" t="str">
            <v>Ezearn Jeffery</v>
          </cell>
          <cell r="G34">
            <v>70</v>
          </cell>
          <cell r="H34">
            <v>4</v>
          </cell>
        </row>
        <row r="35">
          <cell r="D35" t="str">
            <v>AERO 174,ED1-AERO</v>
          </cell>
          <cell r="E35" t="str">
            <v>Aerospace Design Project I</v>
          </cell>
          <cell r="F35" t="str">
            <v>Afriyie Nyarko Frank Kwabena</v>
          </cell>
          <cell r="G35">
            <v>70</v>
          </cell>
          <cell r="H35">
            <v>2</v>
          </cell>
        </row>
        <row r="36">
          <cell r="D36" t="str">
            <v>ME 168,ED1-AERO</v>
          </cell>
          <cell r="E36" t="str">
            <v>Computer Programming for Engineers</v>
          </cell>
          <cell r="F36" t="str">
            <v>Tay Godwin Fabiola Kwaku</v>
          </cell>
          <cell r="G36">
            <v>70</v>
          </cell>
          <cell r="H36">
            <v>2</v>
          </cell>
        </row>
        <row r="37">
          <cell r="D37" t="str">
            <v>ME 158,ED1-AERO</v>
          </cell>
          <cell r="E37" t="str">
            <v>Engineering Graphics</v>
          </cell>
          <cell r="F37" t="str">
            <v>Sackey Michael Nii</v>
          </cell>
          <cell r="G37">
            <v>70</v>
          </cell>
          <cell r="H37">
            <v>3</v>
          </cell>
        </row>
        <row r="38">
          <cell r="D38" t="str">
            <v>ME 164,ED1-AERO</v>
          </cell>
          <cell r="E38" t="str">
            <v>Statics of Solid Mechanics</v>
          </cell>
          <cell r="F38" t="str">
            <v>Dzebre Denis Kwame Edem</v>
          </cell>
          <cell r="G38">
            <v>70</v>
          </cell>
          <cell r="H38">
            <v>2</v>
          </cell>
        </row>
        <row r="39">
          <cell r="D39" t="str">
            <v>ENGL 264,ED2-AERO</v>
          </cell>
          <cell r="E39" t="str">
            <v>Literature in English II</v>
          </cell>
          <cell r="F39" t="str">
            <v>Yeboah Philomena Ama Okyeso</v>
          </cell>
          <cell r="G39">
            <v>73</v>
          </cell>
          <cell r="H39">
            <v>1</v>
          </cell>
        </row>
        <row r="40">
          <cell r="D40" t="str">
            <v>MATH 252,ED2-AERO</v>
          </cell>
          <cell r="E40" t="str">
            <v>Calculus with Several Variables</v>
          </cell>
          <cell r="F40" t="str">
            <v>Asamoah Joshua Kiddy Kwasi</v>
          </cell>
          <cell r="G40">
            <v>73</v>
          </cell>
          <cell r="H40">
            <v>4</v>
          </cell>
        </row>
        <row r="41">
          <cell r="D41" t="str">
            <v>AERO 274,ED2-AERO</v>
          </cell>
          <cell r="E41" t="str">
            <v>Aerospace Design Project II</v>
          </cell>
          <cell r="F41" t="str">
            <v>Sackey Michael Nii</v>
          </cell>
          <cell r="G41">
            <v>73</v>
          </cell>
          <cell r="H41">
            <v>2</v>
          </cell>
        </row>
        <row r="42">
          <cell r="D42" t="str">
            <v>AERO 256,ED2-AERO</v>
          </cell>
          <cell r="E42" t="str">
            <v>Aerospace Structures</v>
          </cell>
          <cell r="F42" t="str">
            <v>Agyei Agyemang Anthony</v>
          </cell>
          <cell r="G42">
            <v>73</v>
          </cell>
          <cell r="H42">
            <v>3</v>
          </cell>
        </row>
        <row r="43">
          <cell r="D43" t="str">
            <v>ME 264,ED2-AERO</v>
          </cell>
          <cell r="E43" t="str">
            <v>Mechanism Synthesis and Analysis I</v>
          </cell>
          <cell r="F43" t="str">
            <v>Ampofo Joshua</v>
          </cell>
          <cell r="G43">
            <v>73</v>
          </cell>
          <cell r="H43">
            <v>3</v>
          </cell>
        </row>
        <row r="44">
          <cell r="D44" t="str">
            <v>ME 266,ED2-AERO</v>
          </cell>
          <cell r="E44" t="str">
            <v>Thermodynamics I</v>
          </cell>
          <cell r="F44" t="str">
            <v>Boahen Samuel</v>
          </cell>
          <cell r="G44">
            <v>73</v>
          </cell>
          <cell r="H44">
            <v>2</v>
          </cell>
        </row>
        <row r="45">
          <cell r="D45" t="str">
            <v>ME 258,ED2-AERO</v>
          </cell>
          <cell r="E45" t="str">
            <v>Computer-Aided Design and Modelling</v>
          </cell>
          <cell r="F45" t="str">
            <v>Sackey Michael Nii</v>
          </cell>
          <cell r="G45">
            <v>73</v>
          </cell>
          <cell r="H45">
            <v>3</v>
          </cell>
        </row>
        <row r="46">
          <cell r="D46" t="str">
            <v>AERO 362,ED3-AERO</v>
          </cell>
          <cell r="E46" t="str">
            <v>Air Vehicle Stability and Control</v>
          </cell>
          <cell r="F46" t="str">
            <v>Adjei Eunice Akyereko</v>
          </cell>
          <cell r="G46">
            <v>83</v>
          </cell>
          <cell r="H46">
            <v>3</v>
          </cell>
        </row>
        <row r="47">
          <cell r="D47" t="str">
            <v>AERO 374,ED3-AERO</v>
          </cell>
          <cell r="E47" t="str">
            <v>Aircraft Performance and Design</v>
          </cell>
          <cell r="F47" t="str">
            <v>Agyei Agyemang Anthony</v>
          </cell>
          <cell r="G47">
            <v>83</v>
          </cell>
          <cell r="H47">
            <v>3</v>
          </cell>
        </row>
        <row r="48">
          <cell r="D48" t="str">
            <v>ME 366,ED3-AERO</v>
          </cell>
          <cell r="E48" t="str">
            <v>Heat Transfer</v>
          </cell>
          <cell r="F48" t="str">
            <v>Forson Francis Kofi</v>
          </cell>
          <cell r="G48">
            <v>83</v>
          </cell>
          <cell r="H48">
            <v>3</v>
          </cell>
        </row>
        <row r="49">
          <cell r="D49" t="str">
            <v>ME 392,ED3-AERO</v>
          </cell>
          <cell r="E49" t="str">
            <v>Industrial Engineering and Ergonomics</v>
          </cell>
          <cell r="F49" t="str">
            <v>Mensah Lena Dzifa</v>
          </cell>
          <cell r="G49">
            <v>83</v>
          </cell>
          <cell r="H49">
            <v>2</v>
          </cell>
        </row>
        <row r="50">
          <cell r="D50" t="str">
            <v>AERO 368,ED3-AERO</v>
          </cell>
          <cell r="E50" t="str">
            <v>Propulsion</v>
          </cell>
          <cell r="F50" t="str">
            <v>Bofah Kwasi Kete</v>
          </cell>
          <cell r="G50">
            <v>83</v>
          </cell>
          <cell r="H50">
            <v>3</v>
          </cell>
        </row>
        <row r="51">
          <cell r="D51" t="str">
            <v>ME 362,ED3-AERO</v>
          </cell>
          <cell r="E51" t="str">
            <v>Vibrations I</v>
          </cell>
          <cell r="F51" t="str">
            <v>Adam Faisal Wahib</v>
          </cell>
          <cell r="G51">
            <v>83</v>
          </cell>
          <cell r="H51">
            <v>3</v>
          </cell>
        </row>
        <row r="52">
          <cell r="D52" t="str">
            <v>AERO 396,ED3-AERO</v>
          </cell>
          <cell r="E52" t="str">
            <v>Aerospace Engineering Lab II</v>
          </cell>
          <cell r="F52" t="str">
            <v>Adjei Eunice Akyereko</v>
          </cell>
          <cell r="G52">
            <v>83</v>
          </cell>
          <cell r="H52">
            <v>1</v>
          </cell>
        </row>
        <row r="53">
          <cell r="D53" t="str">
            <v>AERO 452,ED4-AERO</v>
          </cell>
          <cell r="E53" t="str">
            <v>Aerodynamics II</v>
          </cell>
          <cell r="F53" t="str">
            <v>Bofah Kwasi Kete</v>
          </cell>
          <cell r="G53">
            <v>54</v>
          </cell>
          <cell r="H53">
            <v>2</v>
          </cell>
        </row>
        <row r="54">
          <cell r="D54" t="str">
            <v>AERO 456,ED4-AERO</v>
          </cell>
          <cell r="E54" t="str">
            <v>Applied Meteorology</v>
          </cell>
          <cell r="F54" t="str">
            <v>Prince Asilevi</v>
          </cell>
          <cell r="G54">
            <v>54</v>
          </cell>
          <cell r="H54">
            <v>2</v>
          </cell>
        </row>
        <row r="55">
          <cell r="D55" t="str">
            <v>ME 468,ED4-AERO</v>
          </cell>
          <cell r="E55" t="str">
            <v>Internal Combustion Engine</v>
          </cell>
          <cell r="F55" t="str">
            <v>Forson Francis Kofi</v>
          </cell>
          <cell r="G55">
            <v>16</v>
          </cell>
          <cell r="H55">
            <v>3</v>
          </cell>
        </row>
        <row r="56">
          <cell r="D56" t="str">
            <v>ME 462,ED4-AERO</v>
          </cell>
          <cell r="E56" t="str">
            <v>Mechanism Synthesis and Analysis</v>
          </cell>
          <cell r="F56" t="str">
            <v>Ampofo Joshua</v>
          </cell>
          <cell r="G56">
            <v>6</v>
          </cell>
          <cell r="H56">
            <v>3</v>
          </cell>
        </row>
        <row r="57">
          <cell r="D57" t="str">
            <v>ME 474,ED4-AERO</v>
          </cell>
          <cell r="E57" t="str">
            <v>Production Planning and Control</v>
          </cell>
          <cell r="F57" t="str">
            <v>Dzebre Denis Kwame Edem</v>
          </cell>
          <cell r="G57">
            <v>5</v>
          </cell>
          <cell r="H57">
            <v>3</v>
          </cell>
        </row>
        <row r="58">
          <cell r="D58" t="str">
            <v>ME 496,ED4-AERO</v>
          </cell>
          <cell r="E58" t="str">
            <v>Human Factors and Ergonomics</v>
          </cell>
          <cell r="F58" t="str">
            <v>Sackey Samuel Mensah</v>
          </cell>
          <cell r="G58">
            <v>33</v>
          </cell>
          <cell r="H58">
            <v>3</v>
          </cell>
        </row>
        <row r="59">
          <cell r="D59" t="str">
            <v>ME 456,ED4-AERO</v>
          </cell>
          <cell r="E59" t="str">
            <v>Introduction to Finite Element</v>
          </cell>
          <cell r="F59" t="str">
            <v>Andoh Prince Yaw</v>
          </cell>
          <cell r="G59">
            <v>4</v>
          </cell>
          <cell r="H59">
            <v>3</v>
          </cell>
        </row>
        <row r="60">
          <cell r="D60" t="str">
            <v>ME 472,ED4-AERO</v>
          </cell>
          <cell r="E60" t="str">
            <v>Machine Shop and Factory Design</v>
          </cell>
          <cell r="F60" t="str">
            <v>Obeng George Yaw</v>
          </cell>
          <cell r="G60">
            <v>1</v>
          </cell>
          <cell r="H60">
            <v>3</v>
          </cell>
        </row>
        <row r="61">
          <cell r="D61" t="str">
            <v>ME 492,ED4-AERO</v>
          </cell>
          <cell r="E61" t="str">
            <v>Management and Entrepreneurship Development</v>
          </cell>
          <cell r="F61" t="str">
            <v>SHM Aikins/LD Mensah/C Asiedu</v>
          </cell>
          <cell r="G61">
            <v>54</v>
          </cell>
          <cell r="H61">
            <v>2</v>
          </cell>
        </row>
        <row r="62">
          <cell r="D62" t="str">
            <v>AERO 492,ED4-AERO</v>
          </cell>
          <cell r="E62" t="str">
            <v>Aerospace Safety and Air Security</v>
          </cell>
          <cell r="F62" t="str">
            <v>Adjei Eunice Akyereko</v>
          </cell>
          <cell r="G62">
            <v>54</v>
          </cell>
          <cell r="H62">
            <v>2</v>
          </cell>
        </row>
        <row r="63">
          <cell r="D63" t="str">
            <v>EE 152,ED1-AUTO</v>
          </cell>
          <cell r="E63" t="str">
            <v>Basic Electronics</v>
          </cell>
          <cell r="F63" t="str">
            <v>Asigri Peter</v>
          </cell>
          <cell r="G63">
            <v>43</v>
          </cell>
          <cell r="H63">
            <v>2</v>
          </cell>
        </row>
        <row r="64">
          <cell r="D64" t="str">
            <v>ENGL 158,ED1-AUTO</v>
          </cell>
          <cell r="E64" t="str">
            <v>Communication Skills II</v>
          </cell>
          <cell r="F64" t="str">
            <v>Kwasi Sarfo-Adu</v>
          </cell>
          <cell r="G64">
            <v>43</v>
          </cell>
          <cell r="H64">
            <v>2</v>
          </cell>
        </row>
        <row r="65">
          <cell r="D65" t="str">
            <v>MATH 152,ED1-AUTO</v>
          </cell>
          <cell r="E65" t="str">
            <v>Calculus with Analysis</v>
          </cell>
          <cell r="F65" t="str">
            <v>Barnes Benedict</v>
          </cell>
          <cell r="G65">
            <v>43</v>
          </cell>
          <cell r="H65">
            <v>4</v>
          </cell>
        </row>
        <row r="66">
          <cell r="D66" t="str">
            <v>ME 160,ED1-AUTO</v>
          </cell>
          <cell r="E66" t="str">
            <v>Engineering Drawing</v>
          </cell>
          <cell r="F66" t="str">
            <v>Sekyere Charles Kofi Kafui</v>
          </cell>
          <cell r="G66">
            <v>43</v>
          </cell>
          <cell r="H66">
            <v>3</v>
          </cell>
        </row>
        <row r="67">
          <cell r="D67" t="str">
            <v>ME 164,ED1-AUTO</v>
          </cell>
          <cell r="E67" t="str">
            <v>Statics of Solid Mechanics</v>
          </cell>
          <cell r="F67" t="str">
            <v>Oppong David Kofi</v>
          </cell>
          <cell r="G67">
            <v>43</v>
          </cell>
          <cell r="H67">
            <v>2</v>
          </cell>
        </row>
        <row r="68">
          <cell r="D68" t="str">
            <v>ME 266,ED1-AUTO</v>
          </cell>
          <cell r="E68" t="str">
            <v>Thermodynamics I</v>
          </cell>
          <cell r="F68" t="str">
            <v>Boahen Samuel</v>
          </cell>
          <cell r="G68">
            <v>43</v>
          </cell>
          <cell r="H68">
            <v>2</v>
          </cell>
        </row>
        <row r="69">
          <cell r="D69" t="str">
            <v>ME 172,ED1-AUTO</v>
          </cell>
          <cell r="E69" t="str">
            <v>Measurement and Instrumentation</v>
          </cell>
          <cell r="F69" t="str">
            <v>Oppong David Kofi</v>
          </cell>
          <cell r="G69">
            <v>43</v>
          </cell>
          <cell r="H69">
            <v>2</v>
          </cell>
        </row>
        <row r="70">
          <cell r="D70" t="str">
            <v>MATH 252,ED2-AUTO</v>
          </cell>
          <cell r="E70" t="str">
            <v>Calculus with Several Variables</v>
          </cell>
          <cell r="F70" t="str">
            <v>Eghan Rhydal Esi</v>
          </cell>
          <cell r="G70">
            <v>91</v>
          </cell>
          <cell r="H70">
            <v>4</v>
          </cell>
        </row>
        <row r="71">
          <cell r="D71" t="str">
            <v>AME 284,ED2-AUTO</v>
          </cell>
          <cell r="E71" t="str">
            <v>Automotive Electrical Systems and Electronics</v>
          </cell>
          <cell r="F71" t="str">
            <v>Ayetor Godwin Kafui Kwesi</v>
          </cell>
          <cell r="G71">
            <v>91</v>
          </cell>
          <cell r="H71">
            <v>2</v>
          </cell>
        </row>
        <row r="72">
          <cell r="D72" t="str">
            <v>AME 274,ED2-AUTO</v>
          </cell>
          <cell r="E72" t="str">
            <v>Design of Auto Machine Elements</v>
          </cell>
          <cell r="F72" t="str">
            <v>Afriyie Nyarko Frank Kwabena</v>
          </cell>
          <cell r="G72">
            <v>91</v>
          </cell>
          <cell r="H72">
            <v>3</v>
          </cell>
        </row>
        <row r="73">
          <cell r="D73" t="str">
            <v>ME 252,ED2-AUTO</v>
          </cell>
          <cell r="E73" t="str">
            <v>Fluid Dynamics I</v>
          </cell>
          <cell r="F73" t="str">
            <v>Fiagbe Yesuenyeagbe Atsu Kwabla</v>
          </cell>
          <cell r="G73">
            <v>91</v>
          </cell>
          <cell r="H73">
            <v>2</v>
          </cell>
        </row>
        <row r="74">
          <cell r="D74" t="str">
            <v>ME 270,ED2-AUTO</v>
          </cell>
          <cell r="E74" t="str">
            <v>Manufacturing Technology</v>
          </cell>
          <cell r="F74" t="str">
            <v>Boahen Samuel</v>
          </cell>
          <cell r="G74">
            <v>91</v>
          </cell>
          <cell r="H74">
            <v>3</v>
          </cell>
        </row>
        <row r="75">
          <cell r="D75" t="str">
            <v>ME 264,ED2-AUTO</v>
          </cell>
          <cell r="E75" t="str">
            <v>Mechanism Synthesis and Analysis I</v>
          </cell>
          <cell r="F75" t="str">
            <v>Ampofo Joshua</v>
          </cell>
          <cell r="G75">
            <v>91</v>
          </cell>
          <cell r="H75">
            <v>3</v>
          </cell>
        </row>
        <row r="76">
          <cell r="D76" t="str">
            <v>AME 376,ED3-AUTO</v>
          </cell>
          <cell r="E76" t="str">
            <v>Automotive Chassis</v>
          </cell>
          <cell r="F76" t="str">
            <v>Ayetor Godwin Kafui Kwesi</v>
          </cell>
          <cell r="G76">
            <v>123</v>
          </cell>
          <cell r="H76">
            <v>3</v>
          </cell>
        </row>
        <row r="77">
          <cell r="D77" t="str">
            <v>AME 368,ED3-AUTO</v>
          </cell>
          <cell r="E77" t="str">
            <v>Automotive Spark-Ignition Engines</v>
          </cell>
          <cell r="F77" t="str">
            <v>Abu Frimpong Solomon</v>
          </cell>
          <cell r="G77">
            <v>123</v>
          </cell>
          <cell r="H77">
            <v>2</v>
          </cell>
        </row>
        <row r="78">
          <cell r="D78" t="str">
            <v>AME 392,ED3-AUTO</v>
          </cell>
          <cell r="E78" t="str">
            <v>Industrial Engineering and Ergonomics</v>
          </cell>
          <cell r="F78" t="str">
            <v>Mensah Lena Dzifa</v>
          </cell>
          <cell r="G78">
            <v>123</v>
          </cell>
          <cell r="H78">
            <v>2</v>
          </cell>
        </row>
        <row r="79">
          <cell r="D79" t="str">
            <v>AME 386,ED3-AUTO</v>
          </cell>
          <cell r="E79" t="str">
            <v>Manual Power Train</v>
          </cell>
          <cell r="F79" t="str">
            <v>Abu Frimpong Solomon</v>
          </cell>
          <cell r="G79">
            <v>123</v>
          </cell>
          <cell r="H79">
            <v>2</v>
          </cell>
        </row>
        <row r="80">
          <cell r="D80" t="str">
            <v>AME 362,ED3-AUTO</v>
          </cell>
          <cell r="E80" t="str">
            <v>Vibrations for Automobile Engineers</v>
          </cell>
          <cell r="F80" t="str">
            <v>Adam Faisal Wahib</v>
          </cell>
          <cell r="G80">
            <v>123</v>
          </cell>
          <cell r="H80">
            <v>2</v>
          </cell>
        </row>
        <row r="81">
          <cell r="D81" t="str">
            <v>AME 384,ED3-AUTO</v>
          </cell>
          <cell r="E81" t="str">
            <v>Microprocessors and Mechatronics Applications</v>
          </cell>
          <cell r="F81" t="str">
            <v>Sackey Michael Nii</v>
          </cell>
          <cell r="G81">
            <v>123</v>
          </cell>
          <cell r="H81">
            <v>3</v>
          </cell>
        </row>
        <row r="82">
          <cell r="D82" t="str">
            <v>ME 456,ED4-AUTO</v>
          </cell>
          <cell r="E82" t="str">
            <v>Introduction to Finite Element</v>
          </cell>
          <cell r="F82" t="str">
            <v>Andoh Prince Yaw</v>
          </cell>
          <cell r="G82">
            <v>43</v>
          </cell>
          <cell r="H82">
            <v>3</v>
          </cell>
        </row>
        <row r="83">
          <cell r="D83" t="str">
            <v>AME 476,ED4-AUTO</v>
          </cell>
          <cell r="E83" t="str">
            <v>Modern Automobile Technology</v>
          </cell>
          <cell r="F83" t="str">
            <v>Ayetor Godwin Kafui Kwesi</v>
          </cell>
          <cell r="G83">
            <v>43</v>
          </cell>
          <cell r="H83">
            <v>3</v>
          </cell>
        </row>
        <row r="84">
          <cell r="D84" t="str">
            <v>AME 496,ED4-AUTO</v>
          </cell>
          <cell r="E84" t="str">
            <v>Vehicle Maintenance and Regulation</v>
          </cell>
          <cell r="F84" t="str">
            <v>Abu Frimpong Solomon</v>
          </cell>
          <cell r="G84">
            <v>43</v>
          </cell>
          <cell r="H84">
            <v>2</v>
          </cell>
        </row>
        <row r="85">
          <cell r="D85" t="str">
            <v>ME 492,ED4-AUTO</v>
          </cell>
          <cell r="E85" t="str">
            <v>Management and Entrepreneurship Development</v>
          </cell>
          <cell r="F85" t="str">
            <v>SHM Aikins/LD Mensah/C Asiedu</v>
          </cell>
          <cell r="G85">
            <v>43</v>
          </cell>
          <cell r="H85">
            <v>2</v>
          </cell>
        </row>
        <row r="86">
          <cell r="D86" t="str">
            <v>AME 482,ED4-AUTO</v>
          </cell>
          <cell r="E86" t="str">
            <v>Special Vehicle Design</v>
          </cell>
          <cell r="F86" t="str">
            <v>Ayetor Godwin Kafui Kwesi</v>
          </cell>
          <cell r="G86">
            <v>43</v>
          </cell>
          <cell r="H86">
            <v>2</v>
          </cell>
        </row>
        <row r="87">
          <cell r="D87" t="str">
            <v>COE 152,ED1-BME</v>
          </cell>
          <cell r="E87" t="str">
            <v>Basic Electronics</v>
          </cell>
          <cell r="F87" t="str">
            <v>Addo Daniel Akwei</v>
          </cell>
          <cell r="G87">
            <v>95</v>
          </cell>
          <cell r="H87">
            <v>3</v>
          </cell>
        </row>
        <row r="88">
          <cell r="D88" t="str">
            <v>ENGL 158,ED1-BME</v>
          </cell>
          <cell r="E88" t="str">
            <v>Communication Skills II</v>
          </cell>
          <cell r="F88" t="str">
            <v>Alhassan Yakubu</v>
          </cell>
          <cell r="G88">
            <v>95</v>
          </cell>
          <cell r="H88">
            <v>2</v>
          </cell>
        </row>
        <row r="89">
          <cell r="D89" t="str">
            <v>MATH 152,ED1-BME</v>
          </cell>
          <cell r="E89" t="str">
            <v>Calculus with Analysis</v>
          </cell>
          <cell r="F89" t="str">
            <v>Kwabi Prince Amponsah</v>
          </cell>
          <cell r="G89">
            <v>95</v>
          </cell>
          <cell r="H89">
            <v>4</v>
          </cell>
        </row>
        <row r="90">
          <cell r="D90" t="str">
            <v>SSN 166,ED1-BME</v>
          </cell>
          <cell r="E90" t="str">
            <v>Biochemistry</v>
          </cell>
          <cell r="F90" t="str">
            <v>Amoako Mary</v>
          </cell>
          <cell r="G90">
            <v>95</v>
          </cell>
          <cell r="H90">
            <v>2</v>
          </cell>
        </row>
        <row r="91">
          <cell r="D91" t="str">
            <v>EE 156,ED1-BME</v>
          </cell>
          <cell r="E91" t="str">
            <v>Electrical Engineering Drawing</v>
          </cell>
          <cell r="F91" t="str">
            <v>Kwegyir Daniel</v>
          </cell>
          <cell r="G91">
            <v>95</v>
          </cell>
          <cell r="H91">
            <v>2</v>
          </cell>
        </row>
        <row r="92">
          <cell r="D92" t="str">
            <v>COE 158,ED1-BME</v>
          </cell>
          <cell r="E92" t="str">
            <v>Introduction to Information Technology</v>
          </cell>
          <cell r="F92" t="str">
            <v>Odame Prince</v>
          </cell>
          <cell r="G92">
            <v>95</v>
          </cell>
          <cell r="H92">
            <v>2</v>
          </cell>
        </row>
        <row r="93">
          <cell r="D93" t="str">
            <v>SOC 152,ED1-BME</v>
          </cell>
          <cell r="E93" t="str">
            <v>Introduction to Sociology II</v>
          </cell>
          <cell r="F93" t="str">
            <v>Opoku-Ware Jones</v>
          </cell>
          <cell r="G93">
            <v>95</v>
          </cell>
          <cell r="H93">
            <v>3</v>
          </cell>
        </row>
        <row r="94">
          <cell r="D94" t="str">
            <v>PHY 154,ED1-BME</v>
          </cell>
          <cell r="E94" t="str">
            <v>Properties of Matter</v>
          </cell>
          <cell r="F94" t="str">
            <v>Wemegah David Dotse</v>
          </cell>
          <cell r="G94">
            <v>95</v>
          </cell>
          <cell r="H94">
            <v>2</v>
          </cell>
        </row>
        <row r="95">
          <cell r="D95" t="str">
            <v>ENGL 264,ED2-BME</v>
          </cell>
          <cell r="E95" t="str">
            <v>Literature in English II</v>
          </cell>
          <cell r="F95" t="str">
            <v>Yeboah Philomena Ama Okyeso</v>
          </cell>
          <cell r="G95">
            <v>63</v>
          </cell>
          <cell r="H95">
            <v>1</v>
          </cell>
        </row>
        <row r="96">
          <cell r="D96" t="str">
            <v>ECON 152,ED2-BME</v>
          </cell>
          <cell r="E96" t="str">
            <v>Elements of Economics II</v>
          </cell>
          <cell r="F96" t="str">
            <v>Takyi Paul Owusu</v>
          </cell>
          <cell r="G96">
            <v>6</v>
          </cell>
          <cell r="H96">
            <v>2</v>
          </cell>
        </row>
        <row r="97">
          <cell r="D97" t="str">
            <v>ACF 256,ED2-BME</v>
          </cell>
          <cell r="E97" t="str">
            <v>Intoduction to Financial Accounting II</v>
          </cell>
          <cell r="F97" t="str">
            <v>Yeboah Edward</v>
          </cell>
          <cell r="G97">
            <v>14</v>
          </cell>
          <cell r="H97">
            <v>2</v>
          </cell>
        </row>
        <row r="98">
          <cell r="D98" t="str">
            <v>FC 182,ED2-BME</v>
          </cell>
          <cell r="E98" t="str">
            <v>French for Communication II</v>
          </cell>
          <cell r="F98" t="str">
            <v>Osei-Danso Harriet Efua</v>
          </cell>
          <cell r="G98">
            <v>43</v>
          </cell>
          <cell r="H98">
            <v>2</v>
          </cell>
        </row>
        <row r="99">
          <cell r="D99" t="str">
            <v>MATH 252,ED2-BME</v>
          </cell>
          <cell r="E99" t="str">
            <v>Calculus with Several Variables</v>
          </cell>
          <cell r="F99" t="str">
            <v>Eghan Rhydal Esi</v>
          </cell>
          <cell r="G99">
            <v>63</v>
          </cell>
          <cell r="H99">
            <v>4</v>
          </cell>
        </row>
        <row r="100">
          <cell r="D100" t="str">
            <v>BME 286,ED2-BME</v>
          </cell>
          <cell r="E100" t="str">
            <v>Anatomy and Physiology for Engineers II</v>
          </cell>
          <cell r="F100" t="str">
            <v>Agyapong Dorothy Araba Yakoba</v>
          </cell>
          <cell r="G100">
            <v>63</v>
          </cell>
          <cell r="H100">
            <v>4</v>
          </cell>
        </row>
        <row r="101">
          <cell r="D101" t="str">
            <v>BME 252,ED2-BME</v>
          </cell>
          <cell r="E101" t="str">
            <v>Biomedical Engineering Design II</v>
          </cell>
          <cell r="F101" t="str">
            <v>Addo Daniel Akwei</v>
          </cell>
          <cell r="G101">
            <v>63</v>
          </cell>
          <cell r="H101">
            <v>3</v>
          </cell>
        </row>
        <row r="102">
          <cell r="D102" t="str">
            <v>BME 288,ED2-BME</v>
          </cell>
          <cell r="E102" t="str">
            <v>Chemical Pathology</v>
          </cell>
          <cell r="F102" t="str">
            <v>Sakyi Samuel Asamoah</v>
          </cell>
          <cell r="G102">
            <v>63</v>
          </cell>
          <cell r="H102">
            <v>2</v>
          </cell>
        </row>
        <row r="103">
          <cell r="D103" t="str">
            <v>COE 272,ED2-BME</v>
          </cell>
          <cell r="E103" t="str">
            <v>Digital Systems Design I</v>
          </cell>
          <cell r="F103" t="str">
            <v>Nunoo-Mensah Henry</v>
          </cell>
          <cell r="G103">
            <v>63</v>
          </cell>
          <cell r="H103">
            <v>3</v>
          </cell>
        </row>
        <row r="104">
          <cell r="D104" t="str">
            <v>BME 372,ED3-BME</v>
          </cell>
          <cell r="E104" t="str">
            <v>Bioinstrumentation I</v>
          </cell>
          <cell r="F104" t="str">
            <v>Acquah Isaac</v>
          </cell>
          <cell r="G104">
            <v>74</v>
          </cell>
          <cell r="H104">
            <v>3</v>
          </cell>
        </row>
        <row r="105">
          <cell r="D105" t="str">
            <v>BME 362,ED3-BME</v>
          </cell>
          <cell r="E105" t="str">
            <v>Biomaterials I</v>
          </cell>
          <cell r="F105" t="str">
            <v>Odame Prince</v>
          </cell>
          <cell r="G105">
            <v>74</v>
          </cell>
          <cell r="H105">
            <v>3</v>
          </cell>
        </row>
        <row r="106">
          <cell r="D106" t="str">
            <v>BME 366,ED3-BME</v>
          </cell>
          <cell r="E106" t="str">
            <v>Biosignal Processes and Analysis</v>
          </cell>
          <cell r="F106" t="str">
            <v>Adjei Prince Ebenezer</v>
          </cell>
          <cell r="G106">
            <v>74</v>
          </cell>
          <cell r="H106">
            <v>3</v>
          </cell>
        </row>
        <row r="107">
          <cell r="D107" t="str">
            <v>COE 358,ED3-BME</v>
          </cell>
          <cell r="E107" t="str">
            <v>Embedded Systems</v>
          </cell>
          <cell r="F107" t="str">
            <v>Kommey Benjamin</v>
          </cell>
          <cell r="G107">
            <v>74</v>
          </cell>
          <cell r="H107">
            <v>3</v>
          </cell>
        </row>
        <row r="108">
          <cell r="D108" t="str">
            <v>BME 364,ED3-BME</v>
          </cell>
          <cell r="E108" t="str">
            <v>Medical Imaging I</v>
          </cell>
          <cell r="F108" t="str">
            <v>Kotei Addison Eric Clement</v>
          </cell>
          <cell r="G108">
            <v>74</v>
          </cell>
          <cell r="H108">
            <v>3</v>
          </cell>
        </row>
        <row r="109">
          <cell r="D109" t="str">
            <v>BME 374,ED3-BME</v>
          </cell>
          <cell r="E109" t="str">
            <v>Biomedical Optics</v>
          </cell>
          <cell r="F109" t="str">
            <v>Subaar Christiana</v>
          </cell>
          <cell r="G109">
            <v>74</v>
          </cell>
          <cell r="H109">
            <v>3</v>
          </cell>
        </row>
        <row r="110">
          <cell r="D110" t="str">
            <v>COE 472,ED4-BME</v>
          </cell>
          <cell r="E110" t="str">
            <v>Digital Signal Processing</v>
          </cell>
          <cell r="F110" t="str">
            <v>Akowuah Emmanuel Kofi</v>
          </cell>
          <cell r="G110">
            <v>59</v>
          </cell>
          <cell r="H110">
            <v>3</v>
          </cell>
        </row>
        <row r="111">
          <cell r="D111" t="str">
            <v>BME 454,ED4-BME</v>
          </cell>
          <cell r="E111" t="str">
            <v>Medical Device Regulation</v>
          </cell>
          <cell r="F111" t="str">
            <v>Adjei Prince Ebenezer</v>
          </cell>
          <cell r="G111">
            <v>59</v>
          </cell>
          <cell r="H111">
            <v>3</v>
          </cell>
        </row>
        <row r="112">
          <cell r="D112" t="str">
            <v>BME 462,ED4-BME</v>
          </cell>
          <cell r="E112" t="str">
            <v>Biomechanics II</v>
          </cell>
          <cell r="F112" t="str">
            <v>Odame Prince</v>
          </cell>
          <cell r="G112">
            <v>59</v>
          </cell>
          <cell r="H112">
            <v>3</v>
          </cell>
        </row>
        <row r="113">
          <cell r="D113" t="str">
            <v>ME 492,ED4-BME</v>
          </cell>
          <cell r="E113" t="str">
            <v>Management and Entrepreneurship Development</v>
          </cell>
          <cell r="F113" t="str">
            <v>SHM Aikins/LD Mensah/C Asiedu</v>
          </cell>
          <cell r="G113">
            <v>59</v>
          </cell>
          <cell r="H113">
            <v>3</v>
          </cell>
        </row>
        <row r="114">
          <cell r="D114" t="str">
            <v>EE 152,ED1-CE</v>
          </cell>
          <cell r="E114" t="str">
            <v>Basic Electronics</v>
          </cell>
          <cell r="F114" t="str">
            <v>Twumasi Elvis</v>
          </cell>
          <cell r="G114">
            <v>252</v>
          </cell>
          <cell r="H114">
            <v>2</v>
          </cell>
        </row>
        <row r="115">
          <cell r="D115" t="str">
            <v>ENGL 158,ED1-CE</v>
          </cell>
          <cell r="E115" t="str">
            <v>Communication Skills II</v>
          </cell>
          <cell r="F115" t="str">
            <v>Alhassan Yakubu</v>
          </cell>
          <cell r="G115">
            <v>252</v>
          </cell>
          <cell r="H115">
            <v>2</v>
          </cell>
        </row>
        <row r="116">
          <cell r="D116" t="str">
            <v>ECON 152,ED1-CE</v>
          </cell>
          <cell r="E116" t="str">
            <v>Elements of Economics II</v>
          </cell>
          <cell r="F116" t="str">
            <v>Takyi Paul Owusu</v>
          </cell>
          <cell r="G116">
            <v>42</v>
          </cell>
          <cell r="H116">
            <v>2</v>
          </cell>
        </row>
        <row r="117">
          <cell r="D117" t="str">
            <v>MATH 152,ED1-CE</v>
          </cell>
          <cell r="E117" t="str">
            <v>Calculus with Analysis</v>
          </cell>
          <cell r="F117" t="str">
            <v>Ezearn Jeffery</v>
          </cell>
          <cell r="G117">
            <v>252</v>
          </cell>
          <cell r="H117">
            <v>4</v>
          </cell>
        </row>
        <row r="118">
          <cell r="D118" t="str">
            <v>FC 182,ED1-CE</v>
          </cell>
          <cell r="E118" t="str">
            <v>French for Communication II</v>
          </cell>
          <cell r="F118" t="str">
            <v>Newman Freda Mensah</v>
          </cell>
          <cell r="G118">
            <v>181</v>
          </cell>
          <cell r="H118">
            <v>2</v>
          </cell>
        </row>
        <row r="119">
          <cell r="D119" t="str">
            <v>CE 164,ED1-CE</v>
          </cell>
          <cell r="E119" t="str">
            <v>Civil Engineering Drawing</v>
          </cell>
          <cell r="F119" t="str">
            <v>Osei Jack Banahene</v>
          </cell>
          <cell r="G119">
            <v>252</v>
          </cell>
          <cell r="H119">
            <v>2</v>
          </cell>
        </row>
        <row r="120">
          <cell r="D120" t="str">
            <v>CE 156,ED1-CE</v>
          </cell>
          <cell r="E120" t="str">
            <v>Elementary Fluids Mechanics</v>
          </cell>
          <cell r="F120" t="str">
            <v>Gyamfi Charles</v>
          </cell>
          <cell r="G120">
            <v>252</v>
          </cell>
          <cell r="H120">
            <v>3</v>
          </cell>
        </row>
        <row r="121">
          <cell r="D121" t="str">
            <v>ARC 156,ED1-CE</v>
          </cell>
          <cell r="E121" t="str">
            <v>Introduction to Lighting and Acoustics</v>
          </cell>
          <cell r="F121" t="str">
            <v>Amos-Abanyie Samuel</v>
          </cell>
          <cell r="G121">
            <v>29</v>
          </cell>
          <cell r="H121">
            <v>2</v>
          </cell>
        </row>
        <row r="122">
          <cell r="D122" t="str">
            <v>CE 154,ED1-CE</v>
          </cell>
          <cell r="E122" t="str">
            <v>Properties of Civil Engineering Material</v>
          </cell>
          <cell r="F122" t="str">
            <v>Sossou Gnida</v>
          </cell>
          <cell r="G122">
            <v>252</v>
          </cell>
          <cell r="H122">
            <v>2</v>
          </cell>
        </row>
        <row r="123">
          <cell r="D123" t="str">
            <v>MATH 252,ED2-CE</v>
          </cell>
          <cell r="E123" t="str">
            <v>Calculus with Several Variables</v>
          </cell>
          <cell r="F123" t="str">
            <v>Boateng Maxwell Akwasi</v>
          </cell>
          <cell r="G123">
            <v>286</v>
          </cell>
          <cell r="H123">
            <v>4</v>
          </cell>
        </row>
        <row r="124">
          <cell r="D124" t="str">
            <v>CE 256,ED2-CE</v>
          </cell>
          <cell r="E124" t="str">
            <v>Fluid Mechanics</v>
          </cell>
          <cell r="F124" t="str">
            <v>Anornu Geophrey Kwame</v>
          </cell>
          <cell r="G124">
            <v>286</v>
          </cell>
          <cell r="H124">
            <v>3</v>
          </cell>
        </row>
        <row r="125">
          <cell r="D125" t="str">
            <v>GE 282,ED2-CE</v>
          </cell>
          <cell r="E125" t="str">
            <v>Large Scale Surveying</v>
          </cell>
          <cell r="F125" t="str">
            <v>Dadzie Isaac</v>
          </cell>
          <cell r="G125">
            <v>286</v>
          </cell>
          <cell r="H125">
            <v>4</v>
          </cell>
        </row>
        <row r="126">
          <cell r="D126" t="str">
            <v>CE 260,ED2-CE</v>
          </cell>
          <cell r="E126" t="str">
            <v>Soil and Rock Mechanics</v>
          </cell>
          <cell r="F126" t="str">
            <v>Owusu-Nimo Frederick</v>
          </cell>
          <cell r="G126">
            <v>286</v>
          </cell>
          <cell r="H126">
            <v>2</v>
          </cell>
        </row>
        <row r="127">
          <cell r="D127" t="str">
            <v>CE 264,ED2-CE</v>
          </cell>
          <cell r="E127" t="str">
            <v>Intro to Environmental Eng.</v>
          </cell>
          <cell r="F127" t="str">
            <v>Essandoh Helen Michelle Korkor/Miriam Appiah-Brempong</v>
          </cell>
          <cell r="G127">
            <v>286</v>
          </cell>
          <cell r="H127">
            <v>2</v>
          </cell>
        </row>
        <row r="128">
          <cell r="D128" t="str">
            <v>CE 258,ED2-CE</v>
          </cell>
          <cell r="E128" t="str">
            <v>Structural Analysis</v>
          </cell>
          <cell r="F128" t="str">
            <v>Kankam Charles Kwame</v>
          </cell>
          <cell r="G128">
            <v>286</v>
          </cell>
          <cell r="H128">
            <v>3</v>
          </cell>
        </row>
        <row r="129">
          <cell r="D129" t="str">
            <v>CE 272,ED2-CE</v>
          </cell>
          <cell r="E129" t="str">
            <v>Principle of Design</v>
          </cell>
          <cell r="F129" t="str">
            <v>Oduro-Kwarteng Sampson</v>
          </cell>
          <cell r="G129">
            <v>286</v>
          </cell>
          <cell r="H129">
            <v>2</v>
          </cell>
        </row>
        <row r="130">
          <cell r="D130" t="str">
            <v>CE 262,ED2-CE</v>
          </cell>
          <cell r="E130" t="str">
            <v>Soil and Rocks Mechanics Laboratory</v>
          </cell>
          <cell r="F130" t="str">
            <v>Charkley Frederick Nai</v>
          </cell>
          <cell r="G130">
            <v>286</v>
          </cell>
          <cell r="H130">
            <v>1</v>
          </cell>
        </row>
        <row r="131">
          <cell r="D131" t="str">
            <v>CE 376,ED3-CE</v>
          </cell>
          <cell r="E131" t="str">
            <v>Civil Engineering Quantities</v>
          </cell>
          <cell r="F131" t="str">
            <v>Osei Jack Banahene</v>
          </cell>
          <cell r="G131">
            <v>302</v>
          </cell>
          <cell r="H131">
            <v>2</v>
          </cell>
        </row>
        <row r="132">
          <cell r="D132" t="str">
            <v>CE 364,ED3-CE</v>
          </cell>
          <cell r="E132" t="str">
            <v>Environmental Quality Engineering</v>
          </cell>
          <cell r="F132" t="str">
            <v>Appiah-Effah Eugene</v>
          </cell>
          <cell r="G132">
            <v>302</v>
          </cell>
          <cell r="H132">
            <v>3</v>
          </cell>
        </row>
        <row r="133">
          <cell r="D133" t="str">
            <v>CE 360,ED3-CE</v>
          </cell>
          <cell r="E133" t="str">
            <v>Foundation Engineering</v>
          </cell>
          <cell r="F133" t="str">
            <v>Acquaah Vincent Kofi Abaka</v>
          </cell>
          <cell r="G133">
            <v>302</v>
          </cell>
          <cell r="H133">
            <v>3</v>
          </cell>
        </row>
        <row r="134">
          <cell r="D134" t="str">
            <v>CE 368,ED3-CE</v>
          </cell>
          <cell r="E134" t="str">
            <v>Highway Engineering</v>
          </cell>
          <cell r="F134" t="str">
            <v>Tutu Kenneth Adomako</v>
          </cell>
          <cell r="G134">
            <v>302</v>
          </cell>
          <cell r="H134">
            <v>3</v>
          </cell>
        </row>
        <row r="135">
          <cell r="D135" t="str">
            <v>CE 356,ED3-CE</v>
          </cell>
          <cell r="E135" t="str">
            <v>Hydraulic Engineering</v>
          </cell>
          <cell r="F135" t="str">
            <v>Adjei Kwaku Amaning</v>
          </cell>
          <cell r="G135">
            <v>302</v>
          </cell>
          <cell r="H135">
            <v>3</v>
          </cell>
        </row>
        <row r="136">
          <cell r="D136" t="str">
            <v>CE 352,ED3-CE</v>
          </cell>
          <cell r="E136" t="str">
            <v>Steel and Timber Design</v>
          </cell>
          <cell r="F136" t="str">
            <v>Afrifa Russel Owusu</v>
          </cell>
          <cell r="G136">
            <v>302</v>
          </cell>
          <cell r="H136">
            <v>3</v>
          </cell>
        </row>
        <row r="137">
          <cell r="D137" t="str">
            <v>CE 378,ED3-CE</v>
          </cell>
          <cell r="E137" t="str">
            <v>Integrated Design</v>
          </cell>
          <cell r="F137" t="str">
            <v>Ayeh Felix Jojo Fianko</v>
          </cell>
          <cell r="G137">
            <v>302</v>
          </cell>
          <cell r="H137">
            <v>2</v>
          </cell>
        </row>
        <row r="138">
          <cell r="D138" t="str">
            <v>CE 478,ED4-CE</v>
          </cell>
          <cell r="E138" t="str">
            <v>Ground Engineering</v>
          </cell>
          <cell r="F138" t="str">
            <v>Ampadu Samuel Innocent Kofi</v>
          </cell>
          <cell r="G138">
            <v>50</v>
          </cell>
          <cell r="H138">
            <v>3</v>
          </cell>
        </row>
        <row r="139">
          <cell r="D139" t="str">
            <v>CE 456,ED4-CE</v>
          </cell>
          <cell r="E139" t="str">
            <v>Structural Dynamics</v>
          </cell>
          <cell r="F139" t="str">
            <v>Osei Jack Banahene</v>
          </cell>
          <cell r="G139">
            <v>54</v>
          </cell>
          <cell r="H139">
            <v>3</v>
          </cell>
        </row>
        <row r="140">
          <cell r="D140" t="str">
            <v>CE 476,ED4-CE</v>
          </cell>
          <cell r="E140" t="str">
            <v>System Engineering II</v>
          </cell>
          <cell r="F140" t="str">
            <v>Owusu Twumasi Jones</v>
          </cell>
          <cell r="G140">
            <v>14</v>
          </cell>
          <cell r="H140">
            <v>3</v>
          </cell>
        </row>
        <row r="141">
          <cell r="D141" t="str">
            <v>CE 468,ED4-CE</v>
          </cell>
          <cell r="E141" t="str">
            <v>Transportation Engineering</v>
          </cell>
          <cell r="F141" t="str">
            <v>Tuffour Yaw Adubofour</v>
          </cell>
          <cell r="G141">
            <v>168</v>
          </cell>
          <cell r="H141">
            <v>3</v>
          </cell>
        </row>
        <row r="142">
          <cell r="D142" t="str">
            <v>CE 458,ED4-CE</v>
          </cell>
          <cell r="E142" t="str">
            <v>Water Resources Engineering II</v>
          </cell>
          <cell r="F142" t="str">
            <v>Anornu Geophrey Kwame</v>
          </cell>
          <cell r="G142">
            <v>94</v>
          </cell>
          <cell r="H142">
            <v>3</v>
          </cell>
        </row>
        <row r="143">
          <cell r="D143" t="str">
            <v>CE 462,ED4-CE</v>
          </cell>
          <cell r="E143" t="str">
            <v>Construction Management</v>
          </cell>
          <cell r="F143" t="str">
            <v>Donkor Emmanuel Amponsah/Richard Asamoah</v>
          </cell>
          <cell r="G143">
            <v>174</v>
          </cell>
          <cell r="H143">
            <v>3</v>
          </cell>
        </row>
        <row r="144">
          <cell r="D144" t="str">
            <v>CE 464,ED4-CE</v>
          </cell>
          <cell r="E144" t="str">
            <v>Environmental Quality Engineering II</v>
          </cell>
          <cell r="F144" t="str">
            <v>Appiah-Effah Eugene</v>
          </cell>
          <cell r="G144">
            <v>148</v>
          </cell>
          <cell r="H144">
            <v>3</v>
          </cell>
        </row>
        <row r="145">
          <cell r="D145" t="str">
            <v>EE 152,ED1-CHE</v>
          </cell>
          <cell r="E145" t="str">
            <v>Basic Electronics</v>
          </cell>
          <cell r="F145" t="str">
            <v>Twumasi Elvis</v>
          </cell>
          <cell r="G145">
            <v>132</v>
          </cell>
          <cell r="H145">
            <v>2</v>
          </cell>
        </row>
        <row r="146">
          <cell r="D146" t="str">
            <v>ENGL 158,ED1-CHE</v>
          </cell>
          <cell r="E146" t="str">
            <v>Communication Skills II</v>
          </cell>
          <cell r="F146" t="str">
            <v>Kwasi Sarfo-Adu</v>
          </cell>
          <cell r="G146">
            <v>132</v>
          </cell>
          <cell r="H146">
            <v>2</v>
          </cell>
        </row>
        <row r="147">
          <cell r="D147" t="str">
            <v>MATH 152,ED1-CHE</v>
          </cell>
          <cell r="E147" t="str">
            <v>Calculus with Analysis</v>
          </cell>
          <cell r="F147" t="str">
            <v>Eric Abeka</v>
          </cell>
          <cell r="G147">
            <v>132</v>
          </cell>
          <cell r="H147">
            <v>4</v>
          </cell>
        </row>
        <row r="148">
          <cell r="D148" t="str">
            <v>ME 162,ED1-CHE</v>
          </cell>
          <cell r="E148" t="str">
            <v>Basic Mechanics</v>
          </cell>
          <cell r="F148" t="str">
            <v>Oppong David Kofi</v>
          </cell>
          <cell r="G148">
            <v>132</v>
          </cell>
          <cell r="H148">
            <v>3</v>
          </cell>
        </row>
        <row r="149">
          <cell r="D149" t="str">
            <v>PHY 170,ED1-CHE</v>
          </cell>
          <cell r="E149" t="str">
            <v>General Physics</v>
          </cell>
          <cell r="F149" t="str">
            <v>Abavare Eric Kwabena Kyeh</v>
          </cell>
          <cell r="G149">
            <v>132</v>
          </cell>
          <cell r="H149">
            <v>3</v>
          </cell>
        </row>
        <row r="150">
          <cell r="D150" t="str">
            <v>CHE 158,ED1-CHE</v>
          </cell>
          <cell r="E150" t="str">
            <v>Introduction to Information Technology</v>
          </cell>
          <cell r="F150" t="str">
            <v xml:space="preserve"> Jude Bonsu</v>
          </cell>
          <cell r="G150">
            <v>132</v>
          </cell>
          <cell r="H150">
            <v>2</v>
          </cell>
        </row>
        <row r="151">
          <cell r="D151" t="str">
            <v>CHE 156,ED1-CHE</v>
          </cell>
          <cell r="E151" t="str">
            <v>Physical Chemistry for Engineers</v>
          </cell>
          <cell r="F151" t="str">
            <v>Afotey Benjamin</v>
          </cell>
          <cell r="G151">
            <v>132</v>
          </cell>
          <cell r="H151">
            <v>2</v>
          </cell>
        </row>
        <row r="152">
          <cell r="D152" t="str">
            <v>MATH 252,ED2-CHE</v>
          </cell>
          <cell r="E152" t="str">
            <v>Calculus with Several Variables</v>
          </cell>
          <cell r="F152" t="str">
            <v>Barnes Benedict</v>
          </cell>
          <cell r="G152">
            <v>154</v>
          </cell>
          <cell r="H152">
            <v>4</v>
          </cell>
        </row>
        <row r="153">
          <cell r="D153" t="str">
            <v>CHE 254,ED2-CHE</v>
          </cell>
          <cell r="E153" t="str">
            <v>Chemical Engineering Thermodynamics II</v>
          </cell>
          <cell r="F153" t="str">
            <v>Dogbe Eunice Sefakor Aku</v>
          </cell>
          <cell r="G153">
            <v>154</v>
          </cell>
          <cell r="H153">
            <v>2</v>
          </cell>
        </row>
        <row r="154">
          <cell r="D154" t="str">
            <v>CHE 252,ED2-CHE</v>
          </cell>
          <cell r="E154" t="str">
            <v>Chemical Process Calculations II</v>
          </cell>
          <cell r="F154" t="str">
            <v>Rockson Mizpah Ama Dziedzorm</v>
          </cell>
          <cell r="G154">
            <v>154</v>
          </cell>
          <cell r="H154">
            <v>2</v>
          </cell>
        </row>
        <row r="155">
          <cell r="D155" t="str">
            <v>CHE 258,ED2-CHE</v>
          </cell>
          <cell r="E155" t="str">
            <v>Drawing for Engineers</v>
          </cell>
          <cell r="F155" t="str">
            <v>Darkwah Lawrence</v>
          </cell>
          <cell r="G155">
            <v>154</v>
          </cell>
          <cell r="H155">
            <v>2</v>
          </cell>
        </row>
        <row r="156">
          <cell r="D156" t="str">
            <v>CHE 256,ED2-CHE</v>
          </cell>
          <cell r="E156" t="str">
            <v>Heat Transport Processes</v>
          </cell>
          <cell r="F156" t="str">
            <v>Momade Zsuzsanna Gál</v>
          </cell>
          <cell r="G156">
            <v>154</v>
          </cell>
          <cell r="H156">
            <v>3</v>
          </cell>
        </row>
        <row r="157">
          <cell r="D157" t="str">
            <v>CHE 250,ED2-CHE</v>
          </cell>
          <cell r="E157" t="str">
            <v>Strength of Materials for Chemical Engineers</v>
          </cell>
          <cell r="F157" t="str">
            <v>Anang Daniel Adjah</v>
          </cell>
          <cell r="G157">
            <v>154</v>
          </cell>
          <cell r="H157">
            <v>2</v>
          </cell>
        </row>
        <row r="158">
          <cell r="D158" t="str">
            <v>CHEM 280,ED2-CHE</v>
          </cell>
          <cell r="E158" t="str">
            <v>Practical Chemistry II</v>
          </cell>
          <cell r="F158" t="str">
            <v>Opoku Francis</v>
          </cell>
          <cell r="G158">
            <v>154</v>
          </cell>
          <cell r="H158">
            <v>3</v>
          </cell>
        </row>
        <row r="159">
          <cell r="D159" t="str">
            <v>ECON 152,ED3-CHE</v>
          </cell>
          <cell r="E159" t="str">
            <v>Elements of Economics II</v>
          </cell>
          <cell r="F159" t="str">
            <v>Takyi Paul Owusu</v>
          </cell>
          <cell r="G159">
            <v>105</v>
          </cell>
          <cell r="H159">
            <v>2</v>
          </cell>
        </row>
        <row r="160">
          <cell r="D160" t="str">
            <v>FC 182,ED3-CHE</v>
          </cell>
          <cell r="E160" t="str">
            <v>French for Communication II</v>
          </cell>
          <cell r="F160" t="str">
            <v>Boakye-Agyeman Candy</v>
          </cell>
          <cell r="G160">
            <v>94</v>
          </cell>
          <cell r="H160">
            <v>2</v>
          </cell>
        </row>
        <row r="161">
          <cell r="D161" t="str">
            <v>CHE 352,ED3-CHE</v>
          </cell>
          <cell r="E161" t="str">
            <v>Chemical Reaction Engineering</v>
          </cell>
          <cell r="F161" t="str">
            <v>Bonsu Jude Kwaku</v>
          </cell>
          <cell r="G161">
            <v>201</v>
          </cell>
          <cell r="H161">
            <v>4</v>
          </cell>
        </row>
        <row r="162">
          <cell r="D162" t="str">
            <v>CHE 368,ED3-CHE</v>
          </cell>
          <cell r="E162" t="str">
            <v>Food Processing Technology</v>
          </cell>
          <cell r="F162" t="str">
            <v>Anang Daniel Adjah</v>
          </cell>
          <cell r="G162">
            <v>80</v>
          </cell>
          <cell r="H162">
            <v>2</v>
          </cell>
        </row>
        <row r="163">
          <cell r="D163" t="str">
            <v>CHE 350,ED3-CHE</v>
          </cell>
          <cell r="E163" t="str">
            <v>Materials Science</v>
          </cell>
          <cell r="F163" t="str">
            <v>Boakye Patrick</v>
          </cell>
          <cell r="G163">
            <v>201</v>
          </cell>
          <cell r="H163">
            <v>2</v>
          </cell>
        </row>
        <row r="164">
          <cell r="D164" t="str">
            <v>CHE 358,ED3-CHE</v>
          </cell>
          <cell r="E164" t="str">
            <v>Numerical Methods for Chemical Engineers</v>
          </cell>
          <cell r="F164" t="str">
            <v>Mensah Mary</v>
          </cell>
          <cell r="G164">
            <v>201</v>
          </cell>
          <cell r="H164">
            <v>2</v>
          </cell>
        </row>
        <row r="165">
          <cell r="D165" t="str">
            <v>CHE 364,ED3-CHE</v>
          </cell>
          <cell r="E165" t="str">
            <v>Packaging Technology</v>
          </cell>
          <cell r="F165" t="str">
            <v>Baah-Ennumh Emmanuel Kwaku</v>
          </cell>
          <cell r="G165">
            <v>80</v>
          </cell>
          <cell r="H165">
            <v>2</v>
          </cell>
        </row>
        <row r="166">
          <cell r="D166" t="str">
            <v>CHE 362,ED3-CHE</v>
          </cell>
          <cell r="E166" t="str">
            <v>Silicate Technology II</v>
          </cell>
          <cell r="F166" t="str">
            <v>Momade Zsuzsanna Gál</v>
          </cell>
          <cell r="G166">
            <v>45</v>
          </cell>
          <cell r="H166">
            <v>2</v>
          </cell>
        </row>
        <row r="167">
          <cell r="D167" t="str">
            <v>CHE 354,ED3-CHE</v>
          </cell>
          <cell r="E167" t="str">
            <v>Simultaneous Heat/Mass Transfer</v>
          </cell>
          <cell r="F167" t="str">
            <v>Dogbe Eunice Sefakor Aku</v>
          </cell>
          <cell r="G167">
            <v>201</v>
          </cell>
          <cell r="H167">
            <v>3</v>
          </cell>
        </row>
        <row r="168">
          <cell r="D168" t="str">
            <v>CHE 356,ED3-CHE</v>
          </cell>
          <cell r="E168" t="str">
            <v>Process Engineering Project II</v>
          </cell>
          <cell r="F168" t="str">
            <v>Ankudey Emmanuel Godwin</v>
          </cell>
          <cell r="G168">
            <v>201</v>
          </cell>
          <cell r="H168">
            <v>3</v>
          </cell>
        </row>
        <row r="169">
          <cell r="D169" t="str">
            <v>CHE 458,ED4-CHE</v>
          </cell>
          <cell r="E169" t="str">
            <v>Entrepreneurship and Business Development</v>
          </cell>
          <cell r="F169" t="str">
            <v>Asamoah Boateng Kenneth</v>
          </cell>
          <cell r="G169">
            <v>119</v>
          </cell>
          <cell r="H169">
            <v>3</v>
          </cell>
        </row>
        <row r="170">
          <cell r="D170" t="str">
            <v>CHE 468,ED4-CHE</v>
          </cell>
          <cell r="E170" t="str">
            <v>Environmental Eng. Technology</v>
          </cell>
          <cell r="F170" t="str">
            <v>Afotey Benjamin</v>
          </cell>
          <cell r="G170">
            <v>51</v>
          </cell>
          <cell r="H170">
            <v>2</v>
          </cell>
        </row>
        <row r="171">
          <cell r="D171" t="str">
            <v>CHE 470,ED4-CHE</v>
          </cell>
          <cell r="E171" t="str">
            <v>Pharmaceutical Technology</v>
          </cell>
          <cell r="F171" t="str">
            <v>Johnson Raphael</v>
          </cell>
          <cell r="G171">
            <v>69</v>
          </cell>
          <cell r="H171">
            <v>2</v>
          </cell>
        </row>
        <row r="172">
          <cell r="D172" t="str">
            <v>CHE 456,ED4-CHE</v>
          </cell>
          <cell r="E172" t="str">
            <v>Process Control and Simulation</v>
          </cell>
          <cell r="F172" t="str">
            <v>Baah-Ennumh Emmanuel Kwaku</v>
          </cell>
          <cell r="G172">
            <v>119</v>
          </cell>
          <cell r="H172">
            <v>3</v>
          </cell>
        </row>
        <row r="173">
          <cell r="D173" t="str">
            <v>PCE 464,ED4-CHE</v>
          </cell>
          <cell r="E173" t="str">
            <v>Refining Processes Technology</v>
          </cell>
          <cell r="F173" t="str">
            <v>Kwao-Boateng Emmanuela</v>
          </cell>
          <cell r="G173">
            <v>73</v>
          </cell>
          <cell r="H173">
            <v>2</v>
          </cell>
        </row>
        <row r="174">
          <cell r="D174" t="str">
            <v>CHE 466,ED4-CHE</v>
          </cell>
          <cell r="E174" t="str">
            <v>Pulp and Paper Technology</v>
          </cell>
          <cell r="F174" t="str">
            <v>Rockson Mizpah Ama Dziedzorm</v>
          </cell>
          <cell r="G174">
            <v>50</v>
          </cell>
          <cell r="H174">
            <v>2</v>
          </cell>
        </row>
        <row r="175">
          <cell r="D175" t="str">
            <v>CHE 454,ED4-CHE</v>
          </cell>
          <cell r="E175" t="str">
            <v>Chemical Plant Design Project II</v>
          </cell>
          <cell r="F175" t="str">
            <v>Ankudey Emmanuel Godwin</v>
          </cell>
          <cell r="G175">
            <v>119</v>
          </cell>
          <cell r="H175">
            <v>5</v>
          </cell>
        </row>
        <row r="176">
          <cell r="D176" t="str">
            <v>COE 152,ED1-COE</v>
          </cell>
          <cell r="E176" t="str">
            <v>Basic Electronics</v>
          </cell>
          <cell r="F176" t="str">
            <v>Klogo Griffith Selorm</v>
          </cell>
          <cell r="G176">
            <v>180</v>
          </cell>
          <cell r="H176">
            <v>3</v>
          </cell>
        </row>
        <row r="177">
          <cell r="D177" t="str">
            <v>ENGL 158,ED1-COE</v>
          </cell>
          <cell r="E177" t="str">
            <v>Communication Skills II</v>
          </cell>
          <cell r="F177" t="str">
            <v>Alhassan Yakubu</v>
          </cell>
          <cell r="G177">
            <v>180</v>
          </cell>
          <cell r="H177">
            <v>2</v>
          </cell>
        </row>
        <row r="178">
          <cell r="D178" t="str">
            <v>MATH 152,ED1-COE</v>
          </cell>
          <cell r="E178" t="str">
            <v>Calculus with Analysis</v>
          </cell>
          <cell r="F178" t="str">
            <v>Ezearn Jeffery</v>
          </cell>
          <cell r="G178">
            <v>180</v>
          </cell>
          <cell r="H178">
            <v>4</v>
          </cell>
        </row>
        <row r="179">
          <cell r="D179" t="str">
            <v>EE 156,ED1-COE</v>
          </cell>
          <cell r="E179" t="str">
            <v>Electrical Engineering Drawing</v>
          </cell>
          <cell r="F179" t="str">
            <v>Kwegyir Daniel</v>
          </cell>
          <cell r="G179">
            <v>180</v>
          </cell>
          <cell r="H179">
            <v>2</v>
          </cell>
        </row>
        <row r="180">
          <cell r="D180" t="str">
            <v>EE 172,ED1-COE</v>
          </cell>
          <cell r="E180" t="str">
            <v>Electrical Machines</v>
          </cell>
          <cell r="F180" t="str">
            <v>Effah, Francis Boafo</v>
          </cell>
          <cell r="G180">
            <v>180</v>
          </cell>
          <cell r="H180">
            <v>3</v>
          </cell>
        </row>
        <row r="181">
          <cell r="D181" t="str">
            <v>COE 158,ED1-COE</v>
          </cell>
          <cell r="E181" t="str">
            <v>Introduction to Information Technology</v>
          </cell>
          <cell r="F181" t="str">
            <v>Prince Odame</v>
          </cell>
          <cell r="G181">
            <v>180</v>
          </cell>
          <cell r="H181">
            <v>2</v>
          </cell>
        </row>
        <row r="182">
          <cell r="D182" t="str">
            <v>ECON 152,ED2-COE</v>
          </cell>
          <cell r="E182" t="str">
            <v>Elements of Economics II</v>
          </cell>
          <cell r="F182" t="str">
            <v>Takyi Paul Owusu</v>
          </cell>
          <cell r="G182">
            <v>49</v>
          </cell>
          <cell r="H182">
            <v>2</v>
          </cell>
        </row>
        <row r="183">
          <cell r="D183" t="str">
            <v>ACF 256,ED2-COE</v>
          </cell>
          <cell r="E183" t="str">
            <v>Intoduction to Financial Accounting II</v>
          </cell>
          <cell r="F183" t="str">
            <v>Yeboah Edward</v>
          </cell>
          <cell r="G183">
            <v>56</v>
          </cell>
          <cell r="H183">
            <v>2</v>
          </cell>
        </row>
        <row r="184">
          <cell r="D184" t="str">
            <v>FC 182,ED2-COE</v>
          </cell>
          <cell r="E184" t="str">
            <v>French for Communication II</v>
          </cell>
          <cell r="F184" t="str">
            <v>Osei-Danso Harriet Efua</v>
          </cell>
          <cell r="G184">
            <v>133</v>
          </cell>
          <cell r="H184">
            <v>2</v>
          </cell>
        </row>
        <row r="185">
          <cell r="D185" t="str">
            <v>MATH 252,ED2-COE</v>
          </cell>
          <cell r="E185" t="str">
            <v>Calculus with Several Variables</v>
          </cell>
          <cell r="F185" t="str">
            <v>Wireko Fredrick Asenso</v>
          </cell>
          <cell r="G185">
            <v>239</v>
          </cell>
          <cell r="H185">
            <v>4</v>
          </cell>
        </row>
        <row r="186">
          <cell r="D186" t="str">
            <v>COE 288,ED2-COE</v>
          </cell>
          <cell r="E186" t="str">
            <v>Circuit Theory</v>
          </cell>
          <cell r="F186" t="str">
            <v>Bright Akowuah</v>
          </cell>
          <cell r="G186">
            <v>239</v>
          </cell>
          <cell r="H186">
            <v>2</v>
          </cell>
        </row>
        <row r="187">
          <cell r="D187" t="str">
            <v>COE 272,ED2-COE</v>
          </cell>
          <cell r="E187" t="str">
            <v>Digital Systems Design I</v>
          </cell>
          <cell r="F187" t="str">
            <v>Nunoo-Mensah Henry</v>
          </cell>
          <cell r="G187">
            <v>239</v>
          </cell>
          <cell r="H187">
            <v>3</v>
          </cell>
        </row>
        <row r="188">
          <cell r="D188" t="str">
            <v>EE 288,ED2-COE</v>
          </cell>
          <cell r="E188" t="str">
            <v>Electrical Measurement and Instrumentation</v>
          </cell>
          <cell r="F188" t="str">
            <v>Acquah Isaac</v>
          </cell>
          <cell r="G188">
            <v>239</v>
          </cell>
          <cell r="H188">
            <v>3</v>
          </cell>
        </row>
        <row r="189">
          <cell r="D189" t="str">
            <v>TE 262,ED2-COE</v>
          </cell>
          <cell r="E189" t="str">
            <v>Electromagnetic Fields</v>
          </cell>
          <cell r="F189" t="str">
            <v>Bright Akowuah</v>
          </cell>
          <cell r="G189">
            <v>239</v>
          </cell>
          <cell r="H189">
            <v>2</v>
          </cell>
        </row>
        <row r="190">
          <cell r="D190" t="str">
            <v>COE 254,ED2-COE</v>
          </cell>
          <cell r="E190" t="str">
            <v>Object-Oriented Programming</v>
          </cell>
          <cell r="F190" t="str">
            <v>Adjaidoo Theresa-Samuelle Maame Atwemaah</v>
          </cell>
          <cell r="G190">
            <v>239</v>
          </cell>
          <cell r="H190">
            <v>3</v>
          </cell>
        </row>
        <row r="191">
          <cell r="D191" t="str">
            <v>COE 292,ED2-COE</v>
          </cell>
          <cell r="E191" t="str">
            <v>Computer Engineering Lab II</v>
          </cell>
          <cell r="F191" t="str">
            <v>Kommey Benjamin</v>
          </cell>
          <cell r="G191">
            <v>239</v>
          </cell>
          <cell r="H191">
            <v>2</v>
          </cell>
        </row>
        <row r="192">
          <cell r="D192" t="str">
            <v>COE 368,ED3-COE</v>
          </cell>
          <cell r="E192" t="str">
            <v>Database and Information Retrieval</v>
          </cell>
          <cell r="F192" t="str">
            <v>Keelson Eliel</v>
          </cell>
          <cell r="G192">
            <v>238</v>
          </cell>
          <cell r="H192">
            <v>3</v>
          </cell>
        </row>
        <row r="193">
          <cell r="D193" t="str">
            <v>COE 358,ED3-COE</v>
          </cell>
          <cell r="E193" t="str">
            <v>Embedded Systems</v>
          </cell>
          <cell r="F193" t="str">
            <v>Kommey Benjamin</v>
          </cell>
          <cell r="G193">
            <v>238</v>
          </cell>
          <cell r="H193">
            <v>3</v>
          </cell>
        </row>
        <row r="194">
          <cell r="D194" t="str">
            <v>COE 354,ED3-COE</v>
          </cell>
          <cell r="E194" t="str">
            <v>Operating Systems</v>
          </cell>
          <cell r="F194" t="str">
            <v>Agbemenu Andrew Selasi</v>
          </cell>
          <cell r="G194">
            <v>238</v>
          </cell>
          <cell r="H194">
            <v>4</v>
          </cell>
        </row>
        <row r="195">
          <cell r="D195" t="str">
            <v>COE 372,ED3-COE</v>
          </cell>
          <cell r="E195" t="str">
            <v>Digital Systems Design II</v>
          </cell>
          <cell r="F195" t="str">
            <v>Boateng Kwame Osei</v>
          </cell>
          <cell r="G195">
            <v>238</v>
          </cell>
          <cell r="H195">
            <v>3</v>
          </cell>
        </row>
        <row r="196">
          <cell r="D196" t="str">
            <v>COE 356,ED3-COE</v>
          </cell>
          <cell r="E196" t="str">
            <v>Introduction to Software Eng.</v>
          </cell>
          <cell r="F196" t="str">
            <v>Adjaidoo Theresa-Samuelle Maame Atwemaah</v>
          </cell>
          <cell r="G196">
            <v>238</v>
          </cell>
          <cell r="H196">
            <v>3</v>
          </cell>
        </row>
        <row r="197">
          <cell r="D197" t="str">
            <v>COE 392,ED3-COE</v>
          </cell>
          <cell r="E197" t="str">
            <v>Autotronic Lab.</v>
          </cell>
          <cell r="F197" t="str">
            <v>Kommey Benjamin</v>
          </cell>
          <cell r="G197">
            <v>238</v>
          </cell>
          <cell r="H197">
            <v>2</v>
          </cell>
        </row>
        <row r="198">
          <cell r="D198" t="str">
            <v>COE 472,ED4-COE</v>
          </cell>
          <cell r="E198" t="str">
            <v>Digital Signal Processing</v>
          </cell>
          <cell r="F198" t="str">
            <v>Akowuah Emmanuel Kofi</v>
          </cell>
          <cell r="G198">
            <v>100</v>
          </cell>
          <cell r="H198">
            <v>3</v>
          </cell>
        </row>
        <row r="199">
          <cell r="D199" t="str">
            <v>COE 480,ED4-COE</v>
          </cell>
          <cell r="E199" t="str">
            <v>Fault Diagnosis and Failure Tolerance</v>
          </cell>
          <cell r="F199" t="str">
            <v>Agbemenu Andrew Selasi</v>
          </cell>
          <cell r="G199">
            <v>21</v>
          </cell>
          <cell r="H199">
            <v>3</v>
          </cell>
        </row>
        <row r="200">
          <cell r="D200" t="str">
            <v>COE 486,ED4-COE</v>
          </cell>
          <cell r="E200" t="str">
            <v>Introduction to VLSI</v>
          </cell>
          <cell r="F200" t="str">
            <v>Agbemenu Andrew Selasi</v>
          </cell>
          <cell r="G200">
            <v>9</v>
          </cell>
          <cell r="H200">
            <v>3</v>
          </cell>
        </row>
        <row r="201">
          <cell r="D201" t="str">
            <v>COE 458,ED4-COE</v>
          </cell>
          <cell r="E201" t="str">
            <v>Robotics and Computer Vision</v>
          </cell>
          <cell r="F201" t="str">
            <v>Klogo Griffith Selorm</v>
          </cell>
          <cell r="G201">
            <v>106</v>
          </cell>
          <cell r="H201">
            <v>3</v>
          </cell>
        </row>
        <row r="202">
          <cell r="D202" t="str">
            <v>COE 456,ED4-COE</v>
          </cell>
          <cell r="E202" t="str">
            <v>Secure Network Systems</v>
          </cell>
          <cell r="F202" t="str">
            <v>Tchao Eric Tutu</v>
          </cell>
          <cell r="G202">
            <v>132</v>
          </cell>
          <cell r="H202">
            <v>3</v>
          </cell>
        </row>
        <row r="203">
          <cell r="D203" t="str">
            <v>COE 454,ED4-COE</v>
          </cell>
          <cell r="E203" t="str">
            <v>Software Engineering</v>
          </cell>
          <cell r="F203" t="str">
            <v>Keelson Eliel</v>
          </cell>
          <cell r="G203">
            <v>99</v>
          </cell>
          <cell r="H203">
            <v>3</v>
          </cell>
        </row>
        <row r="204">
          <cell r="D204" t="str">
            <v>ME 492,ED4-COE</v>
          </cell>
          <cell r="E204" t="str">
            <v>Management and Entrepreneurship Development</v>
          </cell>
          <cell r="F204" t="str">
            <v>SHM Aikins/LD Mensah/C Asiedu</v>
          </cell>
          <cell r="G204">
            <v>145</v>
          </cell>
          <cell r="H204">
            <v>2</v>
          </cell>
        </row>
        <row r="205">
          <cell r="D205" t="str">
            <v>EE 152,ED1-EE</v>
          </cell>
          <cell r="E205" t="str">
            <v>Basic Electronics</v>
          </cell>
          <cell r="F205" t="str">
            <v>Twumasi Elvis</v>
          </cell>
          <cell r="G205">
            <v>235</v>
          </cell>
          <cell r="H205">
            <v>3</v>
          </cell>
        </row>
        <row r="206">
          <cell r="D206" t="str">
            <v>ENGL 158,ED1-EE</v>
          </cell>
          <cell r="E206" t="str">
            <v>Communication Skills II</v>
          </cell>
          <cell r="F206" t="str">
            <v>Kwasi Sarfo-Adu</v>
          </cell>
          <cell r="G206">
            <v>235</v>
          </cell>
          <cell r="H206">
            <v>2</v>
          </cell>
        </row>
        <row r="207">
          <cell r="D207" t="str">
            <v>MATH 152,ED1-EE</v>
          </cell>
          <cell r="E207" t="str">
            <v>Calculus with Analysis</v>
          </cell>
          <cell r="F207" t="str">
            <v>Y. E. Ayekple</v>
          </cell>
          <cell r="G207">
            <v>235</v>
          </cell>
          <cell r="H207">
            <v>4</v>
          </cell>
        </row>
        <row r="208">
          <cell r="D208" t="str">
            <v>ME 166,ED1-EE</v>
          </cell>
          <cell r="E208" t="str">
            <v>Applied Thermodynamics I</v>
          </cell>
          <cell r="F208" t="str">
            <v>Quansah David Ato</v>
          </cell>
          <cell r="G208">
            <v>235</v>
          </cell>
          <cell r="H208">
            <v>2</v>
          </cell>
        </row>
        <row r="209">
          <cell r="D209" t="str">
            <v>EE 156,ED1-EE</v>
          </cell>
          <cell r="E209" t="str">
            <v>Electrical Engineering Drawing</v>
          </cell>
          <cell r="F209" t="str">
            <v>Emmanuel Obuoubi Kwame Addo</v>
          </cell>
          <cell r="G209">
            <v>235</v>
          </cell>
          <cell r="H209">
            <v>2</v>
          </cell>
        </row>
        <row r="210">
          <cell r="D210" t="str">
            <v>EE 162,ED1-EE</v>
          </cell>
          <cell r="E210" t="str">
            <v>Electromechanical Energy Conversion and Transformers</v>
          </cell>
          <cell r="F210" t="str">
            <v>Daniel Opoku</v>
          </cell>
          <cell r="G210">
            <v>235</v>
          </cell>
          <cell r="H210">
            <v>3</v>
          </cell>
        </row>
        <row r="211">
          <cell r="D211" t="str">
            <v>COE 158,ED1-EE</v>
          </cell>
          <cell r="E211" t="str">
            <v>Introduction to Information Technology</v>
          </cell>
          <cell r="F211" t="str">
            <v>Charles Mawutor Adrah</v>
          </cell>
          <cell r="G211">
            <v>235</v>
          </cell>
          <cell r="H211">
            <v>2</v>
          </cell>
        </row>
        <row r="212">
          <cell r="D212" t="str">
            <v>ECON 152,ED2-EE</v>
          </cell>
          <cell r="E212" t="str">
            <v>Elements of Economics II</v>
          </cell>
          <cell r="F212" t="str">
            <v>Takyi Paul Owusu</v>
          </cell>
          <cell r="G212">
            <v>50</v>
          </cell>
          <cell r="H212">
            <v>2</v>
          </cell>
        </row>
        <row r="213">
          <cell r="D213" t="str">
            <v>FC 182,ED2-EE</v>
          </cell>
          <cell r="E213" t="str">
            <v>French for Communication II</v>
          </cell>
          <cell r="F213" t="str">
            <v>Boakye-Agyeman Candy</v>
          </cell>
          <cell r="G213">
            <v>202</v>
          </cell>
          <cell r="H213">
            <v>2</v>
          </cell>
        </row>
        <row r="214">
          <cell r="D214" t="str">
            <v>MATH 252,ED2-EE</v>
          </cell>
          <cell r="E214" t="str">
            <v>Calculus with Several Variables</v>
          </cell>
          <cell r="F214" t="str">
            <v>Barnes Benedict</v>
          </cell>
          <cell r="G214">
            <v>252</v>
          </cell>
          <cell r="H214">
            <v>4</v>
          </cell>
        </row>
        <row r="215">
          <cell r="D215" t="str">
            <v>EE 272,ED2-EE</v>
          </cell>
          <cell r="E215" t="str">
            <v>Digital Systems</v>
          </cell>
          <cell r="F215" t="str">
            <v>Opoku Daniel</v>
          </cell>
          <cell r="G215">
            <v>252</v>
          </cell>
          <cell r="H215">
            <v>3</v>
          </cell>
        </row>
        <row r="216">
          <cell r="D216" t="str">
            <v>EE 288,ED2-EE</v>
          </cell>
          <cell r="E216" t="str">
            <v>Electrical Measurements and Instrumentation</v>
          </cell>
          <cell r="F216" t="str">
            <v>Opoku Daniel</v>
          </cell>
          <cell r="G216">
            <v>252</v>
          </cell>
          <cell r="H216">
            <v>3</v>
          </cell>
        </row>
        <row r="217">
          <cell r="D217" t="str">
            <v>TE 262,ED2-EE</v>
          </cell>
          <cell r="E217" t="str">
            <v>Electromagnetic Fields</v>
          </cell>
          <cell r="F217" t="str">
            <v>K.S.O. Kwakye</v>
          </cell>
          <cell r="G217">
            <v>252</v>
          </cell>
          <cell r="H217">
            <v>2</v>
          </cell>
        </row>
        <row r="218">
          <cell r="D218" t="str">
            <v>EE 262,ED2-EE</v>
          </cell>
          <cell r="E218" t="str">
            <v>Synchronous Machines</v>
          </cell>
          <cell r="F218" t="str">
            <v>Asigri Peter</v>
          </cell>
          <cell r="G218">
            <v>252</v>
          </cell>
          <cell r="H218">
            <v>3</v>
          </cell>
        </row>
        <row r="219">
          <cell r="D219" t="str">
            <v>EE 292,ED2-EE</v>
          </cell>
          <cell r="E219" t="str">
            <v>Electrical Engineering Lab. II</v>
          </cell>
          <cell r="F219" t="str">
            <v>Frimpong Emmanuel Asuming</v>
          </cell>
          <cell r="G219">
            <v>252</v>
          </cell>
          <cell r="H219">
            <v>1</v>
          </cell>
        </row>
        <row r="220">
          <cell r="D220" t="str">
            <v>TE 386,ED3-EE</v>
          </cell>
          <cell r="E220" t="str">
            <v>Digital Communication Systems</v>
          </cell>
          <cell r="F220" t="str">
            <v>Adrah Charles Mawutor</v>
          </cell>
          <cell r="G220">
            <v>286</v>
          </cell>
          <cell r="H220">
            <v>3</v>
          </cell>
        </row>
        <row r="221">
          <cell r="D221" t="str">
            <v>COE 382,ED3-EE</v>
          </cell>
          <cell r="E221" t="str">
            <v>Digital Computer Design</v>
          </cell>
          <cell r="F221" t="str">
            <v>Boateng Kwame Osei</v>
          </cell>
          <cell r="G221">
            <v>48</v>
          </cell>
          <cell r="H221">
            <v>3</v>
          </cell>
        </row>
        <row r="222">
          <cell r="D222" t="str">
            <v>EE 380,ED3-EE</v>
          </cell>
          <cell r="E222" t="str">
            <v>Digital Control Systems</v>
          </cell>
          <cell r="F222" t="str">
            <v>Opoku Daniel</v>
          </cell>
          <cell r="G222">
            <v>67</v>
          </cell>
          <cell r="H222">
            <v>3</v>
          </cell>
        </row>
        <row r="223">
          <cell r="D223" t="str">
            <v>EE 360,ED3-EE</v>
          </cell>
          <cell r="E223" t="str">
            <v>High Voltage Engineering</v>
          </cell>
          <cell r="F223" t="str">
            <v>Asigri Peter</v>
          </cell>
          <cell r="G223">
            <v>202</v>
          </cell>
          <cell r="H223">
            <v>3</v>
          </cell>
        </row>
        <row r="224">
          <cell r="D224" t="str">
            <v>EE 366,ED3-EE</v>
          </cell>
          <cell r="E224" t="str">
            <v>Power Electronics</v>
          </cell>
          <cell r="F224" t="str">
            <v>Effah Francis Boafo</v>
          </cell>
          <cell r="G224">
            <v>286</v>
          </cell>
          <cell r="H224">
            <v>3</v>
          </cell>
        </row>
        <row r="225">
          <cell r="D225" t="str">
            <v>EE 368,ED3-EE</v>
          </cell>
          <cell r="E225" t="str">
            <v>Power Systems Analysis</v>
          </cell>
          <cell r="F225" t="str">
            <v>Elvis Twumasi</v>
          </cell>
          <cell r="G225">
            <v>286</v>
          </cell>
          <cell r="H225">
            <v>3</v>
          </cell>
        </row>
        <row r="226">
          <cell r="D226" t="str">
            <v>EE 362,ED3-EE</v>
          </cell>
          <cell r="E226" t="str">
            <v>Substations and Transmission Line Design</v>
          </cell>
          <cell r="F226" t="str">
            <v>Antoh Emmanuel Kwaku</v>
          </cell>
          <cell r="G226">
            <v>286</v>
          </cell>
          <cell r="H226">
            <v>3</v>
          </cell>
        </row>
        <row r="227">
          <cell r="D227" t="str">
            <v>TE 384,ED3-EE</v>
          </cell>
          <cell r="E227" t="str">
            <v>Switching Engineering In Communication</v>
          </cell>
          <cell r="F227" t="str">
            <v>Obour Agyekum</v>
          </cell>
          <cell r="G227">
            <v>37</v>
          </cell>
          <cell r="H227">
            <v>3</v>
          </cell>
        </row>
        <row r="228">
          <cell r="D228" t="str">
            <v>TE 372,ED3-EE</v>
          </cell>
          <cell r="E228" t="str">
            <v>Antennas and Propagation</v>
          </cell>
          <cell r="F228" t="str">
            <v>Ellis Sani Mubarak</v>
          </cell>
          <cell r="G228">
            <v>218</v>
          </cell>
          <cell r="H228">
            <v>3</v>
          </cell>
        </row>
        <row r="229">
          <cell r="D229" t="str">
            <v>EE 392,ED3-EE</v>
          </cell>
          <cell r="E229" t="str">
            <v>Electrical Engineering Lab. III</v>
          </cell>
          <cell r="F229" t="str">
            <v>Antoh Emmanuel Kwaku</v>
          </cell>
          <cell r="G229">
            <v>286</v>
          </cell>
          <cell r="H229">
            <v>1</v>
          </cell>
        </row>
        <row r="230">
          <cell r="D230" t="str">
            <v>EE 472,ED4-EE</v>
          </cell>
          <cell r="E230" t="str">
            <v>Digital Signal Processing</v>
          </cell>
          <cell r="F230" t="str">
            <v>Kponyo Jerry John</v>
          </cell>
          <cell r="G230">
            <v>18</v>
          </cell>
          <cell r="H230">
            <v>3</v>
          </cell>
        </row>
        <row r="231">
          <cell r="D231" t="str">
            <v>EE 462,ED4-EE</v>
          </cell>
          <cell r="E231" t="str">
            <v>Electric Drives</v>
          </cell>
          <cell r="F231" t="str">
            <v>Okyere Philip Yaw</v>
          </cell>
          <cell r="G231">
            <v>191</v>
          </cell>
          <cell r="H231">
            <v>3</v>
          </cell>
        </row>
        <row r="232">
          <cell r="D232" t="str">
            <v>COE 484,ED4-EE</v>
          </cell>
          <cell r="E232" t="str">
            <v>Industrial Automatic Control</v>
          </cell>
          <cell r="F232" t="str">
            <v>Addo Emmanuel Obuobi Kwame</v>
          </cell>
          <cell r="G232">
            <v>191</v>
          </cell>
          <cell r="H232">
            <v>3</v>
          </cell>
        </row>
        <row r="233">
          <cell r="D233" t="str">
            <v>COE 486,ED4-EE</v>
          </cell>
          <cell r="E233" t="str">
            <v>Introduction to VLSI</v>
          </cell>
          <cell r="F233" t="str">
            <v>Agbemenu Andrew Selasi</v>
          </cell>
          <cell r="G233">
            <v>9</v>
          </cell>
          <cell r="H233">
            <v>3</v>
          </cell>
        </row>
        <row r="234">
          <cell r="D234" t="str">
            <v>EE 466,ED4-EE</v>
          </cell>
          <cell r="E234" t="str">
            <v>Power Systems Planning and Optimization</v>
          </cell>
          <cell r="F234" t="str">
            <v>Antoh Emmanuel Kwaku</v>
          </cell>
          <cell r="G234">
            <v>164</v>
          </cell>
          <cell r="H234">
            <v>3</v>
          </cell>
        </row>
        <row r="235">
          <cell r="D235" t="str">
            <v>EE 468,ED4-EE</v>
          </cell>
          <cell r="E235" t="str">
            <v>Power Systems Protection</v>
          </cell>
          <cell r="F235" t="str">
            <v>Frimpong Emmanuel Asuming</v>
          </cell>
          <cell r="G235">
            <v>191</v>
          </cell>
          <cell r="H235">
            <v>3</v>
          </cell>
        </row>
        <row r="236">
          <cell r="D236" t="str">
            <v>ME 492,ED4-EE</v>
          </cell>
          <cell r="E236" t="str">
            <v>Management and Entrepreneurship Development</v>
          </cell>
          <cell r="F236" t="str">
            <v>SHM Aikins/LD Mensah/C Asiedu</v>
          </cell>
          <cell r="G236">
            <v>191</v>
          </cell>
          <cell r="H236">
            <v>2</v>
          </cell>
        </row>
        <row r="237">
          <cell r="D237" t="str">
            <v>EE 152,ED1-GEOL</v>
          </cell>
          <cell r="E237" t="str">
            <v>Basic Electronics</v>
          </cell>
          <cell r="F237" t="str">
            <v>Twumasi Elvis</v>
          </cell>
          <cell r="G237">
            <v>104</v>
          </cell>
          <cell r="H237">
            <v>2</v>
          </cell>
        </row>
        <row r="238">
          <cell r="D238" t="str">
            <v>ENGL 158,ED1-GEOL</v>
          </cell>
          <cell r="E238" t="str">
            <v>Communication Skills II</v>
          </cell>
          <cell r="F238" t="str">
            <v>Yeboah Philomena Ama Okyeso</v>
          </cell>
          <cell r="G238">
            <v>104</v>
          </cell>
          <cell r="H238">
            <v>2</v>
          </cell>
        </row>
        <row r="239">
          <cell r="D239" t="str">
            <v>ECON 152,ED1-GEOL</v>
          </cell>
          <cell r="E239" t="str">
            <v>Elements of Economics II</v>
          </cell>
          <cell r="F239" t="str">
            <v>Takyi Paul Owusu</v>
          </cell>
          <cell r="G239">
            <v>39</v>
          </cell>
          <cell r="H239">
            <v>2</v>
          </cell>
        </row>
        <row r="240">
          <cell r="D240" t="str">
            <v>MATH 152,ED1-GEOL</v>
          </cell>
          <cell r="E240" t="str">
            <v>Calculus with Analysis</v>
          </cell>
          <cell r="F240" t="str">
            <v>Kwabi Prince Amponsah</v>
          </cell>
          <cell r="G240">
            <v>104</v>
          </cell>
          <cell r="H240">
            <v>4</v>
          </cell>
        </row>
        <row r="241">
          <cell r="D241" t="str">
            <v>CSM 158,ED1-GEOL</v>
          </cell>
          <cell r="E241" t="str">
            <v>Intoduction to Financial Accounting II</v>
          </cell>
          <cell r="F241" t="str">
            <v>Yeboah Edward</v>
          </cell>
          <cell r="G241">
            <v>5</v>
          </cell>
          <cell r="H241">
            <v>2</v>
          </cell>
        </row>
        <row r="242">
          <cell r="D242" t="str">
            <v>FC 182,ED1-GEOL</v>
          </cell>
          <cell r="E242" t="str">
            <v>French for Communication II</v>
          </cell>
          <cell r="F242" t="str">
            <v>Newman Freda Mensah</v>
          </cell>
          <cell r="G242">
            <v>59</v>
          </cell>
          <cell r="H242">
            <v>2</v>
          </cell>
        </row>
        <row r="243">
          <cell r="D243" t="str">
            <v>GED 152,ED1-GEOL</v>
          </cell>
          <cell r="E243" t="str">
            <v>Basic Mineral Science</v>
          </cell>
          <cell r="F243" t="str">
            <v>Appiah-Adjei Emmanuel Kwame/Wildon Matthew Coffie</v>
          </cell>
          <cell r="G243">
            <v>104</v>
          </cell>
          <cell r="H243">
            <v>2</v>
          </cell>
        </row>
        <row r="244">
          <cell r="D244" t="str">
            <v>CE 164,ED1-GEOL</v>
          </cell>
          <cell r="E244" t="str">
            <v>Civil Engineering Drawing</v>
          </cell>
          <cell r="F244" t="str">
            <v>Afrifa Russel Owusu</v>
          </cell>
          <cell r="G244">
            <v>104</v>
          </cell>
          <cell r="H244">
            <v>2</v>
          </cell>
        </row>
        <row r="245">
          <cell r="D245" t="str">
            <v>GED 164,ED1-GEOL</v>
          </cell>
          <cell r="E245" t="str">
            <v>Computer Applications</v>
          </cell>
          <cell r="F245" t="str">
            <v>Asare Albert</v>
          </cell>
          <cell r="G245">
            <v>104</v>
          </cell>
          <cell r="H245">
            <v>3</v>
          </cell>
        </row>
        <row r="246">
          <cell r="D246" t="str">
            <v>CE 156,ED1-GEOL</v>
          </cell>
          <cell r="E246" t="str">
            <v>Elementary Fluids Mechanics</v>
          </cell>
          <cell r="F246" t="str">
            <v>Gyamfi Charles</v>
          </cell>
          <cell r="G246">
            <v>104</v>
          </cell>
          <cell r="H246">
            <v>3</v>
          </cell>
        </row>
        <row r="247">
          <cell r="D247" t="str">
            <v>MATH 252,ED2-GEOL</v>
          </cell>
          <cell r="E247" t="str">
            <v>Calculus with Several Variables</v>
          </cell>
          <cell r="F247" t="str">
            <v>Wireko Fredrick Asenso</v>
          </cell>
          <cell r="G247">
            <v>159</v>
          </cell>
          <cell r="H247">
            <v>4</v>
          </cell>
        </row>
        <row r="248">
          <cell r="D248" t="str">
            <v>CE 256,ED2-GEOL</v>
          </cell>
          <cell r="E248" t="str">
            <v>Fluid Mechanics</v>
          </cell>
          <cell r="F248" t="str">
            <v>Anornu Geophrey Kwame</v>
          </cell>
          <cell r="G248">
            <v>159</v>
          </cell>
          <cell r="H248">
            <v>3</v>
          </cell>
        </row>
        <row r="249">
          <cell r="D249" t="str">
            <v>GED 262,ED2-GEOL</v>
          </cell>
          <cell r="E249" t="str">
            <v>Introduction to Soil Mechanics</v>
          </cell>
          <cell r="F249" t="str">
            <v>Amenuvor Andrew Cudzo</v>
          </cell>
          <cell r="G249">
            <v>159</v>
          </cell>
          <cell r="H249">
            <v>2</v>
          </cell>
        </row>
        <row r="250">
          <cell r="D250" t="str">
            <v>GE 282,ED2-GEOL</v>
          </cell>
          <cell r="E250" t="str">
            <v>Large Scale Surveying</v>
          </cell>
          <cell r="F250" t="str">
            <v>Dadzie Isaac</v>
          </cell>
          <cell r="G250">
            <v>159</v>
          </cell>
          <cell r="H250">
            <v>3</v>
          </cell>
        </row>
        <row r="251">
          <cell r="D251" t="str">
            <v>GED 258,ED2-GEOL</v>
          </cell>
          <cell r="E251" t="str">
            <v>Optical Mineralogy</v>
          </cell>
          <cell r="F251" t="str">
            <v>Wilson Matthew Coffie/Brako Blestmond Afrifa</v>
          </cell>
          <cell r="G251">
            <v>159</v>
          </cell>
          <cell r="H251">
            <v>2</v>
          </cell>
        </row>
        <row r="252">
          <cell r="D252" t="str">
            <v>GED 254,ED2-GEOL</v>
          </cell>
          <cell r="E252" t="str">
            <v>Rock Engineering</v>
          </cell>
          <cell r="F252" t="str">
            <v>Gidigasu Solomon Senyo Robert</v>
          </cell>
          <cell r="G252">
            <v>159</v>
          </cell>
          <cell r="H252">
            <v>2</v>
          </cell>
        </row>
        <row r="253">
          <cell r="D253" t="str">
            <v>GED 252,ED2-GEOL</v>
          </cell>
          <cell r="E253" t="str">
            <v>Stratigraphy</v>
          </cell>
          <cell r="F253" t="str">
            <v>Amedjoe Godfrey Chiri</v>
          </cell>
          <cell r="G253">
            <v>159</v>
          </cell>
          <cell r="H253">
            <v>3</v>
          </cell>
        </row>
        <row r="254">
          <cell r="D254" t="str">
            <v>GED 370,ED3-GEOL</v>
          </cell>
          <cell r="E254" t="str">
            <v>Foundation Engineering</v>
          </cell>
          <cell r="F254" t="str">
            <v> Andrew C. Amenuvor</v>
          </cell>
          <cell r="G254">
            <v>194</v>
          </cell>
          <cell r="H254">
            <v>3</v>
          </cell>
        </row>
        <row r="255">
          <cell r="D255" t="str">
            <v>GED 366,ED3-GEOL</v>
          </cell>
          <cell r="E255" t="str">
            <v>Mineral Economics and Evaluation</v>
          </cell>
          <cell r="F255" t="str">
            <v>Foli Gordon</v>
          </cell>
          <cell r="G255">
            <v>194</v>
          </cell>
          <cell r="H255">
            <v>3</v>
          </cell>
        </row>
        <row r="256">
          <cell r="D256" t="str">
            <v>GED 342,ED3-GEOL</v>
          </cell>
          <cell r="E256" t="str">
            <v>Mining Principles</v>
          </cell>
          <cell r="F256" t="str">
            <v>Owusu-Sarpong Seth/Wilson Matthew Coffie</v>
          </cell>
          <cell r="G256">
            <v>194</v>
          </cell>
          <cell r="H256">
            <v>2</v>
          </cell>
        </row>
        <row r="257">
          <cell r="D257" t="str">
            <v>GED 352,ED3-GEOL</v>
          </cell>
          <cell r="E257" t="str">
            <v>Principles of Geochemistry</v>
          </cell>
          <cell r="F257" t="str">
            <v>Gawu Simon Kafui Yawo</v>
          </cell>
          <cell r="G257">
            <v>194</v>
          </cell>
          <cell r="H257">
            <v>2</v>
          </cell>
        </row>
        <row r="258">
          <cell r="D258" t="str">
            <v>GED 354,ED3-GEOL</v>
          </cell>
          <cell r="E258" t="str">
            <v>Principles of Geophysics</v>
          </cell>
          <cell r="F258" t="str">
            <v>Ali Bukari</v>
          </cell>
          <cell r="G258">
            <v>194</v>
          </cell>
          <cell r="H258">
            <v>3</v>
          </cell>
        </row>
        <row r="259">
          <cell r="D259" t="str">
            <v>GED 364,ED3-GEOL</v>
          </cell>
          <cell r="E259" t="str">
            <v>Structural Geology</v>
          </cell>
          <cell r="F259" t="str">
            <v>Amedjoe Godfrey Chiri/Wilson Matthew Coffie</v>
          </cell>
          <cell r="G259">
            <v>194</v>
          </cell>
          <cell r="H259">
            <v>3</v>
          </cell>
        </row>
        <row r="260">
          <cell r="D260" t="str">
            <v>GED 452,ED4-GEOL</v>
          </cell>
          <cell r="E260" t="str">
            <v>Advanced Engineering Geology</v>
          </cell>
          <cell r="F260" t="str">
            <v>Gidigasu Solomon Senyo Robert</v>
          </cell>
          <cell r="G260">
            <v>149</v>
          </cell>
          <cell r="H260">
            <v>2</v>
          </cell>
        </row>
        <row r="261">
          <cell r="D261" t="str">
            <v>GED 462,ED4-GEOL</v>
          </cell>
          <cell r="E261" t="str">
            <v>Economic Geology</v>
          </cell>
          <cell r="F261" t="str">
            <v>Mensah Emmanuel</v>
          </cell>
          <cell r="G261">
            <v>149</v>
          </cell>
          <cell r="H261">
            <v>3</v>
          </cell>
        </row>
        <row r="262">
          <cell r="D262" t="str">
            <v>GED 464,ED4-GEOL</v>
          </cell>
          <cell r="E262" t="str">
            <v>Engineering Management</v>
          </cell>
          <cell r="F262" t="str">
            <v>Takyi Gabriel</v>
          </cell>
          <cell r="G262">
            <v>149</v>
          </cell>
          <cell r="H262">
            <v>2</v>
          </cell>
        </row>
        <row r="263">
          <cell r="D263" t="str">
            <v>GED 454,ED4-GEOL</v>
          </cell>
          <cell r="E263" t="str">
            <v>Environmental Geology</v>
          </cell>
          <cell r="F263" t="str">
            <v>Foli Gordon</v>
          </cell>
          <cell r="G263">
            <v>149</v>
          </cell>
          <cell r="H263">
            <v>2</v>
          </cell>
        </row>
        <row r="264">
          <cell r="D264" t="str">
            <v>GED 468,ED4-GEOL</v>
          </cell>
          <cell r="E264" t="str">
            <v>Geostatistics</v>
          </cell>
          <cell r="F264" t="str">
            <v>Nuamah Daniel Oduro Boatey</v>
          </cell>
          <cell r="G264">
            <v>95</v>
          </cell>
          <cell r="H264">
            <v>3</v>
          </cell>
        </row>
        <row r="265">
          <cell r="D265" t="str">
            <v>CE 478,ED4-GEOL</v>
          </cell>
          <cell r="E265" t="str">
            <v>Ground Engineering</v>
          </cell>
          <cell r="F265" t="str">
            <v>Gidigasu Solomon Senyo Robert</v>
          </cell>
          <cell r="G265">
            <v>3</v>
          </cell>
          <cell r="H265">
            <v>3</v>
          </cell>
        </row>
        <row r="266">
          <cell r="D266" t="str">
            <v>GED 476,ED4-GEOL</v>
          </cell>
          <cell r="E266" t="str">
            <v>Groundwater Development</v>
          </cell>
          <cell r="F266" t="str">
            <v>Asare Albert</v>
          </cell>
          <cell r="G266">
            <v>149</v>
          </cell>
          <cell r="H266">
            <v>3</v>
          </cell>
        </row>
        <row r="267">
          <cell r="D267" t="str">
            <v>GED 466,ED4-GEOL</v>
          </cell>
          <cell r="E267" t="str">
            <v>Petroleum Geology</v>
          </cell>
          <cell r="F267" t="str">
            <v>Foli Gordon</v>
          </cell>
          <cell r="G267">
            <v>58</v>
          </cell>
          <cell r="H267">
            <v>3</v>
          </cell>
        </row>
        <row r="268">
          <cell r="D268" t="str">
            <v>EE 152,ED1-GEOM</v>
          </cell>
          <cell r="E268" t="str">
            <v>Basic Electronics</v>
          </cell>
          <cell r="F268" t="str">
            <v>Twumasi Elvis</v>
          </cell>
          <cell r="G268">
            <v>103</v>
          </cell>
          <cell r="H268">
            <v>2</v>
          </cell>
        </row>
        <row r="269">
          <cell r="D269" t="str">
            <v>ENGL 158,ED1-GEOM</v>
          </cell>
          <cell r="E269" t="str">
            <v>Communication Skills II</v>
          </cell>
          <cell r="F269" t="str">
            <v>Yeboah Philomena Ama Okyeso</v>
          </cell>
          <cell r="G269">
            <v>103</v>
          </cell>
          <cell r="H269">
            <v>2</v>
          </cell>
        </row>
        <row r="270">
          <cell r="D270" t="str">
            <v>MATH 152,ED1-GEOM</v>
          </cell>
          <cell r="E270" t="str">
            <v>Calculus with Analysis</v>
          </cell>
          <cell r="F270" t="str">
            <v>Barnes Benedict</v>
          </cell>
          <cell r="G270">
            <v>103</v>
          </cell>
          <cell r="H270">
            <v>4</v>
          </cell>
        </row>
        <row r="271">
          <cell r="D271" t="str">
            <v>GE 158,ED1-GEOM</v>
          </cell>
          <cell r="E271" t="str">
            <v>Introduction to Information Technology</v>
          </cell>
          <cell r="F271" t="str">
            <v>Kwarteng Efiba Vidda Senkyire</v>
          </cell>
          <cell r="G271">
            <v>103</v>
          </cell>
          <cell r="H271">
            <v>2</v>
          </cell>
        </row>
        <row r="272">
          <cell r="D272" t="str">
            <v>GE 152,ED1-GEOM</v>
          </cell>
          <cell r="E272" t="str">
            <v>Reproduction Cartography</v>
          </cell>
          <cell r="F272" t="str">
            <v>Quaye-Ballard Jonathan Arthur</v>
          </cell>
          <cell r="G272">
            <v>103</v>
          </cell>
          <cell r="H272">
            <v>3</v>
          </cell>
        </row>
        <row r="273">
          <cell r="D273" t="str">
            <v>GE 162,ED1-GEOM</v>
          </cell>
          <cell r="E273" t="str">
            <v>Large Scale Surveying</v>
          </cell>
          <cell r="F273" t="str">
            <v>Ayer John Wise Divine</v>
          </cell>
          <cell r="G273">
            <v>103</v>
          </cell>
          <cell r="H273">
            <v>3</v>
          </cell>
        </row>
        <row r="274">
          <cell r="D274" t="str">
            <v>GE 192,ED1-GEOM</v>
          </cell>
          <cell r="E274" t="str">
            <v>Practical Task I</v>
          </cell>
          <cell r="F274" t="str">
            <v xml:space="preserve">Asare Yaw Mensah </v>
          </cell>
          <cell r="G274">
            <v>103</v>
          </cell>
          <cell r="H274">
            <v>3</v>
          </cell>
        </row>
        <row r="275">
          <cell r="D275" t="str">
            <v>ENGL 264,ED2-GEOM</v>
          </cell>
          <cell r="E275" t="str">
            <v>Literature in English II</v>
          </cell>
          <cell r="F275" t="str">
            <v>Yeboah Philomena Ama Okyeso</v>
          </cell>
          <cell r="G275">
            <v>109</v>
          </cell>
          <cell r="H275">
            <v>1</v>
          </cell>
        </row>
        <row r="276">
          <cell r="D276" t="str">
            <v>MATH 252,ED2-GEOM</v>
          </cell>
          <cell r="E276" t="str">
            <v>Calculus with Several Variables</v>
          </cell>
          <cell r="F276" t="str">
            <v>J.K.K Asamoah</v>
          </cell>
          <cell r="G276">
            <v>109</v>
          </cell>
          <cell r="H276">
            <v>4</v>
          </cell>
        </row>
        <row r="277">
          <cell r="D277" t="str">
            <v>GE 272,ED2-GEOM</v>
          </cell>
          <cell r="E277" t="str">
            <v>Engineering Survey II</v>
          </cell>
          <cell r="F277" t="str">
            <v>Arko-Adjei Anthony</v>
          </cell>
          <cell r="G277">
            <v>109</v>
          </cell>
          <cell r="H277">
            <v>3</v>
          </cell>
        </row>
        <row r="278">
          <cell r="D278" t="str">
            <v>GE 284,ED2-GEOM</v>
          </cell>
          <cell r="E278" t="str">
            <v>Hydrographic Surveying and Marine Science</v>
          </cell>
          <cell r="F278" t="str">
            <v>Asante Cosmas Yaw</v>
          </cell>
          <cell r="G278">
            <v>109</v>
          </cell>
          <cell r="H278">
            <v>3</v>
          </cell>
        </row>
        <row r="279">
          <cell r="D279" t="str">
            <v>GE 262,ED2-GEOM</v>
          </cell>
          <cell r="E279" t="str">
            <v>Principles of Remote Sensing</v>
          </cell>
          <cell r="F279" t="str">
            <v>Yaw Mensah</v>
          </cell>
          <cell r="G279">
            <v>109</v>
          </cell>
          <cell r="H279">
            <v>3</v>
          </cell>
        </row>
        <row r="280">
          <cell r="D280" t="str">
            <v>CE 260,ED2-GEOM</v>
          </cell>
          <cell r="E280" t="str">
            <v>Soil and Rock Mechanics</v>
          </cell>
          <cell r="F280" t="str">
            <v>Owusu-Nimo Frederick</v>
          </cell>
          <cell r="G280">
            <v>109</v>
          </cell>
          <cell r="H280">
            <v>3</v>
          </cell>
        </row>
        <row r="281">
          <cell r="D281" t="str">
            <v>GE 292,ED2-GEOM</v>
          </cell>
          <cell r="E281" t="str">
            <v>Practical Task II</v>
          </cell>
          <cell r="F281" t="str">
            <v xml:space="preserve">Asare Yaw Mensah </v>
          </cell>
          <cell r="G281">
            <v>109</v>
          </cell>
          <cell r="H281">
            <v>4</v>
          </cell>
        </row>
        <row r="282">
          <cell r="D282" t="str">
            <v>ECON 152,ED3-GEOM</v>
          </cell>
          <cell r="E282" t="str">
            <v>Elements of Economics II</v>
          </cell>
          <cell r="F282" t="str">
            <v>Takyi Paul Owusu</v>
          </cell>
          <cell r="G282">
            <v>24</v>
          </cell>
          <cell r="H282">
            <v>2</v>
          </cell>
        </row>
        <row r="283">
          <cell r="D283" t="str">
            <v>CSM 158,ED3-GEOM</v>
          </cell>
          <cell r="E283" t="str">
            <v>Intoduction to Financial Accounting II</v>
          </cell>
          <cell r="F283" t="str">
            <v>Yeboah Edward</v>
          </cell>
          <cell r="G283">
            <v>48</v>
          </cell>
          <cell r="H283">
            <v>2</v>
          </cell>
        </row>
        <row r="284">
          <cell r="D284" t="str">
            <v>FC 182,ED3-GEOM</v>
          </cell>
          <cell r="E284" t="str">
            <v>French for Communication II</v>
          </cell>
          <cell r="F284" t="str">
            <v>Osei-Danso Harriet Efua</v>
          </cell>
          <cell r="G284">
            <v>89</v>
          </cell>
          <cell r="H284">
            <v>2</v>
          </cell>
        </row>
        <row r="285">
          <cell r="D285" t="str">
            <v>GE 372,ED3-GEOM</v>
          </cell>
          <cell r="E285" t="str">
            <v>Analysis of Errors</v>
          </cell>
          <cell r="F285" t="str">
            <v>C. Fosu</v>
          </cell>
          <cell r="G285">
            <v>159</v>
          </cell>
          <cell r="H285">
            <v>3</v>
          </cell>
        </row>
        <row r="286">
          <cell r="D286" t="str">
            <v>GE 362,ED3-GEOM</v>
          </cell>
          <cell r="E286" t="str">
            <v>Principles of GIS</v>
          </cell>
          <cell r="F286" t="str">
            <v>Forkuo Eric Kwabena</v>
          </cell>
          <cell r="G286">
            <v>159</v>
          </cell>
          <cell r="H286">
            <v>3</v>
          </cell>
        </row>
        <row r="287">
          <cell r="D287" t="str">
            <v>GE 354,ED3-GEOM</v>
          </cell>
          <cell r="E287" t="str">
            <v>Satellite Surveying</v>
          </cell>
          <cell r="F287" t="str">
            <v>S. A. Akorful-Andam</v>
          </cell>
          <cell r="G287">
            <v>159</v>
          </cell>
          <cell r="H287">
            <v>3</v>
          </cell>
        </row>
        <row r="288">
          <cell r="D288" t="str">
            <v>CE 368,ED3-GEOM</v>
          </cell>
          <cell r="E288" t="str">
            <v>Transportation and Highway II</v>
          </cell>
          <cell r="F288" t="str">
            <v>Obeng Daniel Atuah</v>
          </cell>
          <cell r="G288">
            <v>159</v>
          </cell>
          <cell r="H288">
            <v>3</v>
          </cell>
        </row>
        <row r="289">
          <cell r="D289" t="str">
            <v>PL 251/2,ED3-GEOM</v>
          </cell>
          <cell r="E289" t="str">
            <v>Planning The Physical Environment</v>
          </cell>
          <cell r="F289" t="str">
            <v>Aboagye Prince Anokye</v>
          </cell>
          <cell r="G289">
            <v>159</v>
          </cell>
          <cell r="H289">
            <v>2</v>
          </cell>
        </row>
        <row r="290">
          <cell r="D290" t="str">
            <v>GE 464,ED4-GEOM</v>
          </cell>
          <cell r="E290" t="str">
            <v>Database Systems</v>
          </cell>
          <cell r="F290" t="str">
            <v>Ayer John Wise Divine</v>
          </cell>
          <cell r="G290">
            <v>93</v>
          </cell>
          <cell r="H290">
            <v>3</v>
          </cell>
        </row>
        <row r="291">
          <cell r="D291" t="str">
            <v>GE 472,ED4-GEOM</v>
          </cell>
          <cell r="E291" t="str">
            <v>Land Law and Registration</v>
          </cell>
          <cell r="F291" t="str">
            <v>Arko-Adjei Anthony</v>
          </cell>
          <cell r="G291">
            <v>93</v>
          </cell>
          <cell r="H291">
            <v>3</v>
          </cell>
        </row>
        <row r="292">
          <cell r="D292" t="str">
            <v>GE 474,ED4-GEOM</v>
          </cell>
          <cell r="E292" t="str">
            <v>Principles of Valuation of Land and Building</v>
          </cell>
          <cell r="F292" t="str">
            <v>Ayitey Jonathan</v>
          </cell>
          <cell r="G292">
            <v>93</v>
          </cell>
          <cell r="H292">
            <v>3</v>
          </cell>
        </row>
        <row r="293">
          <cell r="D293" t="str">
            <v>GE 476,ED4-GEOM</v>
          </cell>
          <cell r="E293" t="str">
            <v>Professional Studies and Development</v>
          </cell>
          <cell r="F293" t="str">
            <v>Akrofi Emmanuel Offei</v>
          </cell>
          <cell r="G293">
            <v>93</v>
          </cell>
          <cell r="H293">
            <v>3</v>
          </cell>
        </row>
        <row r="294">
          <cell r="D294" t="str">
            <v>EE 152,ED1-IND</v>
          </cell>
          <cell r="E294" t="str">
            <v>Basic Electronics</v>
          </cell>
          <cell r="F294" t="str">
            <v>Twumasi Elvis</v>
          </cell>
          <cell r="G294">
            <v>70</v>
          </cell>
          <cell r="H294">
            <v>2</v>
          </cell>
        </row>
        <row r="295">
          <cell r="D295" t="str">
            <v>ENGL 158,ED1-IND</v>
          </cell>
          <cell r="E295" t="str">
            <v>Communication Skills II</v>
          </cell>
          <cell r="F295" t="str">
            <v>Yeboah Philomena Ama Okyeso</v>
          </cell>
          <cell r="G295">
            <v>70</v>
          </cell>
          <cell r="H295">
            <v>2</v>
          </cell>
        </row>
        <row r="296">
          <cell r="D296" t="str">
            <v>MATH 152,ED1-IND</v>
          </cell>
          <cell r="E296" t="str">
            <v>Calculus with Analysis</v>
          </cell>
          <cell r="F296" t="str">
            <v>Ezearn Jeffery</v>
          </cell>
          <cell r="G296">
            <v>70</v>
          </cell>
          <cell r="H296">
            <v>4</v>
          </cell>
        </row>
        <row r="297">
          <cell r="D297" t="str">
            <v>ME 168,ED1-IND</v>
          </cell>
          <cell r="E297" t="str">
            <v>Computer Programming for Engineers</v>
          </cell>
          <cell r="F297" t="str">
            <v>Dzebre Denis Kwame Edem</v>
          </cell>
          <cell r="G297">
            <v>70</v>
          </cell>
          <cell r="H297">
            <v>2</v>
          </cell>
        </row>
        <row r="298">
          <cell r="D298" t="str">
            <v>ME 160,ED1-IND</v>
          </cell>
          <cell r="E298" t="str">
            <v>Engineering Drawing</v>
          </cell>
          <cell r="F298" t="str">
            <v>Sekyere Charles Kofi Kafui</v>
          </cell>
          <cell r="G298">
            <v>70</v>
          </cell>
          <cell r="H298">
            <v>3</v>
          </cell>
        </row>
        <row r="299">
          <cell r="D299" t="str">
            <v>ME 164,ED1-IND</v>
          </cell>
          <cell r="E299" t="str">
            <v>Statics of Solid Mechanics</v>
          </cell>
          <cell r="F299" t="str">
            <v>Amoabeng Kofi Owura</v>
          </cell>
          <cell r="G299">
            <v>70</v>
          </cell>
          <cell r="H299">
            <v>2</v>
          </cell>
        </row>
        <row r="300">
          <cell r="D300" t="str">
            <v>IE 174,ED1-IND</v>
          </cell>
          <cell r="E300" t="str">
            <v>First Year Design Project</v>
          </cell>
          <cell r="F300" t="str">
            <v>Afriyie Nyarko Frank Kwabena</v>
          </cell>
          <cell r="G300">
            <v>70</v>
          </cell>
          <cell r="H300">
            <v>2</v>
          </cell>
        </row>
        <row r="301">
          <cell r="D301" t="str">
            <v>ENGL 264,ED2-IND</v>
          </cell>
          <cell r="E301" t="str">
            <v>Literature in English II</v>
          </cell>
          <cell r="F301" t="str">
            <v>Yeboah Philomena Ama Okyeso</v>
          </cell>
          <cell r="G301">
            <v>132</v>
          </cell>
          <cell r="H301">
            <v>1</v>
          </cell>
        </row>
        <row r="302">
          <cell r="D302" t="str">
            <v>MATH 252,ED2-IND</v>
          </cell>
          <cell r="E302" t="str">
            <v>Calculus with Several Variables</v>
          </cell>
          <cell r="F302" t="str">
            <v>Wireko Fredrick Asenso</v>
          </cell>
          <cell r="G302">
            <v>132</v>
          </cell>
          <cell r="H302">
            <v>4</v>
          </cell>
        </row>
        <row r="303">
          <cell r="D303" t="str">
            <v>ME 252,ED2-IND</v>
          </cell>
          <cell r="E303" t="str">
            <v>Fluid Dynamics I</v>
          </cell>
          <cell r="F303" t="str">
            <v>Fiagbe Yesuenyeagbe Atsu Kwabla</v>
          </cell>
          <cell r="G303">
            <v>132</v>
          </cell>
          <cell r="H303">
            <v>2</v>
          </cell>
        </row>
        <row r="304">
          <cell r="D304" t="str">
            <v>ME 270,ED2-IND</v>
          </cell>
          <cell r="E304" t="str">
            <v>Manufacturing Technology</v>
          </cell>
          <cell r="F304" t="str">
            <v>Boahen Samuel</v>
          </cell>
          <cell r="G304">
            <v>132</v>
          </cell>
          <cell r="H304">
            <v>3</v>
          </cell>
        </row>
        <row r="305">
          <cell r="D305" t="str">
            <v>ME 264,ED2-IND</v>
          </cell>
          <cell r="E305" t="str">
            <v>Mechanism Synthesis and Analysis I</v>
          </cell>
          <cell r="F305" t="str">
            <v>Ampofo Joshua</v>
          </cell>
          <cell r="G305">
            <v>132</v>
          </cell>
          <cell r="H305">
            <v>3</v>
          </cell>
        </row>
        <row r="306">
          <cell r="D306" t="str">
            <v>ME 266,ED2-IND</v>
          </cell>
          <cell r="E306" t="str">
            <v>Thermodynamics I</v>
          </cell>
          <cell r="F306" t="str">
            <v>Amoabeng Kofi Owura</v>
          </cell>
          <cell r="G306">
            <v>132</v>
          </cell>
          <cell r="H306">
            <v>2</v>
          </cell>
        </row>
        <row r="307">
          <cell r="D307" t="str">
            <v>IE 274,ED2-IND</v>
          </cell>
          <cell r="E307" t="str">
            <v>Second Year Design Project</v>
          </cell>
          <cell r="F307" t="str">
            <v>Afriyie Nyarko Frank Kwabena</v>
          </cell>
          <cell r="G307">
            <v>132</v>
          </cell>
          <cell r="H307">
            <v>2</v>
          </cell>
        </row>
        <row r="308">
          <cell r="D308" t="str">
            <v>IE 296,ED2-IND</v>
          </cell>
          <cell r="E308" t="str">
            <v>Industrial Engineeging Laboratory II</v>
          </cell>
          <cell r="F308" t="str">
            <v>Boahen Samuel</v>
          </cell>
          <cell r="G308">
            <v>132</v>
          </cell>
          <cell r="H308">
            <v>1</v>
          </cell>
        </row>
        <row r="309">
          <cell r="D309" t="str">
            <v>IE 366,ED3-IND</v>
          </cell>
          <cell r="E309" t="str">
            <v>Advanced Manufacturing Technology I</v>
          </cell>
          <cell r="F309" t="str">
            <v>Takyi Gabriel</v>
          </cell>
          <cell r="G309">
            <v>149</v>
          </cell>
          <cell r="H309">
            <v>3</v>
          </cell>
        </row>
        <row r="310">
          <cell r="D310" t="str">
            <v>IE 358,ED3-IND</v>
          </cell>
          <cell r="E310" t="str">
            <v>Computer-Aided Design and Manufacturing</v>
          </cell>
          <cell r="F310" t="str">
            <v>Afriyie Nyarko Frank Kwabena</v>
          </cell>
          <cell r="G310">
            <v>149</v>
          </cell>
          <cell r="H310">
            <v>3</v>
          </cell>
        </row>
        <row r="311">
          <cell r="D311" t="str">
            <v>IE 354,ED3-IND</v>
          </cell>
          <cell r="E311" t="str">
            <v>Logistics and Supply Chain Engineering</v>
          </cell>
          <cell r="F311" t="str">
            <v>Kesse Martin Appiah</v>
          </cell>
          <cell r="G311">
            <v>149</v>
          </cell>
          <cell r="H311">
            <v>2</v>
          </cell>
        </row>
        <row r="312">
          <cell r="D312" t="str">
            <v>IE 368,ED3-IND</v>
          </cell>
          <cell r="E312" t="str">
            <v>Operations Research II</v>
          </cell>
          <cell r="F312" t="str">
            <v>Kesse Martin Appiah</v>
          </cell>
          <cell r="G312">
            <v>149</v>
          </cell>
          <cell r="H312">
            <v>2</v>
          </cell>
        </row>
        <row r="313">
          <cell r="D313" t="str">
            <v>IE 360,ED3-IND</v>
          </cell>
          <cell r="E313" t="str">
            <v>Quality Assurance</v>
          </cell>
          <cell r="F313" t="str">
            <v>Sackey Samuel Mensah</v>
          </cell>
          <cell r="G313">
            <v>149</v>
          </cell>
          <cell r="H313">
            <v>2</v>
          </cell>
        </row>
        <row r="314">
          <cell r="D314" t="str">
            <v>IE 356,ED3-IND</v>
          </cell>
          <cell r="E314" t="str">
            <v>Reliability Engineering</v>
          </cell>
          <cell r="F314" t="str">
            <v>Takyi Gabriel</v>
          </cell>
          <cell r="G314">
            <v>149</v>
          </cell>
          <cell r="H314">
            <v>3</v>
          </cell>
        </row>
        <row r="315">
          <cell r="D315" t="str">
            <v>IE 362,ED3-IND</v>
          </cell>
          <cell r="E315" t="str">
            <v>Industrial Engineering Lab III</v>
          </cell>
          <cell r="F315" t="str">
            <v>Oppong David Kofi</v>
          </cell>
          <cell r="G315">
            <v>149</v>
          </cell>
          <cell r="H315">
            <v>1</v>
          </cell>
        </row>
        <row r="316">
          <cell r="D316" t="str">
            <v>IE 452,ED4-IND</v>
          </cell>
          <cell r="E316" t="str">
            <v>Automation and Production System</v>
          </cell>
          <cell r="F316" t="str">
            <v>Sackey Samuel Mensah</v>
          </cell>
          <cell r="G316">
            <v>39</v>
          </cell>
          <cell r="H316">
            <v>2</v>
          </cell>
        </row>
        <row r="317">
          <cell r="D317" t="str">
            <v>IE 458,ED4-IND</v>
          </cell>
          <cell r="E317" t="str">
            <v>Human Factors and Ergonomics</v>
          </cell>
          <cell r="F317" t="str">
            <v>Sackey Samuel Mensah</v>
          </cell>
          <cell r="G317">
            <v>39</v>
          </cell>
          <cell r="H317">
            <v>3</v>
          </cell>
        </row>
        <row r="318">
          <cell r="D318" t="str">
            <v>ME 494,ED4-IND</v>
          </cell>
          <cell r="E318" t="str">
            <v xml:space="preserve">Maintenance Engineering </v>
          </cell>
          <cell r="F318" t="str">
            <v>Oppong Tawiah Peter</v>
          </cell>
          <cell r="G318">
            <v>39</v>
          </cell>
          <cell r="H318">
            <v>3</v>
          </cell>
        </row>
        <row r="319">
          <cell r="D319" t="str">
            <v>IE 454,ED4-IND</v>
          </cell>
          <cell r="E319" t="str">
            <v>Production Planning and Control</v>
          </cell>
          <cell r="F319" t="str">
            <v>Dzebre Denis Kwame Edem</v>
          </cell>
          <cell r="G319">
            <v>39</v>
          </cell>
          <cell r="H319">
            <v>3</v>
          </cell>
        </row>
        <row r="320">
          <cell r="D320" t="str">
            <v>IE 456,ED4-IND</v>
          </cell>
          <cell r="E320" t="str">
            <v>Systems Integration</v>
          </cell>
          <cell r="F320" t="str">
            <v>Tay Godwin Fabiola Kwaku</v>
          </cell>
          <cell r="G320">
            <v>39</v>
          </cell>
          <cell r="H320">
            <v>1</v>
          </cell>
        </row>
        <row r="321">
          <cell r="D321" t="str">
            <v>ME 492,ED4-IND</v>
          </cell>
          <cell r="E321" t="str">
            <v>Management and Entrepreneurship Development</v>
          </cell>
          <cell r="F321" t="str">
            <v>SHM Aikins/LD Mensah/C Asiedu</v>
          </cell>
          <cell r="G321">
            <v>39</v>
          </cell>
          <cell r="H321">
            <v>2</v>
          </cell>
        </row>
        <row r="322">
          <cell r="D322" t="str">
            <v>EE 152,ED1-MARI</v>
          </cell>
          <cell r="E322" t="str">
            <v>Basic Electronics</v>
          </cell>
          <cell r="F322" t="str">
            <v>Asigri Peter</v>
          </cell>
          <cell r="G322">
            <v>29</v>
          </cell>
          <cell r="H322">
            <v>2</v>
          </cell>
        </row>
        <row r="323">
          <cell r="D323" t="str">
            <v>ENGL 158,ED1-MARI</v>
          </cell>
          <cell r="E323" t="str">
            <v>Communication Skills II</v>
          </cell>
          <cell r="F323" t="str">
            <v>Yeboah Philomena Ama Okyeso</v>
          </cell>
          <cell r="G323">
            <v>29</v>
          </cell>
          <cell r="H323">
            <v>2</v>
          </cell>
        </row>
        <row r="324">
          <cell r="D324" t="str">
            <v>MATH 152,ED1-MARI</v>
          </cell>
          <cell r="E324" t="str">
            <v>Calculus with Analysis</v>
          </cell>
          <cell r="F324" t="str">
            <v>Ezearn Jeffery</v>
          </cell>
          <cell r="G324">
            <v>29</v>
          </cell>
          <cell r="H324">
            <v>4</v>
          </cell>
        </row>
        <row r="325">
          <cell r="D325" t="str">
            <v>FC 182,ED1-MARI</v>
          </cell>
          <cell r="E325" t="str">
            <v>French for Communication II</v>
          </cell>
          <cell r="F325" t="str">
            <v>Newman Freda Mensah</v>
          </cell>
          <cell r="G325">
            <v>29</v>
          </cell>
          <cell r="H325">
            <v>2</v>
          </cell>
        </row>
        <row r="326">
          <cell r="D326" t="str">
            <v>ME 168,ED1-MARI</v>
          </cell>
          <cell r="E326" t="str">
            <v>Computer Programming for Engineers</v>
          </cell>
          <cell r="F326" t="str">
            <v>Dzebre Denis Kwame Edem</v>
          </cell>
          <cell r="G326">
            <v>29</v>
          </cell>
          <cell r="H326">
            <v>2</v>
          </cell>
        </row>
        <row r="327">
          <cell r="D327" t="str">
            <v>ME 160,ED1-MARI</v>
          </cell>
          <cell r="E327" t="str">
            <v>Engineering Drawing</v>
          </cell>
          <cell r="F327" t="str">
            <v>Sekyere Charles Kofi Kafui</v>
          </cell>
          <cell r="G327">
            <v>29</v>
          </cell>
          <cell r="H327">
            <v>3</v>
          </cell>
        </row>
        <row r="328">
          <cell r="D328" t="str">
            <v>ME 164,ED1-MARI</v>
          </cell>
          <cell r="E328" t="str">
            <v>Statics of Solid Mechanics</v>
          </cell>
          <cell r="F328" t="str">
            <v>Amoabeng Kofi Owura</v>
          </cell>
          <cell r="G328">
            <v>29</v>
          </cell>
          <cell r="H328">
            <v>2</v>
          </cell>
        </row>
        <row r="329">
          <cell r="D329" t="str">
            <v>MME 174,ED1-MARI</v>
          </cell>
          <cell r="E329" t="str">
            <v>Marine Engineering Design Project I</v>
          </cell>
          <cell r="F329" t="str">
            <v>Afriyie Nyarko Frank Kwabena</v>
          </cell>
          <cell r="G329">
            <v>29</v>
          </cell>
          <cell r="H329">
            <v>2</v>
          </cell>
        </row>
        <row r="330">
          <cell r="D330" t="str">
            <v>MATH 252,ED2-MARI</v>
          </cell>
          <cell r="E330" t="str">
            <v>Calculus with Several Variables</v>
          </cell>
          <cell r="F330" t="str">
            <v>Boateng Maxwell Akwasi</v>
          </cell>
          <cell r="G330">
            <v>75</v>
          </cell>
          <cell r="H330">
            <v>4</v>
          </cell>
        </row>
        <row r="331">
          <cell r="D331" t="str">
            <v>SES 172,ED2-MARI</v>
          </cell>
          <cell r="E331" t="str">
            <v>Aquatic Strokes Development and Refinement</v>
          </cell>
          <cell r="F331" t="str">
            <v>Afrifa Daniel</v>
          </cell>
          <cell r="G331">
            <v>75</v>
          </cell>
          <cell r="H331">
            <v>2</v>
          </cell>
        </row>
        <row r="332">
          <cell r="D332" t="str">
            <v>ME 252,ED2-MARI</v>
          </cell>
          <cell r="E332" t="str">
            <v>Fluid Dynamics I</v>
          </cell>
          <cell r="F332" t="str">
            <v>Fiagbe Yesuenyeagbe Atsu Kwabla</v>
          </cell>
          <cell r="G332">
            <v>75</v>
          </cell>
          <cell r="H332">
            <v>2</v>
          </cell>
        </row>
        <row r="333">
          <cell r="D333" t="str">
            <v>ME 270,ED2-MARI</v>
          </cell>
          <cell r="E333" t="str">
            <v>Manufacturing Technology</v>
          </cell>
          <cell r="F333" t="str">
            <v>Boahen Samuel</v>
          </cell>
          <cell r="G333">
            <v>75</v>
          </cell>
          <cell r="H333">
            <v>3</v>
          </cell>
        </row>
        <row r="334">
          <cell r="D334" t="str">
            <v>MME 264,ED2-MARI</v>
          </cell>
          <cell r="E334" t="str">
            <v>Marine Mechanisms, Systhesis and Analysis</v>
          </cell>
          <cell r="F334" t="str">
            <v>Ampofo Joshua</v>
          </cell>
          <cell r="G334">
            <v>75</v>
          </cell>
          <cell r="H334">
            <v>3</v>
          </cell>
        </row>
        <row r="335">
          <cell r="D335" t="str">
            <v>MME 292,ED2-MARI</v>
          </cell>
          <cell r="E335" t="str">
            <v>Seamanship</v>
          </cell>
          <cell r="F335" t="str">
            <v>Larkai Francis Laako</v>
          </cell>
          <cell r="G335">
            <v>75</v>
          </cell>
          <cell r="H335">
            <v>2</v>
          </cell>
        </row>
        <row r="336">
          <cell r="D336" t="str">
            <v>MME 274,ED2-MARI</v>
          </cell>
          <cell r="E336" t="str">
            <v>Marine Engineering Design Project II</v>
          </cell>
          <cell r="F336" t="str">
            <v>Afriyie Nyarko Frank Kwabena</v>
          </cell>
          <cell r="G336">
            <v>75</v>
          </cell>
          <cell r="H336">
            <v>2</v>
          </cell>
        </row>
        <row r="337">
          <cell r="D337" t="str">
            <v>MME 296,ED2-MARI</v>
          </cell>
          <cell r="E337" t="str">
            <v>Marine Engineering Laboratory I</v>
          </cell>
          <cell r="F337" t="str">
            <v>Boahen Samuel</v>
          </cell>
          <cell r="G337">
            <v>75</v>
          </cell>
          <cell r="H337">
            <v>1</v>
          </cell>
        </row>
        <row r="338">
          <cell r="D338" t="str">
            <v>ME 366,ED3-MARI</v>
          </cell>
          <cell r="E338" t="str">
            <v>Heat Transfer</v>
          </cell>
          <cell r="F338" t="str">
            <v>Forson Francis Kofi</v>
          </cell>
          <cell r="G338">
            <v>71</v>
          </cell>
          <cell r="H338">
            <v>2</v>
          </cell>
        </row>
        <row r="339">
          <cell r="D339" t="str">
            <v>MME 386,ED3-MARI</v>
          </cell>
          <cell r="E339" t="str">
            <v>Marine Electrical Technology and Electrical Measurements</v>
          </cell>
          <cell r="F339" t="str">
            <v>Frimpong Emmanuel Asuming</v>
          </cell>
          <cell r="G339">
            <v>71</v>
          </cell>
          <cell r="H339">
            <v>2</v>
          </cell>
        </row>
        <row r="340">
          <cell r="D340" t="str">
            <v>MME 392,ED3-MARI</v>
          </cell>
          <cell r="E340" t="str">
            <v>Marine Industrial Engineering and Ergonomics</v>
          </cell>
          <cell r="F340" t="str">
            <v>Mensah Lena Dzifa</v>
          </cell>
          <cell r="G340">
            <v>71</v>
          </cell>
          <cell r="H340">
            <v>2</v>
          </cell>
        </row>
        <row r="341">
          <cell r="D341" t="str">
            <v>MME 356,ED3-MARI</v>
          </cell>
          <cell r="E341" t="str">
            <v>Strength of Marine Materials II</v>
          </cell>
          <cell r="F341" t="str">
            <v>Adam Faisal Wahib</v>
          </cell>
          <cell r="G341">
            <v>71</v>
          </cell>
          <cell r="H341">
            <v>3</v>
          </cell>
        </row>
        <row r="342">
          <cell r="D342" t="str">
            <v>ME 362,ED3-MARI</v>
          </cell>
          <cell r="E342" t="str">
            <v>Vibrations I</v>
          </cell>
          <cell r="F342" t="str">
            <v>Adam Faisal Wahib</v>
          </cell>
          <cell r="G342">
            <v>71</v>
          </cell>
          <cell r="H342">
            <v>3</v>
          </cell>
        </row>
        <row r="343">
          <cell r="D343" t="str">
            <v>ME 352,ED3-MARI</v>
          </cell>
          <cell r="E343" t="str">
            <v>Fluid Dynamics II</v>
          </cell>
          <cell r="F343" t="str">
            <v>Fiagbe Yesuenyeagbe Atsu Kwabla</v>
          </cell>
          <cell r="G343">
            <v>71</v>
          </cell>
          <cell r="H343">
            <v>3</v>
          </cell>
        </row>
        <row r="344">
          <cell r="D344" t="str">
            <v>MME 382,ED3-MARI</v>
          </cell>
          <cell r="E344" t="str">
            <v>Naval Architecture I</v>
          </cell>
          <cell r="F344" t="str">
            <v>Kudzedzi Emmanuel Yaw Mawuko</v>
          </cell>
          <cell r="G344">
            <v>71</v>
          </cell>
          <cell r="H344">
            <v>2</v>
          </cell>
        </row>
        <row r="345">
          <cell r="D345" t="str">
            <v>MME 396,ED3-MARI</v>
          </cell>
          <cell r="E345" t="str">
            <v>Marine Engineering Laboratory III</v>
          </cell>
          <cell r="F345" t="str">
            <v>Tay Godwin Fabiola Kwaku</v>
          </cell>
          <cell r="G345">
            <v>71</v>
          </cell>
          <cell r="H345">
            <v>1</v>
          </cell>
        </row>
        <row r="346">
          <cell r="D346" t="str">
            <v>MME 462,ED4-MARI</v>
          </cell>
          <cell r="E346" t="str">
            <v>Marine Control Engineering and Automation</v>
          </cell>
          <cell r="F346" t="str">
            <v>Adjei Eunice Akyereko</v>
          </cell>
          <cell r="G346">
            <v>26</v>
          </cell>
          <cell r="H346">
            <v>3</v>
          </cell>
        </row>
        <row r="347">
          <cell r="D347" t="str">
            <v>MME 494,ED4-MARI</v>
          </cell>
          <cell r="E347" t="str">
            <v>Marine Maintenance Engineering</v>
          </cell>
          <cell r="F347" t="str">
            <v>Oppong Tawiah Peter</v>
          </cell>
          <cell r="G347">
            <v>26</v>
          </cell>
          <cell r="H347">
            <v>2</v>
          </cell>
        </row>
        <row r="348">
          <cell r="D348" t="str">
            <v>MME 482,ED4-MARI</v>
          </cell>
          <cell r="E348" t="str">
            <v>Naval Architecture II</v>
          </cell>
          <cell r="F348" t="str">
            <v>Kudzedzi Emmanuel Yaw Mawuko</v>
          </cell>
          <cell r="G348">
            <v>26</v>
          </cell>
          <cell r="H348">
            <v>2</v>
          </cell>
        </row>
        <row r="349">
          <cell r="D349" t="str">
            <v>MME 476,ED4-MARI</v>
          </cell>
          <cell r="E349" t="str">
            <v>Ship Construction</v>
          </cell>
          <cell r="F349" t="str">
            <v>Kudzedzi Emmanuel Yaw Mawuko</v>
          </cell>
          <cell r="G349">
            <v>26</v>
          </cell>
          <cell r="H349">
            <v>3</v>
          </cell>
        </row>
        <row r="350">
          <cell r="D350" t="str">
            <v>MME 486,ED4-MARI</v>
          </cell>
          <cell r="E350" t="str">
            <v>Ship Safety, Environmental Protection and Safe Watch Keeping</v>
          </cell>
          <cell r="F350" t="str">
            <v>Larkai Francis Laako</v>
          </cell>
          <cell r="G350">
            <v>26</v>
          </cell>
          <cell r="H350">
            <v>2</v>
          </cell>
        </row>
        <row r="351">
          <cell r="D351" t="str">
            <v>MME 492,ED4-MARI</v>
          </cell>
          <cell r="E351" t="str">
            <v>Ship Operation, Regulation and Management</v>
          </cell>
          <cell r="F351" t="str">
            <v>Larkai Francis Laako</v>
          </cell>
          <cell r="G351">
            <v>26</v>
          </cell>
          <cell r="H351">
            <v>2</v>
          </cell>
        </row>
        <row r="352">
          <cell r="D352" t="str">
            <v>EE 152,ED1-ME</v>
          </cell>
          <cell r="E352" t="str">
            <v>Basic Electronics</v>
          </cell>
          <cell r="F352" t="str">
            <v>Asigri Peter</v>
          </cell>
          <cell r="G352">
            <v>161</v>
          </cell>
          <cell r="H352">
            <v>2</v>
          </cell>
        </row>
        <row r="353">
          <cell r="D353" t="str">
            <v>ENGL 158,ED1-ME</v>
          </cell>
          <cell r="E353" t="str">
            <v>Communication Skills II</v>
          </cell>
          <cell r="F353" t="str">
            <v>Yeboah Philomena Ama Okyeso</v>
          </cell>
          <cell r="G353">
            <v>161</v>
          </cell>
          <cell r="H353">
            <v>2</v>
          </cell>
        </row>
        <row r="354">
          <cell r="D354" t="str">
            <v>MATH 152,ED1-ME</v>
          </cell>
          <cell r="E354" t="str">
            <v>Calculus with Analysis</v>
          </cell>
          <cell r="F354" t="str">
            <v>Kwabi Prince Amponsah</v>
          </cell>
          <cell r="G354">
            <v>161</v>
          </cell>
          <cell r="H354">
            <v>4</v>
          </cell>
        </row>
        <row r="355">
          <cell r="D355" t="str">
            <v>ME 168,ED1-ME</v>
          </cell>
          <cell r="E355" t="str">
            <v>Computer Programming for Engineers</v>
          </cell>
          <cell r="F355" t="str">
            <v>Tay Godwin Fabiola Kwaku</v>
          </cell>
          <cell r="G355">
            <v>161</v>
          </cell>
          <cell r="H355">
            <v>2</v>
          </cell>
        </row>
        <row r="356">
          <cell r="D356" t="str">
            <v>ME 160,ED1-ME</v>
          </cell>
          <cell r="E356" t="str">
            <v>Engineering Drawing</v>
          </cell>
          <cell r="F356" t="str">
            <v>Sekyere Charles Kofi Kafui</v>
          </cell>
          <cell r="G356">
            <v>161</v>
          </cell>
          <cell r="H356">
            <v>3</v>
          </cell>
        </row>
        <row r="357">
          <cell r="D357" t="str">
            <v>ME 164,ED1-ME</v>
          </cell>
          <cell r="E357" t="str">
            <v>Statics of Solid Mechanics</v>
          </cell>
          <cell r="F357" t="str">
            <v>Dzebre Denis Kwame Edem</v>
          </cell>
          <cell r="G357">
            <v>161</v>
          </cell>
          <cell r="H357">
            <v>2</v>
          </cell>
        </row>
        <row r="358">
          <cell r="D358" t="str">
            <v>ME 174,ED1-ME</v>
          </cell>
          <cell r="E358" t="str">
            <v>First Year Design Project</v>
          </cell>
          <cell r="F358" t="str">
            <v>Afriyie Nyarko Frank Kwabena</v>
          </cell>
          <cell r="G358">
            <v>161</v>
          </cell>
          <cell r="H358">
            <v>2</v>
          </cell>
        </row>
        <row r="359">
          <cell r="D359" t="str">
            <v>ENGL 264,ED2-ME</v>
          </cell>
          <cell r="E359" t="str">
            <v>Literature in English II</v>
          </cell>
          <cell r="F359" t="str">
            <v>Yeboah Philomena Ama Okyeso</v>
          </cell>
          <cell r="G359">
            <v>197</v>
          </cell>
          <cell r="H359">
            <v>1</v>
          </cell>
        </row>
        <row r="360">
          <cell r="D360" t="str">
            <v>MATH 252,ED2-ME</v>
          </cell>
          <cell r="E360" t="str">
            <v>Calculus with Several Variables</v>
          </cell>
          <cell r="F360" t="str">
            <v>Boateng Maxwell Akwasi</v>
          </cell>
          <cell r="G360">
            <v>197</v>
          </cell>
          <cell r="H360">
            <v>4</v>
          </cell>
        </row>
        <row r="361">
          <cell r="D361" t="str">
            <v>ME 252,ED2-ME</v>
          </cell>
          <cell r="E361" t="str">
            <v>Fluid Dynamics I</v>
          </cell>
          <cell r="F361" t="str">
            <v>Fiagbe Yesuenyeagbe Atsu Kwabla</v>
          </cell>
          <cell r="G361">
            <v>197</v>
          </cell>
          <cell r="H361">
            <v>2</v>
          </cell>
        </row>
        <row r="362">
          <cell r="D362" t="str">
            <v>ME 270,ED2-ME</v>
          </cell>
          <cell r="E362" t="str">
            <v>Manufacturing Technology</v>
          </cell>
          <cell r="F362" t="str">
            <v>Davis Francis</v>
          </cell>
          <cell r="G362">
            <v>197</v>
          </cell>
          <cell r="H362">
            <v>3</v>
          </cell>
        </row>
        <row r="363">
          <cell r="D363" t="str">
            <v>ME 264,ED2-ME</v>
          </cell>
          <cell r="E363" t="str">
            <v>Mechanism Synthesis and Analysis I</v>
          </cell>
          <cell r="F363" t="str">
            <v>Ampofo Joshua</v>
          </cell>
          <cell r="G363">
            <v>197</v>
          </cell>
          <cell r="H363">
            <v>3</v>
          </cell>
        </row>
        <row r="364">
          <cell r="D364" t="str">
            <v>ME 266,ED2-ME</v>
          </cell>
          <cell r="E364" t="str">
            <v>Thermodynamics I</v>
          </cell>
          <cell r="F364" t="str">
            <v>Amoabeng Kofi Owura</v>
          </cell>
          <cell r="G364">
            <v>197</v>
          </cell>
          <cell r="H364">
            <v>2</v>
          </cell>
        </row>
        <row r="365">
          <cell r="D365" t="str">
            <v>ME 292,ED2-ME</v>
          </cell>
          <cell r="E365" t="str">
            <v>Industrial Engineering And Ergonomics</v>
          </cell>
          <cell r="F365" t="str">
            <v>Lena Dzifa</v>
          </cell>
        </row>
        <row r="366">
          <cell r="D366" t="str">
            <v>ME 274,ED2-ME</v>
          </cell>
          <cell r="E366" t="str">
            <v xml:space="preserve">Second Year Design Project </v>
          </cell>
          <cell r="F366" t="str">
            <v>Andoh Prince Yaw</v>
          </cell>
          <cell r="G366">
            <v>197</v>
          </cell>
          <cell r="H366">
            <v>2</v>
          </cell>
        </row>
        <row r="367">
          <cell r="D367" t="str">
            <v>ME 296,ED2-ME</v>
          </cell>
          <cell r="E367" t="str">
            <v>Mechanical Engineering Lab. II</v>
          </cell>
          <cell r="F367" t="str">
            <v>Amoabeng Kofi Owura</v>
          </cell>
          <cell r="G367">
            <v>197</v>
          </cell>
          <cell r="H367">
            <v>1</v>
          </cell>
        </row>
        <row r="368">
          <cell r="D368" t="str">
            <v>EE 252,ED3-ME</v>
          </cell>
          <cell r="E368" t="str">
            <v>Electrical Engineering Machines</v>
          </cell>
          <cell r="F368" t="str">
            <v>Emmanuel Oboubi Addo</v>
          </cell>
          <cell r="G368">
            <v>265</v>
          </cell>
          <cell r="H368">
            <v>2</v>
          </cell>
        </row>
        <row r="369">
          <cell r="D369" t="str">
            <v>ME 366,ED3-ME</v>
          </cell>
          <cell r="E369" t="str">
            <v>Heat Transfer</v>
          </cell>
          <cell r="F369" t="str">
            <v>Forson Francis Kofi</v>
          </cell>
          <cell r="G369">
            <v>265</v>
          </cell>
          <cell r="H369">
            <v>3</v>
          </cell>
        </row>
        <row r="370">
          <cell r="D370" t="str">
            <v>ME 392,ED3-ME</v>
          </cell>
          <cell r="E370" t="str">
            <v>Industrial Engineering and Ergonomics</v>
          </cell>
          <cell r="F370" t="str">
            <v>Mensah Lena Dzifa</v>
          </cell>
          <cell r="G370">
            <v>265</v>
          </cell>
          <cell r="H370">
            <v>2</v>
          </cell>
        </row>
        <row r="371">
          <cell r="D371" t="str">
            <v>ME 374,ED3-ME</v>
          </cell>
          <cell r="E371" t="str">
            <v>Machine Design</v>
          </cell>
          <cell r="F371" t="str">
            <v>Andoh Prince Yaw</v>
          </cell>
          <cell r="G371">
            <v>265</v>
          </cell>
          <cell r="H371">
            <v>2</v>
          </cell>
        </row>
        <row r="372">
          <cell r="D372" t="str">
            <v>ME 356,ED3-ME</v>
          </cell>
          <cell r="E372" t="str">
            <v>Strength of Materials II</v>
          </cell>
          <cell r="F372" t="str">
            <v>Tay Godwin Fabiola Kwaku</v>
          </cell>
          <cell r="G372">
            <v>265</v>
          </cell>
          <cell r="H372">
            <v>3</v>
          </cell>
        </row>
        <row r="373">
          <cell r="D373" t="str">
            <v>ME 362,ED3-ME</v>
          </cell>
          <cell r="E373" t="str">
            <v>Vibrations I</v>
          </cell>
          <cell r="F373" t="str">
            <v>Adam Faisal Wahib</v>
          </cell>
          <cell r="G373">
            <v>265</v>
          </cell>
          <cell r="H373">
            <v>3</v>
          </cell>
        </row>
        <row r="374">
          <cell r="D374" t="str">
            <v>ME 352,ED3-ME</v>
          </cell>
          <cell r="E374" t="str">
            <v>Fluid Mechanics II</v>
          </cell>
          <cell r="F374" t="str">
            <v>Tay Godwin Fabiola Kwaku</v>
          </cell>
          <cell r="G374">
            <v>265</v>
          </cell>
          <cell r="H374">
            <v>3</v>
          </cell>
        </row>
        <row r="375">
          <cell r="D375" t="str">
            <v>ME 396,ED3-ME</v>
          </cell>
          <cell r="E375" t="str">
            <v>Mechanical Engineering Laboratory IV</v>
          </cell>
          <cell r="F375" t="str">
            <v>Fiagbe Yesuenyeagbe Atsu Kwabla</v>
          </cell>
          <cell r="G375">
            <v>265</v>
          </cell>
          <cell r="H375">
            <v>1</v>
          </cell>
        </row>
        <row r="376">
          <cell r="D376" t="str">
            <v>ME 452,ED4-ME</v>
          </cell>
          <cell r="E376" t="str">
            <v>Fluid Machinery</v>
          </cell>
          <cell r="F376" t="str">
            <v>Opoku Richard</v>
          </cell>
          <cell r="G376">
            <v>60</v>
          </cell>
          <cell r="H376">
            <v>3</v>
          </cell>
        </row>
        <row r="377">
          <cell r="D377" t="str">
            <v>ME 464,ED4-ME</v>
          </cell>
          <cell r="E377" t="str">
            <v>Instrumentation</v>
          </cell>
          <cell r="F377" t="str">
            <v>Adjei Eunice Akyereko</v>
          </cell>
          <cell r="G377">
            <v>146</v>
          </cell>
          <cell r="H377">
            <v>2</v>
          </cell>
        </row>
        <row r="378">
          <cell r="D378" t="str">
            <v>ME 468,ED4-ME</v>
          </cell>
          <cell r="E378" t="str">
            <v>Internal Combustion Engines</v>
          </cell>
          <cell r="F378" t="str">
            <v>Forson Francis Kofi</v>
          </cell>
          <cell r="G378">
            <v>73</v>
          </cell>
          <cell r="H378">
            <v>3</v>
          </cell>
        </row>
        <row r="379">
          <cell r="D379" t="str">
            <v>ME 456,ED4-ME</v>
          </cell>
          <cell r="E379" t="str">
            <v>Introduction to Finite Element</v>
          </cell>
          <cell r="F379" t="str">
            <v>Andoh Prince Yaw</v>
          </cell>
          <cell r="G379">
            <v>10</v>
          </cell>
          <cell r="H379">
            <v>3</v>
          </cell>
        </row>
        <row r="380">
          <cell r="D380" t="str">
            <v>ME 472,ED4-ME</v>
          </cell>
          <cell r="E380" t="str">
            <v>Machine Shop and Factory Design</v>
          </cell>
          <cell r="F380" t="str">
            <v>Obeng George Yaw</v>
          </cell>
          <cell r="G380">
            <v>17</v>
          </cell>
          <cell r="H380">
            <v>3</v>
          </cell>
        </row>
        <row r="381">
          <cell r="D381" t="str">
            <v>ME 494,ED4-ME</v>
          </cell>
          <cell r="E381" t="str">
            <v>Maintenance Engineering</v>
          </cell>
          <cell r="F381" t="str">
            <v>Oppong Tawiah Peter</v>
          </cell>
          <cell r="G381">
            <v>146</v>
          </cell>
          <cell r="H381">
            <v>3</v>
          </cell>
        </row>
        <row r="382">
          <cell r="D382" t="str">
            <v>ME 482,ED4-ME</v>
          </cell>
          <cell r="E382" t="str">
            <v>Mechanical Engineering Materials III</v>
          </cell>
          <cell r="F382" t="str">
            <v>Sackey Samuel Mensah</v>
          </cell>
          <cell r="G382">
            <v>11</v>
          </cell>
          <cell r="H382">
            <v>3</v>
          </cell>
        </row>
        <row r="383">
          <cell r="D383" t="str">
            <v>ME 462,ED4-ME</v>
          </cell>
          <cell r="E383" t="str">
            <v>Mechanism Synthesis and Analysis</v>
          </cell>
          <cell r="F383" t="str">
            <v>Ampofo Joshua</v>
          </cell>
          <cell r="G383">
            <v>5</v>
          </cell>
          <cell r="H383">
            <v>3</v>
          </cell>
        </row>
        <row r="384">
          <cell r="D384" t="str">
            <v>ME 478,ED4-ME</v>
          </cell>
          <cell r="E384" t="str">
            <v>Production Engineering II</v>
          </cell>
          <cell r="F384" t="str">
            <v>Obeng George Yaw</v>
          </cell>
          <cell r="G384">
            <v>30</v>
          </cell>
          <cell r="H384">
            <v>3</v>
          </cell>
        </row>
        <row r="385">
          <cell r="D385" t="str">
            <v>ME 474,ED4-ME</v>
          </cell>
          <cell r="E385" t="str">
            <v>Production Planning and Control</v>
          </cell>
          <cell r="F385" t="str">
            <v>Dzebre Denis Kwame Edem</v>
          </cell>
          <cell r="G385">
            <v>42</v>
          </cell>
          <cell r="H385">
            <v>3</v>
          </cell>
        </row>
        <row r="386">
          <cell r="D386" t="str">
            <v>ME 496,ED4-ME</v>
          </cell>
          <cell r="E386" t="str">
            <v>Human Factors and Ergonomics</v>
          </cell>
          <cell r="F386" t="str">
            <v>Sackey Samuel Mensah</v>
          </cell>
          <cell r="G386">
            <v>33</v>
          </cell>
          <cell r="H386">
            <v>3</v>
          </cell>
        </row>
        <row r="387">
          <cell r="D387" t="str">
            <v>ME 492,ED4-ME</v>
          </cell>
          <cell r="E387" t="str">
            <v>Management and Entrepreneurship Development</v>
          </cell>
          <cell r="F387" t="str">
            <v>SHM Aikins/LD Mensah/C Asiedu</v>
          </cell>
          <cell r="G387">
            <v>146</v>
          </cell>
          <cell r="H387">
            <v>2</v>
          </cell>
        </row>
        <row r="388">
          <cell r="D388" t="str">
            <v>ENGL 158,ED1-METE</v>
          </cell>
          <cell r="E388" t="str">
            <v>Communication Skills II</v>
          </cell>
          <cell r="F388" t="str">
            <v>Alhassan Yakubu</v>
          </cell>
          <cell r="G388">
            <v>59</v>
          </cell>
          <cell r="H388">
            <v>2</v>
          </cell>
        </row>
        <row r="389">
          <cell r="D389" t="str">
            <v>MATH 152,ED1-METE</v>
          </cell>
          <cell r="E389" t="str">
            <v>Calculus with Analysis</v>
          </cell>
          <cell r="F389" t="str">
            <v>Kwame Atta Gyamfi</v>
          </cell>
          <cell r="G389">
            <v>59</v>
          </cell>
          <cell r="H389">
            <v>4</v>
          </cell>
        </row>
        <row r="390">
          <cell r="D390" t="str">
            <v>ME 162,ED1-METE</v>
          </cell>
          <cell r="E390" t="str">
            <v>Basic Mechanics</v>
          </cell>
          <cell r="F390" t="str">
            <v>Amoabeng Kofi Owura</v>
          </cell>
          <cell r="G390">
            <v>59</v>
          </cell>
          <cell r="H390">
            <v>3</v>
          </cell>
        </row>
        <row r="391">
          <cell r="D391" t="str">
            <v>METE 152,ED1-METE</v>
          </cell>
          <cell r="E391" t="str">
            <v>Chemistry for Metallurgical Engineers</v>
          </cell>
          <cell r="F391" t="str">
            <v>Agorku Eric Selorm</v>
          </cell>
          <cell r="G391">
            <v>59</v>
          </cell>
          <cell r="H391">
            <v>3</v>
          </cell>
        </row>
        <row r="392">
          <cell r="D392" t="str">
            <v>ME 160,ED1-METE</v>
          </cell>
          <cell r="E392" t="str">
            <v>Engineering Drawing</v>
          </cell>
          <cell r="F392" t="str">
            <v>Aveyire Joseph</v>
          </cell>
          <cell r="G392">
            <v>59</v>
          </cell>
          <cell r="H392">
            <v>2</v>
          </cell>
        </row>
        <row r="393">
          <cell r="D393" t="str">
            <v>METE 154,ED1-METE</v>
          </cell>
          <cell r="E393" t="str">
            <v>Environmental Science</v>
          </cell>
          <cell r="F393" t="str">
            <v>Esi Awuah/Miriam Appiah-Brempong</v>
          </cell>
          <cell r="G393">
            <v>59</v>
          </cell>
          <cell r="H393">
            <v>2</v>
          </cell>
        </row>
        <row r="394">
          <cell r="D394" t="str">
            <v>MSE 154,ED1-METE</v>
          </cell>
          <cell r="E394" t="str">
            <v>Principles of Materials Science</v>
          </cell>
          <cell r="F394" t="str">
            <v>Nartey Martinson Addo</v>
          </cell>
          <cell r="G394">
            <v>59</v>
          </cell>
          <cell r="H394">
            <v>2</v>
          </cell>
        </row>
        <row r="395">
          <cell r="D395" t="str">
            <v>MATH 252,ED2-METE</v>
          </cell>
          <cell r="E395" t="str">
            <v>Calculus with Several Variables</v>
          </cell>
          <cell r="F395" t="str">
            <v>Owusu Richard</v>
          </cell>
          <cell r="G395">
            <v>75</v>
          </cell>
          <cell r="H395">
            <v>4</v>
          </cell>
        </row>
        <row r="396">
          <cell r="D396" t="str">
            <v>METE 256,ED2-METE</v>
          </cell>
          <cell r="E396" t="str">
            <v>Assaying</v>
          </cell>
          <cell r="F396" t="str">
            <v>Koomson Bennetta</v>
          </cell>
          <cell r="G396">
            <v>75</v>
          </cell>
          <cell r="H396">
            <v>2</v>
          </cell>
        </row>
        <row r="397">
          <cell r="D397" t="str">
            <v>METE 258,ED2-METE</v>
          </cell>
          <cell r="E397" t="str">
            <v>Computer Programming and Applications</v>
          </cell>
          <cell r="F397" t="str">
            <v>Mensah-Darkwa Kwadwo</v>
          </cell>
          <cell r="G397">
            <v>75</v>
          </cell>
          <cell r="H397">
            <v>2</v>
          </cell>
        </row>
        <row r="398">
          <cell r="D398" t="str">
            <v>MSE 252,ED2-METE</v>
          </cell>
          <cell r="E398" t="str">
            <v>Heat and Mass Transport</v>
          </cell>
          <cell r="F398" t="str">
            <v>Agyemang Frank Ofori</v>
          </cell>
          <cell r="G398">
            <v>75</v>
          </cell>
          <cell r="H398">
            <v>3</v>
          </cell>
        </row>
        <row r="399">
          <cell r="D399" t="str">
            <v>METE 252,ED2-METE</v>
          </cell>
          <cell r="E399" t="str">
            <v>Metallurgical Rate Processes/Surface Phenomena</v>
          </cell>
          <cell r="F399" t="str">
            <v>Gikunoo Emmanuel</v>
          </cell>
          <cell r="G399">
            <v>75</v>
          </cell>
          <cell r="H399">
            <v>3</v>
          </cell>
        </row>
        <row r="400">
          <cell r="D400" t="str">
            <v>METE 254,ED2-METE</v>
          </cell>
          <cell r="E400" t="str">
            <v>Ore Beneficiation</v>
          </cell>
          <cell r="F400" t="str">
            <v>Koomson Bennetta</v>
          </cell>
          <cell r="G400">
            <v>75</v>
          </cell>
          <cell r="H400">
            <v>4</v>
          </cell>
        </row>
        <row r="401">
          <cell r="D401" t="str">
            <v>MSE 260,ED2-METE</v>
          </cell>
          <cell r="E401" t="str">
            <v>Phase Transformations</v>
          </cell>
          <cell r="F401" t="str">
            <v>Gikunoo Emmanuel</v>
          </cell>
          <cell r="G401">
            <v>75</v>
          </cell>
          <cell r="H401">
            <v>2</v>
          </cell>
        </row>
        <row r="402">
          <cell r="D402" t="str">
            <v>MSE 362,ED3-METE</v>
          </cell>
          <cell r="E402" t="str">
            <v>Materials Joining Processes</v>
          </cell>
          <cell r="F402" t="str">
            <v>Kwofie Samuel</v>
          </cell>
          <cell r="G402">
            <v>144</v>
          </cell>
          <cell r="H402">
            <v>3</v>
          </cell>
        </row>
        <row r="403">
          <cell r="D403" t="str">
            <v>MSE 358,ED3-METE</v>
          </cell>
          <cell r="E403" t="str">
            <v>Numerical Methods for Engineers</v>
          </cell>
          <cell r="F403" t="str">
            <v>Nartey Martinson Addo</v>
          </cell>
          <cell r="G403">
            <v>144</v>
          </cell>
          <cell r="H403">
            <v>2</v>
          </cell>
        </row>
        <row r="404">
          <cell r="D404" t="str">
            <v>METE 362,ED3-METE</v>
          </cell>
          <cell r="E404" t="str">
            <v>Physical Metallurgy of Ferrous Metals</v>
          </cell>
          <cell r="F404" t="str">
            <v>Kwofie Samuel</v>
          </cell>
          <cell r="G404">
            <v>144</v>
          </cell>
          <cell r="H404">
            <v>2</v>
          </cell>
        </row>
        <row r="405">
          <cell r="D405" t="str">
            <v>METE 354,ED3-METE</v>
          </cell>
          <cell r="E405" t="str">
            <v>Physical Metallurgy of Non-Ferrous Metals</v>
          </cell>
          <cell r="F405" t="str">
            <v>Agyemang Frank Ofori</v>
          </cell>
          <cell r="G405">
            <v>144</v>
          </cell>
          <cell r="H405">
            <v>2</v>
          </cell>
        </row>
        <row r="406">
          <cell r="D406" t="str">
            <v>METE 352,ED3-METE</v>
          </cell>
          <cell r="E406" t="str">
            <v>Hydrometallurgical Applications</v>
          </cell>
          <cell r="F406" t="str">
            <v>Agbe Henry</v>
          </cell>
          <cell r="G406">
            <v>144</v>
          </cell>
          <cell r="H406">
            <v>3</v>
          </cell>
        </row>
        <row r="407">
          <cell r="D407" t="str">
            <v>METE 358,ED3-METE</v>
          </cell>
          <cell r="E407" t="str">
            <v>Metallurgical Characterization Laboratory</v>
          </cell>
          <cell r="F407" t="str">
            <v>Arthur Emmanuel Kwesi</v>
          </cell>
          <cell r="G407">
            <v>144</v>
          </cell>
          <cell r="H407">
            <v>2</v>
          </cell>
        </row>
        <row r="408">
          <cell r="D408" t="str">
            <v>METE 356,ED3-METE</v>
          </cell>
          <cell r="E408" t="str">
            <v>Third Year Design Project</v>
          </cell>
          <cell r="F408" t="str">
            <v>Bota Osei Sekyere</v>
          </cell>
          <cell r="G408">
            <v>144</v>
          </cell>
          <cell r="H408">
            <v>3</v>
          </cell>
        </row>
        <row r="409">
          <cell r="D409" t="str">
            <v>MSE 456,ED4-METE</v>
          </cell>
          <cell r="E409" t="str">
            <v>Materials Quality Control, Assurrance and Selection</v>
          </cell>
          <cell r="F409" t="str">
            <v>Arthur Emmanuel Kwesi</v>
          </cell>
          <cell r="G409">
            <v>111</v>
          </cell>
          <cell r="H409">
            <v>3</v>
          </cell>
        </row>
        <row r="410">
          <cell r="D410" t="str">
            <v>METE 454,ED4-METE</v>
          </cell>
          <cell r="E410" t="str">
            <v>Metallurgical Waste Management</v>
          </cell>
          <cell r="F410" t="str">
            <v>Koomson Bennetta</v>
          </cell>
          <cell r="G410">
            <v>111</v>
          </cell>
          <cell r="H410">
            <v>3</v>
          </cell>
        </row>
        <row r="411">
          <cell r="D411" t="str">
            <v>METE 452,ED4-METE</v>
          </cell>
          <cell r="E411" t="str">
            <v>Electrometallurgy</v>
          </cell>
          <cell r="F411" t="str">
            <v>Agbe Henry</v>
          </cell>
          <cell r="G411">
            <v>111</v>
          </cell>
          <cell r="H411">
            <v>3</v>
          </cell>
        </row>
        <row r="412">
          <cell r="D412" t="str">
            <v>MSE 458,ED4-METE</v>
          </cell>
          <cell r="E412" t="str">
            <v>Process Dynanics and Control</v>
          </cell>
          <cell r="F412" t="str">
            <v>Adjaottor Albert Amatey</v>
          </cell>
          <cell r="G412">
            <v>111</v>
          </cell>
          <cell r="H412">
            <v>4</v>
          </cell>
        </row>
        <row r="413">
          <cell r="D413" t="str">
            <v>ME 492,ED4-METE</v>
          </cell>
          <cell r="E413" t="str">
            <v>Management and Entrepreneurship Development</v>
          </cell>
          <cell r="F413" t="str">
            <v>SHM Aikins/LD Mensah/C Asiedu</v>
          </cell>
          <cell r="G413">
            <v>111</v>
          </cell>
          <cell r="H413">
            <v>2</v>
          </cell>
        </row>
        <row r="414">
          <cell r="D414" t="str">
            <v>EE 152,ED1-MSE</v>
          </cell>
          <cell r="E414" t="str">
            <v>Basic Electronics</v>
          </cell>
          <cell r="F414" t="str">
            <v>Twumasi Evis</v>
          </cell>
          <cell r="G414">
            <v>69</v>
          </cell>
          <cell r="H414">
            <v>2</v>
          </cell>
        </row>
        <row r="415">
          <cell r="D415" t="str">
            <v>ENGL 158,ED1-MSE</v>
          </cell>
          <cell r="E415" t="str">
            <v>Communication Skills II</v>
          </cell>
          <cell r="F415" t="str">
            <v>Alhassan Yakubu</v>
          </cell>
          <cell r="G415">
            <v>69</v>
          </cell>
          <cell r="H415">
            <v>2</v>
          </cell>
        </row>
        <row r="416">
          <cell r="D416" t="str">
            <v>MATH 152,ED1-MSE</v>
          </cell>
          <cell r="E416" t="str">
            <v>Calculus with Analysis</v>
          </cell>
          <cell r="F416" t="str">
            <v>Kwame Atta Gyamfi</v>
          </cell>
          <cell r="G416">
            <v>69</v>
          </cell>
          <cell r="H416">
            <v>4</v>
          </cell>
        </row>
        <row r="417">
          <cell r="D417" t="str">
            <v>ME 162,ED1-MSE</v>
          </cell>
          <cell r="E417" t="str">
            <v>Basic Mechanics</v>
          </cell>
          <cell r="F417" t="str">
            <v>Quansah David Ato</v>
          </cell>
          <cell r="G417">
            <v>69</v>
          </cell>
          <cell r="H417">
            <v>3</v>
          </cell>
        </row>
        <row r="418">
          <cell r="D418" t="str">
            <v>ME 160,ED1-MSE</v>
          </cell>
          <cell r="E418" t="str">
            <v>Engineering Drawing</v>
          </cell>
          <cell r="F418" t="str">
            <v>Sekyere Charles Kofi Kafui</v>
          </cell>
          <cell r="G418">
            <v>69</v>
          </cell>
          <cell r="H418">
            <v>2</v>
          </cell>
        </row>
        <row r="419">
          <cell r="D419" t="str">
            <v>MSE 152,ED1-MSE</v>
          </cell>
          <cell r="E419" t="str">
            <v>Kinetics of Chemical Reactions</v>
          </cell>
          <cell r="F419" t="str">
            <v>J. Awudza</v>
          </cell>
          <cell r="G419">
            <v>69</v>
          </cell>
          <cell r="H419">
            <v>2</v>
          </cell>
        </row>
        <row r="420">
          <cell r="D420" t="str">
            <v>MSE 154,ED1-MSE</v>
          </cell>
          <cell r="E420" t="str">
            <v>Principles of Materials Science</v>
          </cell>
          <cell r="F420" t="str">
            <v>Nartey Martinson Addo</v>
          </cell>
          <cell r="G420">
            <v>69</v>
          </cell>
          <cell r="H420">
            <v>2</v>
          </cell>
        </row>
        <row r="421">
          <cell r="D421" t="str">
            <v>MATH 252,ED2-MSE</v>
          </cell>
          <cell r="E421" t="str">
            <v>Calculus with Several Variables</v>
          </cell>
          <cell r="F421" t="str">
            <v>Owusu Richard</v>
          </cell>
          <cell r="G421">
            <v>127</v>
          </cell>
          <cell r="H421">
            <v>4</v>
          </cell>
        </row>
        <row r="422">
          <cell r="D422" t="str">
            <v>MSE 262,ED2-MSE</v>
          </cell>
          <cell r="E422" t="str">
            <v>Computer Programming and Application</v>
          </cell>
          <cell r="F422" t="str">
            <v>Mensah-Darkwa Kwadwo</v>
          </cell>
          <cell r="G422">
            <v>127</v>
          </cell>
          <cell r="H422">
            <v>2</v>
          </cell>
        </row>
        <row r="423">
          <cell r="D423" t="str">
            <v>MSE 256,ED2-MSE</v>
          </cell>
          <cell r="E423" t="str">
            <v>Environmental Science</v>
          </cell>
          <cell r="F423" t="str">
            <v>Esi Awuah/Miriam Appiah-Brempong</v>
          </cell>
          <cell r="G423">
            <v>127</v>
          </cell>
          <cell r="H423">
            <v>2</v>
          </cell>
        </row>
        <row r="424">
          <cell r="D424" t="str">
            <v>MSE 252,ED2-MSE</v>
          </cell>
          <cell r="E424" t="str">
            <v>Heat and Mass Transport</v>
          </cell>
          <cell r="F424" t="str">
            <v>Adjaottor Albert Amatey</v>
          </cell>
          <cell r="G424">
            <v>127</v>
          </cell>
          <cell r="H424">
            <v>3</v>
          </cell>
        </row>
        <row r="425">
          <cell r="D425" t="str">
            <v>MSE 254,ED2-MSE</v>
          </cell>
          <cell r="E425" t="str">
            <v>Materials Processing</v>
          </cell>
          <cell r="F425" t="str">
            <v>Asare Eric Kwame Anokye</v>
          </cell>
          <cell r="G425">
            <v>127</v>
          </cell>
          <cell r="H425">
            <v>3</v>
          </cell>
        </row>
        <row r="426">
          <cell r="D426" t="str">
            <v>MSE 260,ED2-MSE</v>
          </cell>
          <cell r="E426" t="str">
            <v>Phase Transformations</v>
          </cell>
          <cell r="F426" t="str">
            <v>Gikunoo Emmanuel</v>
          </cell>
          <cell r="G426">
            <v>127</v>
          </cell>
          <cell r="H426">
            <v>2</v>
          </cell>
        </row>
        <row r="427">
          <cell r="D427" t="str">
            <v>MSE 258,ED2-MSE</v>
          </cell>
          <cell r="E427" t="str">
            <v>Physical Metallurgy of Non-Ferrous Metals</v>
          </cell>
          <cell r="F427" t="str">
            <v>Agyemang Frank Ofori</v>
          </cell>
          <cell r="G427">
            <v>127</v>
          </cell>
          <cell r="H427">
            <v>2</v>
          </cell>
        </row>
        <row r="428">
          <cell r="D428" t="str">
            <v>MSE 356,ED3-MSE</v>
          </cell>
          <cell r="E428" t="str">
            <v>Engineering Properties of Polymers</v>
          </cell>
          <cell r="F428" t="str">
            <v>Asare Eric Kwame Anokye</v>
          </cell>
          <cell r="G428">
            <v>148</v>
          </cell>
          <cell r="H428">
            <v>2</v>
          </cell>
        </row>
        <row r="429">
          <cell r="D429" t="str">
            <v>MSE 352,ED3-MSE</v>
          </cell>
          <cell r="E429" t="str">
            <v>Glass and Cement Technologies</v>
          </cell>
          <cell r="F429" t="str">
            <v>Andrews Anthony</v>
          </cell>
          <cell r="G429">
            <v>148</v>
          </cell>
          <cell r="H429">
            <v>3</v>
          </cell>
        </row>
        <row r="430">
          <cell r="D430" t="str">
            <v>MSE 362,ED3-MSE</v>
          </cell>
          <cell r="E430" t="str">
            <v>Materials Joining Processes</v>
          </cell>
          <cell r="F430" t="str">
            <v>Kwofie Samuel</v>
          </cell>
          <cell r="G430">
            <v>148</v>
          </cell>
          <cell r="H430">
            <v>3</v>
          </cell>
        </row>
        <row r="431">
          <cell r="D431" t="str">
            <v>MSE 360,ED3-MSE</v>
          </cell>
          <cell r="E431" t="str">
            <v>Mechanics of Materials</v>
          </cell>
          <cell r="F431" t="str">
            <v>Mensah-Darkwa Kwadwo</v>
          </cell>
          <cell r="G431">
            <v>148</v>
          </cell>
          <cell r="H431">
            <v>3</v>
          </cell>
        </row>
        <row r="432">
          <cell r="D432" t="str">
            <v>MSE 358,ED3-MSE</v>
          </cell>
          <cell r="E432" t="str">
            <v>Numerical Methods for Engineers</v>
          </cell>
          <cell r="F432" t="str">
            <v>Nartey Martinson Addo</v>
          </cell>
          <cell r="G432">
            <v>148</v>
          </cell>
          <cell r="H432">
            <v>2</v>
          </cell>
        </row>
        <row r="433">
          <cell r="D433" t="str">
            <v>MSE 354,ED3-MSE</v>
          </cell>
          <cell r="E433" t="str">
            <v>Physical Metallurgy of Ferrous Metals</v>
          </cell>
          <cell r="F433" t="str">
            <v>Kwofie Samuel</v>
          </cell>
          <cell r="G433">
            <v>148</v>
          </cell>
          <cell r="H433">
            <v>2</v>
          </cell>
        </row>
        <row r="434">
          <cell r="D434" t="str">
            <v>MSE 364,ED3-MSE</v>
          </cell>
          <cell r="E434" t="str">
            <v>Materials Characterization Laboratory</v>
          </cell>
          <cell r="F434" t="str">
            <v>Arthur Emmanuel Kwesi</v>
          </cell>
          <cell r="G434">
            <v>148</v>
          </cell>
          <cell r="H434">
            <v>2</v>
          </cell>
        </row>
        <row r="435">
          <cell r="D435" t="str">
            <v>MSE 396,ED3-MSE</v>
          </cell>
          <cell r="E435" t="str">
            <v>Third Year Design Project</v>
          </cell>
          <cell r="F435" t="str">
            <v>Bota Osei Sekyere</v>
          </cell>
          <cell r="G435">
            <v>148</v>
          </cell>
          <cell r="H435">
            <v>3</v>
          </cell>
        </row>
        <row r="436">
          <cell r="D436" t="str">
            <v>MSE 456,ED4-MSE</v>
          </cell>
          <cell r="E436" t="str">
            <v>Materials Quality Control, Assurrance and Selection</v>
          </cell>
          <cell r="F436" t="str">
            <v>Arthur Emmanuel Kwesi</v>
          </cell>
          <cell r="G436">
            <v>123</v>
          </cell>
          <cell r="H436">
            <v>3</v>
          </cell>
        </row>
        <row r="437">
          <cell r="D437" t="str">
            <v>MSE 454,ED4-MSE</v>
          </cell>
          <cell r="E437" t="str">
            <v>Surface Treatment of Materials</v>
          </cell>
          <cell r="F437" t="str">
            <v>Andrews Anthony</v>
          </cell>
          <cell r="G437">
            <v>123</v>
          </cell>
          <cell r="H437">
            <v>3</v>
          </cell>
        </row>
        <row r="438">
          <cell r="D438" t="str">
            <v>MSE 452,ED4-MSE</v>
          </cell>
          <cell r="E438" t="str">
            <v>Waste Management</v>
          </cell>
          <cell r="F438" t="str">
            <v>Koomson Bennetta</v>
          </cell>
          <cell r="G438">
            <v>123</v>
          </cell>
          <cell r="H438">
            <v>3</v>
          </cell>
        </row>
        <row r="439">
          <cell r="D439" t="str">
            <v>MSE 458,ED4-MSE</v>
          </cell>
          <cell r="E439" t="str">
            <v>Process Dynamics and Control</v>
          </cell>
          <cell r="F439" t="str">
            <v>Adjaottor Albert Amatey</v>
          </cell>
          <cell r="G439">
            <v>123</v>
          </cell>
          <cell r="H439">
            <v>4</v>
          </cell>
        </row>
        <row r="440">
          <cell r="D440" t="str">
            <v>ME 492,ED4-MSE</v>
          </cell>
          <cell r="E440" t="str">
            <v>Management and Entrepreneurship Development</v>
          </cell>
          <cell r="F440" t="str">
            <v>SHM Aikins/LD Mensah/C Asiedu</v>
          </cell>
          <cell r="G440">
            <v>123</v>
          </cell>
          <cell r="H440">
            <v>2</v>
          </cell>
        </row>
        <row r="441">
          <cell r="D441" t="str">
            <v>EE 152,ED1-PCE</v>
          </cell>
          <cell r="E441" t="str">
            <v>Basic Electronics</v>
          </cell>
          <cell r="F441" t="str">
            <v>Asigri Peter</v>
          </cell>
          <cell r="G441">
            <v>59</v>
          </cell>
          <cell r="H441">
            <v>2</v>
          </cell>
        </row>
        <row r="442">
          <cell r="D442" t="str">
            <v>ENGL 158,ED1-PCE</v>
          </cell>
          <cell r="E442" t="str">
            <v>Communication Skills II</v>
          </cell>
          <cell r="F442" t="str">
            <v>Yeboah Philomena Ama Okyeso</v>
          </cell>
          <cell r="G442">
            <v>59</v>
          </cell>
          <cell r="H442">
            <v>2</v>
          </cell>
        </row>
        <row r="443">
          <cell r="D443" t="str">
            <v>MATH 152,ED1-PCE</v>
          </cell>
          <cell r="E443" t="str">
            <v>Calculus with Analysis</v>
          </cell>
          <cell r="F443" t="str">
            <v>Eric Abeka</v>
          </cell>
          <cell r="G443">
            <v>59</v>
          </cell>
          <cell r="H443">
            <v>4</v>
          </cell>
        </row>
        <row r="444">
          <cell r="D444" t="str">
            <v>ME 162,ED1-PCE</v>
          </cell>
          <cell r="E444" t="str">
            <v>Basic Mechanics</v>
          </cell>
          <cell r="F444" t="str">
            <v>Boahen Samuel</v>
          </cell>
          <cell r="G444">
            <v>59</v>
          </cell>
          <cell r="H444">
            <v>3</v>
          </cell>
        </row>
        <row r="445">
          <cell r="D445" t="str">
            <v>PHY 170,ED1-PCE</v>
          </cell>
          <cell r="E445" t="str">
            <v>General Physics</v>
          </cell>
          <cell r="F445" t="str">
            <v>Abavare Eric Kwabena Kyeh</v>
          </cell>
          <cell r="G445">
            <v>59</v>
          </cell>
          <cell r="H445">
            <v>3</v>
          </cell>
        </row>
        <row r="446">
          <cell r="D446" t="str">
            <v>PCE 158,ED1-PCE</v>
          </cell>
          <cell r="E446" t="str">
            <v>Introduction to Information Technology</v>
          </cell>
          <cell r="F446" t="str">
            <v>Baidoo Martina Francisca</v>
          </cell>
          <cell r="G446">
            <v>59</v>
          </cell>
          <cell r="H446">
            <v>2</v>
          </cell>
        </row>
        <row r="447">
          <cell r="D447" t="str">
            <v>CHE 156,ED1-PCE</v>
          </cell>
          <cell r="E447" t="str">
            <v>Physical Chemistry for Engineers</v>
          </cell>
          <cell r="F447" t="str">
            <v>Boakye Patrick</v>
          </cell>
          <cell r="G447">
            <v>59</v>
          </cell>
          <cell r="H447">
            <v>2</v>
          </cell>
        </row>
        <row r="448">
          <cell r="D448" t="str">
            <v>MATH 252,ED2-PCE</v>
          </cell>
          <cell r="E448" t="str">
            <v>Calculus with Several Variables</v>
          </cell>
          <cell r="F448" t="str">
            <v>Eghan Rhydal Esi</v>
          </cell>
          <cell r="G448">
            <v>131</v>
          </cell>
          <cell r="H448">
            <v>4</v>
          </cell>
        </row>
        <row r="449">
          <cell r="D449" t="str">
            <v>CHE 254,ED2-PCE</v>
          </cell>
          <cell r="E449" t="str">
            <v>Chemical Engineering Thermodynamics II</v>
          </cell>
          <cell r="F449" t="str">
            <v>Dogbe Eunice Sefakor Aku</v>
          </cell>
          <cell r="G449">
            <v>131</v>
          </cell>
          <cell r="H449">
            <v>2</v>
          </cell>
        </row>
        <row r="450">
          <cell r="D450" t="str">
            <v>CHE 252,ED2-PCE</v>
          </cell>
          <cell r="E450" t="str">
            <v>Chemical Process Calculations II</v>
          </cell>
          <cell r="F450" t="str">
            <v>Ohemeng-Boahen Godfred</v>
          </cell>
          <cell r="G450">
            <v>131</v>
          </cell>
          <cell r="H450">
            <v>2</v>
          </cell>
        </row>
        <row r="451">
          <cell r="D451" t="str">
            <v>CHE 258,ED2-PCE</v>
          </cell>
          <cell r="E451" t="str">
            <v>Drawing for Engineers</v>
          </cell>
          <cell r="F451" t="str">
            <v>Darkwah Lawrence</v>
          </cell>
          <cell r="G451">
            <v>131</v>
          </cell>
          <cell r="H451">
            <v>2</v>
          </cell>
        </row>
        <row r="452">
          <cell r="D452" t="str">
            <v>CHE 256,ED2-PCE</v>
          </cell>
          <cell r="E452" t="str">
            <v>Heat Transport Processes</v>
          </cell>
          <cell r="F452" t="str">
            <v>Ohemeng-Boahen Godfred</v>
          </cell>
          <cell r="G452">
            <v>131</v>
          </cell>
          <cell r="H452">
            <v>3</v>
          </cell>
        </row>
        <row r="453">
          <cell r="D453" t="str">
            <v>CHE 250,ED2-PCE</v>
          </cell>
          <cell r="E453" t="str">
            <v>Strength of Materials for Chemical Engineers</v>
          </cell>
          <cell r="F453" t="str">
            <v>Baidoo Martina Francisca</v>
          </cell>
          <cell r="G453">
            <v>131</v>
          </cell>
          <cell r="H453">
            <v>2</v>
          </cell>
        </row>
        <row r="454">
          <cell r="D454" t="str">
            <v>CHEM 280,ED2-PCE</v>
          </cell>
          <cell r="E454" t="str">
            <v>Practical Chemistry II</v>
          </cell>
          <cell r="F454" t="str">
            <v>Opoku Francis</v>
          </cell>
          <cell r="G454">
            <v>131</v>
          </cell>
          <cell r="H454">
            <v>3</v>
          </cell>
        </row>
        <row r="455">
          <cell r="D455" t="str">
            <v>CHE 370,ED3-PCE</v>
          </cell>
          <cell r="E455" t="str">
            <v>Environmental Impact Assessment</v>
          </cell>
          <cell r="F455" t="str">
            <v>Afotey Benjamin</v>
          </cell>
          <cell r="G455">
            <v>51</v>
          </cell>
          <cell r="H455">
            <v>2</v>
          </cell>
        </row>
        <row r="456">
          <cell r="D456" t="str">
            <v>PCE 350,ED3-PCE</v>
          </cell>
          <cell r="E456" t="str">
            <v>Kinetics and Reactions Engineering</v>
          </cell>
          <cell r="F456" t="str">
            <v>Asiedu Nana Yaw</v>
          </cell>
          <cell r="G456">
            <v>114</v>
          </cell>
          <cell r="H456">
            <v>3</v>
          </cell>
        </row>
        <row r="457">
          <cell r="D457" t="str">
            <v>CHE 350,ED3-PCE</v>
          </cell>
          <cell r="E457" t="str">
            <v>Materials Science</v>
          </cell>
          <cell r="F457" t="str">
            <v>Anang Daniel Adjah</v>
          </cell>
          <cell r="G457">
            <v>114</v>
          </cell>
          <cell r="H457">
            <v>2</v>
          </cell>
        </row>
        <row r="458">
          <cell r="D458" t="str">
            <v>PETE 450,ED3-PCE</v>
          </cell>
          <cell r="E458" t="str">
            <v>Natural Gas Engineering</v>
          </cell>
          <cell r="F458" t="str">
            <v>Ankudey Emmanuel Godwin</v>
          </cell>
          <cell r="G458">
            <v>113</v>
          </cell>
          <cell r="H458">
            <v>2</v>
          </cell>
        </row>
        <row r="459">
          <cell r="D459" t="str">
            <v>CHE 358,ED3-PCE</v>
          </cell>
          <cell r="E459" t="str">
            <v>Numerical Methods for Chemical Engineers</v>
          </cell>
          <cell r="F459" t="str">
            <v>Mensah Mary</v>
          </cell>
          <cell r="G459">
            <v>114</v>
          </cell>
          <cell r="H459">
            <v>2</v>
          </cell>
        </row>
        <row r="460">
          <cell r="D460" t="str">
            <v>PETE 354,ED3-PCE</v>
          </cell>
          <cell r="E460" t="str">
            <v>Petroleum Production Engineering</v>
          </cell>
          <cell r="F460" t="str">
            <v>Ankudey Emmanuel Godwin</v>
          </cell>
          <cell r="G460">
            <v>114</v>
          </cell>
          <cell r="H460">
            <v>3</v>
          </cell>
        </row>
        <row r="461">
          <cell r="D461" t="str">
            <v>CHE 366,ED3-PCE</v>
          </cell>
          <cell r="E461" t="str">
            <v>Renewable Energy Resources</v>
          </cell>
          <cell r="F461" t="str">
            <v>Baah-Ennumh Emmanuel Kwaku</v>
          </cell>
          <cell r="G461">
            <v>104</v>
          </cell>
          <cell r="H461">
            <v>2</v>
          </cell>
        </row>
        <row r="462">
          <cell r="D462" t="str">
            <v>PCE 352,ED3-PCE</v>
          </cell>
          <cell r="E462" t="str">
            <v>Separation Processes II</v>
          </cell>
          <cell r="F462" t="str">
            <v>Ntiamoah Augustine</v>
          </cell>
          <cell r="G462">
            <v>114</v>
          </cell>
          <cell r="H462">
            <v>2</v>
          </cell>
        </row>
        <row r="463">
          <cell r="D463" t="str">
            <v>PCE 354,ED3-PCE</v>
          </cell>
          <cell r="E463" t="str">
            <v>Petrochemical Engineering Laboratory II</v>
          </cell>
          <cell r="F463" t="str">
            <v>Godfred Ohemeng-Boahen</v>
          </cell>
          <cell r="G463">
            <v>114</v>
          </cell>
          <cell r="H463">
            <v>2</v>
          </cell>
        </row>
        <row r="464">
          <cell r="D464" t="str">
            <v>CHE 464,ED4-PCE</v>
          </cell>
          <cell r="E464" t="str">
            <v>Adsorption Separation Process Technology</v>
          </cell>
          <cell r="F464" t="str">
            <v>Ntiamoah Augustine</v>
          </cell>
          <cell r="G464">
            <v>50</v>
          </cell>
          <cell r="H464">
            <v>2</v>
          </cell>
        </row>
        <row r="465">
          <cell r="D465" t="str">
            <v>MSE 356,ED4-PCE</v>
          </cell>
          <cell r="E465" t="str">
            <v>Engineering Properties of Polymers</v>
          </cell>
          <cell r="F465" t="str">
            <v>Asare Eric Kwame Anokye</v>
          </cell>
          <cell r="G465">
            <v>36</v>
          </cell>
          <cell r="H465">
            <v>2</v>
          </cell>
        </row>
        <row r="466">
          <cell r="D466" t="str">
            <v>CHE 458,ED4-PCE</v>
          </cell>
          <cell r="E466" t="str">
            <v>Entrepreneurship and Business Development</v>
          </cell>
          <cell r="F466" t="str">
            <v>Asamoah Boateng Kenneth</v>
          </cell>
          <cell r="G466">
            <v>85</v>
          </cell>
          <cell r="H466">
            <v>3</v>
          </cell>
        </row>
        <row r="467">
          <cell r="D467" t="str">
            <v>PCE 450,ED4-PCE</v>
          </cell>
          <cell r="E467" t="str">
            <v>Petroleum Refining Engineering</v>
          </cell>
          <cell r="F467" t="str">
            <v>Kwao-Boateng Emmanuela</v>
          </cell>
          <cell r="G467">
            <v>85</v>
          </cell>
          <cell r="H467">
            <v>2</v>
          </cell>
        </row>
        <row r="468">
          <cell r="D468" t="str">
            <v>CHE 456,ED4-PCE</v>
          </cell>
          <cell r="E468" t="str">
            <v>Process Control and Simulation</v>
          </cell>
          <cell r="F468" t="str">
            <v>Baidoo Martina Francisca</v>
          </cell>
          <cell r="G468">
            <v>85</v>
          </cell>
          <cell r="H468">
            <v>3</v>
          </cell>
        </row>
        <row r="469">
          <cell r="D469" t="str">
            <v>EE 152,ED1-PETE</v>
          </cell>
          <cell r="E469" t="str">
            <v>Basic Electronics</v>
          </cell>
          <cell r="F469" t="str">
            <v>Peter Asigri</v>
          </cell>
          <cell r="G469">
            <v>109</v>
          </cell>
          <cell r="H469">
            <v>2</v>
          </cell>
        </row>
        <row r="470">
          <cell r="D470" t="str">
            <v>ENGL 158,ED1-PETE</v>
          </cell>
          <cell r="E470" t="str">
            <v>Communication Skills II</v>
          </cell>
          <cell r="F470" t="str">
            <v>Alhassan Yakubu</v>
          </cell>
          <cell r="G470">
            <v>109</v>
          </cell>
          <cell r="H470">
            <v>2</v>
          </cell>
        </row>
        <row r="471">
          <cell r="D471" t="str">
            <v>MATH 152,ED1-PETE</v>
          </cell>
          <cell r="E471" t="str">
            <v>Calculus with Analysis</v>
          </cell>
          <cell r="F471" t="str">
            <v>Kwabi Prince Amponsah</v>
          </cell>
          <cell r="G471">
            <v>109</v>
          </cell>
          <cell r="H471">
            <v>4</v>
          </cell>
        </row>
        <row r="472">
          <cell r="D472" t="str">
            <v>ME 162,ED1-PETE</v>
          </cell>
          <cell r="E472" t="str">
            <v>Basic Mechanics</v>
          </cell>
          <cell r="F472" t="str">
            <v>Ato David Quansah</v>
          </cell>
          <cell r="G472">
            <v>109</v>
          </cell>
          <cell r="H472">
            <v>3</v>
          </cell>
        </row>
        <row r="473">
          <cell r="D473" t="str">
            <v>PHY 170,ED1-PETE</v>
          </cell>
          <cell r="E473" t="str">
            <v>General Physics</v>
          </cell>
          <cell r="F473" t="str">
            <v>Boateng Cyril Dziedzorm</v>
          </cell>
          <cell r="G473">
            <v>109</v>
          </cell>
          <cell r="H473">
            <v>3</v>
          </cell>
        </row>
        <row r="474">
          <cell r="D474" t="str">
            <v>PE 154,ED1-PETE</v>
          </cell>
          <cell r="E474" t="str">
            <v>Introduction to Petroleum Engineering</v>
          </cell>
          <cell r="F474" t="str">
            <v>Erzuah Samuel</v>
          </cell>
          <cell r="G474">
            <v>109</v>
          </cell>
          <cell r="H474">
            <v>2</v>
          </cell>
        </row>
        <row r="475">
          <cell r="D475" t="str">
            <v>PE 156,ED1-PETE</v>
          </cell>
          <cell r="E475" t="str">
            <v>Physical Chemistry for Engineers</v>
          </cell>
          <cell r="F475" t="str">
            <v>Patrick Boakye</v>
          </cell>
          <cell r="G475">
            <v>109</v>
          </cell>
          <cell r="H475">
            <v>2</v>
          </cell>
        </row>
        <row r="476">
          <cell r="D476" t="str">
            <v>MATH 252,ED2-PETE</v>
          </cell>
          <cell r="E476" t="str">
            <v>Calculus with Several Variables</v>
          </cell>
          <cell r="F476" t="str">
            <v>Eghan Rhydal Esi</v>
          </cell>
          <cell r="G476">
            <v>190</v>
          </cell>
          <cell r="H476">
            <v>4</v>
          </cell>
        </row>
        <row r="477">
          <cell r="D477" t="str">
            <v>PE 262,ED2-PETE</v>
          </cell>
          <cell r="E477" t="str">
            <v>Computer Programming In Oil and Gas</v>
          </cell>
          <cell r="F477" t="str">
            <v>Sokama-Neuyam Yen Adams</v>
          </cell>
          <cell r="G477">
            <v>190</v>
          </cell>
          <cell r="H477">
            <v>2</v>
          </cell>
        </row>
        <row r="478">
          <cell r="D478" t="str">
            <v>PE 252,ED2-PETE</v>
          </cell>
          <cell r="E478" t="str">
            <v>Heat Transport Processes</v>
          </cell>
          <cell r="F478" t="str">
            <v>Adjei Stephen</v>
          </cell>
          <cell r="G478">
            <v>190</v>
          </cell>
          <cell r="H478">
            <v>2</v>
          </cell>
        </row>
        <row r="479">
          <cell r="D479" t="str">
            <v>PE 258,ED2-PETE</v>
          </cell>
          <cell r="E479" t="str">
            <v>Petroleum Engineering Thermodynamics II</v>
          </cell>
          <cell r="F479" t="str">
            <v>Owusu Ernest Ansah</v>
          </cell>
          <cell r="G479">
            <v>190</v>
          </cell>
          <cell r="H479">
            <v>2</v>
          </cell>
        </row>
        <row r="480">
          <cell r="D480" t="str">
            <v>PE 264,ED2-PETE</v>
          </cell>
          <cell r="E480" t="str">
            <v>Principles of Land Surveying and Hydrographic Science</v>
          </cell>
          <cell r="F480" t="str">
            <v>Asante Cosmas Yaw</v>
          </cell>
          <cell r="G480">
            <v>190</v>
          </cell>
          <cell r="H480">
            <v>2</v>
          </cell>
        </row>
        <row r="481">
          <cell r="D481" t="str">
            <v>PE 256,ED2-PETE</v>
          </cell>
          <cell r="E481" t="str">
            <v>Regional Geology</v>
          </cell>
          <cell r="F481" t="str">
            <v>Quaye Jonathan Atuquaye</v>
          </cell>
          <cell r="G481">
            <v>190</v>
          </cell>
          <cell r="H481">
            <v>2</v>
          </cell>
        </row>
        <row r="482">
          <cell r="D482" t="str">
            <v>PE 260,ED2-PETE</v>
          </cell>
          <cell r="E482" t="str">
            <v>Reservoir Fluid Properties</v>
          </cell>
          <cell r="F482" t="str">
            <v>Adenutsi Caspar Daniel</v>
          </cell>
          <cell r="G482">
            <v>190</v>
          </cell>
          <cell r="H482">
            <v>2</v>
          </cell>
        </row>
        <row r="483">
          <cell r="D483" t="str">
            <v>PE 254,ED2-PETE</v>
          </cell>
          <cell r="E483" t="str">
            <v>Drawing for Engineers</v>
          </cell>
          <cell r="F483" t="str">
            <v>Owusu Ernest Ansah</v>
          </cell>
          <cell r="G483">
            <v>190</v>
          </cell>
          <cell r="H483">
            <v>2</v>
          </cell>
        </row>
        <row r="484">
          <cell r="D484" t="str">
            <v>PE 354,ED3-PETE</v>
          </cell>
          <cell r="E484" t="str">
            <v>Drilling Engineering II</v>
          </cell>
          <cell r="F484" t="str">
            <v>Samuel Erzuah</v>
          </cell>
          <cell r="G484">
            <v>254</v>
          </cell>
          <cell r="H484">
            <v>2</v>
          </cell>
        </row>
        <row r="485">
          <cell r="D485" t="str">
            <v>PE 362,ED3-PETE</v>
          </cell>
          <cell r="E485" t="str">
            <v>Geostatistics</v>
          </cell>
          <cell r="F485" t="str">
            <v>Marfo William Apau</v>
          </cell>
          <cell r="G485">
            <v>254</v>
          </cell>
          <cell r="H485">
            <v>2</v>
          </cell>
        </row>
        <row r="486">
          <cell r="D486" t="str">
            <v>PE 350,ED3-PETE</v>
          </cell>
          <cell r="E486" t="str">
            <v>Numerical Methods for Petroleum Engineers</v>
          </cell>
          <cell r="F486" t="str">
            <v>Sokama-Neuyam Yen Adams</v>
          </cell>
          <cell r="G486">
            <v>254</v>
          </cell>
          <cell r="H486">
            <v>2</v>
          </cell>
        </row>
        <row r="487">
          <cell r="D487" t="str">
            <v>PE 364,ED3-PETE</v>
          </cell>
          <cell r="E487" t="str">
            <v>Oil &amp; Gas Geophysics</v>
          </cell>
          <cell r="F487" t="str">
            <v>Quaye Jonathan Atuquaye</v>
          </cell>
          <cell r="G487">
            <v>254</v>
          </cell>
          <cell r="H487">
            <v>2</v>
          </cell>
        </row>
        <row r="488">
          <cell r="D488" t="str">
            <v>PE 358,ED3-PETE</v>
          </cell>
          <cell r="E488" t="str">
            <v>Petroleum Production Engineering II</v>
          </cell>
          <cell r="F488" t="str">
            <v>Sarkodie Kwame</v>
          </cell>
          <cell r="G488">
            <v>254</v>
          </cell>
          <cell r="H488">
            <v>2</v>
          </cell>
        </row>
        <row r="489">
          <cell r="D489" t="str">
            <v>PE 360,ED3-PETE</v>
          </cell>
          <cell r="E489" t="str">
            <v>Well Testing</v>
          </cell>
          <cell r="F489" t="str">
            <v>Caspar Daniel Adenutsi</v>
          </cell>
          <cell r="G489">
            <v>254</v>
          </cell>
          <cell r="H489">
            <v>2</v>
          </cell>
        </row>
        <row r="490">
          <cell r="D490" t="str">
            <v>PE 366,ED3-PETE</v>
          </cell>
          <cell r="E490" t="str">
            <v>Health Safety and Environment</v>
          </cell>
          <cell r="F490" t="str">
            <v>Stephen Adjei</v>
          </cell>
          <cell r="G490">
            <v>254</v>
          </cell>
          <cell r="H490">
            <v>2</v>
          </cell>
        </row>
        <row r="491">
          <cell r="D491" t="str">
            <v>PE 352,ED3-PETE</v>
          </cell>
          <cell r="E491" t="str">
            <v>Petroleum Geology</v>
          </cell>
          <cell r="F491" t="str">
            <v>Borkloe Julius Kwame</v>
          </cell>
          <cell r="G491">
            <v>254</v>
          </cell>
          <cell r="H491">
            <v>3</v>
          </cell>
        </row>
        <row r="492">
          <cell r="D492" t="str">
            <v>PE 356,ED3-PETE</v>
          </cell>
          <cell r="E492" t="str">
            <v>Petroleum Engineering Lab II</v>
          </cell>
          <cell r="F492" t="str">
            <v>Owusu Ernest Ansah</v>
          </cell>
          <cell r="G492">
            <v>254</v>
          </cell>
          <cell r="H492">
            <v>2</v>
          </cell>
        </row>
        <row r="493">
          <cell r="D493" t="str">
            <v>PE 464,ED4-PETE</v>
          </cell>
          <cell r="E493" t="str">
            <v>Refining Process Technology</v>
          </cell>
          <cell r="F493" t="str">
            <v>Kwao-Boateng Emmanuela</v>
          </cell>
          <cell r="G493">
            <v>54</v>
          </cell>
          <cell r="H493">
            <v>2</v>
          </cell>
        </row>
        <row r="494">
          <cell r="D494" t="str">
            <v>PE 476,ED4-PETE</v>
          </cell>
          <cell r="E494" t="str">
            <v>Energy and Climate Change</v>
          </cell>
          <cell r="F494" t="str">
            <v>Sokama-Neuyam Yen Adams</v>
          </cell>
          <cell r="G494">
            <v>52</v>
          </cell>
          <cell r="H494">
            <v>2</v>
          </cell>
        </row>
        <row r="495">
          <cell r="D495" t="str">
            <v>PE 466,ED4-PETE</v>
          </cell>
          <cell r="E495" t="str">
            <v>Fundamentals of Petroleum Law</v>
          </cell>
          <cell r="F495" t="str">
            <v>Amoah Enoch Kwabena</v>
          </cell>
          <cell r="G495">
            <v>106</v>
          </cell>
          <cell r="H495">
            <v>2</v>
          </cell>
        </row>
        <row r="496">
          <cell r="D496" t="str">
            <v>PE 458,ED4-PETE</v>
          </cell>
          <cell r="E496" t="str">
            <v>Oilfield Geochemistry</v>
          </cell>
          <cell r="F496" t="str">
            <v>William Marfo Apau</v>
          </cell>
          <cell r="G496">
            <v>106</v>
          </cell>
          <cell r="H496">
            <v>2</v>
          </cell>
        </row>
        <row r="497">
          <cell r="D497" t="str">
            <v>PE 468,ED4-PETE</v>
          </cell>
          <cell r="E497" t="str">
            <v>Petroleum Business: Structures, Logistics</v>
          </cell>
          <cell r="F497" t="str">
            <v>Quaye Jonathan Atuquaye</v>
          </cell>
          <cell r="G497">
            <v>94</v>
          </cell>
          <cell r="H497">
            <v>2</v>
          </cell>
        </row>
        <row r="498">
          <cell r="D498" t="str">
            <v>PE 452,ED4-PETE</v>
          </cell>
          <cell r="E498" t="str">
            <v>Petroleum Project Evaluation</v>
          </cell>
          <cell r="F498" t="str">
            <v>Kwame Sarkodie</v>
          </cell>
          <cell r="G498">
            <v>106</v>
          </cell>
          <cell r="H498">
            <v>3</v>
          </cell>
        </row>
        <row r="499">
          <cell r="D499" t="str">
            <v>PE 450,ED4-PETE</v>
          </cell>
          <cell r="E499" t="str">
            <v>Reservoir Recovery Techniques</v>
          </cell>
          <cell r="F499" t="str">
            <v>Adjei Stephen/Casper Adenutsi</v>
          </cell>
          <cell r="G499">
            <v>106</v>
          </cell>
          <cell r="H499">
            <v>2</v>
          </cell>
        </row>
        <row r="500">
          <cell r="D500" t="str">
            <v>PE 456,ED4-PETE</v>
          </cell>
          <cell r="E500" t="str">
            <v>Well Completion and Stimulation</v>
          </cell>
          <cell r="F500" t="str">
            <v>Erzuah Samuel</v>
          </cell>
          <cell r="G500">
            <v>106</v>
          </cell>
          <cell r="H500">
            <v>2</v>
          </cell>
        </row>
        <row r="501">
          <cell r="D501" t="str">
            <v>PE 474,ED4-PETE</v>
          </cell>
          <cell r="E501" t="str">
            <v>Pipeline Engineering</v>
          </cell>
          <cell r="F501" t="str">
            <v>Stephen Adjei</v>
          </cell>
          <cell r="G501">
            <v>12</v>
          </cell>
          <cell r="H501">
            <v>2</v>
          </cell>
        </row>
        <row r="502">
          <cell r="D502" t="str">
            <v>PE 472,ED4-PETE</v>
          </cell>
          <cell r="E502" t="str">
            <v>Natural Gas Engineering II</v>
          </cell>
          <cell r="F502" t="str">
            <v>Adjei Stephen/Sarkodie Kwame</v>
          </cell>
          <cell r="G502">
            <v>106</v>
          </cell>
          <cell r="H502">
            <v>2</v>
          </cell>
        </row>
        <row r="503">
          <cell r="D503" t="str">
            <v>PE 454,ED4-PETE</v>
          </cell>
          <cell r="E503" t="str">
            <v>Design Project II</v>
          </cell>
          <cell r="F503" t="str">
            <v>Sarkodie Kwame</v>
          </cell>
          <cell r="G503">
            <v>106</v>
          </cell>
          <cell r="H503">
            <v>3</v>
          </cell>
        </row>
        <row r="504">
          <cell r="D504" t="str">
            <v>EE 152,ED1-TEL</v>
          </cell>
          <cell r="E504" t="str">
            <v>Basic Electronics</v>
          </cell>
          <cell r="F504" t="str">
            <v>Affum Emmanuel Ampoma</v>
          </cell>
          <cell r="G504">
            <v>152</v>
          </cell>
          <cell r="H504">
            <v>3</v>
          </cell>
        </row>
        <row r="505">
          <cell r="D505" t="str">
            <v>ENGL 158,ED1-TEL</v>
          </cell>
          <cell r="E505" t="str">
            <v>Communication Skills II</v>
          </cell>
          <cell r="F505" t="str">
            <v>Alhassan Yakubu</v>
          </cell>
          <cell r="G505">
            <v>152</v>
          </cell>
          <cell r="H505">
            <v>2</v>
          </cell>
        </row>
        <row r="506">
          <cell r="D506" t="str">
            <v>MATH 152,ED1-TEL</v>
          </cell>
          <cell r="E506" t="str">
            <v>Calculus with Analysis</v>
          </cell>
          <cell r="F506" t="str">
            <v>Owusu Richard</v>
          </cell>
          <cell r="G506">
            <v>152</v>
          </cell>
          <cell r="H506">
            <v>4</v>
          </cell>
        </row>
        <row r="507">
          <cell r="D507" t="str">
            <v>EE 188,ED1-TEL</v>
          </cell>
          <cell r="E507" t="str">
            <v>Electrical Measurement and Instrumentation</v>
          </cell>
          <cell r="F507" t="str">
            <v>Obeng Kwakye Kingsford Sarkodie</v>
          </cell>
          <cell r="G507">
            <v>152</v>
          </cell>
          <cell r="H507">
            <v>3</v>
          </cell>
        </row>
        <row r="508">
          <cell r="D508" t="str">
            <v>TE 156,ED1-TEL</v>
          </cell>
          <cell r="E508" t="str">
            <v>Introduction to Communication Networks</v>
          </cell>
          <cell r="F508" t="str">
            <v>Agyemang Justice Owusu</v>
          </cell>
          <cell r="G508">
            <v>152</v>
          </cell>
          <cell r="H508">
            <v>2</v>
          </cell>
        </row>
        <row r="509">
          <cell r="D509" t="str">
            <v>TE 158,ED1-TEL</v>
          </cell>
          <cell r="E509" t="str">
            <v>Introduction to Programming I</v>
          </cell>
          <cell r="F509" t="str">
            <v>Acheampong Francisca Adoma</v>
          </cell>
          <cell r="G509">
            <v>152</v>
          </cell>
          <cell r="H509">
            <v>2</v>
          </cell>
        </row>
        <row r="510">
          <cell r="D510" t="str">
            <v>PSYC 154,ED1-TEL</v>
          </cell>
          <cell r="E510" t="str">
            <v>Introduction to Psychology</v>
          </cell>
          <cell r="F510" t="str">
            <v>Sarfo Fordjour Elizabeth Anokyewaa</v>
          </cell>
          <cell r="G510">
            <v>152</v>
          </cell>
          <cell r="H510">
            <v>2</v>
          </cell>
        </row>
        <row r="511">
          <cell r="D511" t="str">
            <v>TE 152,ED1-TEL</v>
          </cell>
          <cell r="E511" t="str">
            <v>Engineering Research and Technical Report Writing</v>
          </cell>
          <cell r="F511" t="str">
            <v>Acheampong Francisca Adoma</v>
          </cell>
          <cell r="G511">
            <v>152</v>
          </cell>
          <cell r="H511">
            <v>2</v>
          </cell>
        </row>
        <row r="512">
          <cell r="D512" t="str">
            <v>ECON 152,ED2-TEL</v>
          </cell>
          <cell r="E512" t="str">
            <v>Elements of Economics II</v>
          </cell>
          <cell r="F512" t="str">
            <v>Takyi Paul Owusu</v>
          </cell>
          <cell r="G512">
            <v>32</v>
          </cell>
          <cell r="H512">
            <v>2</v>
          </cell>
        </row>
        <row r="513">
          <cell r="D513" t="str">
            <v>ACF 256,ED2-TEL</v>
          </cell>
          <cell r="E513" t="str">
            <v>Intoduction to Financial Accounting II</v>
          </cell>
          <cell r="F513" t="str">
            <v>Yeboah Edward</v>
          </cell>
          <cell r="G513">
            <v>29</v>
          </cell>
          <cell r="H513">
            <v>2</v>
          </cell>
        </row>
        <row r="514">
          <cell r="D514" t="str">
            <v>FC 182,ED2-TEL</v>
          </cell>
          <cell r="E514" t="str">
            <v>French for Communication II</v>
          </cell>
          <cell r="F514" t="str">
            <v>Boakye-Agyeman Candy</v>
          </cell>
          <cell r="G514">
            <v>99</v>
          </cell>
          <cell r="H514">
            <v>2</v>
          </cell>
        </row>
        <row r="515">
          <cell r="D515" t="str">
            <v>MATH 252,ED2-TEL</v>
          </cell>
          <cell r="E515" t="str">
            <v>Calculus with Several Variables</v>
          </cell>
          <cell r="F515" t="str">
            <v>Wireko Fredrick Asenso</v>
          </cell>
          <cell r="G515">
            <v>160</v>
          </cell>
          <cell r="H515">
            <v>4</v>
          </cell>
        </row>
        <row r="516">
          <cell r="D516" t="str">
            <v>EE 272,ED2-TEL</v>
          </cell>
          <cell r="E516" t="str">
            <v>Digital Systems</v>
          </cell>
          <cell r="F516" t="str">
            <v>Obour Agyekum Kwame Opuni-Boachie</v>
          </cell>
          <cell r="G516">
            <v>160</v>
          </cell>
          <cell r="H516">
            <v>3</v>
          </cell>
        </row>
        <row r="517">
          <cell r="D517" t="str">
            <v>TE 252,ED2-TEL</v>
          </cell>
          <cell r="E517" t="str">
            <v>Fundamentals Of Data Science</v>
          </cell>
          <cell r="F517" t="str">
            <v>Francisca Acheampong</v>
          </cell>
          <cell r="G517">
            <v>149</v>
          </cell>
        </row>
        <row r="518">
          <cell r="D518" t="str">
            <v>EE 288,ED2-TEL</v>
          </cell>
          <cell r="E518" t="str">
            <v>Electrical Measurement and Instrumentation</v>
          </cell>
          <cell r="F518" t="str">
            <v>Obeng Kwakye Kingsford Sarkodie</v>
          </cell>
          <cell r="G518">
            <v>160</v>
          </cell>
          <cell r="H518">
            <v>3</v>
          </cell>
        </row>
        <row r="519">
          <cell r="D519" t="str">
            <v>TE 254,ED2-TEL</v>
          </cell>
          <cell r="E519" t="str">
            <v>Electromagnetic Fields</v>
          </cell>
          <cell r="F519" t="str">
            <v>Oteng Gyasi Kwame</v>
          </cell>
          <cell r="G519">
            <v>160</v>
          </cell>
          <cell r="H519">
            <v>3</v>
          </cell>
        </row>
        <row r="520">
          <cell r="D520" t="str">
            <v>TE 256,ED2-TEL</v>
          </cell>
          <cell r="E520" t="str">
            <v>Communication Circuits</v>
          </cell>
          <cell r="F520" t="str">
            <v>Oteng Gyasi Kwame</v>
          </cell>
        </row>
        <row r="521">
          <cell r="D521" t="str">
            <v>TE 258,ED2-TEL</v>
          </cell>
          <cell r="E521" t="str">
            <v>Microprocessors</v>
          </cell>
          <cell r="F521" t="str">
            <v>J. O. Agyemang</v>
          </cell>
          <cell r="G521">
            <v>150</v>
          </cell>
        </row>
        <row r="522">
          <cell r="D522" t="str">
            <v>TE 292,ED2-TEL</v>
          </cell>
          <cell r="E522" t="str">
            <v>Telecommunication Lab II</v>
          </cell>
          <cell r="F522" t="str">
            <v>Opare Kwasi Adu-Boahen</v>
          </cell>
          <cell r="G522">
            <v>160</v>
          </cell>
          <cell r="H522">
            <v>2</v>
          </cell>
        </row>
        <row r="523">
          <cell r="D523" t="str">
            <v>TE 364,ED3-TEL</v>
          </cell>
          <cell r="E523" t="str">
            <v>Communication Circuits</v>
          </cell>
          <cell r="F523" t="str">
            <v>Abdul-Rahman Ahmed</v>
          </cell>
          <cell r="G523">
            <v>197</v>
          </cell>
          <cell r="H523">
            <v>2</v>
          </cell>
        </row>
        <row r="524">
          <cell r="D524" t="str">
            <v>TE 382,ED3-TEL</v>
          </cell>
          <cell r="E524" t="str">
            <v>Data Communication Networks</v>
          </cell>
          <cell r="F524" t="str">
            <v>Gadze James Dzisi</v>
          </cell>
          <cell r="G524">
            <v>197</v>
          </cell>
          <cell r="H524">
            <v>3</v>
          </cell>
        </row>
        <row r="525">
          <cell r="D525" t="str">
            <v>TE 386,ED3-TEL</v>
          </cell>
          <cell r="E525" t="str">
            <v>Digital Communication Systems</v>
          </cell>
          <cell r="F525" t="str">
            <v>Charles Mawutor Adrah</v>
          </cell>
          <cell r="G525">
            <v>197</v>
          </cell>
          <cell r="H525">
            <v>3</v>
          </cell>
        </row>
        <row r="526">
          <cell r="D526" t="str">
            <v>TE 384,ED3-TEL</v>
          </cell>
          <cell r="E526" t="str">
            <v>Switching Engineering In Communication</v>
          </cell>
          <cell r="F526" t="str">
            <v>Agyekum Kwame Agyeman-Prempeh</v>
          </cell>
          <cell r="G526">
            <v>197</v>
          </cell>
          <cell r="H526">
            <v>3</v>
          </cell>
        </row>
        <row r="527">
          <cell r="D527" t="str">
            <v>TE 362,ED3-TEL</v>
          </cell>
          <cell r="E527" t="str">
            <v>Telecommunication Infrastructure</v>
          </cell>
          <cell r="F527" t="str">
            <v>Agyekum Kwame Agyeman-Prempeh</v>
          </cell>
          <cell r="G527">
            <v>197</v>
          </cell>
          <cell r="H527">
            <v>2</v>
          </cell>
        </row>
        <row r="528">
          <cell r="D528" t="str">
            <v>TE 372,ED3-TEL</v>
          </cell>
          <cell r="E528" t="str">
            <v>Antennas and Propagation</v>
          </cell>
          <cell r="F528" t="str">
            <v>Ellis Sani Mubarak</v>
          </cell>
          <cell r="G528">
            <v>197</v>
          </cell>
          <cell r="H528">
            <v>3</v>
          </cell>
        </row>
        <row r="529">
          <cell r="D529" t="str">
            <v>TE 392,ED3-TEL</v>
          </cell>
          <cell r="E529" t="str">
            <v>Telecommunication Lab IV</v>
          </cell>
          <cell r="F529" t="str">
            <v>Agyekum Kwame Agyeman-Prempeh</v>
          </cell>
          <cell r="G529">
            <v>197</v>
          </cell>
          <cell r="H529">
            <v>2</v>
          </cell>
        </row>
        <row r="530">
          <cell r="D530" t="str">
            <v>EE 472,ED4-TEL</v>
          </cell>
          <cell r="E530" t="str">
            <v>Digital Signal Processing</v>
          </cell>
          <cell r="F530" t="str">
            <v>Kponyo Jerry John</v>
          </cell>
          <cell r="G530">
            <v>95</v>
          </cell>
          <cell r="H530">
            <v>3</v>
          </cell>
        </row>
        <row r="531">
          <cell r="D531" t="str">
            <v>TE 472,ED4-TEL</v>
          </cell>
          <cell r="E531" t="str">
            <v>Mobile and Satellite Communication System</v>
          </cell>
          <cell r="F531" t="str">
            <v>Gadze James Dzisi</v>
          </cell>
          <cell r="G531">
            <v>95</v>
          </cell>
          <cell r="H531">
            <v>3</v>
          </cell>
        </row>
        <row r="532">
          <cell r="D532" t="str">
            <v>TE 484,ED4-TEL</v>
          </cell>
          <cell r="E532" t="str">
            <v>Network Planning</v>
          </cell>
          <cell r="F532" t="str">
            <v>Opare Kwasi Adu-Boahen</v>
          </cell>
          <cell r="G532">
            <v>95</v>
          </cell>
          <cell r="H532">
            <v>2</v>
          </cell>
        </row>
        <row r="533">
          <cell r="D533" t="str">
            <v>TE 462,ED4-TEL</v>
          </cell>
          <cell r="E533" t="str">
            <v>Telecommunication Policy</v>
          </cell>
          <cell r="F533" t="str">
            <v>Opare Kwasi Adu-Boahen</v>
          </cell>
          <cell r="G533">
            <v>95</v>
          </cell>
          <cell r="H533">
            <v>2</v>
          </cell>
        </row>
        <row r="534">
          <cell r="D534" t="str">
            <v>TE 474,ED4-TEL</v>
          </cell>
          <cell r="E534" t="str">
            <v>Microwave Engineering</v>
          </cell>
          <cell r="F534" t="str">
            <v>Abdul-Rahman Ahmed</v>
          </cell>
          <cell r="G534">
            <v>95</v>
          </cell>
          <cell r="H534">
            <v>2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5FE9-CFBC-4058-B386-56FB58D1D748}">
  <sheetPr>
    <pageSetUpPr fitToPage="1"/>
  </sheetPr>
  <dimension ref="A1:L699"/>
  <sheetViews>
    <sheetView showWhiteSpace="0" view="pageBreakPreview" topLeftCell="C1" zoomScaleNormal="100" zoomScaleSheetLayoutView="100" zoomScalePageLayoutView="90" workbookViewId="0">
      <selection activeCell="A269" sqref="A1:H1048576"/>
    </sheetView>
  </sheetViews>
  <sheetFormatPr defaultColWidth="8.81640625" defaultRowHeight="13" x14ac:dyDescent="0.3"/>
  <cols>
    <col min="1" max="1" width="9.7265625" style="1" bestFit="1" customWidth="1"/>
    <col min="2" max="2" width="45.1796875" style="1" customWidth="1"/>
    <col min="3" max="3" width="46.54296875" style="10" customWidth="1"/>
    <col min="4" max="4" width="10.54296875" style="1" bestFit="1" customWidth="1"/>
    <col min="5" max="5" width="8.453125" style="1" bestFit="1" customWidth="1"/>
    <col min="6" max="6" width="48.7265625" style="12" customWidth="1"/>
    <col min="7" max="7" width="10" style="1" customWidth="1"/>
    <col min="8" max="8" width="24.453125" style="88" customWidth="1"/>
    <col min="9" max="9" width="37.453125" style="1" customWidth="1"/>
    <col min="10" max="10" width="46.81640625" style="1" customWidth="1"/>
    <col min="11" max="16384" width="8.81640625" style="1"/>
  </cols>
  <sheetData>
    <row r="1" spans="1:12" ht="14" x14ac:dyDescent="0.3">
      <c r="A1" s="119" t="s">
        <v>404</v>
      </c>
      <c r="B1" s="119"/>
      <c r="C1" s="119"/>
      <c r="D1" s="119"/>
      <c r="E1" s="119"/>
      <c r="F1" s="119"/>
      <c r="G1" s="119"/>
      <c r="I1" s="1" t="str">
        <f>CONCATENATE(A1,",",B1,",",E1)</f>
        <v>Monday, 7 July 2025,,</v>
      </c>
    </row>
    <row r="2" spans="1:12" ht="14" x14ac:dyDescent="0.3">
      <c r="A2" s="116" t="str">
        <f>[2]SESSIONS!$K$1</f>
        <v>Session, 1 (8:15 AM - 9:15 AM)</v>
      </c>
      <c r="B2" s="117"/>
      <c r="C2" s="117"/>
      <c r="D2" s="117"/>
      <c r="E2" s="117"/>
      <c r="F2" s="117"/>
      <c r="G2" s="118"/>
      <c r="I2" s="1" t="str">
        <f>CONCATENATE(A2,",",B2,",",E2)</f>
        <v>Session, 1 (8:15 AM - 9:15 AM),,</v>
      </c>
      <c r="J2" s="20"/>
      <c r="L2" s="20"/>
    </row>
    <row r="3" spans="1:12" ht="14.5" x14ac:dyDescent="0.35">
      <c r="A3" s="2" t="s">
        <v>6</v>
      </c>
      <c r="B3" s="2" t="s">
        <v>5</v>
      </c>
      <c r="C3" s="3" t="s">
        <v>4</v>
      </c>
      <c r="D3" s="2" t="s">
        <v>3</v>
      </c>
      <c r="E3" s="2" t="s">
        <v>2</v>
      </c>
      <c r="F3" s="4"/>
      <c r="G3" s="2" t="s">
        <v>0</v>
      </c>
      <c r="I3" s="1" t="str">
        <f>CONCATENATE(A3,",",B3,",",E3)</f>
        <v>CODE ,COURSE NAME ,# STDS</v>
      </c>
      <c r="J3" s="36"/>
    </row>
    <row r="4" spans="1:12" ht="14.5" x14ac:dyDescent="0.35">
      <c r="A4" s="5" t="s">
        <v>376</v>
      </c>
      <c r="B4" s="5" t="str">
        <f>IFERROR(VLOOKUP($I4,'[5]Combined Data'!$D$1:$H$534,2,FALSE),0)</f>
        <v>Communication Skills II</v>
      </c>
      <c r="C4" s="6" t="str" cm="1">
        <f t="array" ref="C4:C25">VLOOKUP(I4:I25,'Combined Data'!A1:E547,3,FALSE)</f>
        <v>Yeboah Philomena Ama Okyeso</v>
      </c>
      <c r="D4" s="5" t="s">
        <v>157</v>
      </c>
      <c r="E4" s="5" cm="1">
        <f t="array" ref="E4:E25">VLOOKUP(I4:I25,combined_data!A1:D549,4,FALSE)</f>
        <v>75</v>
      </c>
      <c r="F4" s="125" t="s">
        <v>114</v>
      </c>
      <c r="G4" s="7">
        <f t="shared" ref="G4:G23" si="0">E4*1.1</f>
        <v>82.5</v>
      </c>
      <c r="I4" s="1" t="str">
        <f t="shared" ref="I4:I39" si="1">CONCATENATE(A4,",",D4)</f>
        <v>ENGL 158,ED1-AERO</v>
      </c>
      <c r="J4" s="36"/>
    </row>
    <row r="5" spans="1:12" ht="14.5" x14ac:dyDescent="0.35">
      <c r="A5" s="5" t="s">
        <v>376</v>
      </c>
      <c r="B5" s="5" t="str">
        <f>IFERROR(VLOOKUP($I5,'[5]Combined Data'!$D$1:$H$534,2,FALSE),0)</f>
        <v>Communication Skills II</v>
      </c>
      <c r="C5" s="6" t="str">
        <v>Yeboah Philomena Ama Okyeso</v>
      </c>
      <c r="D5" s="5" t="s">
        <v>101</v>
      </c>
      <c r="E5" s="5">
        <v>157</v>
      </c>
      <c r="F5" s="125"/>
      <c r="G5" s="7">
        <f t="shared" si="0"/>
        <v>172.70000000000002</v>
      </c>
      <c r="I5" s="1" t="str">
        <f t="shared" si="1"/>
        <v>ENGL 158,ED1-AE</v>
      </c>
      <c r="J5" s="36"/>
    </row>
    <row r="6" spans="1:12" ht="14.5" x14ac:dyDescent="0.35">
      <c r="A6" s="5" t="s">
        <v>376</v>
      </c>
      <c r="B6" s="5" t="str">
        <f>IFERROR(VLOOKUP($I6,'[5]Combined Data'!$D$1:$H$534,2,FALSE),0)</f>
        <v>Communication Skills II</v>
      </c>
      <c r="C6" s="6" t="str">
        <v>Z. Osei</v>
      </c>
      <c r="D6" s="5" t="s">
        <v>22</v>
      </c>
      <c r="E6" s="5">
        <v>86</v>
      </c>
      <c r="F6" s="125"/>
      <c r="G6" s="7">
        <f t="shared" si="0"/>
        <v>94.600000000000009</v>
      </c>
      <c r="I6" s="1" t="str">
        <f t="shared" si="1"/>
        <v>ENGL 158,ED1-BME</v>
      </c>
      <c r="J6" s="36"/>
    </row>
    <row r="7" spans="1:12" ht="14.5" x14ac:dyDescent="0.35">
      <c r="A7" s="5" t="s">
        <v>376</v>
      </c>
      <c r="B7" s="5" t="str">
        <f>IFERROR(VLOOKUP($I7,'[5]Combined Data'!$D$1:$H$534,2,FALSE),0)</f>
        <v>Communication Skills II</v>
      </c>
      <c r="C7" s="6" t="str">
        <v>Yeboah Philomena Ama Okyeso</v>
      </c>
      <c r="D7" s="5" t="s">
        <v>60</v>
      </c>
      <c r="E7" s="5">
        <v>155</v>
      </c>
      <c r="F7" s="125"/>
      <c r="G7" s="7">
        <f t="shared" si="0"/>
        <v>170.5</v>
      </c>
      <c r="I7" s="1" t="str">
        <f t="shared" si="1"/>
        <v>ENGL 158,ED1-CHE</v>
      </c>
      <c r="J7" s="36"/>
    </row>
    <row r="8" spans="1:12" ht="14.5" x14ac:dyDescent="0.35">
      <c r="A8" s="5" t="s">
        <v>376</v>
      </c>
      <c r="B8" s="5" t="str">
        <f>IFERROR(VLOOKUP($I8,'[5]Combined Data'!$D$1:$H$534,2,FALSE),0)</f>
        <v>Communication Skills II</v>
      </c>
      <c r="C8" s="6" t="str">
        <v>B. Ampong</v>
      </c>
      <c r="D8" s="5" t="s">
        <v>20</v>
      </c>
      <c r="E8" s="5">
        <v>255</v>
      </c>
      <c r="F8" s="125"/>
      <c r="G8" s="7">
        <f t="shared" si="0"/>
        <v>280.5</v>
      </c>
      <c r="I8" s="1" t="str">
        <f t="shared" si="1"/>
        <v>ENGL 158,ED1-COE</v>
      </c>
      <c r="J8" s="36"/>
    </row>
    <row r="9" spans="1:12" ht="14.5" x14ac:dyDescent="0.35">
      <c r="A9" s="5" t="s">
        <v>376</v>
      </c>
      <c r="B9" s="5" t="str">
        <f>IFERROR(VLOOKUP($I9,'[5]Combined Data'!$D$1:$H$534,2,FALSE),0)</f>
        <v>Communication Skills II</v>
      </c>
      <c r="C9" s="6" t="str">
        <v>Yeboah Philomena Ama Okyeso</v>
      </c>
      <c r="D9" s="5" t="s">
        <v>82</v>
      </c>
      <c r="E9" s="5">
        <v>88</v>
      </c>
      <c r="F9" s="125"/>
      <c r="G9" s="7">
        <f t="shared" si="0"/>
        <v>96.800000000000011</v>
      </c>
      <c r="I9" s="1" t="str">
        <f t="shared" si="1"/>
        <v>ENGL 158,ED1-IND</v>
      </c>
      <c r="J9" s="36"/>
    </row>
    <row r="10" spans="1:12" ht="14.5" x14ac:dyDescent="0.35">
      <c r="A10" s="5" t="s">
        <v>402</v>
      </c>
      <c r="B10" s="5" t="str">
        <f>IFERROR(VLOOKUP($I10,'[5]Combined Data'!$D$1:$H$534,2,FALSE),0)</f>
        <v>Mechanical Engineering Materials II</v>
      </c>
      <c r="C10" s="6" t="str">
        <v>Arthur Emmanuel Kwesi</v>
      </c>
      <c r="D10" s="5" t="s">
        <v>51</v>
      </c>
      <c r="E10" s="5">
        <v>111</v>
      </c>
      <c r="F10" s="8" t="s">
        <v>1469</v>
      </c>
      <c r="G10" s="7">
        <f t="shared" si="0"/>
        <v>122.10000000000001</v>
      </c>
      <c r="H10" s="88" t="s">
        <v>1542</v>
      </c>
      <c r="I10" s="1" t="str">
        <f t="shared" si="1"/>
        <v>ME 282,ED2-AE</v>
      </c>
      <c r="J10" s="36"/>
    </row>
    <row r="11" spans="1:12" ht="14.5" x14ac:dyDescent="0.35">
      <c r="A11" s="5" t="s">
        <v>123</v>
      </c>
      <c r="B11" s="5" t="str">
        <f>IFERROR(VLOOKUP($I11,'[5]Combined Data'!$D$1:$H$534,2,FALSE),0)</f>
        <v>Principles of Land Surveying and Hydrographic Science</v>
      </c>
      <c r="C11" s="6" t="str">
        <v>Asante Cosmas Yaw</v>
      </c>
      <c r="D11" s="16" t="s">
        <v>36</v>
      </c>
      <c r="E11" s="5">
        <v>82</v>
      </c>
      <c r="F11" s="90" t="s">
        <v>1538</v>
      </c>
      <c r="G11" s="7">
        <f>E11*1.1</f>
        <v>90.2</v>
      </c>
      <c r="H11" s="88" t="s">
        <v>1499</v>
      </c>
      <c r="I11" s="1" t="str">
        <f>CONCATENATE(A11,",",D11)</f>
        <v>PE 264,ED2-PETE</v>
      </c>
      <c r="J11" s="36"/>
    </row>
    <row r="12" spans="1:12" ht="14.5" x14ac:dyDescent="0.35">
      <c r="A12" s="5" t="s">
        <v>751</v>
      </c>
      <c r="B12" s="5" t="str">
        <f>IFERROR(VLOOKUP($I12,'[5]Combined Data'!$D$1:$H$534,2,FALSE),0)</f>
        <v>Soil and Rocks Mechanics Laboratory</v>
      </c>
      <c r="C12" s="6" t="str">
        <v>Dzikunu-Bansah Nancy Anataba Kyorku</v>
      </c>
      <c r="D12" s="5" t="s">
        <v>64</v>
      </c>
      <c r="E12" s="5">
        <v>227</v>
      </c>
      <c r="F12" s="5" t="s">
        <v>1539</v>
      </c>
      <c r="G12" s="7">
        <f>E12*1.1</f>
        <v>249.70000000000002</v>
      </c>
      <c r="H12" s="88" t="s">
        <v>1543</v>
      </c>
      <c r="I12" s="1" t="str">
        <f>CONCATENATE(A12,",",D12)</f>
        <v>CE 262,ED2-CE</v>
      </c>
      <c r="J12" s="36"/>
    </row>
    <row r="13" spans="1:12" ht="14.5" x14ac:dyDescent="0.35">
      <c r="A13" s="5" t="s">
        <v>386</v>
      </c>
      <c r="B13" s="5" t="str">
        <f>IFERROR(VLOOKUP($I13,'[5]Combined Data'!$D$1:$H$534,2,FALSE),0)</f>
        <v>Construction Management</v>
      </c>
      <c r="C13" s="6" t="str">
        <v>Obeng Daniel Atuah</v>
      </c>
      <c r="D13" s="5" t="s">
        <v>84</v>
      </c>
      <c r="E13" s="5">
        <v>255</v>
      </c>
      <c r="F13" s="8" t="s">
        <v>1540</v>
      </c>
      <c r="G13" s="7">
        <f>E13*1.1</f>
        <v>280.5</v>
      </c>
      <c r="H13" s="88" t="s">
        <v>1544</v>
      </c>
      <c r="I13" s="1" t="str">
        <f>CONCATENATE(A13,",",D13)</f>
        <v>CE 462,ED4-CE</v>
      </c>
      <c r="J13" s="36"/>
    </row>
    <row r="14" spans="1:12" ht="14.5" x14ac:dyDescent="0.35">
      <c r="A14" s="5" t="s">
        <v>198</v>
      </c>
      <c r="B14" s="5" t="str">
        <f>IFERROR(VLOOKUP($I14,'[5]Combined Data'!$D$1:$H$534,2,FALSE),0)</f>
        <v>Aerodynamics II</v>
      </c>
      <c r="C14" s="6" t="str">
        <v>Bofah Kwasi Kete</v>
      </c>
      <c r="D14" s="5" t="s">
        <v>93</v>
      </c>
      <c r="E14" s="5">
        <v>75</v>
      </c>
      <c r="F14" s="89" t="s">
        <v>1472</v>
      </c>
      <c r="G14" s="7">
        <f>E14*1.1</f>
        <v>82.5</v>
      </c>
      <c r="H14" s="88" t="s">
        <v>1545</v>
      </c>
      <c r="I14" s="1" t="str">
        <f>CONCATENATE(A14,",",D14)</f>
        <v>AERO 452,ED4-AERO</v>
      </c>
      <c r="J14" s="36"/>
    </row>
    <row r="15" spans="1:12" ht="14.5" x14ac:dyDescent="0.35">
      <c r="A15" s="5" t="s">
        <v>399</v>
      </c>
      <c r="B15" s="5" t="str">
        <f>IFERROR(VLOOKUP($I15,'[5]Combined Data'!$D$1:$H$534,2,FALSE),0)</f>
        <v>Automotive Spark-Ignition Engines</v>
      </c>
      <c r="C15" s="6" t="str">
        <v>Abu Frimpong Solomon</v>
      </c>
      <c r="D15" s="5" t="s">
        <v>150</v>
      </c>
      <c r="E15" s="5">
        <v>32</v>
      </c>
      <c r="F15" s="8" t="s">
        <v>1867</v>
      </c>
      <c r="G15" s="7">
        <f t="shared" si="0"/>
        <v>35.200000000000003</v>
      </c>
      <c r="H15" s="110" t="s">
        <v>1868</v>
      </c>
      <c r="I15" s="1" t="str">
        <f t="shared" si="1"/>
        <v>AME 368,ED3-AUTO</v>
      </c>
      <c r="J15" s="36"/>
    </row>
    <row r="16" spans="1:12" ht="14.5" x14ac:dyDescent="0.35">
      <c r="A16" s="5" t="s">
        <v>398</v>
      </c>
      <c r="B16" s="5" t="str">
        <f>IFERROR(VLOOKUP($I16,'[5]Combined Data'!$D$1:$H$534,2,FALSE),0)</f>
        <v>Biomedical Optics</v>
      </c>
      <c r="C16" s="6" t="str">
        <v>Kotei Addison Eric Clement</v>
      </c>
      <c r="D16" s="5" t="s">
        <v>75</v>
      </c>
      <c r="E16" s="5">
        <v>85</v>
      </c>
      <c r="F16" s="8" t="s">
        <v>1538</v>
      </c>
      <c r="G16" s="7">
        <f t="shared" si="0"/>
        <v>93.500000000000014</v>
      </c>
      <c r="H16" s="88" t="s">
        <v>1499</v>
      </c>
      <c r="I16" s="1" t="str">
        <f t="shared" si="1"/>
        <v>BME 374,ED3-BME</v>
      </c>
      <c r="J16" s="36"/>
    </row>
    <row r="17" spans="1:10" ht="14.5" x14ac:dyDescent="0.35">
      <c r="A17" s="5" t="s">
        <v>397</v>
      </c>
      <c r="B17" s="5" t="str">
        <f>IFERROR(VLOOKUP($I17,'[5]Combined Data'!$D$1:$H$534,2,FALSE),0)</f>
        <v>Digital Systems Design II</v>
      </c>
      <c r="C17" s="6" t="str">
        <v>Boateng Kwame Osei</v>
      </c>
      <c r="D17" s="5" t="s">
        <v>73</v>
      </c>
      <c r="E17" s="5">
        <v>170</v>
      </c>
      <c r="F17" s="8" t="s">
        <v>1417</v>
      </c>
      <c r="G17" s="7">
        <f t="shared" si="0"/>
        <v>187.00000000000003</v>
      </c>
      <c r="H17" s="88" t="s">
        <v>1546</v>
      </c>
      <c r="I17" s="1" t="str">
        <f t="shared" si="1"/>
        <v>COE 372,ED3-COE</v>
      </c>
      <c r="J17" s="36"/>
    </row>
    <row r="18" spans="1:10" ht="14.5" x14ac:dyDescent="0.35">
      <c r="A18" s="5" t="s">
        <v>396</v>
      </c>
      <c r="B18" s="5" t="str">
        <f>IFERROR(VLOOKUP($I18,'[5]Combined Data'!$D$1:$H$534,2,FALSE),0)</f>
        <v>Digital Computer Design</v>
      </c>
      <c r="C18" s="6" t="str">
        <v>Boateng Kwame Osei</v>
      </c>
      <c r="D18" s="5" t="s">
        <v>67</v>
      </c>
      <c r="E18" s="5">
        <v>29</v>
      </c>
      <c r="F18" s="8" t="s">
        <v>1450</v>
      </c>
      <c r="G18" s="7">
        <f t="shared" si="0"/>
        <v>31.900000000000002</v>
      </c>
      <c r="H18" s="88">
        <v>29</v>
      </c>
      <c r="I18" s="1" t="str">
        <f t="shared" si="1"/>
        <v>COE 382,ED3-EE</v>
      </c>
      <c r="J18" s="36"/>
    </row>
    <row r="19" spans="1:10" ht="14.5" x14ac:dyDescent="0.35">
      <c r="A19" s="5" t="s">
        <v>395</v>
      </c>
      <c r="B19" s="5" t="str">
        <f>IFERROR(VLOOKUP($I19,'[5]Combined Data'!$D$1:$H$534,2,FALSE),0)</f>
        <v>Adsorption Separation Process Technology</v>
      </c>
      <c r="C19" s="6" t="str">
        <v>Ohemeng-Boahen Godfred</v>
      </c>
      <c r="D19" s="5" t="s">
        <v>35</v>
      </c>
      <c r="E19" s="5">
        <v>50</v>
      </c>
      <c r="F19" s="8" t="s">
        <v>1422</v>
      </c>
      <c r="G19" s="7">
        <f t="shared" si="0"/>
        <v>55.000000000000007</v>
      </c>
      <c r="H19" s="88">
        <v>50</v>
      </c>
      <c r="I19" s="1" t="str">
        <f t="shared" si="1"/>
        <v>CHE 464,ED4-PCE</v>
      </c>
      <c r="J19" s="36"/>
    </row>
    <row r="20" spans="1:10" ht="14.5" x14ac:dyDescent="0.35">
      <c r="A20" s="5" t="s">
        <v>394</v>
      </c>
      <c r="B20" s="5" t="str">
        <f>IFERROR(VLOOKUP($I20,'[5]Combined Data'!$D$1:$H$534,2,FALSE),0)</f>
        <v>Production Engineering II</v>
      </c>
      <c r="C20" s="6" t="str">
        <v>Obeng George Yaw</v>
      </c>
      <c r="D20" s="5" t="s">
        <v>91</v>
      </c>
      <c r="E20" s="5">
        <v>53</v>
      </c>
      <c r="F20" s="8" t="s">
        <v>1511</v>
      </c>
      <c r="G20" s="7">
        <f t="shared" si="0"/>
        <v>58.300000000000004</v>
      </c>
      <c r="H20" s="88" t="s">
        <v>1503</v>
      </c>
      <c r="I20" s="1" t="str">
        <f t="shared" si="1"/>
        <v>ME 478,ED4-ME</v>
      </c>
      <c r="J20" s="36"/>
    </row>
    <row r="21" spans="1:10" ht="14.5" x14ac:dyDescent="0.35">
      <c r="A21" s="5" t="s">
        <v>393</v>
      </c>
      <c r="B21" s="5" t="str">
        <f>IFERROR(VLOOKUP($I21,'[5]Combined Data'!$D$1:$H$534,2,FALSE),0)</f>
        <v>Introduction to VLSI</v>
      </c>
      <c r="C21" s="6" t="str">
        <v>Agbemenu Andrew Selasi</v>
      </c>
      <c r="D21" s="5" t="s">
        <v>57</v>
      </c>
      <c r="E21" s="5">
        <v>7</v>
      </c>
      <c r="F21" s="8" t="s">
        <v>1450</v>
      </c>
      <c r="G21" s="7">
        <f t="shared" si="0"/>
        <v>7.7000000000000011</v>
      </c>
      <c r="H21" s="88">
        <v>7</v>
      </c>
      <c r="I21" s="1" t="str">
        <f t="shared" si="1"/>
        <v>COE 486,ED4-EE</v>
      </c>
      <c r="J21" s="36"/>
    </row>
    <row r="22" spans="1:10" ht="14.5" x14ac:dyDescent="0.35">
      <c r="A22" s="5" t="s">
        <v>393</v>
      </c>
      <c r="B22" s="5" t="str">
        <f>IFERROR(VLOOKUP($I22,'[5]Combined Data'!$D$1:$H$534,2,FALSE),0)</f>
        <v>Introduction to VLSI</v>
      </c>
      <c r="C22" s="6" t="str">
        <v>Agbemenu Andrew Selasi</v>
      </c>
      <c r="D22" s="5" t="s">
        <v>196</v>
      </c>
      <c r="E22" s="5">
        <v>14</v>
      </c>
      <c r="F22" s="8" t="s">
        <v>1436</v>
      </c>
      <c r="G22" s="7">
        <f t="shared" si="0"/>
        <v>15.400000000000002</v>
      </c>
      <c r="H22" s="88">
        <v>10</v>
      </c>
      <c r="I22" s="1" t="str">
        <f t="shared" si="1"/>
        <v>COE 486,ED4-COE</v>
      </c>
      <c r="J22" s="36"/>
    </row>
    <row r="23" spans="1:10" ht="14.5" x14ac:dyDescent="0.35">
      <c r="A23" s="5" t="s">
        <v>392</v>
      </c>
      <c r="B23" s="5" t="str">
        <f>IFERROR(VLOOKUP($I23,'[5]Combined Data'!$D$1:$H$534,2,FALSE),0)</f>
        <v>Engineering Survey II</v>
      </c>
      <c r="C23" s="6" t="str">
        <v>Arko-Adjei Anthony</v>
      </c>
      <c r="D23" s="5" t="s">
        <v>65</v>
      </c>
      <c r="E23" s="5">
        <v>122</v>
      </c>
      <c r="F23" s="9" t="s">
        <v>1469</v>
      </c>
      <c r="G23" s="7">
        <f t="shared" si="0"/>
        <v>134.20000000000002</v>
      </c>
      <c r="H23" s="88" t="s">
        <v>1547</v>
      </c>
      <c r="I23" s="1" t="str">
        <f t="shared" si="1"/>
        <v>GE 272,ED2-GEOM</v>
      </c>
      <c r="J23" s="36"/>
    </row>
    <row r="24" spans="1:10" ht="14.5" x14ac:dyDescent="0.35">
      <c r="A24" s="5" t="s">
        <v>391</v>
      </c>
      <c r="B24" s="5" t="str">
        <f>IFERROR(VLOOKUP($I24,'[5]Combined Data'!$D$1:$H$534,2,FALSE),0)</f>
        <v>Pharmaceutical Technology</v>
      </c>
      <c r="C24" s="6" t="str">
        <v>Johnson Raphael</v>
      </c>
      <c r="D24" s="5" t="s">
        <v>104</v>
      </c>
      <c r="E24" s="5">
        <v>71</v>
      </c>
      <c r="F24" s="8" t="s">
        <v>1873</v>
      </c>
      <c r="G24" s="7">
        <f>E24*1.1</f>
        <v>78.100000000000009</v>
      </c>
      <c r="H24" s="88" t="s">
        <v>1548</v>
      </c>
      <c r="I24" s="1" t="str">
        <f>CONCATENATE(A24,",",D24)</f>
        <v>CHE 470,ED4-CHE</v>
      </c>
      <c r="J24" s="36"/>
    </row>
    <row r="25" spans="1:10" ht="14.5" x14ac:dyDescent="0.35">
      <c r="A25" s="5" t="s">
        <v>436</v>
      </c>
      <c r="B25" s="5" t="s">
        <v>844</v>
      </c>
      <c r="C25" s="6" t="str">
        <v>K. A.-B. Opare</v>
      </c>
      <c r="D25" s="5" t="s">
        <v>10</v>
      </c>
      <c r="E25" s="5">
        <v>142</v>
      </c>
      <c r="F25" s="8" t="s">
        <v>1541</v>
      </c>
      <c r="G25" s="7">
        <f>E25*1.1</f>
        <v>156.20000000000002</v>
      </c>
      <c r="H25" s="88" t="s">
        <v>1532</v>
      </c>
      <c r="I25" s="1" t="str">
        <f>CONCATENATE(A25,",",D25)</f>
        <v>TE 374,ED3-TEL</v>
      </c>
      <c r="J25" s="36"/>
    </row>
    <row r="26" spans="1:10" ht="14.5" x14ac:dyDescent="0.35">
      <c r="A26" s="19"/>
      <c r="B26" s="19"/>
      <c r="C26" s="48"/>
      <c r="D26" s="5"/>
      <c r="E26" s="5"/>
      <c r="F26" s="50"/>
      <c r="G26" s="51"/>
      <c r="J26" s="36"/>
    </row>
    <row r="27" spans="1:10" ht="14.5" x14ac:dyDescent="0.35">
      <c r="D27" s="6" t="s">
        <v>390</v>
      </c>
      <c r="E27" s="11">
        <f>SUM(E10:E25)</f>
        <v>1525</v>
      </c>
      <c r="I27" s="1" t="str">
        <f t="shared" si="1"/>
        <v>,Total M1</v>
      </c>
      <c r="J27" s="36"/>
    </row>
    <row r="28" spans="1:10" ht="14.5" x14ac:dyDescent="0.35">
      <c r="E28"/>
      <c r="I28" s="1" t="str">
        <f t="shared" si="1"/>
        <v>,</v>
      </c>
      <c r="J28" s="36"/>
    </row>
    <row r="29" spans="1:10" ht="14.5" x14ac:dyDescent="0.35">
      <c r="I29" s="1" t="str">
        <f t="shared" si="1"/>
        <v>,</v>
      </c>
      <c r="J29" s="36"/>
    </row>
    <row r="30" spans="1:10" ht="14.5" x14ac:dyDescent="0.35">
      <c r="A30" s="119" t="s">
        <v>404</v>
      </c>
      <c r="B30" s="119"/>
      <c r="C30" s="119"/>
      <c r="D30" s="119"/>
      <c r="E30" s="119"/>
      <c r="F30" s="119"/>
      <c r="G30" s="119"/>
      <c r="I30" s="1" t="str">
        <f t="shared" si="1"/>
        <v>Monday, 7 July 2025,</v>
      </c>
      <c r="J30" s="36"/>
    </row>
    <row r="31" spans="1:10" s="20" customFormat="1" ht="14.5" x14ac:dyDescent="0.35">
      <c r="A31" s="116" t="str">
        <f>[2]SESSIONS!$K$2</f>
        <v>Session, 2 (10:00 AM - 11:00 AM)</v>
      </c>
      <c r="B31" s="117"/>
      <c r="C31" s="117"/>
      <c r="D31" s="117"/>
      <c r="E31" s="117"/>
      <c r="F31" s="117"/>
      <c r="G31" s="118"/>
      <c r="H31" s="10"/>
      <c r="I31" s="1" t="str">
        <f t="shared" si="1"/>
        <v>Session, 2 (10:00 AM - 11:00 AM),</v>
      </c>
      <c r="J31" s="36"/>
    </row>
    <row r="32" spans="1:10" s="20" customFormat="1" ht="14.5" x14ac:dyDescent="0.35">
      <c r="A32" s="2" t="s">
        <v>6</v>
      </c>
      <c r="B32" s="2" t="s">
        <v>5</v>
      </c>
      <c r="C32" s="3" t="s">
        <v>4</v>
      </c>
      <c r="D32" s="2" t="s">
        <v>3</v>
      </c>
      <c r="E32" s="2" t="s">
        <v>2</v>
      </c>
      <c r="F32" s="3" t="s">
        <v>1</v>
      </c>
      <c r="G32" s="2" t="s">
        <v>0</v>
      </c>
      <c r="H32" s="10"/>
      <c r="I32" s="1" t="str">
        <f t="shared" si="1"/>
        <v>CODE ,CLASS</v>
      </c>
      <c r="J32" s="36"/>
    </row>
    <row r="33" spans="1:10" ht="14.5" x14ac:dyDescent="0.35">
      <c r="A33" s="5" t="s">
        <v>376</v>
      </c>
      <c r="B33" s="5" t="str">
        <f>IFERROR(VLOOKUP($I33,'[5]Combined Data'!$D$1:$H$534,2,FALSE),0)</f>
        <v>Communication Skills II</v>
      </c>
      <c r="C33" s="6" t="str" cm="1">
        <f t="array" ref="C33:C50">VLOOKUP(I33:I50,'Combined Data'!A1:E547,3,FALSE)</f>
        <v>P.G. Asamoah</v>
      </c>
      <c r="D33" s="5" t="s">
        <v>44</v>
      </c>
      <c r="E33" s="5" cm="1">
        <f t="array" ref="E33:E50">VLOOKUP(I33:I50,combined_data!A1:D549,4,FALSE)</f>
        <v>260</v>
      </c>
      <c r="F33" s="120" t="s">
        <v>114</v>
      </c>
      <c r="G33" s="7">
        <f t="shared" ref="G33:G50" si="2">E33*1.1</f>
        <v>286</v>
      </c>
      <c r="I33" s="1" t="str">
        <f t="shared" si="1"/>
        <v>ENGL 158,ED1-CE</v>
      </c>
      <c r="J33" s="36"/>
    </row>
    <row r="34" spans="1:10" ht="14.5" x14ac:dyDescent="0.35">
      <c r="A34" s="5" t="s">
        <v>376</v>
      </c>
      <c r="B34" s="5" t="str">
        <f>IFERROR(VLOOKUP($I34,'[5]Combined Data'!$D$1:$H$534,2,FALSE),0)</f>
        <v>Communication Skills II</v>
      </c>
      <c r="C34" s="6" t="str">
        <v>Yeboah Philomena Ama Okyeso</v>
      </c>
      <c r="D34" s="5" t="s">
        <v>25</v>
      </c>
      <c r="E34" s="5">
        <v>378</v>
      </c>
      <c r="F34" s="122"/>
      <c r="G34" s="7">
        <f t="shared" si="2"/>
        <v>415.8</v>
      </c>
      <c r="I34" s="1" t="str">
        <f t="shared" si="1"/>
        <v>ENGL 158,ED1-EE</v>
      </c>
      <c r="J34" s="36"/>
    </row>
    <row r="35" spans="1:10" ht="14.5" x14ac:dyDescent="0.35">
      <c r="A35" s="5" t="s">
        <v>376</v>
      </c>
      <c r="B35" s="5" t="str">
        <f>IFERROR(VLOOKUP($I35,'[5]Combined Data'!$D$1:$H$534,2,FALSE),0)</f>
        <v>Communication Skills II</v>
      </c>
      <c r="C35" s="6" t="str">
        <v>Sarfo-Adu Kwasi</v>
      </c>
      <c r="D35" s="5" t="s">
        <v>15</v>
      </c>
      <c r="E35" s="5">
        <v>78</v>
      </c>
      <c r="F35" s="122"/>
      <c r="G35" s="7">
        <f t="shared" si="2"/>
        <v>85.800000000000011</v>
      </c>
      <c r="I35" s="1" t="str">
        <f t="shared" si="1"/>
        <v>ENGL 158,ED1-AUTO</v>
      </c>
      <c r="J35" s="36"/>
    </row>
    <row r="36" spans="1:10" ht="14.5" x14ac:dyDescent="0.35">
      <c r="A36" s="5" t="s">
        <v>376</v>
      </c>
      <c r="B36" s="5" t="str">
        <f>IFERROR(VLOOKUP($I36,'[5]Combined Data'!$D$1:$H$534,2,FALSE),0)</f>
        <v>Communication Skills II</v>
      </c>
      <c r="C36" s="6" t="str">
        <v>Yeboah Philomena Ama Okyeso</v>
      </c>
      <c r="D36" s="5" t="s">
        <v>45</v>
      </c>
      <c r="E36" s="5">
        <v>156</v>
      </c>
      <c r="F36" s="122"/>
      <c r="G36" s="7">
        <f t="shared" si="2"/>
        <v>171.60000000000002</v>
      </c>
      <c r="I36" s="1" t="str">
        <f t="shared" si="1"/>
        <v>ENGL 158,ED1-GEOL</v>
      </c>
      <c r="J36" s="36"/>
    </row>
    <row r="37" spans="1:10" ht="14.5" x14ac:dyDescent="0.35">
      <c r="A37" s="5" t="s">
        <v>376</v>
      </c>
      <c r="B37" s="5" t="str">
        <f>IFERROR(VLOOKUP($I37,'[5]Combined Data'!$D$1:$H$534,2,FALSE),0)</f>
        <v>Communication Skills II</v>
      </c>
      <c r="C37" s="6" t="str">
        <v>Yeboah Philomena Ama Okyeso</v>
      </c>
      <c r="D37" s="5" t="s">
        <v>58</v>
      </c>
      <c r="E37" s="5">
        <v>59</v>
      </c>
      <c r="F37" s="124"/>
      <c r="G37" s="7">
        <f t="shared" si="2"/>
        <v>64.900000000000006</v>
      </c>
      <c r="I37" s="1" t="str">
        <f t="shared" si="1"/>
        <v>ENGL 158,ED1-PCE</v>
      </c>
      <c r="J37" s="36"/>
    </row>
    <row r="38" spans="1:10" ht="14.5" x14ac:dyDescent="0.35">
      <c r="A38" s="5" t="s">
        <v>118</v>
      </c>
      <c r="B38" s="5" t="str">
        <f>IFERROR(VLOOKUP($I38,'[5]Combined Data'!$D$1:$H$534,2,FALSE),0)</f>
        <v>Aircraft Performance and Design</v>
      </c>
      <c r="C38" s="6" t="str">
        <v>Agyei Agyemang Anthony</v>
      </c>
      <c r="D38" s="5" t="s">
        <v>117</v>
      </c>
      <c r="E38" s="5">
        <v>63</v>
      </c>
      <c r="F38" s="8" t="s">
        <v>1549</v>
      </c>
      <c r="G38" s="7">
        <f t="shared" si="2"/>
        <v>69.300000000000011</v>
      </c>
      <c r="H38" s="88" t="s">
        <v>1476</v>
      </c>
      <c r="I38" s="1" t="str">
        <f t="shared" si="1"/>
        <v>AERO 374,ED3-AERO</v>
      </c>
      <c r="J38" s="36"/>
    </row>
    <row r="39" spans="1:10" ht="14.5" x14ac:dyDescent="0.35">
      <c r="A39" s="5" t="s">
        <v>1416</v>
      </c>
      <c r="B39" s="5" t="str">
        <f>IFERROR(VLOOKUP($I39,'[5]Combined Data'!$D$1:$H$534,2,FALSE),0)</f>
        <v>GIS Applications</v>
      </c>
      <c r="C39" s="6" t="str">
        <v>Appiah-Adjei Emmanuel Kwame</v>
      </c>
      <c r="D39" s="5" t="s">
        <v>217</v>
      </c>
      <c r="E39" s="5">
        <v>105</v>
      </c>
      <c r="F39" s="8" t="s">
        <v>1550</v>
      </c>
      <c r="G39" s="7">
        <f t="shared" si="2"/>
        <v>115.50000000000001</v>
      </c>
      <c r="H39" s="88" t="s">
        <v>1556</v>
      </c>
      <c r="I39" s="1" t="str">
        <f t="shared" si="1"/>
        <v>GED 368,ED3-GEOL</v>
      </c>
      <c r="J39" s="36"/>
    </row>
    <row r="40" spans="1:10" ht="14.5" x14ac:dyDescent="0.35">
      <c r="A40" s="43" t="s">
        <v>182</v>
      </c>
      <c r="B40" s="5" t="str">
        <f>IFERROR(VLOOKUP($I40,'[5]Combined Data'!$D$1:$H$534,2,FALSE),0)</f>
        <v>Metallurgical Rate Processes/Surface Phenomena</v>
      </c>
      <c r="C40" s="6" t="str">
        <v>Gikunoo Emmanuel</v>
      </c>
      <c r="D40" s="5" t="s">
        <v>111</v>
      </c>
      <c r="E40" s="5">
        <v>86</v>
      </c>
      <c r="F40" s="8" t="s">
        <v>1822</v>
      </c>
      <c r="G40" s="7">
        <f>E40*1.1</f>
        <v>94.600000000000009</v>
      </c>
      <c r="H40" s="88" t="s">
        <v>1557</v>
      </c>
      <c r="I40" s="1" t="str">
        <f>CONCATENATE(A40,",",D40)</f>
        <v>METE 252,ED2-METE</v>
      </c>
      <c r="J40" s="36"/>
    </row>
    <row r="41" spans="1:10" ht="14.5" x14ac:dyDescent="0.35">
      <c r="A41" s="5" t="s">
        <v>389</v>
      </c>
      <c r="B41" s="5" t="str">
        <f>IFERROR(VLOOKUP($I41,'[5]Combined Data'!$D$1:$H$534,2,FALSE),0)</f>
        <v>Groundwater Development</v>
      </c>
      <c r="C41" s="6" t="str">
        <v>Ali Bukari</v>
      </c>
      <c r="D41" s="5" t="s">
        <v>8</v>
      </c>
      <c r="E41" s="5">
        <v>142</v>
      </c>
      <c r="F41" s="8" t="s">
        <v>1552</v>
      </c>
      <c r="G41" s="7">
        <f t="shared" si="2"/>
        <v>156.20000000000002</v>
      </c>
      <c r="H41" s="88" t="s">
        <v>1820</v>
      </c>
      <c r="I41" s="1" t="str">
        <f t="shared" ref="I41:I71" si="3">CONCATENATE(A41,",",D41)</f>
        <v>GED 476,ED4-GEOL</v>
      </c>
      <c r="J41" s="36"/>
    </row>
    <row r="42" spans="1:10" ht="14.5" x14ac:dyDescent="0.35">
      <c r="A42" s="5" t="s">
        <v>388</v>
      </c>
      <c r="B42" s="5" t="str">
        <f>IFERROR(VLOOKUP($I42,'[5]Combined Data'!$D$1:$H$534,2,FALSE),0)</f>
        <v>Biomechanics II</v>
      </c>
      <c r="C42" s="6" t="str">
        <v>Odame Prince</v>
      </c>
      <c r="D42" s="5" t="s">
        <v>242</v>
      </c>
      <c r="E42" s="5">
        <v>62</v>
      </c>
      <c r="F42" s="13" t="s">
        <v>1475</v>
      </c>
      <c r="G42" s="7">
        <f t="shared" si="2"/>
        <v>68.2</v>
      </c>
      <c r="H42" s="110" t="s">
        <v>1558</v>
      </c>
      <c r="I42" s="1" t="str">
        <f t="shared" si="3"/>
        <v>BME 462,ED4-BME</v>
      </c>
      <c r="J42" s="36"/>
    </row>
    <row r="43" spans="1:10" ht="14.5" x14ac:dyDescent="0.35">
      <c r="A43" s="5" t="s">
        <v>400</v>
      </c>
      <c r="B43" s="5" t="str">
        <f>IFERROR(VLOOKUP($I43,'[5]Combined Data'!$D$1:$H$534,2,FALSE),0)</f>
        <v>Microprocessors</v>
      </c>
      <c r="C43" s="6" t="str">
        <v>Agyemang Justice Owusu</v>
      </c>
      <c r="D43" s="5" t="s">
        <v>49</v>
      </c>
      <c r="E43" s="5">
        <v>147</v>
      </c>
      <c r="F43" s="8" t="s">
        <v>1420</v>
      </c>
      <c r="G43" s="7">
        <f>E43*1.1</f>
        <v>161.70000000000002</v>
      </c>
      <c r="H43" s="88">
        <v>147</v>
      </c>
      <c r="I43" s="1" t="str">
        <f>CONCATENATE(A43,",",D43)</f>
        <v>TE 258,ED2-TEL</v>
      </c>
      <c r="J43" s="36"/>
    </row>
    <row r="44" spans="1:10" ht="14.5" x14ac:dyDescent="0.35">
      <c r="A44" s="5" t="s">
        <v>385</v>
      </c>
      <c r="B44" s="5" t="str">
        <f>IFERROR(VLOOKUP($I44,'[5]Combined Data'!$D$1:$H$534,2,FALSE),0)</f>
        <v>Drawing for Engineers</v>
      </c>
      <c r="C44" s="6" t="str">
        <v>Darkwah Lawrence</v>
      </c>
      <c r="D44" s="5" t="s">
        <v>71</v>
      </c>
      <c r="E44" s="5">
        <v>119</v>
      </c>
      <c r="F44" s="8" t="s">
        <v>1469</v>
      </c>
      <c r="G44" s="7">
        <f t="shared" si="2"/>
        <v>130.9</v>
      </c>
      <c r="H44" s="88" t="s">
        <v>1559</v>
      </c>
      <c r="I44" s="1" t="str">
        <f t="shared" si="3"/>
        <v>CHE 258,ED2-CHE</v>
      </c>
      <c r="J44" s="36"/>
    </row>
    <row r="45" spans="1:10" ht="14.5" x14ac:dyDescent="0.35">
      <c r="A45" s="5" t="s">
        <v>385</v>
      </c>
      <c r="B45" s="5" t="str">
        <f>IFERROR(VLOOKUP($I45,'[5]Combined Data'!$D$1:$H$534,2,FALSE),0)</f>
        <v>Drawing for Engineers</v>
      </c>
      <c r="C45" s="6" t="str">
        <v>Darkwah Lawrence</v>
      </c>
      <c r="D45" s="5" t="s">
        <v>69</v>
      </c>
      <c r="E45" s="5">
        <v>59</v>
      </c>
      <c r="F45" s="8" t="s">
        <v>1823</v>
      </c>
      <c r="G45" s="7">
        <f t="shared" si="2"/>
        <v>64.900000000000006</v>
      </c>
      <c r="H45" s="88" t="s">
        <v>1824</v>
      </c>
      <c r="I45" s="1" t="str">
        <f t="shared" si="3"/>
        <v>CHE 258,ED2-PCE</v>
      </c>
      <c r="J45" s="36"/>
    </row>
    <row r="46" spans="1:10" ht="14.5" x14ac:dyDescent="0.35">
      <c r="A46" s="5" t="s">
        <v>387</v>
      </c>
      <c r="B46" s="5" t="str">
        <f>IFERROR(VLOOKUP($I46,'[5]Combined Data'!$D$1:$H$534,2,FALSE),0)</f>
        <v>Computer-Aided Design and Modelling</v>
      </c>
      <c r="C46" s="6" t="str">
        <v>Sackey Michael Nii</v>
      </c>
      <c r="D46" s="5" t="s">
        <v>13</v>
      </c>
      <c r="E46" s="5">
        <v>76</v>
      </c>
      <c r="F46" s="8" t="s">
        <v>1553</v>
      </c>
      <c r="G46" s="7">
        <f>E46*1.1</f>
        <v>83.600000000000009</v>
      </c>
      <c r="H46" s="88" t="s">
        <v>1560</v>
      </c>
      <c r="I46" s="1" t="str">
        <f>CONCATENATE(A46,",",D46)</f>
        <v>ME 258,ED2-AERO</v>
      </c>
      <c r="J46" s="36"/>
    </row>
    <row r="47" spans="1:10" ht="14.5" x14ac:dyDescent="0.35">
      <c r="A47" s="5" t="s">
        <v>375</v>
      </c>
      <c r="B47" s="5" t="str">
        <f>IFERROR(VLOOKUP($I47,'[5]Combined Data'!$D$1:$H$534,2,FALSE),0)</f>
        <v>Renewable Energy Systems and Management</v>
      </c>
      <c r="C47" s="6" t="str">
        <v>Kemausuor Francis</v>
      </c>
      <c r="D47" s="5" t="s">
        <v>88</v>
      </c>
      <c r="E47" s="5">
        <v>108</v>
      </c>
      <c r="F47" s="15" t="s">
        <v>1469</v>
      </c>
      <c r="G47" s="7">
        <f>E47*1.1</f>
        <v>118.80000000000001</v>
      </c>
      <c r="H47" s="88" t="s">
        <v>1561</v>
      </c>
      <c r="I47" s="1" t="str">
        <f>CONCATENATE(A47,",",D47)</f>
        <v>AE 358,ED3-AE</v>
      </c>
      <c r="J47" s="36"/>
    </row>
    <row r="48" spans="1:10" ht="14.5" x14ac:dyDescent="0.35">
      <c r="A48" s="5" t="s">
        <v>384</v>
      </c>
      <c r="B48" s="5" t="str">
        <f>IFERROR(VLOOKUP($I48,'[5]Combined Data'!$D$1:$H$534,2,FALSE),0)</f>
        <v>Stratigraphy</v>
      </c>
      <c r="C48" s="6" t="str">
        <v>Amedjoe Godfrey Chiri</v>
      </c>
      <c r="D48" s="5" t="s">
        <v>62</v>
      </c>
      <c r="E48" s="5">
        <v>156</v>
      </c>
      <c r="F48" s="14" t="s">
        <v>1555</v>
      </c>
      <c r="G48" s="7">
        <f t="shared" si="2"/>
        <v>171.60000000000002</v>
      </c>
      <c r="H48" s="88" t="s">
        <v>1562</v>
      </c>
      <c r="I48" s="1" t="str">
        <f t="shared" si="3"/>
        <v>GED 252,ED2-GEOL</v>
      </c>
      <c r="J48" s="36"/>
    </row>
    <row r="49" spans="1:10" ht="14.5" x14ac:dyDescent="0.35">
      <c r="A49" s="5" t="s">
        <v>382</v>
      </c>
      <c r="B49" s="5" t="s">
        <v>381</v>
      </c>
      <c r="C49" s="6" t="str">
        <v>Abdul-Rahman Ahmed</v>
      </c>
      <c r="D49" s="5" t="s">
        <v>55</v>
      </c>
      <c r="E49" s="5">
        <v>141</v>
      </c>
      <c r="F49" s="8" t="s">
        <v>1552</v>
      </c>
      <c r="G49" s="7">
        <f t="shared" si="2"/>
        <v>155.10000000000002</v>
      </c>
      <c r="H49" s="88" t="s">
        <v>1821</v>
      </c>
      <c r="I49" s="1" t="str">
        <f t="shared" si="3"/>
        <v>TE 474,ED4-TEL</v>
      </c>
      <c r="J49" s="36"/>
    </row>
    <row r="50" spans="1:10" ht="14.5" x14ac:dyDescent="0.35">
      <c r="A50" s="5" t="s">
        <v>379</v>
      </c>
      <c r="B50" s="5" t="str">
        <f>IFERROR(VLOOKUP($I50,'[5]Combined Data'!$D$1:$H$534,2,FALSE),0)</f>
        <v>Natural Gas Engineering II</v>
      </c>
      <c r="C50" s="6" t="str">
        <v>Sarkodie Kwame</v>
      </c>
      <c r="D50" s="5" t="s">
        <v>53</v>
      </c>
      <c r="E50" s="5">
        <v>158</v>
      </c>
      <c r="F50" s="8" t="s">
        <v>1555</v>
      </c>
      <c r="G50" s="7">
        <f t="shared" si="2"/>
        <v>173.8</v>
      </c>
      <c r="H50" s="88" t="s">
        <v>1563</v>
      </c>
      <c r="I50" s="1" t="str">
        <f t="shared" si="3"/>
        <v>PE 472,ED4-PETE</v>
      </c>
      <c r="J50" s="36"/>
    </row>
    <row r="51" spans="1:10" ht="14.5" x14ac:dyDescent="0.35">
      <c r="D51" s="6" t="s">
        <v>378</v>
      </c>
      <c r="E51" s="11">
        <f>SUM(E38:E50)</f>
        <v>1422</v>
      </c>
      <c r="I51" s="1" t="str">
        <f t="shared" si="3"/>
        <v>,Total M2</v>
      </c>
      <c r="J51" s="36"/>
    </row>
    <row r="52" spans="1:10" ht="14.5" x14ac:dyDescent="0.35">
      <c r="I52" s="1" t="str">
        <f t="shared" si="3"/>
        <v>,</v>
      </c>
      <c r="J52" s="36"/>
    </row>
    <row r="53" spans="1:10" ht="14.5" x14ac:dyDescent="0.35">
      <c r="I53" s="1" t="str">
        <f t="shared" si="3"/>
        <v>,</v>
      </c>
      <c r="J53" s="36"/>
    </row>
    <row r="54" spans="1:10" ht="14.5" x14ac:dyDescent="0.35">
      <c r="A54" s="119" t="s">
        <v>404</v>
      </c>
      <c r="B54" s="119"/>
      <c r="C54" s="119"/>
      <c r="D54" s="119"/>
      <c r="E54" s="119"/>
      <c r="F54" s="119"/>
      <c r="G54" s="119"/>
      <c r="I54" s="1" t="str">
        <f t="shared" si="3"/>
        <v>Monday, 7 July 2025,</v>
      </c>
      <c r="J54" s="36"/>
    </row>
    <row r="55" spans="1:10" ht="14.5" x14ac:dyDescent="0.35">
      <c r="A55" s="116" t="str">
        <f>[2]SESSIONS!$K$3</f>
        <v>Session, 3 (11:45 AM - 12:45 PM)</v>
      </c>
      <c r="B55" s="117"/>
      <c r="C55" s="117"/>
      <c r="D55" s="117"/>
      <c r="E55" s="117"/>
      <c r="F55" s="117"/>
      <c r="G55" s="118"/>
      <c r="I55" s="1" t="str">
        <f t="shared" si="3"/>
        <v>Session, 3 (11:45 AM - 12:45 PM),</v>
      </c>
      <c r="J55" s="36"/>
    </row>
    <row r="56" spans="1:10" ht="14.5" x14ac:dyDescent="0.35">
      <c r="A56" s="2" t="s">
        <v>6</v>
      </c>
      <c r="B56" s="2" t="s">
        <v>5</v>
      </c>
      <c r="C56" s="4" t="s">
        <v>4</v>
      </c>
      <c r="D56" s="2" t="s">
        <v>3</v>
      </c>
      <c r="E56" s="2" t="s">
        <v>2</v>
      </c>
      <c r="F56" s="3" t="s">
        <v>1</v>
      </c>
      <c r="G56" s="2" t="s">
        <v>0</v>
      </c>
      <c r="H56" s="10"/>
      <c r="I56" s="1" t="str">
        <f t="shared" si="3"/>
        <v>CODE ,CLASS</v>
      </c>
      <c r="J56" s="36"/>
    </row>
    <row r="57" spans="1:10" ht="14.5" x14ac:dyDescent="0.35">
      <c r="A57" s="5" t="s">
        <v>376</v>
      </c>
      <c r="B57" s="5" t="str">
        <f>IFERROR(VLOOKUP($I57,'[5]Combined Data'!$D$1:$H$534,2,FALSE),0)</f>
        <v>Communication Skills II</v>
      </c>
      <c r="C57" s="6" t="str" cm="1">
        <f t="array" ref="C57:C75">VLOOKUP(I57:I75,'Combined Data'!A1:E547,3,FALSE)</f>
        <v>Yeboah Philomena Ama Okyeso</v>
      </c>
      <c r="D57" s="5" t="s">
        <v>23</v>
      </c>
      <c r="E57" s="5" cm="1">
        <f t="array" ref="E57:E75">VLOOKUP(I57:I75,combined_data!A1:D549,4,FALSE)</f>
        <v>139</v>
      </c>
      <c r="F57" s="120" t="s">
        <v>377</v>
      </c>
      <c r="G57" s="7">
        <f t="shared" ref="G57:G75" si="4">E57*1.1</f>
        <v>152.9</v>
      </c>
      <c r="I57" s="1" t="str">
        <f t="shared" si="3"/>
        <v>ENGL 158,ED1-GEOM</v>
      </c>
      <c r="J57" s="36"/>
    </row>
    <row r="58" spans="1:10" ht="14.5" x14ac:dyDescent="0.35">
      <c r="A58" s="5" t="s">
        <v>376</v>
      </c>
      <c r="B58" s="5" t="str">
        <f>IFERROR(VLOOKUP($I58,'[5]Combined Data'!$D$1:$H$534,2,FALSE),0)</f>
        <v>Communication Skills II</v>
      </c>
      <c r="C58" s="6" t="str">
        <v>Yeboah Philomena Ama Okyeso</v>
      </c>
      <c r="D58" s="5" t="s">
        <v>43</v>
      </c>
      <c r="E58" s="5">
        <v>37</v>
      </c>
      <c r="F58" s="122"/>
      <c r="G58" s="7">
        <f t="shared" si="4"/>
        <v>40.700000000000003</v>
      </c>
      <c r="I58" s="1" t="str">
        <f t="shared" si="3"/>
        <v>ENGL 158,ED1-MARI</v>
      </c>
      <c r="J58" s="36"/>
    </row>
    <row r="59" spans="1:10" ht="14.5" x14ac:dyDescent="0.35">
      <c r="A59" s="5" t="s">
        <v>376</v>
      </c>
      <c r="B59" s="5" t="str">
        <f>IFERROR(VLOOKUP($I59,'[5]Combined Data'!$D$1:$H$534,2,FALSE),0)</f>
        <v>Communication Skills II</v>
      </c>
      <c r="C59" s="6" t="str">
        <v>Alhassan Yakubu</v>
      </c>
      <c r="D59" s="5" t="s">
        <v>18</v>
      </c>
      <c r="E59" s="5">
        <v>61</v>
      </c>
      <c r="F59" s="122"/>
      <c r="G59" s="7">
        <f>E59*1.1</f>
        <v>67.100000000000009</v>
      </c>
      <c r="I59" s="1" t="str">
        <f>CONCATENATE(A59,",",D59)</f>
        <v>ENGL 158,ED1-METE</v>
      </c>
      <c r="J59" s="36"/>
    </row>
    <row r="60" spans="1:10" ht="14.5" x14ac:dyDescent="0.35">
      <c r="A60" s="5" t="s">
        <v>376</v>
      </c>
      <c r="B60" s="5" t="str">
        <f>IFERROR(VLOOKUP($I60,'[5]Combined Data'!$D$1:$H$534,2,FALSE),0)</f>
        <v>Communication Skills II</v>
      </c>
      <c r="C60" s="6" t="str">
        <v>Alhassan Yakubu</v>
      </c>
      <c r="D60" s="5" t="s">
        <v>177</v>
      </c>
      <c r="E60" s="5">
        <v>84</v>
      </c>
      <c r="F60" s="122"/>
      <c r="G60" s="7">
        <f t="shared" si="4"/>
        <v>92.4</v>
      </c>
      <c r="I60" s="1" t="str">
        <f t="shared" si="3"/>
        <v>ENGL 158,ED1-MSE</v>
      </c>
      <c r="J60" s="36"/>
    </row>
    <row r="61" spans="1:10" ht="14.5" x14ac:dyDescent="0.35">
      <c r="A61" s="5" t="s">
        <v>376</v>
      </c>
      <c r="B61" s="5" t="str">
        <f>IFERROR(VLOOKUP($I61,'[5]Combined Data'!$D$1:$H$534,2,FALSE),0)</f>
        <v>Communication Skills II</v>
      </c>
      <c r="C61" s="6" t="str">
        <v>Yeboah Philomena Ama Okyeso</v>
      </c>
      <c r="D61" s="5" t="s">
        <v>176</v>
      </c>
      <c r="E61" s="5">
        <v>244</v>
      </c>
      <c r="F61" s="122"/>
      <c r="G61" s="7">
        <f t="shared" si="4"/>
        <v>268.40000000000003</v>
      </c>
      <c r="I61" s="1" t="str">
        <f t="shared" si="3"/>
        <v>ENGL 158,ED1-ME</v>
      </c>
      <c r="J61" s="36"/>
    </row>
    <row r="62" spans="1:10" ht="14.5" x14ac:dyDescent="0.35">
      <c r="A62" s="5" t="s">
        <v>376</v>
      </c>
      <c r="B62" s="5" t="str">
        <f>IFERROR(VLOOKUP($I62,'[5]Combined Data'!$D$1:$H$534,2,FALSE),0)</f>
        <v>Communication Skills II</v>
      </c>
      <c r="C62" s="6" t="str">
        <v>Alhassan Yakubu</v>
      </c>
      <c r="D62" s="5" t="s">
        <v>98</v>
      </c>
      <c r="E62" s="5">
        <v>97</v>
      </c>
      <c r="F62" s="122"/>
      <c r="G62" s="7">
        <f t="shared" si="4"/>
        <v>106.7</v>
      </c>
      <c r="I62" s="1" t="str">
        <f t="shared" si="3"/>
        <v>ENGL 158,ED1-PETE</v>
      </c>
      <c r="J62" s="36"/>
    </row>
    <row r="63" spans="1:10" ht="14.5" x14ac:dyDescent="0.35">
      <c r="A63" s="5" t="s">
        <v>376</v>
      </c>
      <c r="B63" s="5" t="str">
        <f>IFERROR(VLOOKUP($I63,'[5]Combined Data'!$D$1:$H$534,2,FALSE),0)</f>
        <v>Communication Skills II</v>
      </c>
      <c r="C63" s="6" t="str">
        <v>Alhassan Yakubu</v>
      </c>
      <c r="D63" s="5" t="s">
        <v>168</v>
      </c>
      <c r="E63" s="5">
        <v>180</v>
      </c>
      <c r="F63" s="124"/>
      <c r="G63" s="7">
        <f t="shared" si="4"/>
        <v>198.00000000000003</v>
      </c>
      <c r="I63" s="1" t="str">
        <f t="shared" si="3"/>
        <v>ENGL 158,ED1-TEL</v>
      </c>
      <c r="J63" s="36"/>
    </row>
    <row r="64" spans="1:10" ht="14.5" x14ac:dyDescent="0.35">
      <c r="A64" s="5" t="s">
        <v>373</v>
      </c>
      <c r="B64" s="5" t="str">
        <f>IFERROR(VLOOKUP($I64,'[5]Combined Data'!$D$1:$H$534,2,FALSE),0)</f>
        <v>Land Law and Registration</v>
      </c>
      <c r="C64" s="6" t="str">
        <v>Arko-Adjei Anthony</v>
      </c>
      <c r="D64" s="5" t="s">
        <v>94</v>
      </c>
      <c r="E64" s="5">
        <v>107</v>
      </c>
      <c r="F64" s="8" t="s">
        <v>1564</v>
      </c>
      <c r="G64" s="7">
        <f t="shared" si="4"/>
        <v>117.7</v>
      </c>
      <c r="H64" s="88" t="s">
        <v>1568</v>
      </c>
      <c r="I64" s="1" t="str">
        <f t="shared" si="3"/>
        <v>GE 472,ED4-GEOM</v>
      </c>
      <c r="J64" s="36"/>
    </row>
    <row r="65" spans="1:10" ht="14.5" x14ac:dyDescent="0.35">
      <c r="A65" s="5" t="s">
        <v>372</v>
      </c>
      <c r="B65" s="5" t="str">
        <f>IFERROR(VLOOKUP($I65,'[5]Combined Data'!$D$1:$H$534,2,FALSE),0)</f>
        <v>Advanced Manufacturing Technology I</v>
      </c>
      <c r="C65" s="6" t="str">
        <v>Takyi Gabriel</v>
      </c>
      <c r="D65" s="5" t="s">
        <v>137</v>
      </c>
      <c r="E65" s="5">
        <v>69</v>
      </c>
      <c r="F65" s="8" t="s">
        <v>1549</v>
      </c>
      <c r="G65" s="7">
        <f t="shared" si="4"/>
        <v>75.900000000000006</v>
      </c>
      <c r="H65" s="88" t="s">
        <v>1569</v>
      </c>
      <c r="I65" s="1" t="str">
        <f t="shared" si="3"/>
        <v>IE 366,ED3-IND</v>
      </c>
      <c r="J65" s="36"/>
    </row>
    <row r="66" spans="1:10" ht="14.5" x14ac:dyDescent="0.35">
      <c r="A66" s="5" t="s">
        <v>371</v>
      </c>
      <c r="B66" s="5" t="str">
        <f>IFERROR(VLOOKUP($I66,'[5]Combined Data'!$D$1:$H$534,2,FALSE),0)</f>
        <v>Physical Metallurgy of Non-Ferrous Metals</v>
      </c>
      <c r="C66" s="6" t="str">
        <v>Arthur Emmanuel Kwesi</v>
      </c>
      <c r="D66" s="5" t="s">
        <v>113</v>
      </c>
      <c r="E66" s="5">
        <v>89</v>
      </c>
      <c r="F66" s="8" t="s">
        <v>1565</v>
      </c>
      <c r="G66" s="7">
        <f t="shared" si="4"/>
        <v>97.9</v>
      </c>
      <c r="H66" s="88" t="s">
        <v>1570</v>
      </c>
      <c r="I66" s="1" t="str">
        <f t="shared" si="3"/>
        <v>MSE 258,ED2-MSE</v>
      </c>
      <c r="J66" s="36"/>
    </row>
    <row r="67" spans="1:10" ht="14.5" x14ac:dyDescent="0.35">
      <c r="A67" s="5" t="s">
        <v>370</v>
      </c>
      <c r="B67" s="5" t="str">
        <f>IFERROR(VLOOKUP($I67,'[5]Combined Data'!$D$1:$H$534,2,FALSE),0)</f>
        <v>Physical Metallurgy of Non-Ferrous Metals</v>
      </c>
      <c r="C67" s="6" t="str">
        <v>Emmanuel Kwesi Arthur</v>
      </c>
      <c r="D67" s="5" t="s">
        <v>120</v>
      </c>
      <c r="E67" s="5">
        <v>55</v>
      </c>
      <c r="F67" s="8" t="s">
        <v>1422</v>
      </c>
      <c r="G67" s="7">
        <f t="shared" si="4"/>
        <v>60.500000000000007</v>
      </c>
      <c r="H67" s="88">
        <v>55</v>
      </c>
      <c r="I67" s="1" t="str">
        <f t="shared" si="3"/>
        <v>METE 354,ED3-METE</v>
      </c>
      <c r="J67" s="36"/>
    </row>
    <row r="68" spans="1:10" ht="14.5" x14ac:dyDescent="0.35">
      <c r="A68" s="5" t="s">
        <v>128</v>
      </c>
      <c r="B68" s="5" t="str">
        <f>IFERROR(VLOOKUP($I68,'[5]Combined Data'!$D$1:$H$534,2,FALSE),0)</f>
        <v>Steel and Timber Design</v>
      </c>
      <c r="C68" s="6" t="str">
        <v>M. Adom-Asamoah</v>
      </c>
      <c r="D68" s="5" t="s">
        <v>27</v>
      </c>
      <c r="E68" s="5">
        <v>254</v>
      </c>
      <c r="F68" s="8" t="s">
        <v>1540</v>
      </c>
      <c r="G68" s="7">
        <f>E68*1.1</f>
        <v>279.40000000000003</v>
      </c>
      <c r="H68" s="88" t="s">
        <v>1544</v>
      </c>
      <c r="I68" s="1" t="str">
        <f>CONCATENATE(A68,",",D68)</f>
        <v>CE 352,ED3-CE</v>
      </c>
      <c r="J68" s="36"/>
    </row>
    <row r="69" spans="1:10" ht="14.5" x14ac:dyDescent="0.35">
      <c r="A69" s="5" t="s">
        <v>1393</v>
      </c>
      <c r="B69" s="5" t="s">
        <v>856</v>
      </c>
      <c r="C69" s="6" t="str">
        <v>Charles Apprey</v>
      </c>
      <c r="D69" s="5" t="s">
        <v>22</v>
      </c>
      <c r="E69" s="5">
        <v>86</v>
      </c>
      <c r="F69" s="50" t="s">
        <v>1551</v>
      </c>
      <c r="G69" s="7">
        <f>E69*1.1</f>
        <v>94.600000000000009</v>
      </c>
      <c r="H69" s="88" t="s">
        <v>1557</v>
      </c>
      <c r="I69" s="1" t="str">
        <f>CONCATENATE(A69,",",D69)</f>
        <v>BME 166,ED1-BME</v>
      </c>
      <c r="J69" s="36"/>
    </row>
    <row r="70" spans="1:10" ht="14.5" x14ac:dyDescent="0.35">
      <c r="A70" s="5" t="s">
        <v>368</v>
      </c>
      <c r="B70" s="5" t="str">
        <f>IFERROR(VLOOKUP($I70,'[5]Combined Data'!$D$1:$H$534,2,FALSE),0)</f>
        <v>Foundation Engineering</v>
      </c>
      <c r="C70" s="6" t="str">
        <v>Amenuvor Andrew Cudzo</v>
      </c>
      <c r="D70" s="5" t="s">
        <v>217</v>
      </c>
      <c r="E70" s="5">
        <v>105</v>
      </c>
      <c r="F70" s="8" t="s">
        <v>1469</v>
      </c>
      <c r="G70" s="7">
        <f t="shared" si="4"/>
        <v>115.50000000000001</v>
      </c>
      <c r="H70" s="88" t="s">
        <v>1571</v>
      </c>
      <c r="I70" s="1" t="str">
        <f t="shared" si="3"/>
        <v>GED 370,ED3-GEOL</v>
      </c>
      <c r="J70" s="36"/>
    </row>
    <row r="71" spans="1:10" ht="14.5" x14ac:dyDescent="0.35">
      <c r="A71" s="5" t="s">
        <v>367</v>
      </c>
      <c r="B71" s="5" t="str">
        <f>IFERROR(VLOOKUP($I71,'[5]Combined Data'!$D$1:$H$534,2,FALSE),0)</f>
        <v>Strength of Marine Materials II</v>
      </c>
      <c r="C71" s="6" t="str">
        <v>Tay Godwin Fabiola Kwaku</v>
      </c>
      <c r="D71" s="16" t="s">
        <v>38</v>
      </c>
      <c r="E71" s="5">
        <v>23</v>
      </c>
      <c r="F71" s="8" t="s">
        <v>1436</v>
      </c>
      <c r="G71" s="7">
        <f t="shared" si="4"/>
        <v>25.3</v>
      </c>
      <c r="H71" s="88">
        <v>23</v>
      </c>
      <c r="I71" s="1" t="str">
        <f t="shared" si="3"/>
        <v>MME 356,ED3-MARI</v>
      </c>
      <c r="J71" s="36"/>
    </row>
    <row r="72" spans="1:10" ht="14.5" x14ac:dyDescent="0.35">
      <c r="A72" s="5" t="s">
        <v>122</v>
      </c>
      <c r="B72" s="5" t="str">
        <f>IFERROR(VLOOKUP($I72,'[5]Combined Data'!$D$1:$H$534,2,FALSE),0)</f>
        <v>Strength of Materials II</v>
      </c>
      <c r="C72" s="6" t="str">
        <v>Tay Godwin Fabiola Kwaku</v>
      </c>
      <c r="D72" s="5" t="s">
        <v>77</v>
      </c>
      <c r="E72" s="5">
        <v>147</v>
      </c>
      <c r="F72" s="45" t="s">
        <v>1555</v>
      </c>
      <c r="G72" s="7">
        <f>E72*1.1</f>
        <v>161.70000000000002</v>
      </c>
      <c r="H72" s="88" t="s">
        <v>1572</v>
      </c>
      <c r="I72" s="1" t="str">
        <f>CONCATENATE(A72,",",D72)</f>
        <v>ME 356,ED3-ME</v>
      </c>
      <c r="J72" s="36"/>
    </row>
    <row r="73" spans="1:10" ht="14.5" x14ac:dyDescent="0.35">
      <c r="A73" s="5" t="s">
        <v>364</v>
      </c>
      <c r="B73" s="5" t="s">
        <v>366</v>
      </c>
      <c r="C73" s="6" t="str">
        <v>Adjaidoo Theresa-Samuelle Maame Atwemaah</v>
      </c>
      <c r="D73" s="5" t="s">
        <v>42</v>
      </c>
      <c r="E73" s="5">
        <v>94</v>
      </c>
      <c r="F73" s="8" t="s">
        <v>1566</v>
      </c>
      <c r="G73" s="7">
        <f t="shared" si="4"/>
        <v>103.4</v>
      </c>
      <c r="H73" s="88" t="s">
        <v>1573</v>
      </c>
      <c r="I73" s="1" t="str">
        <f t="shared" ref="I73:I106" si="5">CONCATENATE(A73,",",D73)</f>
        <v>COE 254,ED2-BME</v>
      </c>
      <c r="J73" s="36"/>
    </row>
    <row r="74" spans="1:10" ht="14.5" x14ac:dyDescent="0.35">
      <c r="A74" s="5" t="s">
        <v>364</v>
      </c>
      <c r="B74" s="5" t="str">
        <f>IFERROR(VLOOKUP($I74,'[5]Combined Data'!$D$1:$H$534,2,FALSE),0)</f>
        <v>Object-Oriented Programming</v>
      </c>
      <c r="C74" s="6" t="str">
        <v>Adjaidoo Theresa-Samuelle Maame Atwemaah</v>
      </c>
      <c r="D74" s="5" t="s">
        <v>40</v>
      </c>
      <c r="E74" s="5">
        <v>277</v>
      </c>
      <c r="F74" s="8" t="s">
        <v>1825</v>
      </c>
      <c r="G74" s="7">
        <f t="shared" si="4"/>
        <v>304.70000000000005</v>
      </c>
      <c r="H74" s="88" t="s">
        <v>1574</v>
      </c>
      <c r="I74" s="1" t="str">
        <f t="shared" si="5"/>
        <v>COE 254,ED2-COE</v>
      </c>
      <c r="J74" s="36"/>
    </row>
    <row r="75" spans="1:10" ht="14.5" x14ac:dyDescent="0.35">
      <c r="A75" s="5" t="s">
        <v>363</v>
      </c>
      <c r="B75" s="5" t="str">
        <f>IFERROR(VLOOKUP($I75,'[5]Combined Data'!$D$1:$H$534,2,FALSE),0)</f>
        <v>Petroleum Geology</v>
      </c>
      <c r="C75" s="6" t="str">
        <v>Borkloe Julius Kwame</v>
      </c>
      <c r="D75" s="5" t="s">
        <v>29</v>
      </c>
      <c r="E75" s="5">
        <v>103</v>
      </c>
      <c r="F75" s="8" t="s">
        <v>1469</v>
      </c>
      <c r="G75" s="7">
        <f t="shared" si="4"/>
        <v>113.30000000000001</v>
      </c>
      <c r="H75" s="88" t="s">
        <v>1575</v>
      </c>
      <c r="I75" s="1" t="str">
        <f t="shared" si="5"/>
        <v>PE 352,ED3-PETE</v>
      </c>
      <c r="J75" s="36"/>
    </row>
    <row r="76" spans="1:10" ht="14.5" x14ac:dyDescent="0.35">
      <c r="D76" s="6" t="s">
        <v>362</v>
      </c>
      <c r="E76" s="11">
        <f>SUM(E64:E75)</f>
        <v>1409</v>
      </c>
      <c r="I76" s="1" t="str">
        <f t="shared" si="5"/>
        <v>,Total M3</v>
      </c>
      <c r="J76" s="36"/>
    </row>
    <row r="77" spans="1:10" ht="14.5" x14ac:dyDescent="0.35">
      <c r="I77" s="1" t="str">
        <f t="shared" si="5"/>
        <v>,</v>
      </c>
      <c r="J77" s="36"/>
    </row>
    <row r="78" spans="1:10" ht="14.5" x14ac:dyDescent="0.35">
      <c r="C78" s="12"/>
      <c r="I78" s="1" t="str">
        <f t="shared" si="5"/>
        <v>,</v>
      </c>
      <c r="J78" s="36"/>
    </row>
    <row r="79" spans="1:10" ht="14.5" x14ac:dyDescent="0.35">
      <c r="A79" s="119" t="s">
        <v>404</v>
      </c>
      <c r="B79" s="119"/>
      <c r="C79" s="119"/>
      <c r="D79" s="119"/>
      <c r="E79" s="119"/>
      <c r="F79" s="119"/>
      <c r="G79" s="119"/>
      <c r="I79" s="1" t="str">
        <f t="shared" si="5"/>
        <v>Monday, 7 July 2025,</v>
      </c>
      <c r="J79" s="36"/>
    </row>
    <row r="80" spans="1:10" ht="14.5" x14ac:dyDescent="0.35">
      <c r="A80" s="116" t="str">
        <f>[2]SESSIONS!$K$4</f>
        <v>Session, 4 (1:30 PM - 2:30 PM)</v>
      </c>
      <c r="B80" s="117"/>
      <c r="C80" s="117"/>
      <c r="D80" s="117"/>
      <c r="E80" s="117"/>
      <c r="F80" s="117"/>
      <c r="G80" s="118"/>
      <c r="I80" s="1" t="str">
        <f t="shared" si="5"/>
        <v>Session, 4 (1:30 PM - 2:30 PM),</v>
      </c>
      <c r="J80" s="36"/>
    </row>
    <row r="81" spans="1:10" ht="14.5" x14ac:dyDescent="0.35">
      <c r="A81" s="2" t="s">
        <v>6</v>
      </c>
      <c r="B81" s="2" t="s">
        <v>5</v>
      </c>
      <c r="C81" s="3" t="s">
        <v>4</v>
      </c>
      <c r="D81" s="2" t="s">
        <v>3</v>
      </c>
      <c r="E81" s="2" t="s">
        <v>2</v>
      </c>
      <c r="F81" s="3" t="s">
        <v>1</v>
      </c>
      <c r="G81" s="2" t="s">
        <v>0</v>
      </c>
      <c r="I81" s="1" t="str">
        <f t="shared" si="5"/>
        <v>CODE ,CLASS</v>
      </c>
      <c r="J81" s="36"/>
    </row>
    <row r="82" spans="1:10" ht="14.5" x14ac:dyDescent="0.35">
      <c r="A82" s="5" t="s">
        <v>361</v>
      </c>
      <c r="B82" s="5" t="str">
        <f>IFERROR(VLOOKUP($I82,'[5]Combined Data'!$D$1:$H$534,2,FALSE),0)</f>
        <v>Human Factors and Ergonomics</v>
      </c>
      <c r="C82" s="6" t="str" cm="1">
        <f t="array" ref="C82:C95">VLOOKUP(I82:I95,'Combined Data'!A1:E547,3,FALSE)</f>
        <v>Sackey Samuel Mensah</v>
      </c>
      <c r="D82" s="5" t="s">
        <v>93</v>
      </c>
      <c r="E82" s="5" cm="1">
        <f t="array" ref="E82:E95">VLOOKUP(I82:I95,combined_data!A1:D549,4,FALSE)</f>
        <v>14</v>
      </c>
      <c r="F82" s="8" t="s">
        <v>1435</v>
      </c>
      <c r="G82" s="7">
        <f t="shared" ref="G82:G95" si="6">E82*1.1</f>
        <v>15.400000000000002</v>
      </c>
      <c r="H82" s="88">
        <v>14</v>
      </c>
      <c r="I82" s="1" t="str">
        <f t="shared" si="5"/>
        <v>ME 496,ED4-AERO</v>
      </c>
      <c r="J82" s="36"/>
    </row>
    <row r="83" spans="1:10" ht="14.5" x14ac:dyDescent="0.35">
      <c r="A83" s="5" t="s">
        <v>361</v>
      </c>
      <c r="B83" s="5" t="str">
        <f>IFERROR(VLOOKUP($I83,'[5]Combined Data'!$D$1:$H$534,2,FALSE),0)</f>
        <v>Human Factors and Ergonomics</v>
      </c>
      <c r="C83" s="6" t="str">
        <v>Sackey Samuel Mensah</v>
      </c>
      <c r="D83" s="5" t="s">
        <v>91</v>
      </c>
      <c r="E83" s="5">
        <v>4</v>
      </c>
      <c r="F83" s="8" t="s">
        <v>1454</v>
      </c>
      <c r="G83" s="7">
        <f t="shared" si="6"/>
        <v>4.4000000000000004</v>
      </c>
      <c r="H83" s="88">
        <v>4</v>
      </c>
      <c r="I83" s="1" t="str">
        <f t="shared" si="5"/>
        <v>ME 496,ED4-ME</v>
      </c>
      <c r="J83" s="36"/>
    </row>
    <row r="84" spans="1:10" ht="14.5" x14ac:dyDescent="0.35">
      <c r="A84" s="5" t="s">
        <v>360</v>
      </c>
      <c r="B84" s="5" t="str">
        <f>IFERROR(VLOOKUP($I84,'[5]Combined Data'!$D$1:$H$534,2,FALSE),0)</f>
        <v>Human Factors and Ergonomics</v>
      </c>
      <c r="C84" s="6" t="str">
        <v>Sackey Samuel Mensah</v>
      </c>
      <c r="D84" s="5" t="s">
        <v>130</v>
      </c>
      <c r="E84" s="5">
        <v>121</v>
      </c>
      <c r="F84" s="8" t="s">
        <v>1469</v>
      </c>
      <c r="G84" s="7">
        <f t="shared" si="6"/>
        <v>133.10000000000002</v>
      </c>
      <c r="H84" s="88" t="s">
        <v>1576</v>
      </c>
      <c r="I84" s="1" t="str">
        <f t="shared" si="5"/>
        <v>IE 458,ED4-IND</v>
      </c>
      <c r="J84" s="36"/>
    </row>
    <row r="85" spans="1:10" ht="14.5" x14ac:dyDescent="0.35">
      <c r="A85" s="5" t="s">
        <v>359</v>
      </c>
      <c r="B85" s="5" t="str">
        <f>IFERROR(VLOOKUP($I85,'[5]Combined Data'!$D$1:$H$534,2,FALSE),0)</f>
        <v>Soil and Rock Mechanics</v>
      </c>
      <c r="C85" s="6" t="str">
        <v>Charkley Frederick Nai</v>
      </c>
      <c r="D85" s="5" t="s">
        <v>64</v>
      </c>
      <c r="E85" s="5">
        <v>227</v>
      </c>
      <c r="F85" s="8" t="s">
        <v>1539</v>
      </c>
      <c r="G85" s="7">
        <f t="shared" si="6"/>
        <v>249.70000000000002</v>
      </c>
      <c r="H85" s="88" t="s">
        <v>1577</v>
      </c>
      <c r="I85" s="1" t="str">
        <f t="shared" si="5"/>
        <v>CE 260,ED2-CE</v>
      </c>
      <c r="J85" s="36"/>
    </row>
    <row r="86" spans="1:10" ht="14.5" x14ac:dyDescent="0.35">
      <c r="A86" s="5" t="s">
        <v>359</v>
      </c>
      <c r="B86" s="5" t="str">
        <f>IFERROR(VLOOKUP($I86,'[5]Combined Data'!$D$1:$H$534,2,FALSE),0)</f>
        <v>Soil and Rock Mechanics</v>
      </c>
      <c r="C86" s="6" t="str">
        <v>Owusu-Nimo Frederick</v>
      </c>
      <c r="D86" s="5" t="s">
        <v>65</v>
      </c>
      <c r="E86" s="5">
        <v>122</v>
      </c>
      <c r="F86" s="8" t="s">
        <v>1587</v>
      </c>
      <c r="G86" s="7">
        <f t="shared" si="6"/>
        <v>134.20000000000002</v>
      </c>
      <c r="H86" s="88" t="s">
        <v>1578</v>
      </c>
      <c r="I86" s="1" t="str">
        <f t="shared" si="5"/>
        <v>CE 260,ED2-GEOM</v>
      </c>
      <c r="J86" s="36"/>
    </row>
    <row r="87" spans="1:10" ht="14.5" x14ac:dyDescent="0.35">
      <c r="A87" s="5" t="s">
        <v>136</v>
      </c>
      <c r="B87" s="5" t="str">
        <f>IFERROR(VLOOKUP($I87,'[5]Combined Data'!$D$1:$H$534,2,FALSE),0)</f>
        <v>Glass and Cement Technologies</v>
      </c>
      <c r="C87" s="6" t="str">
        <v>Andrews Anthony</v>
      </c>
      <c r="D87" s="5" t="s">
        <v>33</v>
      </c>
      <c r="E87" s="5">
        <v>65</v>
      </c>
      <c r="F87" s="8" t="s">
        <v>1549</v>
      </c>
      <c r="G87" s="7">
        <f>E87*1.1</f>
        <v>71.5</v>
      </c>
      <c r="H87" s="88" t="s">
        <v>1579</v>
      </c>
      <c r="I87" s="1" t="str">
        <f>CONCATENATE(A87,",",D87)</f>
        <v>MSE 352,ED3-MSE</v>
      </c>
      <c r="J87" s="36"/>
    </row>
    <row r="88" spans="1:10" ht="14.5" x14ac:dyDescent="0.35">
      <c r="A88" s="5" t="s">
        <v>358</v>
      </c>
      <c r="B88" s="5" t="str">
        <f>IFERROR(VLOOKUP($I88,'[5]Combined Data'!$D$1:$H$534,2,FALSE),0)</f>
        <v>Vehicle Maintenance and Regulation</v>
      </c>
      <c r="C88" s="6" t="str">
        <v>Abu Frimpong Solomon</v>
      </c>
      <c r="D88" s="5" t="s">
        <v>126</v>
      </c>
      <c r="E88" s="5">
        <v>78</v>
      </c>
      <c r="F88" s="91" t="s">
        <v>1472</v>
      </c>
      <c r="G88" s="7">
        <f t="shared" si="6"/>
        <v>85.800000000000011</v>
      </c>
      <c r="H88" s="88" t="s">
        <v>1580</v>
      </c>
      <c r="I88" s="1" t="str">
        <f t="shared" si="5"/>
        <v>AME 496,ED4-AUTO</v>
      </c>
      <c r="J88" s="36"/>
    </row>
    <row r="89" spans="1:10" ht="14.5" x14ac:dyDescent="0.35">
      <c r="A89" s="5" t="s">
        <v>231</v>
      </c>
      <c r="B89" s="5" t="str">
        <f>IFERROR(VLOOKUP($I89,'[5]Combined Data'!$D$1:$H$534,2,FALSE),0)</f>
        <v>Physical Chemistry for Engineers</v>
      </c>
      <c r="C89" s="6" t="str">
        <v>Afotey Benjamin</v>
      </c>
      <c r="D89" s="5" t="s">
        <v>60</v>
      </c>
      <c r="E89" s="5">
        <v>155</v>
      </c>
      <c r="F89" s="14" t="s">
        <v>1541</v>
      </c>
      <c r="G89" s="17">
        <f t="shared" si="6"/>
        <v>170.5</v>
      </c>
      <c r="H89" s="88" t="s">
        <v>1581</v>
      </c>
      <c r="I89" s="1" t="str">
        <f t="shared" si="5"/>
        <v>CHE 156,ED1-CHE</v>
      </c>
      <c r="J89" s="36"/>
    </row>
    <row r="90" spans="1:10" ht="14.5" x14ac:dyDescent="0.35">
      <c r="A90" s="5" t="s">
        <v>273</v>
      </c>
      <c r="B90" s="5" t="str">
        <f>IFERROR(VLOOKUP($I90,'[5]Combined Data'!$D$1:$H$534,2,FALSE),0)</f>
        <v>Engineering Workshop Practice</v>
      </c>
      <c r="C90" s="6" t="str">
        <v>Asante Eric Amoah</v>
      </c>
      <c r="D90" s="5" t="s">
        <v>101</v>
      </c>
      <c r="E90" s="5">
        <v>157</v>
      </c>
      <c r="F90" s="98" t="s">
        <v>1466</v>
      </c>
      <c r="G90" s="7">
        <f>E90*1.1</f>
        <v>172.70000000000002</v>
      </c>
      <c r="H90" s="88" t="s">
        <v>1583</v>
      </c>
      <c r="I90" s="1" t="str">
        <f>CONCATENATE(A90,",",D90)</f>
        <v>AE 196,ED1-AE</v>
      </c>
      <c r="J90" s="36"/>
    </row>
    <row r="91" spans="1:10" ht="14.5" x14ac:dyDescent="0.35">
      <c r="A91" s="5" t="s">
        <v>298</v>
      </c>
      <c r="B91" s="5" t="str">
        <f>IFERROR(VLOOKUP($I91,'[5]Combined Data'!$D$1:$H$534,2,FALSE),0)</f>
        <v>Medical Imaging I</v>
      </c>
      <c r="C91" s="6" t="str">
        <v>Kotei Addison Eric Clement</v>
      </c>
      <c r="D91" s="5" t="s">
        <v>75</v>
      </c>
      <c r="E91" s="5">
        <v>85</v>
      </c>
      <c r="F91" s="14" t="s">
        <v>1566</v>
      </c>
      <c r="G91" s="7">
        <f>E91*1.1</f>
        <v>93.500000000000014</v>
      </c>
      <c r="H91" s="88" t="s">
        <v>1582</v>
      </c>
      <c r="I91" s="1" t="str">
        <f>CONCATENATE(A91,",",D91)</f>
        <v>BME 364,ED3-BME</v>
      </c>
      <c r="J91" s="36"/>
    </row>
    <row r="92" spans="1:10" ht="14.5" x14ac:dyDescent="0.35">
      <c r="A92" s="5" t="s">
        <v>725</v>
      </c>
      <c r="B92" s="5" t="str">
        <f>IFERROR(VLOOKUP($I92,'[5]Combined Data'!$D$1:$H$534,2,FALSE),0)</f>
        <v>Pulp and Paper Technology</v>
      </c>
      <c r="C92" s="6" t="str">
        <v>Rockson Mizpah Ama Dziedzorm</v>
      </c>
      <c r="D92" s="16" t="s">
        <v>104</v>
      </c>
      <c r="E92" s="5">
        <v>50</v>
      </c>
      <c r="F92" s="8" t="s">
        <v>1422</v>
      </c>
      <c r="G92" s="7">
        <f>E92*1.1</f>
        <v>55.000000000000007</v>
      </c>
      <c r="H92" s="88">
        <v>50</v>
      </c>
      <c r="I92" s="1" t="str">
        <f>CONCATENATE(A92,",",D92)</f>
        <v>CHE 466,ED4-CHE</v>
      </c>
      <c r="J92" s="36"/>
    </row>
    <row r="93" spans="1:10" ht="14.5" x14ac:dyDescent="0.35">
      <c r="A93" s="5" t="s">
        <v>304</v>
      </c>
      <c r="B93" s="54" t="s">
        <v>303</v>
      </c>
      <c r="C93" t="str">
        <v>Sackey Samuel Mensah</v>
      </c>
      <c r="D93" s="5" t="s">
        <v>150</v>
      </c>
      <c r="E93" s="5">
        <v>26</v>
      </c>
      <c r="F93" s="14" t="s">
        <v>1424</v>
      </c>
      <c r="G93" s="7">
        <f>E93*1.1</f>
        <v>28.6</v>
      </c>
      <c r="H93" s="88">
        <v>26</v>
      </c>
      <c r="I93" s="1" t="str">
        <f>CONCATENATE(A93,",",D93)</f>
        <v>AME 384,ED3-AUTO</v>
      </c>
      <c r="J93" s="36"/>
    </row>
    <row r="94" spans="1:10" ht="14.5" x14ac:dyDescent="0.35">
      <c r="A94" s="18" t="s">
        <v>357</v>
      </c>
      <c r="B94" s="5" t="str">
        <f>IFERROR(VLOOKUP($I94,'[5]Combined Data'!$D$1:$H$534,2,FALSE),0)</f>
        <v>Farm Machinery Design</v>
      </c>
      <c r="C94" s="6" t="str">
        <v>Aveyire Joseph</v>
      </c>
      <c r="D94" s="18" t="s">
        <v>109</v>
      </c>
      <c r="E94" s="5">
        <v>125</v>
      </c>
      <c r="F94" s="5" t="s">
        <v>1471</v>
      </c>
      <c r="G94" s="7">
        <f t="shared" si="6"/>
        <v>137.5</v>
      </c>
      <c r="H94" s="88" t="s">
        <v>1584</v>
      </c>
      <c r="I94" s="1" t="str">
        <f t="shared" si="5"/>
        <v>AE 482,ED4-AE</v>
      </c>
      <c r="J94" s="36"/>
    </row>
    <row r="95" spans="1:10" ht="14.5" x14ac:dyDescent="0.35">
      <c r="A95" s="5" t="s">
        <v>1377</v>
      </c>
      <c r="B95" s="5" t="s">
        <v>1378</v>
      </c>
      <c r="C95" s="6" t="str">
        <v>E. Amponsah</v>
      </c>
      <c r="D95" s="5" t="s">
        <v>84</v>
      </c>
      <c r="E95" s="5">
        <v>254</v>
      </c>
      <c r="F95" s="50" t="s">
        <v>1540</v>
      </c>
      <c r="G95" s="7">
        <f t="shared" si="6"/>
        <v>279.40000000000003</v>
      </c>
      <c r="H95" s="88" t="s">
        <v>1544</v>
      </c>
      <c r="I95" s="1" t="str">
        <f>CONCATENATE(A95,",",D95)</f>
        <v>CE 452,ED4-CE</v>
      </c>
      <c r="J95" s="36"/>
    </row>
    <row r="96" spans="1:10" ht="14.5" x14ac:dyDescent="0.35">
      <c r="A96" s="19"/>
      <c r="B96" s="19"/>
      <c r="C96" s="48"/>
      <c r="D96" s="5"/>
      <c r="E96" s="5"/>
      <c r="F96" s="50"/>
      <c r="G96" s="51"/>
      <c r="J96" s="36"/>
    </row>
    <row r="97" spans="1:10" ht="14.5" x14ac:dyDescent="0.35">
      <c r="D97" s="6" t="s">
        <v>355</v>
      </c>
      <c r="E97" s="11">
        <f>SUM(E82:E95)</f>
        <v>1483</v>
      </c>
      <c r="I97" s="1" t="str">
        <f t="shared" si="5"/>
        <v>,Total M4</v>
      </c>
      <c r="J97" s="36"/>
    </row>
    <row r="98" spans="1:10" ht="14.5" x14ac:dyDescent="0.35">
      <c r="I98" s="1" t="str">
        <f t="shared" si="5"/>
        <v>,</v>
      </c>
      <c r="J98" s="36"/>
    </row>
    <row r="99" spans="1:10" ht="14.5" x14ac:dyDescent="0.35">
      <c r="I99" s="1" t="str">
        <f t="shared" si="5"/>
        <v>,</v>
      </c>
      <c r="J99" s="36"/>
    </row>
    <row r="100" spans="1:10" ht="14.5" x14ac:dyDescent="0.35">
      <c r="A100" s="119" t="s">
        <v>404</v>
      </c>
      <c r="B100" s="119"/>
      <c r="C100" s="119"/>
      <c r="D100" s="119"/>
      <c r="E100" s="119"/>
      <c r="F100" s="119"/>
      <c r="G100" s="119"/>
      <c r="I100" s="1" t="str">
        <f t="shared" si="5"/>
        <v>Monday, 7 July 2025,</v>
      </c>
      <c r="J100" s="36"/>
    </row>
    <row r="101" spans="1:10" ht="14.5" x14ac:dyDescent="0.35">
      <c r="A101" s="116" t="str">
        <f>[2]SESSIONS!$K$5</f>
        <v>Session, 5 (3:15 PM - 4:15 PM)</v>
      </c>
      <c r="B101" s="117"/>
      <c r="C101" s="117"/>
      <c r="D101" s="117"/>
      <c r="E101" s="117"/>
      <c r="F101" s="117"/>
      <c r="G101" s="118"/>
      <c r="I101" s="1" t="str">
        <f t="shared" si="5"/>
        <v>Session, 5 (3:15 PM - 4:15 PM),</v>
      </c>
      <c r="J101" s="36"/>
    </row>
    <row r="102" spans="1:10" ht="14.5" x14ac:dyDescent="0.35">
      <c r="A102" s="2" t="s">
        <v>6</v>
      </c>
      <c r="B102" s="2" t="s">
        <v>5</v>
      </c>
      <c r="C102" s="3" t="s">
        <v>4</v>
      </c>
      <c r="D102" s="2" t="s">
        <v>3</v>
      </c>
      <c r="E102" s="2" t="s">
        <v>2</v>
      </c>
      <c r="F102" s="3" t="s">
        <v>1</v>
      </c>
      <c r="G102" s="2" t="s">
        <v>0</v>
      </c>
      <c r="I102" s="1" t="str">
        <f t="shared" si="5"/>
        <v>CODE ,CLASS</v>
      </c>
      <c r="J102" s="36"/>
    </row>
    <row r="103" spans="1:10" ht="14.5" x14ac:dyDescent="0.35">
      <c r="A103" s="5" t="s">
        <v>353</v>
      </c>
      <c r="B103" s="5" t="str">
        <f>IFERROR(VLOOKUP($I103,'[5]Combined Data'!$D$1:$H$534,2,FALSE),0)</f>
        <v>Introduction to Soil Mechanics</v>
      </c>
      <c r="C103" s="6" t="str" cm="1">
        <f t="array" ref="C103:C112">VLOOKUP(I103:I112,'Combined Data'!A1:E597,3,FALSE)</f>
        <v>Amenuvor Andrew Cudzo</v>
      </c>
      <c r="D103" s="5" t="s">
        <v>62</v>
      </c>
      <c r="E103" s="5" cm="1">
        <f t="array" ref="E103:E112">VLOOKUP(I103:I112,combined_data!A1:D549,4,FALSE)</f>
        <v>156</v>
      </c>
      <c r="F103" s="5" t="s">
        <v>1585</v>
      </c>
      <c r="G103" s="7">
        <f>E103*1.1</f>
        <v>171.60000000000002</v>
      </c>
      <c r="H103" s="88" t="s">
        <v>1589</v>
      </c>
      <c r="I103" s="1" t="str">
        <f>CONCATENATE(A103,",",D103)</f>
        <v>GED 262,ED2-GEOL</v>
      </c>
      <c r="J103" s="36"/>
    </row>
    <row r="104" spans="1:10" ht="14.5" x14ac:dyDescent="0.35">
      <c r="A104" s="5" t="s">
        <v>352</v>
      </c>
      <c r="B104" s="5" t="str">
        <f>IFERROR(VLOOKUP($I104,'[5]Combined Data'!$D$1:$H$534,2,FALSE),0)</f>
        <v>Power Systems Protection</v>
      </c>
      <c r="C104" s="6" t="str">
        <v>Frimpong Emmanuel Asuming</v>
      </c>
      <c r="D104" s="5" t="s">
        <v>57</v>
      </c>
      <c r="E104" s="5">
        <v>200</v>
      </c>
      <c r="F104" s="8" t="s">
        <v>1586</v>
      </c>
      <c r="G104" s="7">
        <f>E104*1.1</f>
        <v>220.00000000000003</v>
      </c>
      <c r="H104" s="88" t="s">
        <v>1590</v>
      </c>
      <c r="I104" s="1" t="str">
        <f>CONCATENATE(A104,",",D104)</f>
        <v>EE 468,ED4-EE</v>
      </c>
      <c r="J104" s="36"/>
    </row>
    <row r="105" spans="1:10" ht="14.5" x14ac:dyDescent="0.35">
      <c r="A105" s="5" t="s">
        <v>349</v>
      </c>
      <c r="B105" s="5" t="str">
        <f>IFERROR(VLOOKUP($I105,'[5]Combined Data'!$D$1:$H$534,2,FALSE),0)</f>
        <v>Computer Applications</v>
      </c>
      <c r="C105" s="6" t="str">
        <v>A. K. Kwaw</v>
      </c>
      <c r="D105" s="5" t="s">
        <v>45</v>
      </c>
      <c r="E105" s="5">
        <v>156</v>
      </c>
      <c r="F105" s="15" t="s">
        <v>1541</v>
      </c>
      <c r="G105" s="7">
        <f t="shared" ref="G105:G111" si="7">E105*1.1</f>
        <v>171.60000000000002</v>
      </c>
      <c r="H105" s="88" t="s">
        <v>1591</v>
      </c>
      <c r="I105" s="1" t="str">
        <f t="shared" si="5"/>
        <v>GED 164,ED1-GEOL</v>
      </c>
      <c r="J105" s="36"/>
    </row>
    <row r="106" spans="1:10" ht="14.5" x14ac:dyDescent="0.35">
      <c r="A106" s="5" t="s">
        <v>348</v>
      </c>
      <c r="B106" s="5" t="str">
        <f>IFERROR(VLOOKUP($I106,'[5]Combined Data'!$D$1:$H$534,2,FALSE),0)</f>
        <v>Computer Programming In Oil and Gas</v>
      </c>
      <c r="C106" s="6" t="str">
        <v>Sokama-Neuyam Yen Adams</v>
      </c>
      <c r="D106" s="5" t="s">
        <v>36</v>
      </c>
      <c r="E106" s="5">
        <v>82</v>
      </c>
      <c r="F106" s="8" t="s">
        <v>1472</v>
      </c>
      <c r="G106" s="7">
        <f t="shared" si="7"/>
        <v>90.2</v>
      </c>
      <c r="H106" s="88" t="s">
        <v>1592</v>
      </c>
      <c r="I106" s="1" t="str">
        <f t="shared" si="5"/>
        <v>PE 262,ED2-PETE</v>
      </c>
      <c r="J106" s="36"/>
    </row>
    <row r="107" spans="1:10" ht="14.5" x14ac:dyDescent="0.35">
      <c r="A107" s="5" t="s">
        <v>247</v>
      </c>
      <c r="B107" s="5" t="str">
        <f>IFERROR(VLOOKUP($I107,'[5]Combined Data'!$D$1:$H$534,2,FALSE),0)</f>
        <v>Properties of Civil Engineering Material</v>
      </c>
      <c r="C107" s="6" t="str">
        <v>Sossou Gnida</v>
      </c>
      <c r="D107" s="5" t="s">
        <v>44</v>
      </c>
      <c r="E107" s="5">
        <v>260</v>
      </c>
      <c r="F107" s="14" t="s">
        <v>1567</v>
      </c>
      <c r="G107" s="7">
        <f>E107*1.1</f>
        <v>286</v>
      </c>
      <c r="H107" s="88" t="s">
        <v>1593</v>
      </c>
      <c r="I107" s="1" t="str">
        <f>CONCATENATE(A107,",",D107)</f>
        <v>CE 154,ED1-CE</v>
      </c>
      <c r="J107" s="36"/>
    </row>
    <row r="108" spans="1:10" ht="14.5" x14ac:dyDescent="0.35">
      <c r="A108" s="5" t="s">
        <v>52</v>
      </c>
      <c r="B108" s="5" t="str">
        <f>IFERROR(VLOOKUP($I108,'[5]Combined Data'!$D$1:$H$534,2,FALSE),0)</f>
        <v>Principles of Surveying</v>
      </c>
      <c r="C108" s="6" t="str">
        <v>A. Acheampong</v>
      </c>
      <c r="D108" s="5" t="s">
        <v>51</v>
      </c>
      <c r="E108" s="5">
        <v>111</v>
      </c>
      <c r="F108" s="41" t="s">
        <v>1587</v>
      </c>
      <c r="G108" s="7">
        <f>E108*1.1</f>
        <v>122.10000000000001</v>
      </c>
      <c r="H108" s="88" t="s">
        <v>1594</v>
      </c>
      <c r="I108" s="1" t="str">
        <f>CONCATENATE(A108,",",D108)</f>
        <v>GE 286,ED2-AE</v>
      </c>
      <c r="J108" s="36"/>
    </row>
    <row r="109" spans="1:10" ht="14.5" x14ac:dyDescent="0.35">
      <c r="A109" s="5" t="s">
        <v>701</v>
      </c>
      <c r="B109" s="5" t="str">
        <f>IFERROR(VLOOKUP($I109,'[5]Combined Data'!$D$1:$H$534,2,FALSE),0)</f>
        <v>Robotics and Computer Vision</v>
      </c>
      <c r="C109" s="6" t="str">
        <v>J. Okae</v>
      </c>
      <c r="D109" s="5" t="s">
        <v>196</v>
      </c>
      <c r="E109" s="5">
        <v>211</v>
      </c>
      <c r="F109" s="5" t="s">
        <v>1540</v>
      </c>
      <c r="G109" s="7">
        <f>E109*1.1</f>
        <v>232.10000000000002</v>
      </c>
      <c r="H109" s="88" t="s">
        <v>1595</v>
      </c>
      <c r="I109" s="1" t="str">
        <f>CONCATENATE(A109,",",D109)</f>
        <v>COE 458,ED4-COE</v>
      </c>
      <c r="J109" s="36"/>
    </row>
    <row r="110" spans="1:10" ht="14.5" x14ac:dyDescent="0.35">
      <c r="A110" s="5" t="s">
        <v>347</v>
      </c>
      <c r="B110" s="5" t="str">
        <f>IFERROR(VLOOKUP($I110,'[5]Combined Data'!$D$1:$H$534,2,FALSE),0)</f>
        <v>Materials Science</v>
      </c>
      <c r="C110" s="6" t="str">
        <v>Asiedu Nana Yaw</v>
      </c>
      <c r="D110" s="5" t="s">
        <v>48</v>
      </c>
      <c r="E110" s="5">
        <v>114</v>
      </c>
      <c r="F110" s="8" t="s">
        <v>1469</v>
      </c>
      <c r="G110" s="7">
        <f t="shared" si="7"/>
        <v>125.4</v>
      </c>
      <c r="H110" s="88" t="s">
        <v>1596</v>
      </c>
      <c r="I110" s="1" t="str">
        <f t="shared" ref="I110:I138" si="8">CONCATENATE(A110,",",D110)</f>
        <v>CHE 350,ED3-CHE</v>
      </c>
      <c r="J110" s="36"/>
    </row>
    <row r="111" spans="1:10" ht="14.5" x14ac:dyDescent="0.35">
      <c r="A111" s="5" t="s">
        <v>347</v>
      </c>
      <c r="B111" s="5" t="str">
        <f>IFERROR(VLOOKUP($I111,'[5]Combined Data'!$D$1:$H$534,2,FALSE),0)</f>
        <v>Materials Science</v>
      </c>
      <c r="C111" s="6" t="str">
        <v>Anang Daniel Adjah</v>
      </c>
      <c r="D111" s="5" t="s">
        <v>79</v>
      </c>
      <c r="E111" s="5">
        <v>62</v>
      </c>
      <c r="F111" s="8" t="s">
        <v>1588</v>
      </c>
      <c r="G111" s="7">
        <f t="shared" si="7"/>
        <v>68.2</v>
      </c>
      <c r="H111" s="88" t="s">
        <v>1505</v>
      </c>
      <c r="I111" s="1" t="str">
        <f t="shared" si="8"/>
        <v>CHE 350,ED3-PCE</v>
      </c>
      <c r="J111" s="36"/>
    </row>
    <row r="112" spans="1:10" ht="14.5" x14ac:dyDescent="0.35">
      <c r="A112" s="5" t="s">
        <v>346</v>
      </c>
      <c r="B112" s="5" t="str">
        <f>IFERROR(VLOOKUP($I112,'[5]Combined Data'!$D$1:$H$534,2,FALSE),0)</f>
        <v>Advanced Engineering Geology</v>
      </c>
      <c r="C112" s="6" t="str">
        <v>Gidigasu Solomon Senyo Robert</v>
      </c>
      <c r="D112" s="5" t="s">
        <v>8</v>
      </c>
      <c r="E112" s="5">
        <v>142</v>
      </c>
      <c r="F112" s="8" t="s">
        <v>1471</v>
      </c>
      <c r="G112" s="7">
        <f>E112*1.1</f>
        <v>156.20000000000002</v>
      </c>
      <c r="H112" s="88" t="s">
        <v>1597</v>
      </c>
      <c r="I112" s="1" t="str">
        <f>CONCATENATE(A112,",",D112)</f>
        <v>GED 452,ED4-GEOL</v>
      </c>
      <c r="J112" s="36"/>
    </row>
    <row r="113" spans="1:10" ht="14.5" x14ac:dyDescent="0.35">
      <c r="D113" s="6" t="s">
        <v>344</v>
      </c>
      <c r="E113" s="11">
        <f>SUM(E102:E112)</f>
        <v>1494</v>
      </c>
      <c r="I113" s="1" t="str">
        <f t="shared" si="8"/>
        <v>,Total M5</v>
      </c>
      <c r="J113" s="36"/>
    </row>
    <row r="114" spans="1:10" ht="14.5" x14ac:dyDescent="0.35">
      <c r="I114" s="1" t="str">
        <f t="shared" si="8"/>
        <v>,</v>
      </c>
      <c r="J114" s="36"/>
    </row>
    <row r="115" spans="1:10" ht="14.5" x14ac:dyDescent="0.35">
      <c r="I115" s="1" t="str">
        <f t="shared" si="8"/>
        <v>,</v>
      </c>
      <c r="J115" s="36"/>
    </row>
    <row r="116" spans="1:10" ht="14.5" x14ac:dyDescent="0.35">
      <c r="A116" s="119" t="s">
        <v>404</v>
      </c>
      <c r="B116" s="119"/>
      <c r="C116" s="119"/>
      <c r="D116" s="119"/>
      <c r="E116" s="119"/>
      <c r="F116" s="119"/>
      <c r="G116" s="119"/>
      <c r="I116" s="1" t="str">
        <f t="shared" si="8"/>
        <v>Monday, 7 July 2025,</v>
      </c>
      <c r="J116" s="36"/>
    </row>
    <row r="117" spans="1:10" ht="14.5" x14ac:dyDescent="0.35">
      <c r="A117" s="116" t="str">
        <f>[2]SESSIONS!$K$6</f>
        <v>Session, 6 (5:00 PM - 6:00 PM)</v>
      </c>
      <c r="B117" s="117"/>
      <c r="C117" s="117"/>
      <c r="D117" s="117"/>
      <c r="E117" s="117"/>
      <c r="F117" s="117"/>
      <c r="G117" s="118"/>
      <c r="I117" s="1" t="str">
        <f t="shared" si="8"/>
        <v>Session, 6 (5:00 PM - 6:00 PM),</v>
      </c>
      <c r="J117" s="36"/>
    </row>
    <row r="118" spans="1:10" ht="14.5" x14ac:dyDescent="0.35">
      <c r="A118" s="2" t="s">
        <v>6</v>
      </c>
      <c r="B118" s="2" t="s">
        <v>5</v>
      </c>
      <c r="C118" s="3" t="s">
        <v>4</v>
      </c>
      <c r="D118" s="2" t="s">
        <v>3</v>
      </c>
      <c r="E118" s="2" t="s">
        <v>2</v>
      </c>
      <c r="F118" s="3" t="s">
        <v>1</v>
      </c>
      <c r="G118" s="2" t="s">
        <v>0</v>
      </c>
      <c r="I118" s="1" t="str">
        <f t="shared" si="8"/>
        <v>CODE ,CLASS</v>
      </c>
      <c r="J118" s="36"/>
    </row>
    <row r="119" spans="1:10" ht="14.5" x14ac:dyDescent="0.35">
      <c r="A119" s="5" t="s">
        <v>342</v>
      </c>
      <c r="B119" s="5" t="str">
        <f>IFERROR(VLOOKUP($I119,'[5]Combined Data'!$D$1:$H$534,2,FALSE),0)</f>
        <v>System Engineering II</v>
      </c>
      <c r="C119" s="6" t="str" cm="1">
        <f t="array" ref="C119:C130">VLOOKUP(I119:I130,'Combined Data'!A1:E547,3,FALSE)</f>
        <v>Osei Jack Banahene</v>
      </c>
      <c r="D119" s="5" t="s">
        <v>84</v>
      </c>
      <c r="E119" s="5" cm="1">
        <f t="array" ref="E119:E130">VLOOKUP(I119:I130,combined_data!A1:D549,4,FALSE)</f>
        <v>39</v>
      </c>
      <c r="F119" s="8" t="s">
        <v>1534</v>
      </c>
      <c r="G119" s="7">
        <f>E119*1.1</f>
        <v>42.900000000000006</v>
      </c>
      <c r="H119" s="88" t="s">
        <v>1602</v>
      </c>
      <c r="I119" s="1" t="str">
        <f>CONCATENATE(A119,",",D119)</f>
        <v>CE 476,ED4-CE</v>
      </c>
      <c r="J119" s="36"/>
    </row>
    <row r="120" spans="1:10" ht="14.5" x14ac:dyDescent="0.35">
      <c r="A120" s="5" t="s">
        <v>119</v>
      </c>
      <c r="B120" s="5" t="str">
        <f>IFERROR(VLOOKUP($I120,'[5]Combined Data'!$D$1:$H$534,2,FALSE),0)</f>
        <v>Electromagnetic Fields</v>
      </c>
      <c r="C120" s="6" t="str">
        <v>Kwame Oteng Gyasi</v>
      </c>
      <c r="D120" s="5" t="s">
        <v>46</v>
      </c>
      <c r="E120" s="5">
        <v>256</v>
      </c>
      <c r="F120" s="8" t="s">
        <v>1598</v>
      </c>
      <c r="G120" s="7">
        <f>E120*1.1</f>
        <v>281.60000000000002</v>
      </c>
      <c r="H120" s="88" t="s">
        <v>1603</v>
      </c>
      <c r="I120" s="1" t="str">
        <f t="shared" si="8"/>
        <v>TE 262,ED2-EE</v>
      </c>
      <c r="J120" s="36"/>
    </row>
    <row r="121" spans="1:10" ht="14.5" x14ac:dyDescent="0.35">
      <c r="A121" s="5" t="s">
        <v>340</v>
      </c>
      <c r="B121" s="5" t="str">
        <f>IFERROR(VLOOKUP($I121,'[5]Combined Data'!$D$1:$H$534,2,FALSE),0)</f>
        <v>Electromagnetic Fields</v>
      </c>
      <c r="C121" s="6" t="str">
        <v>Kwame Oteng Gyasi</v>
      </c>
      <c r="D121" s="5" t="s">
        <v>49</v>
      </c>
      <c r="E121" s="5">
        <v>147</v>
      </c>
      <c r="F121" s="8" t="s">
        <v>1541</v>
      </c>
      <c r="G121" s="7">
        <f>E121*1.1</f>
        <v>161.70000000000002</v>
      </c>
      <c r="H121" s="88" t="s">
        <v>1604</v>
      </c>
      <c r="I121" s="1" t="str">
        <f t="shared" si="8"/>
        <v>TE 254,ED2-TEL</v>
      </c>
      <c r="J121" s="36"/>
    </row>
    <row r="122" spans="1:10" ht="14.5" x14ac:dyDescent="0.35">
      <c r="A122" s="5" t="s">
        <v>339</v>
      </c>
      <c r="B122" s="5" t="str">
        <f>IFERROR(VLOOKUP($I122,'[5]Combined Data'!$D$1:$H$534,2,FALSE),0)</f>
        <v>Fluid Dynamics I</v>
      </c>
      <c r="C122" s="6" t="str">
        <v>Fiagbe Yesuenyeagbe Atsu Kwabla</v>
      </c>
      <c r="D122" s="5" t="s">
        <v>17</v>
      </c>
      <c r="E122" s="5">
        <v>72</v>
      </c>
      <c r="F122" s="8" t="s">
        <v>1599</v>
      </c>
      <c r="G122" s="7">
        <f t="shared" ref="G122:G130" si="9">E122*1.1</f>
        <v>79.2</v>
      </c>
      <c r="H122" s="88" t="s">
        <v>1536</v>
      </c>
      <c r="I122" s="1" t="str">
        <f t="shared" si="8"/>
        <v>ME 252,ED2-IND</v>
      </c>
      <c r="J122" s="36"/>
    </row>
    <row r="123" spans="1:10" ht="14.5" x14ac:dyDescent="0.35">
      <c r="A123" s="5" t="s">
        <v>339</v>
      </c>
      <c r="B123" s="5" t="str">
        <f>IFERROR(VLOOKUP($I123,'[5]Combined Data'!$D$1:$H$534,2,FALSE),0)</f>
        <v>Fluid Dynamics I</v>
      </c>
      <c r="C123" s="6" t="str">
        <v>Fiagbe Yesuenyeagbe Atsu Kwabla</v>
      </c>
      <c r="D123" s="5" t="s">
        <v>31</v>
      </c>
      <c r="E123" s="5">
        <v>41</v>
      </c>
      <c r="F123" s="8" t="s">
        <v>1428</v>
      </c>
      <c r="G123" s="7">
        <f t="shared" si="9"/>
        <v>45.1</v>
      </c>
      <c r="H123" s="88">
        <v>41</v>
      </c>
      <c r="I123" s="1" t="str">
        <f t="shared" si="8"/>
        <v>ME 252,ED2-MARI</v>
      </c>
      <c r="J123" s="36"/>
    </row>
    <row r="124" spans="1:10" ht="14.5" x14ac:dyDescent="0.35">
      <c r="A124" s="5" t="s">
        <v>339</v>
      </c>
      <c r="B124" s="5" t="str">
        <f>IFERROR(VLOOKUP($I124,'[5]Combined Data'!$D$1:$H$534,2,FALSE),0)</f>
        <v>Fluid Dynamics I</v>
      </c>
      <c r="C124" s="6" t="str">
        <v>Fiagbe Yesuenyeagbe Atsu Kwabla</v>
      </c>
      <c r="D124" s="5" t="s">
        <v>16</v>
      </c>
      <c r="E124" s="5">
        <v>237</v>
      </c>
      <c r="F124" s="8" t="s">
        <v>1600</v>
      </c>
      <c r="G124" s="7">
        <f t="shared" si="9"/>
        <v>260.70000000000005</v>
      </c>
      <c r="H124" s="88" t="s">
        <v>1605</v>
      </c>
      <c r="I124" s="1" t="str">
        <f t="shared" si="8"/>
        <v>ME 252,ED2-ME</v>
      </c>
      <c r="J124" s="36"/>
    </row>
    <row r="125" spans="1:10" ht="14.5" x14ac:dyDescent="0.35">
      <c r="A125" s="5" t="s">
        <v>339</v>
      </c>
      <c r="B125" s="5" t="str">
        <f>IFERROR(VLOOKUP($I125,'[5]Combined Data'!$D$1:$H$534,2,FALSE),0)</f>
        <v>Fluid Dynamics I</v>
      </c>
      <c r="C125" s="6" t="str">
        <v>Fiagbe Yesuenyeagbe Atsu Kwabla</v>
      </c>
      <c r="D125" s="5" t="s">
        <v>11</v>
      </c>
      <c r="E125" s="5">
        <v>48</v>
      </c>
      <c r="F125" s="8" t="s">
        <v>1422</v>
      </c>
      <c r="G125" s="7">
        <f t="shared" si="9"/>
        <v>52.800000000000004</v>
      </c>
      <c r="H125" s="88">
        <v>41</v>
      </c>
      <c r="I125" s="1" t="str">
        <f t="shared" si="8"/>
        <v>ME 252,ED2-AUTO</v>
      </c>
      <c r="J125" s="36"/>
    </row>
    <row r="126" spans="1:10" ht="14.5" x14ac:dyDescent="0.35">
      <c r="A126" s="5" t="s">
        <v>119</v>
      </c>
      <c r="B126" s="5" t="str">
        <f>IFERROR(VLOOKUP($I126,'[5]Combined Data'!$D$1:$H$534,2,FALSE),0)</f>
        <v>Electromagnetic Fields</v>
      </c>
      <c r="C126" s="6" t="str">
        <v>Yeboah-Akowuah Bright</v>
      </c>
      <c r="D126" s="5" t="s">
        <v>40</v>
      </c>
      <c r="E126" s="5">
        <v>277</v>
      </c>
      <c r="F126" s="8" t="s">
        <v>1567</v>
      </c>
      <c r="G126" s="7">
        <f t="shared" si="9"/>
        <v>304.70000000000005</v>
      </c>
      <c r="H126" s="88" t="s">
        <v>1574</v>
      </c>
      <c r="I126" s="1" t="str">
        <f t="shared" si="8"/>
        <v>TE 262,ED2-COE</v>
      </c>
      <c r="J126" s="36"/>
    </row>
    <row r="127" spans="1:10" ht="14.5" x14ac:dyDescent="0.35">
      <c r="A127" s="5" t="s">
        <v>452</v>
      </c>
      <c r="B127" s="5" t="str">
        <f>IFERROR(VLOOKUP($I127,'[5]Combined Data'!$D$1:$H$534,2,FALSE),0)</f>
        <v>Introduction to Psychology</v>
      </c>
      <c r="C127" s="6" t="str">
        <v>Sarfo Fordjour Elizabeth Anokyewaa</v>
      </c>
      <c r="D127" s="5" t="s">
        <v>168</v>
      </c>
      <c r="E127" s="5">
        <v>180</v>
      </c>
      <c r="F127" s="8" t="s">
        <v>1601</v>
      </c>
      <c r="G127" s="7">
        <f t="shared" si="9"/>
        <v>198.00000000000003</v>
      </c>
      <c r="H127" s="88" t="s">
        <v>1606</v>
      </c>
      <c r="I127" s="1" t="str">
        <f t="shared" si="8"/>
        <v>PSYC 154,ED1-TEL</v>
      </c>
      <c r="J127" s="36"/>
    </row>
    <row r="128" spans="1:10" ht="14.5" x14ac:dyDescent="0.35">
      <c r="A128" s="5" t="s">
        <v>338</v>
      </c>
      <c r="B128" s="5" t="str">
        <f>IFERROR(VLOOKUP($I128,'[5]Combined Data'!$D$1:$H$534,2,FALSE),0)</f>
        <v>Large Scale Surveying</v>
      </c>
      <c r="C128" s="6" t="str">
        <v>Ayer John Wise DIVine</v>
      </c>
      <c r="D128" s="5" t="s">
        <v>23</v>
      </c>
      <c r="E128" s="5">
        <v>139</v>
      </c>
      <c r="F128" s="8" t="s">
        <v>1471</v>
      </c>
      <c r="G128" s="7">
        <f t="shared" si="9"/>
        <v>152.9</v>
      </c>
      <c r="H128" s="88" t="s">
        <v>1607</v>
      </c>
      <c r="I128" s="1" t="str">
        <f t="shared" si="8"/>
        <v>GE 162,ED1-GEOM</v>
      </c>
      <c r="J128" s="36"/>
    </row>
    <row r="129" spans="1:10" ht="14.5" x14ac:dyDescent="0.35">
      <c r="A129" s="5" t="s">
        <v>337</v>
      </c>
      <c r="B129" s="5" t="str">
        <f>IFERROR(VLOOKUP($I129,'[5]Combined Data'!$D$1:$H$534,2,FALSE),0)</f>
        <v>Pipeline Engineering</v>
      </c>
      <c r="C129" s="6" t="str">
        <v>Adjei Stephen</v>
      </c>
      <c r="D129" s="5" t="s">
        <v>53</v>
      </c>
      <c r="E129" s="5">
        <v>4</v>
      </c>
      <c r="F129" s="8" t="s">
        <v>1437</v>
      </c>
      <c r="G129" s="7">
        <f t="shared" si="9"/>
        <v>4.4000000000000004</v>
      </c>
      <c r="H129" s="88">
        <v>4</v>
      </c>
      <c r="I129" s="1" t="str">
        <f t="shared" si="8"/>
        <v>PE 474,ED4-PETE</v>
      </c>
      <c r="J129" s="36"/>
    </row>
    <row r="130" spans="1:10" ht="14.5" x14ac:dyDescent="0.35">
      <c r="A130" s="5" t="s">
        <v>336</v>
      </c>
      <c r="B130" s="5" t="str">
        <f>IFERROR(VLOOKUP($I130,'[5]Combined Data'!$D$1:$H$534,2,FALSE),0)</f>
        <v>Planning The Physical Environment</v>
      </c>
      <c r="C130" s="6" t="str">
        <v>Aboagye Prince Anokye</v>
      </c>
      <c r="D130" s="5" t="s">
        <v>47</v>
      </c>
      <c r="E130" s="5">
        <v>96</v>
      </c>
      <c r="F130" s="8" t="s">
        <v>1566</v>
      </c>
      <c r="G130" s="7">
        <f t="shared" si="9"/>
        <v>105.60000000000001</v>
      </c>
      <c r="H130" s="88" t="s">
        <v>1608</v>
      </c>
      <c r="I130" s="1" t="str">
        <f t="shared" si="8"/>
        <v>PL 251/2,ED3-GEOM</v>
      </c>
      <c r="J130" s="36"/>
    </row>
    <row r="131" spans="1:10" ht="14.5" x14ac:dyDescent="0.35">
      <c r="D131" s="6" t="s">
        <v>335</v>
      </c>
      <c r="E131" s="11">
        <f>SUM(E119:E130)</f>
        <v>1536</v>
      </c>
      <c r="I131" s="1" t="str">
        <f t="shared" si="8"/>
        <v>,Total M6</v>
      </c>
      <c r="J131" s="36"/>
    </row>
    <row r="132" spans="1:10" ht="14.5" x14ac:dyDescent="0.35">
      <c r="D132" s="19"/>
      <c r="E132" s="20"/>
      <c r="I132" s="1" t="str">
        <f t="shared" si="8"/>
        <v>,</v>
      </c>
      <c r="J132" s="36"/>
    </row>
    <row r="133" spans="1:10" ht="14.5" x14ac:dyDescent="0.35">
      <c r="D133" s="19"/>
      <c r="E133" s="20"/>
      <c r="I133" s="1" t="str">
        <f t="shared" si="8"/>
        <v>,</v>
      </c>
      <c r="J133" s="36"/>
    </row>
    <row r="134" spans="1:10" ht="14.5" x14ac:dyDescent="0.35">
      <c r="A134" s="119" t="s">
        <v>404</v>
      </c>
      <c r="B134" s="119"/>
      <c r="C134" s="119"/>
      <c r="D134" s="119"/>
      <c r="E134" s="119"/>
      <c r="F134" s="119"/>
      <c r="G134" s="119"/>
      <c r="I134" s="1" t="str">
        <f t="shared" si="8"/>
        <v>Monday, 7 July 2025,</v>
      </c>
      <c r="J134" s="36"/>
    </row>
    <row r="135" spans="1:10" ht="14.5" x14ac:dyDescent="0.35">
      <c r="A135" s="116" t="str">
        <f>[2]SESSIONS!$K$7</f>
        <v>Session, 7 (6:45 PM - 7:45 PM)</v>
      </c>
      <c r="B135" s="117"/>
      <c r="C135" s="117"/>
      <c r="D135" s="117"/>
      <c r="E135" s="117"/>
      <c r="F135" s="117"/>
      <c r="G135" s="118"/>
      <c r="I135" s="1" t="str">
        <f t="shared" si="8"/>
        <v>Session, 7 (6:45 PM - 7:45 PM),</v>
      </c>
      <c r="J135" s="36"/>
    </row>
    <row r="136" spans="1:10" ht="14.5" x14ac:dyDescent="0.35">
      <c r="A136" s="2" t="s">
        <v>6</v>
      </c>
      <c r="B136" s="2" t="s">
        <v>5</v>
      </c>
      <c r="C136" s="3" t="s">
        <v>4</v>
      </c>
      <c r="D136" s="2" t="s">
        <v>3</v>
      </c>
      <c r="E136" s="2" t="s">
        <v>2</v>
      </c>
      <c r="F136" s="3" t="s">
        <v>1</v>
      </c>
      <c r="G136" s="2" t="s">
        <v>0</v>
      </c>
      <c r="I136" s="1" t="str">
        <f t="shared" si="8"/>
        <v>CODE ,CLASS</v>
      </c>
      <c r="J136" s="36"/>
    </row>
    <row r="137" spans="1:10" ht="14.5" x14ac:dyDescent="0.35">
      <c r="A137" s="5" t="s">
        <v>356</v>
      </c>
      <c r="B137" s="5" t="str">
        <f>IFERROR(VLOOKUP($I137,'[5]Combined Data'!$D$1:$H$534,2,FALSE),0)</f>
        <v>Health Safety and Environment</v>
      </c>
      <c r="C137" s="6" t="s">
        <v>876</v>
      </c>
      <c r="D137" s="5" t="s">
        <v>29</v>
      </c>
      <c r="E137" s="5">
        <v>103</v>
      </c>
      <c r="F137" s="8" t="s">
        <v>1394</v>
      </c>
      <c r="G137" s="7">
        <f>E137*1.1</f>
        <v>113.30000000000001</v>
      </c>
      <c r="H137" s="88">
        <v>103</v>
      </c>
      <c r="I137" s="1" t="str">
        <f>CONCATENATE(A137,",",D137)</f>
        <v>PE 366,ED3-PETE</v>
      </c>
      <c r="J137" s="36"/>
    </row>
    <row r="138" spans="1:10" ht="14.5" x14ac:dyDescent="0.35">
      <c r="A138" s="5" t="s">
        <v>334</v>
      </c>
      <c r="B138" s="5" t="str">
        <f>IFERROR(VLOOKUP($I138,'[5]Combined Data'!$D$1:$H$534,2,FALSE),0)</f>
        <v>Computer Programming and Applications</v>
      </c>
      <c r="C138" s="6" t="str" cm="1">
        <f t="array" ref="C138:C153">VLOOKUP(I138:I153,'Combined Data'!A1:E547,3,FALSE)</f>
        <v>Mensah-Darkwa Kwadwo</v>
      </c>
      <c r="D138" s="5" t="s">
        <v>111</v>
      </c>
      <c r="E138" s="5" cm="1">
        <f t="array" ref="E138:E153">VLOOKUP(I138:I153,combined_data!A1:D549,4,FALSE)</f>
        <v>86</v>
      </c>
      <c r="F138" s="8" t="s">
        <v>1566</v>
      </c>
      <c r="G138" s="7">
        <f t="shared" ref="G138:G153" si="10">E138*1.1</f>
        <v>94.600000000000009</v>
      </c>
      <c r="H138" s="88" t="s">
        <v>1610</v>
      </c>
      <c r="I138" s="1" t="str">
        <f t="shared" si="8"/>
        <v>METE 258,ED2-METE</v>
      </c>
      <c r="J138" s="36"/>
    </row>
    <row r="139" spans="1:10" ht="14.5" x14ac:dyDescent="0.35">
      <c r="A139" s="5" t="s">
        <v>333</v>
      </c>
      <c r="B139" s="5" t="str">
        <f>IFERROR(VLOOKUP($I139,'[5]Combined Data'!$D$1:$H$534,2,FALSE),0)</f>
        <v>Computer Programming and Application</v>
      </c>
      <c r="C139" s="6" t="str">
        <v>Mensah-Darkwa Kwadwo</v>
      </c>
      <c r="D139" s="5" t="s">
        <v>113</v>
      </c>
      <c r="E139" s="5">
        <v>89</v>
      </c>
      <c r="F139" s="91" t="s">
        <v>1599</v>
      </c>
      <c r="G139" s="7">
        <f t="shared" si="10"/>
        <v>97.9</v>
      </c>
      <c r="H139" s="88" t="s">
        <v>1570</v>
      </c>
      <c r="I139" s="1" t="str">
        <f t="shared" ref="I139:I154" si="11">CONCATENATE(A139,",",D139)</f>
        <v>MSE 262,ED2-MSE</v>
      </c>
      <c r="J139" s="36"/>
    </row>
    <row r="140" spans="1:10" ht="14.5" x14ac:dyDescent="0.35">
      <c r="A140" s="5" t="s">
        <v>332</v>
      </c>
      <c r="B140" s="5" t="str">
        <f>IFERROR(VLOOKUP($I140,'[5]Combined Data'!$D$1:$H$534,2,FALSE),0)</f>
        <v>Switching Engineering In Communication</v>
      </c>
      <c r="C140" s="6" t="str">
        <v>Obour Agyekum Kwame Opuni-Boachie</v>
      </c>
      <c r="D140" s="5" t="s">
        <v>67</v>
      </c>
      <c r="E140" s="5">
        <v>14</v>
      </c>
      <c r="F140" s="91" t="s">
        <v>1441</v>
      </c>
      <c r="G140" s="7">
        <f t="shared" si="10"/>
        <v>15.400000000000002</v>
      </c>
      <c r="H140" s="88">
        <v>14</v>
      </c>
      <c r="I140" s="1" t="str">
        <f t="shared" si="11"/>
        <v>TE 384,ED3-EE</v>
      </c>
      <c r="J140" s="36"/>
    </row>
    <row r="141" spans="1:10" ht="14.5" x14ac:dyDescent="0.35">
      <c r="A141" s="5" t="s">
        <v>1381</v>
      </c>
      <c r="B141" s="5" t="s">
        <v>839</v>
      </c>
      <c r="C141" s="6" t="str">
        <v>Agyekum Kwame Agyeman-Prempeh</v>
      </c>
      <c r="D141" s="5" t="s">
        <v>10</v>
      </c>
      <c r="E141" s="5">
        <v>103</v>
      </c>
      <c r="F141" s="91" t="s">
        <v>1609</v>
      </c>
      <c r="G141" s="7">
        <f t="shared" si="10"/>
        <v>113.30000000000001</v>
      </c>
      <c r="H141" s="88" t="s">
        <v>1611</v>
      </c>
      <c r="I141" s="1" t="str">
        <f t="shared" si="11"/>
        <v>TE 356,ED3-TEL</v>
      </c>
      <c r="J141" s="36"/>
    </row>
    <row r="142" spans="1:10" ht="14.5" x14ac:dyDescent="0.35">
      <c r="A142" s="5" t="s">
        <v>315</v>
      </c>
      <c r="B142" s="5" t="str">
        <f>IFERROR(VLOOKUP($I142,'[5]Combined Data'!$D$1:$H$534,2,FALSE),0)</f>
        <v>Process Dynamics and Control</v>
      </c>
      <c r="C142" s="6" t="str">
        <v>Adjaottor Albert Amatey</v>
      </c>
      <c r="D142" s="5" t="s">
        <v>107</v>
      </c>
      <c r="E142" s="5">
        <v>115</v>
      </c>
      <c r="F142" s="8" t="s">
        <v>1469</v>
      </c>
      <c r="G142" s="7">
        <f>E142*1.1</f>
        <v>126.50000000000001</v>
      </c>
      <c r="H142" s="88" t="s">
        <v>1612</v>
      </c>
      <c r="I142" s="1" t="str">
        <f>CONCATENATE(A142,",",D142)</f>
        <v>MSE 458,ED4-MSE</v>
      </c>
      <c r="J142" s="36"/>
    </row>
    <row r="143" spans="1:10" ht="14.5" x14ac:dyDescent="0.35">
      <c r="A143" s="5" t="s">
        <v>315</v>
      </c>
      <c r="B143" s="5" t="str">
        <f>IFERROR(VLOOKUP($I143,'[5]Combined Data'!$D$1:$H$534,2,FALSE),0)</f>
        <v>Process Dynanics and Control</v>
      </c>
      <c r="C143" s="6" t="str">
        <v>Adjaottor Albert Amatey</v>
      </c>
      <c r="D143" s="5" t="s">
        <v>105</v>
      </c>
      <c r="E143" s="5">
        <v>65</v>
      </c>
      <c r="F143" s="8" t="s">
        <v>1414</v>
      </c>
      <c r="G143" s="7">
        <f>E143*1.1</f>
        <v>71.5</v>
      </c>
      <c r="H143" s="88">
        <v>65</v>
      </c>
      <c r="I143" s="1" t="str">
        <f>CONCATENATE(A143,",",D143)</f>
        <v>MSE 458,ED4-METE</v>
      </c>
      <c r="J143" s="36"/>
    </row>
    <row r="144" spans="1:10" ht="14.5" x14ac:dyDescent="0.35">
      <c r="A144" s="5" t="s">
        <v>331</v>
      </c>
      <c r="B144" s="5" t="str">
        <f>IFERROR(VLOOKUP($I144,'[5]Combined Data'!$D$1:$H$534,2,FALSE),0)</f>
        <v>Heat Transfer</v>
      </c>
      <c r="C144" s="6" t="str">
        <v>Forson Francis Kofi</v>
      </c>
      <c r="D144" s="5" t="s">
        <v>77</v>
      </c>
      <c r="E144" s="5">
        <v>147</v>
      </c>
      <c r="F144" s="14" t="s">
        <v>1541</v>
      </c>
      <c r="G144" s="7">
        <f t="shared" si="10"/>
        <v>161.70000000000002</v>
      </c>
      <c r="H144" s="88" t="s">
        <v>1604</v>
      </c>
      <c r="I144" s="1" t="str">
        <f t="shared" si="11"/>
        <v>ME 366,ED3-ME</v>
      </c>
      <c r="J144" s="36"/>
    </row>
    <row r="145" spans="1:10" ht="14.5" x14ac:dyDescent="0.35">
      <c r="A145" s="5" t="s">
        <v>331</v>
      </c>
      <c r="B145" s="5" t="str">
        <f>IFERROR(VLOOKUP($I145,'[5]Combined Data'!$D$1:$H$534,2,FALSE),0)</f>
        <v>Heat Transfer</v>
      </c>
      <c r="C145" s="6" t="str">
        <v>Forson Francis Kofi</v>
      </c>
      <c r="D145" s="5" t="s">
        <v>117</v>
      </c>
      <c r="E145" s="5">
        <v>63</v>
      </c>
      <c r="F145" s="91" t="s">
        <v>1420</v>
      </c>
      <c r="G145" s="7">
        <f t="shared" si="10"/>
        <v>69.300000000000011</v>
      </c>
      <c r="H145" s="88">
        <v>63</v>
      </c>
      <c r="I145" s="1" t="str">
        <f t="shared" si="11"/>
        <v>ME 366,ED3-AERO</v>
      </c>
      <c r="J145" s="36"/>
    </row>
    <row r="146" spans="1:10" ht="14.5" x14ac:dyDescent="0.35">
      <c r="A146" s="5" t="s">
        <v>331</v>
      </c>
      <c r="B146" s="5" t="str">
        <f>IFERROR(VLOOKUP($I146,'[5]Combined Data'!$D$1:$H$534,2,FALSE),0)</f>
        <v>Heat Transfer</v>
      </c>
      <c r="C146" s="6" t="str">
        <v>Forson Francis Kofi</v>
      </c>
      <c r="D146" s="5" t="s">
        <v>88</v>
      </c>
      <c r="E146" s="5">
        <v>108</v>
      </c>
      <c r="F146" s="91" t="s">
        <v>1469</v>
      </c>
      <c r="G146" s="7">
        <f t="shared" si="10"/>
        <v>118.80000000000001</v>
      </c>
      <c r="H146" s="88" t="s">
        <v>1613</v>
      </c>
      <c r="I146" s="1" t="str">
        <f t="shared" si="11"/>
        <v>ME 366,ED3-AE</v>
      </c>
      <c r="J146" s="36"/>
    </row>
    <row r="147" spans="1:10" ht="14.5" x14ac:dyDescent="0.35">
      <c r="A147" s="5" t="s">
        <v>331</v>
      </c>
      <c r="B147" s="5" t="str">
        <f>IFERROR(VLOOKUP($I147,'[5]Combined Data'!$D$1:$H$534,2,FALSE),0)</f>
        <v>Heat Transfer</v>
      </c>
      <c r="C147" s="6" t="str">
        <v>Forson Francis Kofi</v>
      </c>
      <c r="D147" s="5" t="s">
        <v>38</v>
      </c>
      <c r="E147" s="5">
        <v>23</v>
      </c>
      <c r="F147" s="12" t="s">
        <v>1436</v>
      </c>
      <c r="G147" s="7">
        <f t="shared" si="10"/>
        <v>25.3</v>
      </c>
      <c r="H147" s="88">
        <v>23</v>
      </c>
      <c r="I147" s="1" t="str">
        <f t="shared" si="11"/>
        <v>ME 366,ED3-MARI</v>
      </c>
      <c r="J147" s="36"/>
    </row>
    <row r="148" spans="1:10" ht="14.5" x14ac:dyDescent="0.35">
      <c r="A148" s="5" t="s">
        <v>369</v>
      </c>
      <c r="B148" s="5" t="str">
        <f>IFERROR(VLOOKUP($I148,'[5]Combined Data'!$D$1:$H$534,2,FALSE),0)</f>
        <v>Foundation Engineering</v>
      </c>
      <c r="C148" s="6" t="str">
        <v>Acquaah Vincent Kofi Abaka</v>
      </c>
      <c r="D148" s="5" t="s">
        <v>27</v>
      </c>
      <c r="E148" s="5">
        <v>254</v>
      </c>
      <c r="F148" s="8" t="s">
        <v>1598</v>
      </c>
      <c r="G148" s="7">
        <f>E148*1.1</f>
        <v>279.40000000000003</v>
      </c>
      <c r="H148" s="88" t="s">
        <v>1614</v>
      </c>
      <c r="I148" s="1" t="str">
        <f>CONCATENATE(A148,",",D148)</f>
        <v>CE 360,ED3-CE</v>
      </c>
      <c r="J148" s="36"/>
    </row>
    <row r="149" spans="1:10" ht="14.5" x14ac:dyDescent="0.35">
      <c r="A149" s="5" t="s">
        <v>319</v>
      </c>
      <c r="B149" s="5" t="str">
        <f>IFERROR(VLOOKUP($I149,'[5]Combined Data'!$D$1:$H$534,2,FALSE),0)</f>
        <v>Ship Operation, Regulation and Management</v>
      </c>
      <c r="C149" s="6" t="str">
        <v>Sackey Michael Nii</v>
      </c>
      <c r="D149" s="5" t="s">
        <v>96</v>
      </c>
      <c r="E149" s="5">
        <v>68</v>
      </c>
      <c r="F149" s="14" t="s">
        <v>1599</v>
      </c>
      <c r="G149" s="7">
        <f>E149*1.1</f>
        <v>74.800000000000011</v>
      </c>
      <c r="H149" s="88" t="s">
        <v>1615</v>
      </c>
      <c r="I149" s="1" t="str">
        <f>CONCATENATE(A149,",",D149)</f>
        <v>MME 492,ED4-MARI</v>
      </c>
      <c r="J149" s="36"/>
    </row>
    <row r="150" spans="1:10" ht="14.5" x14ac:dyDescent="0.35">
      <c r="A150" s="5" t="s">
        <v>330</v>
      </c>
      <c r="B150" s="5" t="str">
        <f>IFERROR(VLOOKUP($I150,'[5]Combined Data'!$D$1:$H$534,2,FALSE),0)</f>
        <v>Practical Chemistry II</v>
      </c>
      <c r="C150" s="6" t="str">
        <v>Opoku Francis</v>
      </c>
      <c r="D150" s="5" t="s">
        <v>71</v>
      </c>
      <c r="E150" s="5">
        <v>119</v>
      </c>
      <c r="F150" s="14" t="s">
        <v>1469</v>
      </c>
      <c r="G150" s="7">
        <f t="shared" si="10"/>
        <v>130.9</v>
      </c>
      <c r="H150" s="88" t="s">
        <v>1559</v>
      </c>
      <c r="I150" s="1" t="str">
        <f t="shared" si="11"/>
        <v>CHEM 280,ED2-CHE</v>
      </c>
      <c r="J150" s="36"/>
    </row>
    <row r="151" spans="1:10" ht="14.5" x14ac:dyDescent="0.35">
      <c r="A151" s="5" t="s">
        <v>330</v>
      </c>
      <c r="B151" s="5" t="str">
        <f>IFERROR(VLOOKUP($I151,'[5]Combined Data'!$D$1:$H$534,2,FALSE),0)</f>
        <v>Practical Chemistry II</v>
      </c>
      <c r="C151" s="6" t="str">
        <v>Opoku Francis</v>
      </c>
      <c r="D151" s="5" t="s">
        <v>69</v>
      </c>
      <c r="E151" s="5">
        <v>59</v>
      </c>
      <c r="F151" s="14" t="s">
        <v>1472</v>
      </c>
      <c r="G151" s="7">
        <f t="shared" si="10"/>
        <v>64.900000000000006</v>
      </c>
      <c r="H151" s="88" t="s">
        <v>1616</v>
      </c>
      <c r="I151" s="1" t="str">
        <f t="shared" si="11"/>
        <v>CHEM 280,ED2-PCE</v>
      </c>
      <c r="J151" s="36"/>
    </row>
    <row r="152" spans="1:10" ht="14.5" x14ac:dyDescent="0.35">
      <c r="A152" s="5" t="s">
        <v>328</v>
      </c>
      <c r="B152" s="5" t="s">
        <v>1365</v>
      </c>
      <c r="C152" s="6" t="str">
        <v>Nartey Martinson Addo</v>
      </c>
      <c r="D152" s="5" t="s">
        <v>18</v>
      </c>
      <c r="E152" s="5">
        <v>61</v>
      </c>
      <c r="F152" s="14" t="s">
        <v>1472</v>
      </c>
      <c r="G152" s="7">
        <f t="shared" si="10"/>
        <v>67.100000000000009</v>
      </c>
      <c r="H152" s="88" t="s">
        <v>1490</v>
      </c>
      <c r="I152" s="1" t="str">
        <f t="shared" si="11"/>
        <v>MSE 154,ED1-METE</v>
      </c>
      <c r="J152" s="36"/>
    </row>
    <row r="153" spans="1:10" ht="14.5" x14ac:dyDescent="0.35">
      <c r="A153" s="5" t="s">
        <v>328</v>
      </c>
      <c r="B153" s="5" t="s">
        <v>1365</v>
      </c>
      <c r="C153" s="6" t="str">
        <v>Nartey Martinson Addo</v>
      </c>
      <c r="D153" s="5" t="s">
        <v>177</v>
      </c>
      <c r="E153" s="5">
        <v>84</v>
      </c>
      <c r="F153" s="92" t="s">
        <v>1566</v>
      </c>
      <c r="G153" s="7">
        <f t="shared" si="10"/>
        <v>92.4</v>
      </c>
      <c r="H153" s="88" t="s">
        <v>1617</v>
      </c>
      <c r="I153" s="1" t="str">
        <f t="shared" si="11"/>
        <v>MSE 154,ED1-MSE</v>
      </c>
      <c r="J153" s="36"/>
    </row>
    <row r="154" spans="1:10" ht="14.5" x14ac:dyDescent="0.35">
      <c r="D154" s="6" t="s">
        <v>327</v>
      </c>
      <c r="E154" s="11">
        <f>SUM(E138:E153)</f>
        <v>1458</v>
      </c>
      <c r="I154" s="1" t="str">
        <f t="shared" si="11"/>
        <v>,Total M7</v>
      </c>
      <c r="J154" s="36"/>
    </row>
    <row r="155" spans="1:10" ht="14.5" x14ac:dyDescent="0.35">
      <c r="D155" s="19"/>
      <c r="E155" s="20"/>
      <c r="J155" s="36"/>
    </row>
    <row r="156" spans="1:10" ht="14.5" x14ac:dyDescent="0.35">
      <c r="D156" s="19"/>
      <c r="E156" s="20"/>
      <c r="J156" s="36"/>
    </row>
    <row r="157" spans="1:10" ht="14.5" x14ac:dyDescent="0.35">
      <c r="A157" s="119" t="s">
        <v>405</v>
      </c>
      <c r="B157" s="119"/>
      <c r="C157" s="119"/>
      <c r="D157" s="119"/>
      <c r="E157" s="119"/>
      <c r="F157" s="119"/>
      <c r="G157" s="119"/>
      <c r="I157" s="1" t="str">
        <f t="shared" ref="I157:I214" si="12">CONCATENATE(A157,",",D157)</f>
        <v>Tuesday, 8 July 2025,</v>
      </c>
      <c r="J157" s="36"/>
    </row>
    <row r="158" spans="1:10" ht="14.5" x14ac:dyDescent="0.35">
      <c r="A158" s="116" t="str">
        <f>[2]SESSIONS!$K$1</f>
        <v>Session, 1 (8:15 AM - 9:15 AM)</v>
      </c>
      <c r="B158" s="117"/>
      <c r="C158" s="117"/>
      <c r="D158" s="117"/>
      <c r="E158" s="117"/>
      <c r="F158" s="117"/>
      <c r="G158" s="118"/>
      <c r="I158" s="1" t="str">
        <f t="shared" si="12"/>
        <v>Session, 1 (8:15 AM - 9:15 AM),</v>
      </c>
      <c r="J158" s="36"/>
    </row>
    <row r="159" spans="1:10" ht="14.5" x14ac:dyDescent="0.35">
      <c r="A159" s="2" t="s">
        <v>6</v>
      </c>
      <c r="B159" s="2" t="s">
        <v>5</v>
      </c>
      <c r="C159" s="3" t="s">
        <v>4</v>
      </c>
      <c r="D159" s="2" t="s">
        <v>3</v>
      </c>
      <c r="E159" s="2" t="s">
        <v>2</v>
      </c>
      <c r="F159" s="3" t="s">
        <v>1</v>
      </c>
      <c r="G159" s="2" t="s">
        <v>0</v>
      </c>
      <c r="I159" s="1" t="str">
        <f t="shared" si="12"/>
        <v>CODE ,CLASS</v>
      </c>
      <c r="J159" s="36"/>
    </row>
    <row r="160" spans="1:10" ht="14.5" x14ac:dyDescent="0.35">
      <c r="A160" s="5" t="s">
        <v>321</v>
      </c>
      <c r="B160" s="5" t="str">
        <f>IFERROR(VLOOKUP($I160,'[5]Combined Data'!$D$1:$H$534,2,FALSE),0)</f>
        <v>Basic Electronics</v>
      </c>
      <c r="C160" s="6" t="str" cm="1">
        <f t="array" ref="C160:C170">VLOOKUP(I160:I170,'Combined Data'!A1:E547,3,FALSE)</f>
        <v>Kwegyir Daniel</v>
      </c>
      <c r="D160" s="5" t="s">
        <v>44</v>
      </c>
      <c r="E160" s="5" cm="1">
        <f t="array" ref="E160:E170">VLOOKUP(I160:I170,combined_data!A1:D549,4,FALSE)</f>
        <v>260</v>
      </c>
      <c r="F160" s="97" t="s">
        <v>1683</v>
      </c>
      <c r="G160" s="7">
        <f t="shared" ref="G160:G170" si="13">E160*1.1</f>
        <v>286</v>
      </c>
      <c r="H160" s="88" t="s">
        <v>1689</v>
      </c>
      <c r="I160" s="1" t="str">
        <f t="shared" si="12"/>
        <v>EE 152,ED1-CE</v>
      </c>
      <c r="J160" s="36"/>
    </row>
    <row r="161" spans="1:10" ht="14.5" x14ac:dyDescent="0.35">
      <c r="A161" s="5" t="s">
        <v>326</v>
      </c>
      <c r="B161" s="5" t="str">
        <f>IFERROR(VLOOKUP($I161,'[5]Combined Data'!$D$1:$H$534,2,FALSE),0)</f>
        <v>Basic Electronics</v>
      </c>
      <c r="C161" s="6" t="str">
        <v>Addo Daniel Akwei</v>
      </c>
      <c r="D161" s="5" t="s">
        <v>22</v>
      </c>
      <c r="E161" s="5">
        <v>86</v>
      </c>
      <c r="F161" s="98" t="s">
        <v>1485</v>
      </c>
      <c r="G161" s="7">
        <f t="shared" si="13"/>
        <v>94.600000000000009</v>
      </c>
      <c r="H161" s="88" t="s">
        <v>1557</v>
      </c>
      <c r="I161" s="1" t="str">
        <f t="shared" si="12"/>
        <v>COE 152,ED1-BME</v>
      </c>
      <c r="J161" s="36"/>
    </row>
    <row r="162" spans="1:10" ht="14.5" x14ac:dyDescent="0.35">
      <c r="A162" s="5" t="s">
        <v>321</v>
      </c>
      <c r="B162" s="5" t="str">
        <f>IFERROR(VLOOKUP($I162,'[5]Combined Data'!$D$1:$H$534,2,FALSE),0)</f>
        <v>Basic Electronics</v>
      </c>
      <c r="C162" s="6" t="str">
        <v>Kwegyir Daniel</v>
      </c>
      <c r="D162" s="5" t="s">
        <v>60</v>
      </c>
      <c r="E162" s="5">
        <v>155</v>
      </c>
      <c r="F162" s="98" t="s">
        <v>1684</v>
      </c>
      <c r="G162" s="7">
        <f t="shared" si="13"/>
        <v>170.5</v>
      </c>
      <c r="H162" s="88" t="s">
        <v>1690</v>
      </c>
      <c r="I162" s="1" t="str">
        <f t="shared" si="12"/>
        <v>EE 152,ED1-CHE</v>
      </c>
      <c r="J162" s="36"/>
    </row>
    <row r="163" spans="1:10" ht="14.5" x14ac:dyDescent="0.35">
      <c r="A163" s="5" t="s">
        <v>321</v>
      </c>
      <c r="B163" s="5" t="str">
        <f>IFERROR(VLOOKUP($I163,'[5]Combined Data'!$D$1:$H$534,2,FALSE),0)</f>
        <v>Basic Electronics</v>
      </c>
      <c r="C163" s="6" t="str">
        <v>Kwegyir Daniel</v>
      </c>
      <c r="D163" s="5" t="s">
        <v>176</v>
      </c>
      <c r="E163" s="5">
        <v>244</v>
      </c>
      <c r="F163" s="98" t="s">
        <v>1600</v>
      </c>
      <c r="G163" s="7">
        <f>E163*1.1</f>
        <v>268.40000000000003</v>
      </c>
      <c r="H163" s="88" t="s">
        <v>1666</v>
      </c>
      <c r="I163" s="1" t="str">
        <f>CONCATENATE(A163,",",D163)</f>
        <v>EE 152,ED1-ME</v>
      </c>
      <c r="J163" s="36"/>
    </row>
    <row r="164" spans="1:10" ht="14.5" x14ac:dyDescent="0.35">
      <c r="A164" s="5" t="s">
        <v>321</v>
      </c>
      <c r="B164" s="5" t="str">
        <f>IFERROR(VLOOKUP($I164,'[5]Combined Data'!$D$1:$H$534,2,FALSE),0)</f>
        <v>Basic Electronics</v>
      </c>
      <c r="C164" s="6" t="str">
        <v>Kwegyir Daniel</v>
      </c>
      <c r="D164" s="5" t="s">
        <v>43</v>
      </c>
      <c r="E164" s="5">
        <v>37</v>
      </c>
      <c r="F164" s="98" t="s">
        <v>1428</v>
      </c>
      <c r="G164" s="7">
        <f>E164*1.1</f>
        <v>40.700000000000003</v>
      </c>
      <c r="H164" s="88">
        <v>37</v>
      </c>
      <c r="I164" s="1" t="str">
        <f>CONCATENATE(A164,",",D164)</f>
        <v>EE 152,ED1-MARI</v>
      </c>
      <c r="J164" s="36"/>
    </row>
    <row r="165" spans="1:10" ht="14.5" x14ac:dyDescent="0.35">
      <c r="A165" s="5" t="s">
        <v>321</v>
      </c>
      <c r="B165" s="5" t="str">
        <f>IFERROR(VLOOKUP($I165,'[5]Combined Data'!$D$1:$H$534,2,FALSE),0)</f>
        <v>Basic Electronics</v>
      </c>
      <c r="C165" s="6" t="str">
        <v>Kwegyir Daniel</v>
      </c>
      <c r="D165" s="5" t="s">
        <v>15</v>
      </c>
      <c r="E165" s="5">
        <v>78</v>
      </c>
      <c r="F165" s="98" t="s">
        <v>1685</v>
      </c>
      <c r="G165" s="7">
        <f>E165*1.1</f>
        <v>85.800000000000011</v>
      </c>
      <c r="H165" s="88" t="s">
        <v>1691</v>
      </c>
      <c r="I165" s="1" t="str">
        <f>CONCATENATE(A165,",",D165)</f>
        <v>EE 152,ED1-AUTO</v>
      </c>
      <c r="J165" s="36"/>
    </row>
    <row r="166" spans="1:10" ht="14.5" x14ac:dyDescent="0.35">
      <c r="A166" s="5" t="s">
        <v>326</v>
      </c>
      <c r="B166" s="5" t="str">
        <f>IFERROR(VLOOKUP($I166,'[5]Combined Data'!$D$1:$H$534,2,FALSE),0)</f>
        <v>Basic Electronics</v>
      </c>
      <c r="C166" s="6" t="str">
        <v>Klogo Griffith Selorm</v>
      </c>
      <c r="D166" s="5" t="s">
        <v>20</v>
      </c>
      <c r="E166" s="5">
        <v>255</v>
      </c>
      <c r="F166" s="97" t="s">
        <v>1686</v>
      </c>
      <c r="G166" s="7">
        <f t="shared" si="13"/>
        <v>280.5</v>
      </c>
      <c r="H166" s="88" t="s">
        <v>1462</v>
      </c>
      <c r="I166" s="1" t="str">
        <f t="shared" si="12"/>
        <v>COE 152,ED1-COE</v>
      </c>
      <c r="J166" s="36"/>
    </row>
    <row r="167" spans="1:10" ht="14.5" x14ac:dyDescent="0.35">
      <c r="A167" s="5" t="s">
        <v>323</v>
      </c>
      <c r="B167" s="5" t="str">
        <f>IFERROR(VLOOKUP($I167,'[5]Combined Data'!$D$1:$H$534,2,FALSE),0)</f>
        <v>Mechanism Synthesis and Analysis I</v>
      </c>
      <c r="C167" s="6" t="str">
        <v>Ampofo Joshua</v>
      </c>
      <c r="D167" s="5" t="s">
        <v>16</v>
      </c>
      <c r="E167" s="5">
        <v>237</v>
      </c>
      <c r="F167" s="98" t="s">
        <v>1600</v>
      </c>
      <c r="G167" s="7">
        <f t="shared" si="13"/>
        <v>260.70000000000005</v>
      </c>
      <c r="H167" s="88" t="s">
        <v>1692</v>
      </c>
      <c r="I167" s="1" t="str">
        <f t="shared" si="12"/>
        <v>ME 264,ED2-ME</v>
      </c>
      <c r="J167" s="36"/>
    </row>
    <row r="168" spans="1:10" ht="14.5" x14ac:dyDescent="0.35">
      <c r="A168" s="5" t="s">
        <v>323</v>
      </c>
      <c r="B168" s="5" t="str">
        <f>IFERROR(VLOOKUP($I168,'[5]Combined Data'!$D$1:$H$534,2,FALSE),0)</f>
        <v>Mechanism Synthesis and Analysis I</v>
      </c>
      <c r="C168" s="6" t="str">
        <v>Ampofo Joshua</v>
      </c>
      <c r="D168" s="5" t="s">
        <v>13</v>
      </c>
      <c r="E168" s="5">
        <v>76</v>
      </c>
      <c r="F168" s="99" t="s">
        <v>1687</v>
      </c>
      <c r="G168" s="7">
        <f t="shared" si="13"/>
        <v>83.600000000000009</v>
      </c>
      <c r="H168" s="88" t="s">
        <v>1693</v>
      </c>
      <c r="I168" s="1" t="str">
        <f t="shared" si="12"/>
        <v>ME 264,ED2-AERO</v>
      </c>
      <c r="J168" s="36"/>
    </row>
    <row r="169" spans="1:10" ht="14.5" x14ac:dyDescent="0.35">
      <c r="A169" s="5" t="s">
        <v>323</v>
      </c>
      <c r="B169" s="5" t="str">
        <f>IFERROR(VLOOKUP($I169,'[5]Combined Data'!$D$1:$H$534,2,FALSE),0)</f>
        <v>Mechanism Synthesis and Analysis I</v>
      </c>
      <c r="C169" s="6" t="str">
        <v>Ampofo Joshua</v>
      </c>
      <c r="D169" s="5" t="s">
        <v>17</v>
      </c>
      <c r="E169" s="5">
        <v>72</v>
      </c>
      <c r="F169" s="98" t="s">
        <v>1688</v>
      </c>
      <c r="G169" s="7">
        <f t="shared" si="13"/>
        <v>79.2</v>
      </c>
      <c r="H169" s="88" t="s">
        <v>1694</v>
      </c>
      <c r="I169" s="1" t="str">
        <f t="shared" si="12"/>
        <v>ME 264,ED2-IND</v>
      </c>
      <c r="J169" s="36"/>
    </row>
    <row r="170" spans="1:10" ht="14.5" x14ac:dyDescent="0.35">
      <c r="A170" s="5" t="s">
        <v>323</v>
      </c>
      <c r="B170" s="5" t="str">
        <f>IFERROR(VLOOKUP($I170,'[5]Combined Data'!$D$1:$H$534,2,FALSE),0)</f>
        <v>Mechanism Synthesis and Analysis I</v>
      </c>
      <c r="C170" s="6" t="str">
        <v>Ampofo Joshua</v>
      </c>
      <c r="D170" s="5" t="s">
        <v>11</v>
      </c>
      <c r="E170" s="5">
        <v>48</v>
      </c>
      <c r="F170" s="100" t="s">
        <v>1511</v>
      </c>
      <c r="G170" s="7">
        <f t="shared" si="13"/>
        <v>52.800000000000004</v>
      </c>
      <c r="H170" s="88" t="s">
        <v>1672</v>
      </c>
      <c r="I170" s="1" t="str">
        <f t="shared" si="12"/>
        <v>ME 264,ED2-AUTO</v>
      </c>
      <c r="J170" s="36"/>
    </row>
    <row r="171" spans="1:10" ht="14.5" x14ac:dyDescent="0.35">
      <c r="D171" s="6" t="s">
        <v>322</v>
      </c>
      <c r="E171" s="11">
        <f>SUM(E160:E170)</f>
        <v>1548</v>
      </c>
      <c r="I171" s="1" t="str">
        <f t="shared" si="12"/>
        <v>,Total T1</v>
      </c>
      <c r="J171" s="36"/>
    </row>
    <row r="172" spans="1:10" ht="14.5" x14ac:dyDescent="0.35">
      <c r="D172" s="19"/>
      <c r="E172" s="20"/>
      <c r="I172" s="1" t="str">
        <f t="shared" si="12"/>
        <v>,</v>
      </c>
      <c r="J172" s="36"/>
    </row>
    <row r="173" spans="1:10" ht="14.5" x14ac:dyDescent="0.35">
      <c r="I173" s="1" t="str">
        <f t="shared" si="12"/>
        <v>,</v>
      </c>
      <c r="J173" s="36"/>
    </row>
    <row r="174" spans="1:10" ht="14.5" x14ac:dyDescent="0.35">
      <c r="A174" s="119" t="s">
        <v>405</v>
      </c>
      <c r="B174" s="119"/>
      <c r="C174" s="119"/>
      <c r="D174" s="119"/>
      <c r="E174" s="119"/>
      <c r="F174" s="119"/>
      <c r="G174" s="119"/>
      <c r="I174" s="1" t="str">
        <f t="shared" si="12"/>
        <v>Tuesday, 8 July 2025,</v>
      </c>
      <c r="J174" s="36"/>
    </row>
    <row r="175" spans="1:10" ht="14.5" x14ac:dyDescent="0.35">
      <c r="A175" s="116" t="str">
        <f>[2]SESSIONS!$K$2</f>
        <v>Session, 2 (10:00 AM - 11:00 AM)</v>
      </c>
      <c r="B175" s="117"/>
      <c r="C175" s="117"/>
      <c r="D175" s="117"/>
      <c r="E175" s="117"/>
      <c r="F175" s="117"/>
      <c r="G175" s="118"/>
      <c r="I175" s="1" t="str">
        <f t="shared" si="12"/>
        <v>Session, 2 (10:00 AM - 11:00 AM),</v>
      </c>
      <c r="J175" s="36"/>
    </row>
    <row r="176" spans="1:10" ht="14.5" x14ac:dyDescent="0.35">
      <c r="A176" s="2" t="s">
        <v>6</v>
      </c>
      <c r="B176" s="2" t="s">
        <v>5</v>
      </c>
      <c r="C176" s="3" t="s">
        <v>4</v>
      </c>
      <c r="D176" s="2" t="s">
        <v>3</v>
      </c>
      <c r="E176" s="2" t="s">
        <v>2</v>
      </c>
      <c r="F176" s="3" t="s">
        <v>1</v>
      </c>
      <c r="G176" s="2" t="s">
        <v>0</v>
      </c>
      <c r="I176" s="1" t="str">
        <f t="shared" si="12"/>
        <v>CODE ,CLASS</v>
      </c>
      <c r="J176" s="36"/>
    </row>
    <row r="177" spans="1:10" ht="14.5" x14ac:dyDescent="0.35">
      <c r="A177" s="5" t="s">
        <v>321</v>
      </c>
      <c r="B177" s="5" t="str">
        <f>IFERROR(VLOOKUP($I177,'[5]Combined Data'!$D$1:$H$534,2,FALSE),0)</f>
        <v>Basic Electronics</v>
      </c>
      <c r="C177" s="6" t="str" cm="1">
        <f t="array" ref="C177:C187">VLOOKUP(I177:I187,'Combined Data'!A1:E597,3,FALSE)</f>
        <v>N. K. Prah II</v>
      </c>
      <c r="D177" s="5" t="s">
        <v>82</v>
      </c>
      <c r="E177" s="5" cm="1">
        <f t="array" ref="E177:E187">VLOOKUP(I177:I187,combined_data!A1:D549,4,FALSE)</f>
        <v>88</v>
      </c>
      <c r="F177" s="98" t="s">
        <v>1485</v>
      </c>
      <c r="G177" s="7">
        <f t="shared" ref="G177:G187" si="14">E177*1.1</f>
        <v>96.800000000000011</v>
      </c>
      <c r="H177" s="88" t="s">
        <v>1702</v>
      </c>
      <c r="I177" s="1" t="str">
        <f t="shared" si="12"/>
        <v>EE 152,ED1-IND</v>
      </c>
      <c r="J177" s="36"/>
    </row>
    <row r="178" spans="1:10" ht="14.5" x14ac:dyDescent="0.35">
      <c r="A178" s="5" t="s">
        <v>321</v>
      </c>
      <c r="B178" s="5" t="str">
        <f>IFERROR(VLOOKUP($I178,'[5]Combined Data'!$D$1:$H$534,2,FALSE),0)</f>
        <v>Basic Electronics</v>
      </c>
      <c r="C178" s="6" t="str">
        <v>N. K. Prah II</v>
      </c>
      <c r="D178" s="5" t="s">
        <v>58</v>
      </c>
      <c r="E178" s="5">
        <v>59</v>
      </c>
      <c r="F178" s="98" t="s">
        <v>1695</v>
      </c>
      <c r="G178" s="7">
        <f>E178*1.1</f>
        <v>64.900000000000006</v>
      </c>
      <c r="H178" s="88" t="s">
        <v>1703</v>
      </c>
      <c r="I178" s="1" t="str">
        <f>CONCATENATE(A178,",",D178)</f>
        <v>EE 152,ED1-PCE</v>
      </c>
      <c r="J178" s="36"/>
    </row>
    <row r="179" spans="1:10" ht="14.5" x14ac:dyDescent="0.35">
      <c r="A179" s="5" t="s">
        <v>321</v>
      </c>
      <c r="B179" s="5" t="str">
        <f>IFERROR(VLOOKUP($I179,'[5]Combined Data'!$D$1:$H$534,2,FALSE),0)</f>
        <v>Basic Electronics</v>
      </c>
      <c r="C179" s="6" t="str">
        <v>N. K. Prah II</v>
      </c>
      <c r="D179" s="5" t="s">
        <v>98</v>
      </c>
      <c r="E179" s="5">
        <v>97</v>
      </c>
      <c r="F179" s="98" t="s">
        <v>1696</v>
      </c>
      <c r="G179" s="7">
        <f>E179*1.1</f>
        <v>106.7</v>
      </c>
      <c r="H179" s="88" t="s">
        <v>1704</v>
      </c>
      <c r="I179" s="1" t="str">
        <f>CONCATENATE(A179,",",D179)</f>
        <v>EE 152,ED1-PETE</v>
      </c>
      <c r="J179" s="36"/>
    </row>
    <row r="180" spans="1:10" ht="14.5" x14ac:dyDescent="0.35">
      <c r="A180" s="5" t="s">
        <v>321</v>
      </c>
      <c r="B180" s="5" t="str">
        <f>IFERROR(VLOOKUP($I180,'[5]Combined Data'!$D$1:$H$534,2,FALSE),0)</f>
        <v>Basic Electronics</v>
      </c>
      <c r="C180" s="6" t="str">
        <v>N. K. Prah II</v>
      </c>
      <c r="D180" s="5" t="s">
        <v>157</v>
      </c>
      <c r="E180" s="5">
        <v>75</v>
      </c>
      <c r="F180" s="98" t="s">
        <v>1697</v>
      </c>
      <c r="G180" s="7">
        <f>E180*1.1</f>
        <v>82.5</v>
      </c>
      <c r="H180" s="88" t="s">
        <v>1705</v>
      </c>
      <c r="I180" s="1" t="str">
        <f>CONCATENATE(A180,",",D180)</f>
        <v>EE 152,ED1-AERO</v>
      </c>
      <c r="J180" s="36"/>
    </row>
    <row r="181" spans="1:10" ht="16.5" customHeight="1" x14ac:dyDescent="0.35">
      <c r="A181" s="5" t="s">
        <v>321</v>
      </c>
      <c r="B181" s="5" t="str">
        <f>IFERROR(VLOOKUP($I181,'[5]Combined Data'!$D$1:$H$534,2,FALSE),0)</f>
        <v>Basic Electronics</v>
      </c>
      <c r="C181" s="6" t="str">
        <v>Y. O. M. Sekyere</v>
      </c>
      <c r="D181" s="5" t="s">
        <v>25</v>
      </c>
      <c r="E181" s="5">
        <v>378</v>
      </c>
      <c r="F181" s="101" t="s">
        <v>1698</v>
      </c>
      <c r="G181" s="7">
        <f t="shared" si="14"/>
        <v>415.8</v>
      </c>
      <c r="H181" s="88" t="s">
        <v>1706</v>
      </c>
      <c r="I181" s="1" t="str">
        <f t="shared" si="12"/>
        <v>EE 152,ED1-EE</v>
      </c>
      <c r="J181" s="36"/>
    </row>
    <row r="182" spans="1:10" ht="14.5" x14ac:dyDescent="0.35">
      <c r="A182" s="5" t="s">
        <v>321</v>
      </c>
      <c r="B182" s="5" t="str">
        <f>IFERROR(VLOOKUP($I182,'[5]Combined Data'!$D$1:$H$534,2,FALSE),0)</f>
        <v>Basic Electronics</v>
      </c>
      <c r="C182" s="6" t="str">
        <v>Y. O. M Sekyere</v>
      </c>
      <c r="D182" s="5" t="s">
        <v>45</v>
      </c>
      <c r="E182" s="5">
        <v>156</v>
      </c>
      <c r="F182" s="98" t="s">
        <v>1651</v>
      </c>
      <c r="G182" s="7">
        <f t="shared" si="14"/>
        <v>171.60000000000002</v>
      </c>
      <c r="H182" s="88" t="s">
        <v>1707</v>
      </c>
      <c r="I182" s="1" t="str">
        <f t="shared" si="12"/>
        <v>EE 152,ED1-GEOL</v>
      </c>
      <c r="J182" s="36"/>
    </row>
    <row r="183" spans="1:10" ht="14.5" x14ac:dyDescent="0.35">
      <c r="A183" s="5" t="s">
        <v>321</v>
      </c>
      <c r="B183" s="5" t="str">
        <f>IFERROR(VLOOKUP($I183,'[5]Combined Data'!$D$1:$H$534,2,FALSE),0)</f>
        <v>Basic Electronics</v>
      </c>
      <c r="C183" s="6" t="str">
        <v>Y. O. M Sekyere</v>
      </c>
      <c r="D183" s="5" t="s">
        <v>23</v>
      </c>
      <c r="E183" s="5">
        <v>139</v>
      </c>
      <c r="F183" s="98" t="s">
        <v>1699</v>
      </c>
      <c r="G183" s="7">
        <f t="shared" si="14"/>
        <v>152.9</v>
      </c>
      <c r="H183" s="88" t="s">
        <v>1708</v>
      </c>
      <c r="I183" s="1" t="str">
        <f t="shared" si="12"/>
        <v>EE 152,ED1-GEOM</v>
      </c>
      <c r="J183" s="36"/>
    </row>
    <row r="184" spans="1:10" ht="14.5" x14ac:dyDescent="0.35">
      <c r="A184" s="5" t="s">
        <v>321</v>
      </c>
      <c r="B184" s="5" t="str">
        <f>IFERROR(VLOOKUP($I184,'[5]Combined Data'!$D$1:$H$534,2,FALSE),0)</f>
        <v>Basic Electronics</v>
      </c>
      <c r="C184" s="6" t="str">
        <v>Affum Emmanuel Ampoma</v>
      </c>
      <c r="D184" s="5" t="s">
        <v>168</v>
      </c>
      <c r="E184" s="5">
        <v>180</v>
      </c>
      <c r="F184" s="98" t="s">
        <v>1700</v>
      </c>
      <c r="G184" s="7">
        <f>E184*1.1</f>
        <v>198.00000000000003</v>
      </c>
      <c r="H184" s="88" t="s">
        <v>1709</v>
      </c>
      <c r="I184" s="1" t="str">
        <f>CONCATENATE(A184,",",D184)</f>
        <v>EE 152,ED1-TEL</v>
      </c>
      <c r="J184" s="36"/>
    </row>
    <row r="185" spans="1:10" ht="14.5" x14ac:dyDescent="0.35">
      <c r="A185" s="5" t="s">
        <v>321</v>
      </c>
      <c r="B185" s="5" t="str">
        <f>IFERROR(VLOOKUP($I185,'[5]Combined Data'!$D$1:$H$534,2,FALSE),0)</f>
        <v>Basic Electronics</v>
      </c>
      <c r="C185" s="6" t="str">
        <v>N. K. Prah II</v>
      </c>
      <c r="D185" s="5" t="s">
        <v>101</v>
      </c>
      <c r="E185" s="5">
        <v>157</v>
      </c>
      <c r="F185" s="98" t="s">
        <v>1541</v>
      </c>
      <c r="G185" s="7">
        <f t="shared" si="14"/>
        <v>172.70000000000002</v>
      </c>
      <c r="H185" s="88" t="s">
        <v>1583</v>
      </c>
      <c r="I185" s="1" t="str">
        <f t="shared" si="12"/>
        <v>EE 152,ED1-AE</v>
      </c>
      <c r="J185" s="36"/>
    </row>
    <row r="186" spans="1:10" ht="14.5" x14ac:dyDescent="0.35">
      <c r="A186" s="5" t="s">
        <v>32</v>
      </c>
      <c r="B186" s="5" t="str">
        <f>IFERROR(VLOOKUP($I186,'[5]Combined Data'!$D$1:$H$534,2,FALSE),0)</f>
        <v>Aquatic Strokes Development and Refinement</v>
      </c>
      <c r="C186" s="6" t="str">
        <v>Afrifa Daniel</v>
      </c>
      <c r="D186" s="5" t="s">
        <v>31</v>
      </c>
      <c r="E186" s="5">
        <v>41</v>
      </c>
      <c r="F186" s="98" t="s">
        <v>1701</v>
      </c>
      <c r="G186" s="7">
        <f>E186*1.1</f>
        <v>45.1</v>
      </c>
      <c r="H186" s="88" t="s">
        <v>1643</v>
      </c>
      <c r="I186" s="1" t="str">
        <f>CONCATENATE(A186,",",D186)</f>
        <v>SES 172,ED2-MARI</v>
      </c>
      <c r="J186" s="36"/>
    </row>
    <row r="187" spans="1:10" ht="14.5" x14ac:dyDescent="0.35">
      <c r="A187" s="5" t="s">
        <v>318</v>
      </c>
      <c r="B187" s="5" t="str">
        <f>IFERROR(VLOOKUP($I187,'[5]Combined Data'!$D$1:$H$534,2,FALSE),0)</f>
        <v>Simultaneous Heat/Mass Transfer</v>
      </c>
      <c r="C187" s="6" t="str">
        <v>Dogbe Eunice Sefakor Aku</v>
      </c>
      <c r="D187" s="5" t="s">
        <v>48</v>
      </c>
      <c r="E187" s="5">
        <v>114</v>
      </c>
      <c r="F187" s="98" t="s">
        <v>1495</v>
      </c>
      <c r="G187" s="7">
        <f t="shared" si="14"/>
        <v>125.4</v>
      </c>
      <c r="H187" s="88" t="s">
        <v>1710</v>
      </c>
      <c r="I187" s="1" t="str">
        <f t="shared" si="12"/>
        <v>CHE 354,ED3-CHE</v>
      </c>
      <c r="J187" s="36"/>
    </row>
    <row r="188" spans="1:10" ht="14.5" x14ac:dyDescent="0.35">
      <c r="D188" s="6" t="s">
        <v>317</v>
      </c>
      <c r="E188" s="11">
        <f>SUM(E176:E187)</f>
        <v>1484</v>
      </c>
      <c r="I188" s="1" t="str">
        <f t="shared" si="12"/>
        <v>,Total T2</v>
      </c>
      <c r="J188" s="36"/>
    </row>
    <row r="189" spans="1:10" ht="14.5" x14ac:dyDescent="0.35">
      <c r="I189" s="1" t="str">
        <f t="shared" si="12"/>
        <v>,</v>
      </c>
      <c r="J189" s="36"/>
    </row>
    <row r="190" spans="1:10" ht="14.5" x14ac:dyDescent="0.35">
      <c r="I190" s="1" t="str">
        <f t="shared" si="12"/>
        <v>,</v>
      </c>
      <c r="J190" s="36"/>
    </row>
    <row r="191" spans="1:10" ht="14.5" x14ac:dyDescent="0.35">
      <c r="A191" s="119" t="s">
        <v>405</v>
      </c>
      <c r="B191" s="119"/>
      <c r="C191" s="119"/>
      <c r="D191" s="119"/>
      <c r="E191" s="119"/>
      <c r="F191" s="119"/>
      <c r="G191" s="119"/>
      <c r="I191" s="1" t="str">
        <f t="shared" si="12"/>
        <v>Tuesday, 8 July 2025,</v>
      </c>
      <c r="J191" s="36"/>
    </row>
    <row r="192" spans="1:10" ht="14.5" x14ac:dyDescent="0.35">
      <c r="A192" s="116" t="str">
        <f>[2]SESSIONS!$K$3</f>
        <v>Session, 3 (11:45 AM - 12:45 PM)</v>
      </c>
      <c r="B192" s="117"/>
      <c r="C192" s="117"/>
      <c r="D192" s="117"/>
      <c r="E192" s="117"/>
      <c r="F192" s="117"/>
      <c r="G192" s="118"/>
      <c r="I192" s="1" t="str">
        <f t="shared" si="12"/>
        <v>Session, 3 (11:45 AM - 12:45 PM),</v>
      </c>
      <c r="J192" s="36"/>
    </row>
    <row r="193" spans="1:10" ht="14.5" x14ac:dyDescent="0.35">
      <c r="A193" s="2" t="s">
        <v>6</v>
      </c>
      <c r="B193" s="2" t="s">
        <v>5</v>
      </c>
      <c r="C193" s="3" t="s">
        <v>4</v>
      </c>
      <c r="D193" s="2" t="s">
        <v>3</v>
      </c>
      <c r="E193" s="2" t="s">
        <v>2</v>
      </c>
      <c r="F193" s="3" t="s">
        <v>1</v>
      </c>
      <c r="G193" s="2" t="s">
        <v>0</v>
      </c>
      <c r="I193" s="1" t="str">
        <f t="shared" si="12"/>
        <v>CODE ,CLASS</v>
      </c>
      <c r="J193" s="36"/>
    </row>
    <row r="194" spans="1:10" ht="14.5" x14ac:dyDescent="0.35">
      <c r="A194" s="5" t="s">
        <v>316</v>
      </c>
      <c r="B194" s="5" t="str">
        <f>IFERROR(VLOOKUP($I194,'[5]Combined Data'!$D$1:$H$534,2,FALSE),0)</f>
        <v>Electric Drives</v>
      </c>
      <c r="C194" s="6" t="str" cm="1">
        <f t="array" ref="C194:C206">VLOOKUP(I194:I206,'Combined Data'!A1:E597,3,FALSE)</f>
        <v>Effah Francis Boafo</v>
      </c>
      <c r="D194" s="5" t="s">
        <v>57</v>
      </c>
      <c r="E194" s="5" cm="1">
        <f t="array" ref="E194:E206">VLOOKUP(I194:I206,combined_data!A1:D549,4,FALSE)</f>
        <v>137</v>
      </c>
      <c r="F194" s="98" t="s">
        <v>1711</v>
      </c>
      <c r="G194" s="7">
        <f t="shared" ref="G194:G204" si="15">E194*1.1</f>
        <v>150.70000000000002</v>
      </c>
      <c r="H194" s="88" t="s">
        <v>1719</v>
      </c>
      <c r="I194" s="1" t="str">
        <f t="shared" si="12"/>
        <v>EE 462,ED4-EE</v>
      </c>
      <c r="J194" s="36"/>
    </row>
    <row r="195" spans="1:10" ht="14.5" x14ac:dyDescent="0.35">
      <c r="A195" s="5" t="s">
        <v>314</v>
      </c>
      <c r="B195" s="5" t="str">
        <f>IFERROR(VLOOKUP($I195,'[5]Combined Data'!$D$1:$H$534,2,FALSE),0)</f>
        <v>Chemical Pathology</v>
      </c>
      <c r="C195" s="6" t="str">
        <v>Sakyi Samuel Asamoah</v>
      </c>
      <c r="D195" s="5" t="s">
        <v>42</v>
      </c>
      <c r="E195" s="5">
        <v>94</v>
      </c>
      <c r="F195" s="100" t="s">
        <v>1712</v>
      </c>
      <c r="G195" s="7">
        <f t="shared" si="15"/>
        <v>103.4</v>
      </c>
      <c r="H195" s="88" t="s">
        <v>1720</v>
      </c>
      <c r="I195" s="1" t="str">
        <f t="shared" si="12"/>
        <v>BME 288,ED2-BME</v>
      </c>
      <c r="J195" s="36"/>
    </row>
    <row r="196" spans="1:10" ht="14.5" x14ac:dyDescent="0.35">
      <c r="A196" s="5" t="s">
        <v>313</v>
      </c>
      <c r="B196" s="5" t="str">
        <f>IFERROR(VLOOKUP($I196,'[5]Combined Data'!$D$1:$H$534,2,FALSE),0)</f>
        <v>Principles of Geochemistry</v>
      </c>
      <c r="C196" s="6" t="str">
        <v>Gawu Simon Kafui Yawo</v>
      </c>
      <c r="D196" s="5" t="s">
        <v>217</v>
      </c>
      <c r="E196" s="5">
        <v>105</v>
      </c>
      <c r="F196" s="98" t="s">
        <v>1713</v>
      </c>
      <c r="G196" s="7">
        <f t="shared" si="15"/>
        <v>115.50000000000001</v>
      </c>
      <c r="H196" s="88" t="s">
        <v>1721</v>
      </c>
      <c r="I196" s="1" t="str">
        <f t="shared" si="12"/>
        <v>GED 352,ED3-GEOL</v>
      </c>
      <c r="J196" s="36"/>
    </row>
    <row r="197" spans="1:10" ht="14.5" x14ac:dyDescent="0.35">
      <c r="A197" s="5" t="s">
        <v>312</v>
      </c>
      <c r="B197" s="5" t="str">
        <f>IFERROR(VLOOKUP($I197,'[5]Combined Data'!$D$1:$H$534,2,FALSE),0)</f>
        <v>Maintenance and Repairs of Agriculture Machinery</v>
      </c>
      <c r="C197" s="6" t="str">
        <v>Bobobee Emmanuel Yaovi Hunnuor</v>
      </c>
      <c r="D197" s="5" t="s">
        <v>109</v>
      </c>
      <c r="E197" s="5">
        <v>125</v>
      </c>
      <c r="F197" s="98" t="s">
        <v>1714</v>
      </c>
      <c r="G197" s="7">
        <f t="shared" si="15"/>
        <v>137.5</v>
      </c>
      <c r="H197" s="88" t="s">
        <v>1722</v>
      </c>
      <c r="I197" s="1" t="str">
        <f t="shared" si="12"/>
        <v>AE 460,ED4-AE</v>
      </c>
      <c r="J197" s="36"/>
    </row>
    <row r="198" spans="1:10" ht="14.5" x14ac:dyDescent="0.35">
      <c r="A198" s="5" t="s">
        <v>311</v>
      </c>
      <c r="B198" s="5" t="str">
        <f>IFERROR(VLOOKUP($I198,'[5]Combined Data'!$D$1:$H$534,2,FALSE),0)</f>
        <v>Environmental Eng. Technology</v>
      </c>
      <c r="C198" s="6" t="str">
        <v>Afotey Benjamin</v>
      </c>
      <c r="D198" s="5" t="s">
        <v>104</v>
      </c>
      <c r="E198" s="5">
        <v>50</v>
      </c>
      <c r="F198" s="98" t="s">
        <v>1511</v>
      </c>
      <c r="G198" s="7">
        <f t="shared" si="15"/>
        <v>55.000000000000007</v>
      </c>
      <c r="H198" s="88" t="s">
        <v>1723</v>
      </c>
      <c r="I198" s="1" t="str">
        <f t="shared" si="12"/>
        <v>CHE 468,ED4-CHE</v>
      </c>
      <c r="J198" s="36"/>
    </row>
    <row r="199" spans="1:10" ht="14.5" x14ac:dyDescent="0.35">
      <c r="A199" s="43" t="s">
        <v>211</v>
      </c>
      <c r="B199" s="5" t="str">
        <f>IFERROR(VLOOKUP($I199,'[5]Combined Data'!$D$1:$H$534,2,FALSE),0)</f>
        <v>Water Resources Engineering II</v>
      </c>
      <c r="C199" s="6" t="str">
        <v>Anornu Geophrey Kwame</v>
      </c>
      <c r="D199" s="5" t="s">
        <v>84</v>
      </c>
      <c r="E199" s="5">
        <v>255</v>
      </c>
      <c r="F199" s="97" t="s">
        <v>1686</v>
      </c>
      <c r="G199" s="7">
        <f>E199*1.1</f>
        <v>280.5</v>
      </c>
      <c r="H199" s="88" t="s">
        <v>1462</v>
      </c>
      <c r="I199" s="1" t="str">
        <f>CONCATENATE(A199,",",D199)</f>
        <v>CE 458,ED4-CE</v>
      </c>
      <c r="J199" s="36"/>
    </row>
    <row r="200" spans="1:10" ht="14.5" x14ac:dyDescent="0.35">
      <c r="A200" s="5" t="s">
        <v>309</v>
      </c>
      <c r="B200" s="5" t="str">
        <f>IFERROR(VLOOKUP($I200,'[5]Combined Data'!$D$1:$H$534,2,FALSE),0)</f>
        <v>Regional Geology</v>
      </c>
      <c r="C200" s="6" t="str">
        <v>Quaye Jonathan Atuquaye</v>
      </c>
      <c r="D200" s="5" t="s">
        <v>36</v>
      </c>
      <c r="E200" s="5">
        <v>82</v>
      </c>
      <c r="F200" s="98" t="s">
        <v>1697</v>
      </c>
      <c r="G200" s="7">
        <f>E200*1.1</f>
        <v>90.2</v>
      </c>
      <c r="H200" s="88" t="s">
        <v>1724</v>
      </c>
      <c r="I200" s="1" t="str">
        <f>CONCATENATE(A200,",",D200)</f>
        <v>PE 256,ED2-PETE</v>
      </c>
      <c r="J200" s="36"/>
    </row>
    <row r="201" spans="1:10" ht="14.5" x14ac:dyDescent="0.35">
      <c r="A201" s="5" t="s">
        <v>281</v>
      </c>
      <c r="B201" s="5" t="str">
        <f>IFERROR(VLOOKUP($I201,'[5]Combined Data'!$D$1:$H$534,2,FALSE),0)</f>
        <v>Automation and Production System</v>
      </c>
      <c r="C201" s="6" t="str">
        <v>Sackey Samuel Mensah</v>
      </c>
      <c r="D201" s="5" t="s">
        <v>130</v>
      </c>
      <c r="E201" s="5">
        <v>121</v>
      </c>
      <c r="F201" s="98" t="s">
        <v>1715</v>
      </c>
      <c r="G201" s="7">
        <f>E201*1.1</f>
        <v>133.10000000000002</v>
      </c>
      <c r="H201" s="88" t="s">
        <v>1725</v>
      </c>
      <c r="I201" s="1" t="str">
        <f>CONCATENATE(A201,",",D201)</f>
        <v>IE 452,ED4-IND</v>
      </c>
      <c r="J201" s="36"/>
    </row>
    <row r="202" spans="1:10" ht="14.5" x14ac:dyDescent="0.35">
      <c r="A202" s="5" t="s">
        <v>275</v>
      </c>
      <c r="B202" s="5" t="str">
        <f>IFERROR(VLOOKUP($I202,'[5]Combined Data'!$D$1:$H$534,2,FALSE),0)</f>
        <v>Separation Processes II</v>
      </c>
      <c r="C202" s="6" t="str">
        <v>Dogbe Eunice Sefakor Aku</v>
      </c>
      <c r="D202" s="5" t="s">
        <v>79</v>
      </c>
      <c r="E202" s="5">
        <v>62</v>
      </c>
      <c r="F202" s="98" t="s">
        <v>1716</v>
      </c>
      <c r="G202" s="7">
        <f>E202*1.1</f>
        <v>68.2</v>
      </c>
      <c r="H202" s="88" t="s">
        <v>1726</v>
      </c>
      <c r="I202" s="1" t="str">
        <f>CONCATENATE(A202,",",D202)</f>
        <v>PCE 352,ED3-PCE</v>
      </c>
      <c r="J202" s="36"/>
    </row>
    <row r="203" spans="1:10" ht="14.5" x14ac:dyDescent="0.35">
      <c r="A203" s="5" t="s">
        <v>300</v>
      </c>
      <c r="B203" s="5" t="str">
        <f>IFERROR(VLOOKUP($I203,'[5]Combined Data'!$D$1:$H$534,2,FALSE),0)</f>
        <v>Mechanics of Materials</v>
      </c>
      <c r="C203" s="6" t="str">
        <v>Mensah-Darkwa Kwadwo</v>
      </c>
      <c r="D203" s="5" t="s">
        <v>33</v>
      </c>
      <c r="E203" s="5">
        <v>65</v>
      </c>
      <c r="F203" s="98" t="s">
        <v>1420</v>
      </c>
      <c r="G203" s="7">
        <f>E203*1.1</f>
        <v>71.5</v>
      </c>
      <c r="H203" s="88">
        <v>65</v>
      </c>
      <c r="I203" s="1" t="str">
        <f>CONCATENATE(A203,",",D203)</f>
        <v>MSE 360,ED3-MSE</v>
      </c>
      <c r="J203" s="36"/>
    </row>
    <row r="204" spans="1:10" ht="14.5" x14ac:dyDescent="0.35">
      <c r="A204" s="5" t="s">
        <v>308</v>
      </c>
      <c r="B204" s="5" t="str">
        <f>IFERROR(VLOOKUP($I204,'[5]Combined Data'!$D$1:$H$534,2,FALSE),0)</f>
        <v>High Voltage Engineering</v>
      </c>
      <c r="C204" s="6" t="str">
        <v>Asigri Peter</v>
      </c>
      <c r="D204" s="5" t="s">
        <v>67</v>
      </c>
      <c r="E204" s="5">
        <v>126</v>
      </c>
      <c r="F204" s="98" t="s">
        <v>1714</v>
      </c>
      <c r="G204" s="7">
        <f t="shared" si="15"/>
        <v>138.60000000000002</v>
      </c>
      <c r="H204" s="88" t="s">
        <v>1727</v>
      </c>
      <c r="I204" s="1" t="str">
        <f t="shared" si="12"/>
        <v>EE 360,ED3-EE</v>
      </c>
      <c r="J204" s="36"/>
    </row>
    <row r="205" spans="1:10" ht="14.5" x14ac:dyDescent="0.35">
      <c r="A205" s="5" t="s">
        <v>305</v>
      </c>
      <c r="B205" s="5" t="str">
        <f>IFERROR(VLOOKUP($I205,'[5]Combined Data'!$D$1:$H$534,2,FALSE),0)</f>
        <v>Phase Transformations</v>
      </c>
      <c r="C205" s="6" t="str">
        <v>Gikunoo Emmanuel</v>
      </c>
      <c r="D205" s="5" t="s">
        <v>113</v>
      </c>
      <c r="E205" s="5">
        <v>89</v>
      </c>
      <c r="F205" s="98" t="s">
        <v>1717</v>
      </c>
      <c r="G205" s="7">
        <f>E205*1.1</f>
        <v>97.9</v>
      </c>
      <c r="H205" s="88" t="s">
        <v>1728</v>
      </c>
      <c r="I205" s="1" t="str">
        <f>CONCATENATE(A205,",",D205)</f>
        <v>MSE 260,ED2-MSE</v>
      </c>
      <c r="J205" s="36"/>
    </row>
    <row r="206" spans="1:10" ht="14.5" x14ac:dyDescent="0.35">
      <c r="A206" s="5" t="s">
        <v>305</v>
      </c>
      <c r="B206" s="5" t="str">
        <f>IFERROR(VLOOKUP($I206,'[5]Combined Data'!$D$1:$H$534,2,FALSE),0)</f>
        <v>Phase Transformations</v>
      </c>
      <c r="C206" s="6" t="str">
        <v>Gikunoo Emmanuel</v>
      </c>
      <c r="D206" s="5" t="s">
        <v>111</v>
      </c>
      <c r="E206" s="5">
        <v>86</v>
      </c>
      <c r="F206" s="98" t="s">
        <v>1718</v>
      </c>
      <c r="G206" s="7">
        <f>E206*1.1</f>
        <v>94.600000000000009</v>
      </c>
      <c r="H206" s="88" t="s">
        <v>1729</v>
      </c>
      <c r="I206" s="1" t="str">
        <f>CONCATENATE(A206,",",D206)</f>
        <v>MSE 260,ED2-METE</v>
      </c>
      <c r="J206" s="36"/>
    </row>
    <row r="207" spans="1:10" ht="14.5" x14ac:dyDescent="0.35">
      <c r="A207" s="19"/>
      <c r="B207" s="19"/>
      <c r="C207" s="48"/>
      <c r="D207" s="5"/>
      <c r="E207" s="5"/>
      <c r="F207" s="50"/>
      <c r="G207" s="51"/>
      <c r="J207" s="36"/>
    </row>
    <row r="208" spans="1:10" ht="14.5" x14ac:dyDescent="0.35">
      <c r="A208" s="19"/>
      <c r="B208" s="19"/>
      <c r="C208" s="48"/>
      <c r="D208" s="5"/>
      <c r="E208" s="5"/>
      <c r="F208" s="50"/>
      <c r="G208" s="51"/>
      <c r="J208" s="36"/>
    </row>
    <row r="209" spans="1:10" ht="14.5" x14ac:dyDescent="0.35">
      <c r="D209" s="6" t="s">
        <v>306</v>
      </c>
      <c r="E209" s="11">
        <f>SUM(E194:E206)</f>
        <v>1397</v>
      </c>
      <c r="I209" s="1" t="str">
        <f t="shared" si="12"/>
        <v>,Total T3</v>
      </c>
      <c r="J209" s="36"/>
    </row>
    <row r="210" spans="1:10" ht="14.5" x14ac:dyDescent="0.35">
      <c r="I210" s="1" t="str">
        <f t="shared" si="12"/>
        <v>,</v>
      </c>
      <c r="J210" s="36"/>
    </row>
    <row r="211" spans="1:10" ht="14.5" x14ac:dyDescent="0.35">
      <c r="I211" s="1" t="str">
        <f t="shared" si="12"/>
        <v>,</v>
      </c>
      <c r="J211" s="36"/>
    </row>
    <row r="212" spans="1:10" ht="14.5" x14ac:dyDescent="0.35">
      <c r="A212" s="119" t="s">
        <v>405</v>
      </c>
      <c r="B212" s="119"/>
      <c r="C212" s="119"/>
      <c r="D212" s="119"/>
      <c r="E212" s="119"/>
      <c r="F212" s="119"/>
      <c r="G212" s="119"/>
      <c r="I212" s="1" t="str">
        <f t="shared" si="12"/>
        <v>Tuesday, 8 July 2025,</v>
      </c>
      <c r="J212" s="36"/>
    </row>
    <row r="213" spans="1:10" ht="14.5" x14ac:dyDescent="0.35">
      <c r="A213" s="116" t="str">
        <f>[2]SESSIONS!$K$4</f>
        <v>Session, 4 (1:30 PM - 2:30 PM)</v>
      </c>
      <c r="B213" s="117"/>
      <c r="C213" s="117"/>
      <c r="D213" s="117"/>
      <c r="E213" s="117"/>
      <c r="F213" s="117"/>
      <c r="G213" s="118"/>
      <c r="I213" s="1" t="str">
        <f t="shared" si="12"/>
        <v>Session, 4 (1:30 PM - 2:30 PM),</v>
      </c>
      <c r="J213" s="36"/>
    </row>
    <row r="214" spans="1:10" ht="14.5" x14ac:dyDescent="0.35">
      <c r="A214" s="2" t="s">
        <v>6</v>
      </c>
      <c r="B214" s="2" t="s">
        <v>5</v>
      </c>
      <c r="C214" s="3" t="s">
        <v>4</v>
      </c>
      <c r="D214" s="2" t="s">
        <v>3</v>
      </c>
      <c r="E214" s="2" t="s">
        <v>2</v>
      </c>
      <c r="F214" s="3" t="s">
        <v>1</v>
      </c>
      <c r="G214" s="2" t="s">
        <v>0</v>
      </c>
      <c r="I214" s="1" t="str">
        <f t="shared" si="12"/>
        <v>CODE ,CLASS</v>
      </c>
      <c r="J214" s="36"/>
    </row>
    <row r="215" spans="1:10" ht="14.5" x14ac:dyDescent="0.35">
      <c r="A215" s="5" t="s">
        <v>434</v>
      </c>
      <c r="B215" s="5" t="s">
        <v>842</v>
      </c>
      <c r="C215" s="6" t="str" cm="1">
        <f t="array" ref="C215:C226">VLOOKUP(I215:I226,'Combined Data'!A1:E545,3,FALSE)</f>
        <v>Ellis Sani Mubarak</v>
      </c>
      <c r="D215" s="5" t="s">
        <v>10</v>
      </c>
      <c r="E215" s="5" cm="1">
        <f t="array" ref="E215:E226">VLOOKUP(I215:I226,combined_data!A1:D544,4,FALSE)</f>
        <v>142</v>
      </c>
      <c r="F215" s="98" t="s">
        <v>1471</v>
      </c>
      <c r="G215" s="7">
        <f t="shared" ref="G215:G226" si="16">E215*1.1</f>
        <v>156.20000000000002</v>
      </c>
      <c r="H215" s="88" t="s">
        <v>1876</v>
      </c>
      <c r="I215" s="1" t="str">
        <f>CONCATENATE(A215,",",D215)</f>
        <v>TE 354,ED3-TEL</v>
      </c>
      <c r="J215" s="36"/>
    </row>
    <row r="216" spans="1:10" ht="14.5" x14ac:dyDescent="0.35">
      <c r="A216" s="5" t="s">
        <v>290</v>
      </c>
      <c r="B216" s="5" t="str">
        <f>IFERROR(VLOOKUP($I216,'[5]Combined Data'!$D$1:$H$534,2,FALSE),0)</f>
        <v>Basic Mechanics</v>
      </c>
      <c r="C216" s="6" t="str">
        <v>Oppong David Kofi</v>
      </c>
      <c r="D216" s="5" t="s">
        <v>60</v>
      </c>
      <c r="E216" s="5">
        <v>155</v>
      </c>
      <c r="F216" s="98" t="s">
        <v>1471</v>
      </c>
      <c r="G216" s="7">
        <f t="shared" si="16"/>
        <v>170.5</v>
      </c>
      <c r="H216" s="88" t="s">
        <v>1875</v>
      </c>
      <c r="I216" s="1" t="str">
        <f t="shared" ref="I216:I279" si="17">CONCATENATE(A216,",",D216)</f>
        <v>ME 162,ED1-CHE</v>
      </c>
      <c r="J216" s="36"/>
    </row>
    <row r="217" spans="1:10" ht="14.5" x14ac:dyDescent="0.35">
      <c r="A217" s="5" t="s">
        <v>239</v>
      </c>
      <c r="B217" s="5" t="str">
        <f>IFERROR(VLOOKUP($I217,'[5]Combined Data'!$D$1:$H$534,2,FALSE),0)</f>
        <v>Statics of Solid Mechanics</v>
      </c>
      <c r="C217" s="6" t="str">
        <v>Oppong David Kofi</v>
      </c>
      <c r="D217" s="5" t="s">
        <v>15</v>
      </c>
      <c r="E217" s="5">
        <v>78</v>
      </c>
      <c r="F217" s="8" t="s">
        <v>1472</v>
      </c>
      <c r="G217" s="7">
        <f>E217*1.1</f>
        <v>85.800000000000011</v>
      </c>
      <c r="H217" s="88" t="s">
        <v>1874</v>
      </c>
      <c r="I217" s="1" t="str">
        <f>CONCATENATE(A217,",",D217)</f>
        <v>ME 164,ED1-AUTO</v>
      </c>
      <c r="J217" s="36"/>
    </row>
    <row r="218" spans="1:10" ht="14.5" x14ac:dyDescent="0.35">
      <c r="A218" s="5" t="s">
        <v>290</v>
      </c>
      <c r="B218" s="5" t="str">
        <f>IFERROR(VLOOKUP($I218,'[5]Combined Data'!$D$1:$H$534,2,FALSE),0)</f>
        <v>Basic Mechanics</v>
      </c>
      <c r="C218" s="6" t="str">
        <v>Oppong David Kofi</v>
      </c>
      <c r="D218" s="5" t="s">
        <v>101</v>
      </c>
      <c r="E218" s="5">
        <v>157</v>
      </c>
      <c r="F218" s="98" t="s">
        <v>1466</v>
      </c>
      <c r="G218" s="7">
        <f>E218*1.1</f>
        <v>172.70000000000002</v>
      </c>
      <c r="H218" s="88" t="s">
        <v>1583</v>
      </c>
      <c r="I218" s="1" t="str">
        <f>CONCATENATE(A218,",",D218)</f>
        <v>ME 162,ED1-AE</v>
      </c>
      <c r="J218" s="36"/>
    </row>
    <row r="219" spans="1:10" ht="14.5" x14ac:dyDescent="0.35">
      <c r="A219" s="5" t="s">
        <v>320</v>
      </c>
      <c r="B219" s="5" t="str">
        <f>IFERROR(VLOOKUP($I219,'[5]Combined Data'!$D$1:$H$534,2,FALSE),0)</f>
        <v>Fluid Mechanics</v>
      </c>
      <c r="C219" s="6" t="str">
        <v>Anornu Geophrey Kwame</v>
      </c>
      <c r="D219" s="5" t="s">
        <v>64</v>
      </c>
      <c r="E219" s="5">
        <v>227</v>
      </c>
      <c r="F219" s="97" t="s">
        <v>1730</v>
      </c>
      <c r="G219" s="7">
        <f t="shared" si="16"/>
        <v>249.70000000000002</v>
      </c>
      <c r="H219" s="88" t="s">
        <v>1507</v>
      </c>
      <c r="I219" s="1" t="str">
        <f t="shared" si="17"/>
        <v>CE 256,ED2-CE</v>
      </c>
      <c r="J219" s="36"/>
    </row>
    <row r="220" spans="1:10" ht="14.5" x14ac:dyDescent="0.35">
      <c r="A220" s="5" t="s">
        <v>320</v>
      </c>
      <c r="B220" s="5" t="str">
        <f>IFERROR(VLOOKUP($I220,'[5]Combined Data'!$D$1:$H$534,2,FALSE),0)</f>
        <v>Fluid Mechanics</v>
      </c>
      <c r="C220" s="6" t="str">
        <v>Anornu Geophrey Kwame</v>
      </c>
      <c r="D220" s="5" t="s">
        <v>62</v>
      </c>
      <c r="E220" s="5">
        <v>156</v>
      </c>
      <c r="F220" s="102" t="s">
        <v>1877</v>
      </c>
      <c r="G220" s="7">
        <f t="shared" si="16"/>
        <v>171.60000000000002</v>
      </c>
      <c r="H220" s="88" t="s">
        <v>1878</v>
      </c>
      <c r="I220" s="1" t="str">
        <f t="shared" si="17"/>
        <v>CE 256,ED2-GEOL</v>
      </c>
      <c r="J220" s="36"/>
    </row>
    <row r="221" spans="1:10" ht="14.5" x14ac:dyDescent="0.35">
      <c r="A221" s="5" t="s">
        <v>251</v>
      </c>
      <c r="B221" s="5" t="str">
        <f>IFERROR(VLOOKUP($I221,'[5]Combined Data'!$D$1:$H$534,2,FALSE),0)</f>
        <v>Marine Maintenance Engineering</v>
      </c>
      <c r="C221" s="6" t="str">
        <v>Oppong Tawiah Peter</v>
      </c>
      <c r="D221" s="5" t="s">
        <v>96</v>
      </c>
      <c r="E221" s="5">
        <v>68</v>
      </c>
      <c r="F221" s="98" t="s">
        <v>1549</v>
      </c>
      <c r="G221" s="7">
        <f>E221*1.1</f>
        <v>74.800000000000011</v>
      </c>
      <c r="H221" s="88" t="s">
        <v>1881</v>
      </c>
      <c r="I221" s="1" t="str">
        <f>CONCATENATE(A221,",",D221)</f>
        <v>MME 494,ED4-MARI</v>
      </c>
      <c r="J221" s="36"/>
    </row>
    <row r="222" spans="1:10" ht="14.5" x14ac:dyDescent="0.35">
      <c r="A222" s="5" t="s">
        <v>289</v>
      </c>
      <c r="B222" s="5" t="str">
        <f>IFERROR(VLOOKUP($I222,'[5]Combined Data'!$D$1:$H$534,2,FALSE),0)</f>
        <v>Hydrometallurgical Applications</v>
      </c>
      <c r="C222" s="6" t="str">
        <v>Agbe Henry</v>
      </c>
      <c r="D222" s="5" t="s">
        <v>120</v>
      </c>
      <c r="E222" s="5">
        <v>55</v>
      </c>
      <c r="F222" s="98" t="s">
        <v>1511</v>
      </c>
      <c r="G222" s="7">
        <f>E222*1.1</f>
        <v>60.500000000000007</v>
      </c>
      <c r="H222" s="88" t="s">
        <v>1503</v>
      </c>
      <c r="I222" s="1" t="str">
        <f>CONCATENATE(A222,",",D222)</f>
        <v>METE 352,ED3-METE</v>
      </c>
      <c r="J222" s="36"/>
    </row>
    <row r="223" spans="1:10" ht="14.5" x14ac:dyDescent="0.35">
      <c r="A223" s="5" t="s">
        <v>301</v>
      </c>
      <c r="B223" s="5" t="str">
        <f>IFERROR(VLOOKUP($I223,'[5]Combined Data'!$D$1:$H$534,2,FALSE),0)</f>
        <v>Reservoir Recovery Techniques</v>
      </c>
      <c r="C223" s="6" t="str">
        <v>Adenutsi Caspar Daniel</v>
      </c>
      <c r="D223" s="5" t="s">
        <v>53</v>
      </c>
      <c r="E223" s="5">
        <v>158</v>
      </c>
      <c r="F223" s="98" t="s">
        <v>1466</v>
      </c>
      <c r="G223" s="7">
        <f t="shared" si="16"/>
        <v>173.8</v>
      </c>
      <c r="H223" s="88" t="s">
        <v>1467</v>
      </c>
      <c r="I223" s="1" t="str">
        <f t="shared" si="17"/>
        <v>PE 450,ED4-PETE</v>
      </c>
      <c r="J223" s="36"/>
    </row>
    <row r="224" spans="1:10" ht="14.5" x14ac:dyDescent="0.35">
      <c r="A224" s="5" t="s">
        <v>274</v>
      </c>
      <c r="B224" s="5" t="str">
        <f>IFERROR(VLOOKUP($I224,'[5]Combined Data'!$D$1:$H$534,2,FALSE),0)</f>
        <v>Biochemistry</v>
      </c>
      <c r="C224" s="6" t="str">
        <v>Charles Apprey</v>
      </c>
      <c r="D224" s="5" t="s">
        <v>22</v>
      </c>
      <c r="E224" s="5">
        <v>86</v>
      </c>
      <c r="F224" s="98" t="s">
        <v>1880</v>
      </c>
      <c r="G224" s="7">
        <f>E224*1.1</f>
        <v>94.600000000000009</v>
      </c>
      <c r="H224" s="88" t="s">
        <v>1879</v>
      </c>
      <c r="I224" s="1" t="str">
        <f>CONCATENATE(A224,",",D224)</f>
        <v>SSN 166,ED1-BME</v>
      </c>
      <c r="J224" s="36"/>
    </row>
    <row r="225" spans="1:10" ht="14.5" x14ac:dyDescent="0.35">
      <c r="A225" s="5" t="s">
        <v>299</v>
      </c>
      <c r="B225" s="5" t="str">
        <f>IFERROR(VLOOKUP($I225,'[5]Combined Data'!$D$1:$H$534,2,FALSE),0)</f>
        <v>Engineering Graphics</v>
      </c>
      <c r="C225" s="6" t="str">
        <v>Sackey Michael Nii</v>
      </c>
      <c r="D225" s="5" t="s">
        <v>157</v>
      </c>
      <c r="E225" s="5">
        <v>75</v>
      </c>
      <c r="F225" s="8" t="s">
        <v>1472</v>
      </c>
      <c r="G225" s="7">
        <f t="shared" si="16"/>
        <v>82.5</v>
      </c>
      <c r="H225" s="88" t="s">
        <v>1882</v>
      </c>
      <c r="I225" s="1" t="str">
        <f t="shared" si="17"/>
        <v>ME 158,ED1-AERO</v>
      </c>
      <c r="J225" s="36"/>
    </row>
    <row r="226" spans="1:10" ht="14.5" x14ac:dyDescent="0.35">
      <c r="A226" s="5" t="s">
        <v>297</v>
      </c>
      <c r="B226" s="5" t="str">
        <f>IFERROR(VLOOKUP($I226,'[5]Combined Data'!$D$1:$H$534,2,FALSE),0)</f>
        <v>Hydraulic Engineering</v>
      </c>
      <c r="C226" s="6" t="str">
        <v>Adjei Kwaku Amaning</v>
      </c>
      <c r="D226" s="5" t="s">
        <v>27</v>
      </c>
      <c r="E226" s="5">
        <v>254</v>
      </c>
      <c r="F226" s="97" t="s">
        <v>1686</v>
      </c>
      <c r="G226" s="7">
        <f t="shared" si="16"/>
        <v>279.40000000000003</v>
      </c>
      <c r="H226" s="88" t="s">
        <v>1731</v>
      </c>
      <c r="I226" s="1" t="str">
        <f t="shared" si="17"/>
        <v>CE 356,ED3-CE</v>
      </c>
      <c r="J226" s="36"/>
    </row>
    <row r="227" spans="1:10" ht="14.5" x14ac:dyDescent="0.35">
      <c r="D227" s="6" t="s">
        <v>296</v>
      </c>
      <c r="E227" s="37">
        <f>SUM(E215:E226)</f>
        <v>1611</v>
      </c>
      <c r="I227" s="1" t="str">
        <f t="shared" si="17"/>
        <v>,Total T4</v>
      </c>
      <c r="J227" s="36"/>
    </row>
    <row r="228" spans="1:10" ht="14.5" x14ac:dyDescent="0.35">
      <c r="D228" s="19"/>
      <c r="E228" s="20"/>
      <c r="I228" s="1" t="str">
        <f t="shared" si="17"/>
        <v>,</v>
      </c>
      <c r="J228" s="36"/>
    </row>
    <row r="229" spans="1:10" ht="14.5" x14ac:dyDescent="0.35">
      <c r="D229" s="19"/>
      <c r="E229" s="20"/>
      <c r="I229" s="1" t="str">
        <f t="shared" si="17"/>
        <v>,</v>
      </c>
      <c r="J229" s="36"/>
    </row>
    <row r="230" spans="1:10" ht="14.5" x14ac:dyDescent="0.35">
      <c r="A230" s="119" t="s">
        <v>405</v>
      </c>
      <c r="B230" s="119"/>
      <c r="C230" s="119"/>
      <c r="D230" s="119"/>
      <c r="E230" s="119"/>
      <c r="F230" s="119"/>
      <c r="G230" s="119"/>
      <c r="I230" s="1" t="str">
        <f t="shared" si="17"/>
        <v>Tuesday, 8 July 2025,</v>
      </c>
      <c r="J230" s="36"/>
    </row>
    <row r="231" spans="1:10" ht="14.5" x14ac:dyDescent="0.35">
      <c r="A231" s="116" t="str">
        <f>[2]SESSIONS!$K$5</f>
        <v>Session, 5 (3:15 PM - 4:15 PM)</v>
      </c>
      <c r="B231" s="117"/>
      <c r="C231" s="117"/>
      <c r="D231" s="117"/>
      <c r="E231" s="117"/>
      <c r="F231" s="117"/>
      <c r="G231" s="118"/>
      <c r="I231" s="1" t="str">
        <f t="shared" si="17"/>
        <v>Session, 5 (3:15 PM - 4:15 PM),</v>
      </c>
      <c r="J231" s="36"/>
    </row>
    <row r="232" spans="1:10" ht="14.5" x14ac:dyDescent="0.35">
      <c r="A232" s="2" t="s">
        <v>6</v>
      </c>
      <c r="B232" s="2" t="s">
        <v>5</v>
      </c>
      <c r="C232" s="3" t="s">
        <v>4</v>
      </c>
      <c r="D232" s="2" t="s">
        <v>3</v>
      </c>
      <c r="E232" s="2" t="s">
        <v>2</v>
      </c>
      <c r="F232" s="3" t="s">
        <v>1</v>
      </c>
      <c r="G232" s="2" t="s">
        <v>0</v>
      </c>
      <c r="I232" s="1" t="str">
        <f t="shared" si="17"/>
        <v>CODE ,CLASS</v>
      </c>
      <c r="J232" s="36"/>
    </row>
    <row r="233" spans="1:10" ht="14.5" x14ac:dyDescent="0.35">
      <c r="A233" s="5" t="s">
        <v>83</v>
      </c>
      <c r="B233" s="5" t="str">
        <f>IFERROR(VLOOKUP($I233,'[5]Combined Data'!$D$1:$H$534,2,FALSE),0)</f>
        <v>Electrical Measurements and Instrumentation</v>
      </c>
      <c r="C233" s="6" t="str" cm="1">
        <f t="array" ref="C233:C243">VLOOKUP(I233:I243,'Combined Data'!A1:E595,3,FALSE)</f>
        <v>Opoku Daniel</v>
      </c>
      <c r="D233" s="5" t="s">
        <v>46</v>
      </c>
      <c r="E233" s="5" cm="1">
        <f t="array" ref="E233:E243">VLOOKUP(I233:I243,combined_data!A1:D548,4,FALSE)</f>
        <v>256</v>
      </c>
      <c r="F233" s="44" t="s">
        <v>114</v>
      </c>
      <c r="G233" s="7">
        <f>E233*1.1</f>
        <v>281.60000000000002</v>
      </c>
      <c r="I233" s="1" t="str">
        <f>CONCATENATE(A233,",",D233)</f>
        <v>EE 288,ED2-EE</v>
      </c>
      <c r="J233" s="36"/>
    </row>
    <row r="234" spans="1:10" ht="14.5" x14ac:dyDescent="0.35">
      <c r="A234" s="5" t="s">
        <v>112</v>
      </c>
      <c r="B234" s="5" t="str">
        <f>IFERROR(VLOOKUP($I234,'[5]Combined Data'!$D$1:$H$534,2,FALSE),0)</f>
        <v>Calculus with Several Variables</v>
      </c>
      <c r="C234" s="6" t="str">
        <v>Boateng Maxwell Akwasi</v>
      </c>
      <c r="D234" s="5" t="s">
        <v>31</v>
      </c>
      <c r="E234" s="5">
        <v>41</v>
      </c>
      <c r="F234" s="98" t="s">
        <v>1428</v>
      </c>
      <c r="G234" s="7">
        <f t="shared" ref="G234:G243" si="18">E234*1.1</f>
        <v>45.1</v>
      </c>
      <c r="H234" s="88">
        <v>41</v>
      </c>
      <c r="I234" s="1" t="str">
        <f t="shared" si="17"/>
        <v>MATH 252,ED2-MARI</v>
      </c>
      <c r="J234" s="36"/>
    </row>
    <row r="235" spans="1:10" ht="14.5" x14ac:dyDescent="0.35">
      <c r="A235" s="5" t="s">
        <v>112</v>
      </c>
      <c r="B235" s="5" t="str">
        <f>IFERROR(VLOOKUP($I235,'[5]Combined Data'!$D$1:$H$534,2,FALSE),0)</f>
        <v>Calculus with Several Variables</v>
      </c>
      <c r="C235" s="6" t="str">
        <v>Boateng Maxwell Akwasi</v>
      </c>
      <c r="D235" s="5" t="s">
        <v>16</v>
      </c>
      <c r="E235" s="5">
        <v>237</v>
      </c>
      <c r="F235" s="98" t="s">
        <v>1600</v>
      </c>
      <c r="G235" s="7">
        <f t="shared" si="18"/>
        <v>260.70000000000005</v>
      </c>
      <c r="H235" s="88" t="s">
        <v>1692</v>
      </c>
      <c r="I235" s="1" t="str">
        <f t="shared" si="17"/>
        <v>MATH 252,ED2-ME</v>
      </c>
      <c r="J235" s="36"/>
    </row>
    <row r="236" spans="1:10" ht="14.5" x14ac:dyDescent="0.35">
      <c r="A236" s="5" t="s">
        <v>112</v>
      </c>
      <c r="B236" s="5" t="str">
        <f>IFERROR(VLOOKUP($I236,'[5]Combined Data'!$D$1:$H$534,2,FALSE),0)</f>
        <v>Calculus with Several Variables</v>
      </c>
      <c r="C236" s="6" t="str">
        <v>Isaac Addae</v>
      </c>
      <c r="D236" s="5" t="s">
        <v>71</v>
      </c>
      <c r="E236" s="5">
        <v>119</v>
      </c>
      <c r="F236" s="97" t="s">
        <v>1696</v>
      </c>
      <c r="G236" s="7">
        <f t="shared" si="18"/>
        <v>130.9</v>
      </c>
      <c r="H236" s="88" t="s">
        <v>1734</v>
      </c>
      <c r="I236" s="1" t="str">
        <f t="shared" si="17"/>
        <v>MATH 252,ED2-CHE</v>
      </c>
      <c r="J236" s="36"/>
    </row>
    <row r="237" spans="1:10" ht="14.5" x14ac:dyDescent="0.35">
      <c r="A237" s="5" t="s">
        <v>190</v>
      </c>
      <c r="B237" s="5" t="str">
        <f>IFERROR(VLOOKUP($I237,'[5]Combined Data'!$D$1:$H$534,2,FALSE),0)</f>
        <v>Calculus with Analysis</v>
      </c>
      <c r="C237" s="6" t="str">
        <v>E. Abekah</v>
      </c>
      <c r="D237" s="5" t="s">
        <v>168</v>
      </c>
      <c r="E237" s="5">
        <v>180</v>
      </c>
      <c r="F237" s="99" t="s">
        <v>1700</v>
      </c>
      <c r="G237" s="7">
        <f>E237*1.1</f>
        <v>198.00000000000003</v>
      </c>
      <c r="H237" s="88" t="s">
        <v>1709</v>
      </c>
      <c r="I237" s="1" t="str">
        <f>CONCATENATE(A237,",",D237)</f>
        <v>MATH 152,ED1-TEL</v>
      </c>
      <c r="J237" s="36"/>
    </row>
    <row r="238" spans="1:10" ht="14.5" x14ac:dyDescent="0.35">
      <c r="A238" s="5" t="s">
        <v>383</v>
      </c>
      <c r="B238" s="5" t="str">
        <f>IFERROR(VLOOKUP($I238,'[5]Combined Data'!$D$1:$H$534,2,FALSE),0)</f>
        <v>Electrometallurgy</v>
      </c>
      <c r="C238" s="6" t="str">
        <v>Agbe Henry</v>
      </c>
      <c r="D238" s="5" t="s">
        <v>105</v>
      </c>
      <c r="E238" s="5">
        <v>65</v>
      </c>
      <c r="F238" s="98" t="s">
        <v>1472</v>
      </c>
      <c r="G238" s="7">
        <f>E238*1.1</f>
        <v>71.5</v>
      </c>
      <c r="H238" s="88" t="s">
        <v>1735</v>
      </c>
      <c r="I238" s="1" t="str">
        <f>CONCATENATE(A238,",",D238)</f>
        <v>METE 452,ED4-METE</v>
      </c>
      <c r="J238" s="36"/>
    </row>
    <row r="239" spans="1:10" ht="14.5" x14ac:dyDescent="0.35">
      <c r="A239" s="5" t="s">
        <v>286</v>
      </c>
      <c r="B239" s="5" t="str">
        <f>IFERROR(VLOOKUP($I239,'[5]Combined Data'!$D$1:$H$534,2,FALSE),0)</f>
        <v>Telecommunication Policy</v>
      </c>
      <c r="C239" s="6" t="str">
        <v>K. S. O. Kwakye</v>
      </c>
      <c r="D239" s="5" t="s">
        <v>55</v>
      </c>
      <c r="E239" s="5">
        <v>141</v>
      </c>
      <c r="F239" s="98" t="s">
        <v>1732</v>
      </c>
      <c r="G239" s="7">
        <f>E239*1.1</f>
        <v>155.10000000000002</v>
      </c>
      <c r="H239" s="88" t="s">
        <v>1736</v>
      </c>
      <c r="I239" s="1" t="str">
        <f>CONCATENATE(A239,",",D239)</f>
        <v>TE 462,ED4-TEL</v>
      </c>
      <c r="J239" s="36"/>
    </row>
    <row r="240" spans="1:10" ht="14.5" x14ac:dyDescent="0.35">
      <c r="A240" s="5" t="s">
        <v>220</v>
      </c>
      <c r="B240" s="5" t="str">
        <f>IFERROR(VLOOKUP($I240,'[5]Combined Data'!$D$1:$H$534,2,FALSE),0)</f>
        <v>Operating Systems</v>
      </c>
      <c r="C240" s="6" t="str">
        <v>Kommey Benjamin</v>
      </c>
      <c r="D240" s="5" t="s">
        <v>73</v>
      </c>
      <c r="E240" s="5">
        <v>170</v>
      </c>
      <c r="F240" s="98" t="s">
        <v>1733</v>
      </c>
      <c r="G240" s="7">
        <f>E240*1.1</f>
        <v>187.00000000000003</v>
      </c>
      <c r="H240" s="88" t="s">
        <v>1737</v>
      </c>
      <c r="I240" s="1" t="str">
        <f>CONCATENATE(A240,",",D240)</f>
        <v>COE 354,ED3-COE</v>
      </c>
      <c r="J240" s="36"/>
    </row>
    <row r="241" spans="1:10" ht="14.5" x14ac:dyDescent="0.35">
      <c r="A241" s="5" t="s">
        <v>295</v>
      </c>
      <c r="B241" s="5" t="str">
        <f>IFERROR(VLOOKUP($I241,'[5]Combined Data'!$D$1:$H$534,2,FALSE),0)</f>
        <v>Elementary Fluids Mechanics</v>
      </c>
      <c r="C241" s="6" t="str">
        <v>Gyamfi Charles</v>
      </c>
      <c r="D241" s="5" t="s">
        <v>44</v>
      </c>
      <c r="E241" s="5">
        <v>260</v>
      </c>
      <c r="F241" s="97" t="s">
        <v>1683</v>
      </c>
      <c r="G241" s="7">
        <f t="shared" si="18"/>
        <v>286</v>
      </c>
      <c r="H241" s="88" t="s">
        <v>1689</v>
      </c>
      <c r="I241" s="1" t="str">
        <f t="shared" si="17"/>
        <v>CE 156,ED1-CE</v>
      </c>
      <c r="J241" s="36"/>
    </row>
    <row r="242" spans="1:10" ht="14.5" x14ac:dyDescent="0.35">
      <c r="A242" s="5" t="s">
        <v>295</v>
      </c>
      <c r="B242" s="5" t="str">
        <f>IFERROR(VLOOKUP($I242,'[5]Combined Data'!$D$1:$H$534,2,FALSE),0)</f>
        <v>Elementary Fluids Mechanics</v>
      </c>
      <c r="C242" s="6" t="str">
        <v>Gyamfi Charles</v>
      </c>
      <c r="D242" s="5" t="s">
        <v>45</v>
      </c>
      <c r="E242" s="5">
        <v>156</v>
      </c>
      <c r="F242" s="98" t="s">
        <v>1541</v>
      </c>
      <c r="G242" s="7">
        <f t="shared" si="18"/>
        <v>171.60000000000002</v>
      </c>
      <c r="H242" s="88" t="s">
        <v>1508</v>
      </c>
      <c r="I242" s="1" t="str">
        <f t="shared" si="17"/>
        <v>CE 156,ED1-GEOL</v>
      </c>
      <c r="J242" s="36"/>
    </row>
    <row r="243" spans="1:10" ht="14.5" x14ac:dyDescent="0.35">
      <c r="A243" s="5" t="s">
        <v>294</v>
      </c>
      <c r="B243" s="5" t="str">
        <f>IFERROR(VLOOKUP($I243,'[5]Combined Data'!$D$1:$H$534,2,FALSE),0)</f>
        <v>Rural Engineering</v>
      </c>
      <c r="C243" s="6" t="str">
        <v>Mensah Ebenezer</v>
      </c>
      <c r="D243" s="5" t="s">
        <v>88</v>
      </c>
      <c r="E243" s="5">
        <v>108</v>
      </c>
      <c r="F243" s="98" t="s">
        <v>1495</v>
      </c>
      <c r="G243" s="7">
        <f t="shared" si="18"/>
        <v>118.80000000000001</v>
      </c>
      <c r="H243" s="88" t="s">
        <v>1613</v>
      </c>
      <c r="I243" s="1" t="str">
        <f t="shared" si="17"/>
        <v>AE 360,ED3-AE</v>
      </c>
      <c r="J243" s="36"/>
    </row>
    <row r="244" spans="1:10" ht="14.5" x14ac:dyDescent="0.35">
      <c r="D244" s="6" t="s">
        <v>293</v>
      </c>
      <c r="E244" s="11">
        <f>SUM(E234:E243)</f>
        <v>1477</v>
      </c>
      <c r="I244" s="1" t="str">
        <f t="shared" si="17"/>
        <v>,Total T5</v>
      </c>
      <c r="J244" s="36"/>
    </row>
    <row r="245" spans="1:10" ht="14.5" x14ac:dyDescent="0.35">
      <c r="I245" s="1" t="str">
        <f t="shared" si="17"/>
        <v>,</v>
      </c>
      <c r="J245" s="36"/>
    </row>
    <row r="246" spans="1:10" ht="14.5" x14ac:dyDescent="0.35">
      <c r="I246" s="1" t="str">
        <f t="shared" si="17"/>
        <v>,</v>
      </c>
      <c r="J246" s="36"/>
    </row>
    <row r="247" spans="1:10" ht="14.5" x14ac:dyDescent="0.35">
      <c r="A247" s="119" t="s">
        <v>405</v>
      </c>
      <c r="B247" s="119"/>
      <c r="C247" s="119"/>
      <c r="D247" s="119"/>
      <c r="E247" s="119"/>
      <c r="F247" s="119"/>
      <c r="G247" s="119"/>
      <c r="I247" s="1" t="str">
        <f t="shared" si="17"/>
        <v>Tuesday, 8 July 2025,</v>
      </c>
      <c r="J247" s="36"/>
    </row>
    <row r="248" spans="1:10" ht="14.5" x14ac:dyDescent="0.35">
      <c r="A248" s="116" t="str">
        <f>[2]SESSIONS!$K$6</f>
        <v>Session, 6 (5:00 PM - 6:00 PM)</v>
      </c>
      <c r="B248" s="117"/>
      <c r="C248" s="117"/>
      <c r="D248" s="117"/>
      <c r="E248" s="117"/>
      <c r="F248" s="117"/>
      <c r="G248" s="118"/>
      <c r="I248" s="1" t="str">
        <f t="shared" si="17"/>
        <v>Session, 6 (5:00 PM - 6:00 PM),</v>
      </c>
      <c r="J248" s="36"/>
    </row>
    <row r="249" spans="1:10" ht="14.5" x14ac:dyDescent="0.35">
      <c r="A249" s="38" t="s">
        <v>6</v>
      </c>
      <c r="B249" s="38" t="s">
        <v>5</v>
      </c>
      <c r="C249" s="39" t="s">
        <v>4</v>
      </c>
      <c r="D249" s="38" t="s">
        <v>3</v>
      </c>
      <c r="E249" s="38" t="s">
        <v>2</v>
      </c>
      <c r="F249" s="40" t="s">
        <v>1</v>
      </c>
      <c r="G249" s="38" t="s">
        <v>0</v>
      </c>
      <c r="I249" s="1" t="str">
        <f t="shared" si="17"/>
        <v>CODE ,CLASS</v>
      </c>
      <c r="J249" s="36"/>
    </row>
    <row r="250" spans="1:10" ht="14.5" x14ac:dyDescent="0.35">
      <c r="A250" s="5" t="s">
        <v>292</v>
      </c>
      <c r="B250" s="5" t="str">
        <f>IFERROR(VLOOKUP($I250,'[5]Combined Data'!$D$1:$H$534,2,FALSE),0)</f>
        <v>Mechanism Synthesis and Analysis</v>
      </c>
      <c r="C250" s="6" t="str" cm="1">
        <f t="array" ref="C250:C263">VLOOKUP(I250:I263,'Combined Data'!A1:E595,3,FALSE)</f>
        <v>D. K. Oppong</v>
      </c>
      <c r="D250" s="5" t="s">
        <v>93</v>
      </c>
      <c r="E250" s="5" cm="1">
        <f t="array" ref="E250:E262">VLOOKUP(I250:I262,combined_data!A1:D549,4,FALSE)</f>
        <v>17</v>
      </c>
      <c r="F250" s="98" t="s">
        <v>1424</v>
      </c>
      <c r="G250" s="7">
        <f t="shared" ref="G250:G262" si="19">E250*1.1</f>
        <v>18.700000000000003</v>
      </c>
      <c r="H250" s="88">
        <v>17</v>
      </c>
      <c r="I250" s="1" t="str">
        <f t="shared" si="17"/>
        <v>ME 462,ED4-AERO</v>
      </c>
      <c r="J250" s="36"/>
    </row>
    <row r="251" spans="1:10" ht="14.5" x14ac:dyDescent="0.35">
      <c r="A251" s="5" t="s">
        <v>292</v>
      </c>
      <c r="B251" s="5" t="str">
        <f>IFERROR(VLOOKUP($I251,'[5]Combined Data'!$D$1:$H$534,2,FALSE),0)</f>
        <v>Mechanism Synthesis and Analysis</v>
      </c>
      <c r="C251" s="6" t="str">
        <v>D. K. Oppong</v>
      </c>
      <c r="D251" s="5" t="s">
        <v>91</v>
      </c>
      <c r="E251" s="5">
        <v>4</v>
      </c>
      <c r="F251" s="98">
        <v>206</v>
      </c>
      <c r="G251" s="7">
        <f t="shared" si="19"/>
        <v>4.4000000000000004</v>
      </c>
      <c r="H251" s="88">
        <v>4</v>
      </c>
      <c r="I251" s="1" t="str">
        <f t="shared" si="17"/>
        <v>ME 462,ED4-ME</v>
      </c>
      <c r="J251" s="36"/>
    </row>
    <row r="252" spans="1:10" ht="14.5" x14ac:dyDescent="0.35">
      <c r="A252" s="5" t="s">
        <v>291</v>
      </c>
      <c r="B252" s="5" t="str">
        <f>IFERROR(VLOOKUP($I252,'[5]Combined Data'!$D$1:$H$534,2,FALSE),0)</f>
        <v>Environmental Geology</v>
      </c>
      <c r="C252" s="6" t="str">
        <v>Foli Gordon</v>
      </c>
      <c r="D252" s="5" t="s">
        <v>8</v>
      </c>
      <c r="E252" s="5">
        <v>142</v>
      </c>
      <c r="F252" s="98" t="s">
        <v>1541</v>
      </c>
      <c r="G252" s="7">
        <f t="shared" si="19"/>
        <v>156.20000000000002</v>
      </c>
      <c r="H252" s="88" t="s">
        <v>1532</v>
      </c>
      <c r="I252" s="1" t="str">
        <f t="shared" si="17"/>
        <v>GED 454,ED4-GEOL</v>
      </c>
      <c r="J252" s="36"/>
    </row>
    <row r="253" spans="1:10" ht="14.5" x14ac:dyDescent="0.35">
      <c r="A253" s="5" t="s">
        <v>290</v>
      </c>
      <c r="B253" s="5" t="str">
        <f>IFERROR(VLOOKUP($I253,'[5]Combined Data'!$D$1:$H$534,2,FALSE),0)</f>
        <v>Basic Mechanics</v>
      </c>
      <c r="C253" s="6" t="str">
        <v>K. O. Amoabeng</v>
      </c>
      <c r="D253" s="5" t="s">
        <v>18</v>
      </c>
      <c r="E253" s="5">
        <v>61</v>
      </c>
      <c r="F253" s="98" t="s">
        <v>1738</v>
      </c>
      <c r="G253" s="7">
        <f t="shared" si="19"/>
        <v>67.100000000000009</v>
      </c>
      <c r="H253" s="88" t="s">
        <v>1742</v>
      </c>
      <c r="I253" s="1" t="str">
        <f t="shared" si="17"/>
        <v>ME 162,ED1-METE</v>
      </c>
      <c r="J253" s="36"/>
    </row>
    <row r="254" spans="1:10" ht="14.5" x14ac:dyDescent="0.35">
      <c r="A254" s="5" t="s">
        <v>290</v>
      </c>
      <c r="B254" s="5" t="str">
        <f>IFERROR(VLOOKUP($I254,'[5]Combined Data'!$D$1:$H$534,2,FALSE),0)</f>
        <v>Basic Mechanics</v>
      </c>
      <c r="C254" s="6" t="str">
        <v>Boahen Samuel</v>
      </c>
      <c r="D254" s="5" t="s">
        <v>58</v>
      </c>
      <c r="E254" s="5">
        <v>59</v>
      </c>
      <c r="F254" s="98" t="s">
        <v>1549</v>
      </c>
      <c r="G254" s="7">
        <f t="shared" si="19"/>
        <v>64.900000000000006</v>
      </c>
      <c r="H254" s="88" t="s">
        <v>1743</v>
      </c>
      <c r="I254" s="1" t="str">
        <f t="shared" si="17"/>
        <v>ME 162,ED1-PCE</v>
      </c>
      <c r="J254" s="36"/>
    </row>
    <row r="255" spans="1:10" ht="14.5" x14ac:dyDescent="0.35">
      <c r="A255" s="5" t="s">
        <v>239</v>
      </c>
      <c r="B255" s="5" t="str">
        <f>IFERROR(VLOOKUP($I255,'[5]Combined Data'!$D$1:$H$534,2,FALSE),0)</f>
        <v>Statics of Solid Mechanics</v>
      </c>
      <c r="C255" s="6" t="str">
        <v>Amoabeng Kofi Owura</v>
      </c>
      <c r="D255" s="5" t="s">
        <v>82</v>
      </c>
      <c r="E255" s="5">
        <v>88</v>
      </c>
      <c r="F255" s="98" t="s">
        <v>1538</v>
      </c>
      <c r="G255" s="7">
        <f>E255*1.1</f>
        <v>96.800000000000011</v>
      </c>
      <c r="H255" s="88" t="s">
        <v>1498</v>
      </c>
      <c r="I255" s="1" t="str">
        <f>CONCATENATE(A255,",",D255)</f>
        <v>ME 164,ED1-IND</v>
      </c>
      <c r="J255" s="36"/>
    </row>
    <row r="256" spans="1:10" ht="14.5" x14ac:dyDescent="0.35">
      <c r="A256" s="5" t="s">
        <v>239</v>
      </c>
      <c r="B256" s="5" t="str">
        <f>IFERROR(VLOOKUP($I256,'[5]Combined Data'!$D$1:$H$534,2,FALSE),0)</f>
        <v>Statics of Solid Mechanics</v>
      </c>
      <c r="C256" s="6" t="str">
        <v>Amoabeng Kofi Owura</v>
      </c>
      <c r="D256" s="5" t="s">
        <v>43</v>
      </c>
      <c r="E256" s="5">
        <v>37</v>
      </c>
      <c r="F256" s="98" t="s">
        <v>1701</v>
      </c>
      <c r="G256" s="7">
        <f>E256*1.1</f>
        <v>40.700000000000003</v>
      </c>
      <c r="H256" s="88" t="s">
        <v>1744</v>
      </c>
      <c r="I256" s="1" t="str">
        <f>CONCATENATE(A256,",",D256)</f>
        <v>ME 164,ED1-MARI</v>
      </c>
      <c r="J256" s="36"/>
    </row>
    <row r="257" spans="1:10" ht="14.5" x14ac:dyDescent="0.35">
      <c r="A257" s="5" t="s">
        <v>103</v>
      </c>
      <c r="B257" s="5" t="str">
        <f>IFERROR(VLOOKUP($I257,'[5]Combined Data'!$D$1:$H$534,2,FALSE),0)</f>
        <v>Process Control and Simulation</v>
      </c>
      <c r="C257" s="6" t="str">
        <v>Baah-Ennumh Emmanuel Kwaku</v>
      </c>
      <c r="D257" s="5" t="s">
        <v>104</v>
      </c>
      <c r="E257" s="5">
        <v>126</v>
      </c>
      <c r="F257" s="103" t="s">
        <v>1739</v>
      </c>
      <c r="G257" s="7">
        <f>E257*1.1</f>
        <v>138.60000000000002</v>
      </c>
      <c r="H257" s="88" t="s">
        <v>1746</v>
      </c>
      <c r="I257" s="1" t="str">
        <f>CONCATENATE(A257,",",D257)</f>
        <v>CHE 456,ED4-CHE</v>
      </c>
      <c r="J257" s="36"/>
    </row>
    <row r="258" spans="1:10" ht="14.5" x14ac:dyDescent="0.35">
      <c r="A258" s="5" t="s">
        <v>103</v>
      </c>
      <c r="B258" s="5" t="str">
        <f>IFERROR(VLOOKUP($I258,'[5]Combined Data'!$D$1:$H$534,2,FALSE),0)</f>
        <v>Process Control and Simulation</v>
      </c>
      <c r="C258" s="6" t="str">
        <v>Baidoo Martina Francisca</v>
      </c>
      <c r="D258" s="5" t="s">
        <v>35</v>
      </c>
      <c r="E258" s="5">
        <v>104</v>
      </c>
      <c r="F258" s="104" t="s">
        <v>1827</v>
      </c>
      <c r="G258" s="7">
        <f>E258*1.1</f>
        <v>114.4</v>
      </c>
      <c r="H258" s="88" t="s">
        <v>1826</v>
      </c>
      <c r="I258" s="1" t="str">
        <f>CONCATENATE(A258,",",D258)</f>
        <v>CHE 456,ED4-PCE</v>
      </c>
      <c r="J258" s="36"/>
    </row>
    <row r="259" spans="1:10" ht="14.5" x14ac:dyDescent="0.35">
      <c r="A259" s="5" t="s">
        <v>287</v>
      </c>
      <c r="B259" s="5" t="str">
        <f>IFERROR(VLOOKUP($I259,'[5]Combined Data'!$D$1:$H$534,2,FALSE),0)</f>
        <v>Chemical Reaction Engineering</v>
      </c>
      <c r="C259" s="6" t="str">
        <v>Bonsu Jude Kwaku</v>
      </c>
      <c r="D259" s="16" t="s">
        <v>48</v>
      </c>
      <c r="E259" s="5">
        <v>114</v>
      </c>
      <c r="F259" s="104" t="s">
        <v>1740</v>
      </c>
      <c r="G259" s="7">
        <f t="shared" si="19"/>
        <v>125.4</v>
      </c>
      <c r="H259" s="88" t="s">
        <v>1748</v>
      </c>
      <c r="I259" s="1" t="str">
        <f t="shared" si="17"/>
        <v>CHE 352,ED3-CHE</v>
      </c>
      <c r="J259" s="36"/>
    </row>
    <row r="260" spans="1:10" ht="14.5" x14ac:dyDescent="0.35">
      <c r="A260" s="5" t="s">
        <v>28</v>
      </c>
      <c r="B260" s="52" t="str">
        <f>IFERROR(VLOOKUP($I260,'[5]Combined Data'!$D$1:$H$534,2,FALSE),0)</f>
        <v>Civil Engineering Quantities</v>
      </c>
      <c r="C260" s="10" t="str">
        <v>Osei Jack Banahene</v>
      </c>
      <c r="D260" s="18" t="s">
        <v>27</v>
      </c>
      <c r="E260" s="18">
        <v>254</v>
      </c>
      <c r="F260" s="97" t="s">
        <v>1683</v>
      </c>
      <c r="G260" s="7">
        <f>E260*1.1</f>
        <v>279.40000000000003</v>
      </c>
      <c r="H260" s="88" t="s">
        <v>1731</v>
      </c>
      <c r="I260" s="1" t="str">
        <f t="shared" ref="I260" si="20">CONCATENATE(A260,",",D260)</f>
        <v>CE 376,ED3-CE</v>
      </c>
      <c r="J260" s="36"/>
    </row>
    <row r="261" spans="1:10" ht="14.5" x14ac:dyDescent="0.35">
      <c r="A261" s="5" t="s">
        <v>285</v>
      </c>
      <c r="B261" s="5" t="str">
        <f>IFERROR(VLOOKUP($I261,'[5]Combined Data'!$D$1:$H$534,2,FALSE),0)</f>
        <v>Anatomy and Physiology for Engineers II</v>
      </c>
      <c r="C261" s="6" t="str">
        <v>Agyapong Dorothy Araba Yakoba</v>
      </c>
      <c r="D261" s="5" t="s">
        <v>42</v>
      </c>
      <c r="E261" s="5">
        <v>94</v>
      </c>
      <c r="F261" s="98" t="s">
        <v>1485</v>
      </c>
      <c r="G261" s="7">
        <f t="shared" si="19"/>
        <v>103.4</v>
      </c>
      <c r="H261" s="88" t="s">
        <v>1749</v>
      </c>
      <c r="I261" s="1" t="str">
        <f t="shared" si="17"/>
        <v>BME 286,ED2-BME</v>
      </c>
      <c r="J261" s="36"/>
    </row>
    <row r="262" spans="1:10" ht="14.5" x14ac:dyDescent="0.35">
      <c r="A262" s="5" t="s">
        <v>283</v>
      </c>
      <c r="B262" s="5" t="str">
        <f>IFERROR(VLOOKUP($I262,'[5]Combined Data'!$D$1:$H$534,2,FALSE),0)</f>
        <v>Industrial Automatic Control</v>
      </c>
      <c r="C262" s="6" t="str">
        <v>Opoku Daniel</v>
      </c>
      <c r="D262" s="5" t="s">
        <v>57</v>
      </c>
      <c r="E262" s="5">
        <v>200</v>
      </c>
      <c r="F262" s="97" t="s">
        <v>1586</v>
      </c>
      <c r="G262" s="7">
        <f t="shared" si="19"/>
        <v>220.00000000000003</v>
      </c>
      <c r="H262" s="88" t="s">
        <v>1590</v>
      </c>
      <c r="I262" s="1" t="str">
        <f t="shared" si="17"/>
        <v>COE 484,ED4-EE</v>
      </c>
      <c r="J262" s="36"/>
    </row>
    <row r="263" spans="1:10" ht="14.5" x14ac:dyDescent="0.35">
      <c r="A263" s="5" t="s">
        <v>799</v>
      </c>
      <c r="B263" s="5" t="str">
        <f>IFERROR(VLOOKUP($I263,'[5]Combined Data'!$D$1:$H$534,2,FALSE),0)</f>
        <v>Air Vehicle Stability and Control</v>
      </c>
      <c r="C263" s="6" t="str">
        <v>Eunice Akyereko Adjei</v>
      </c>
      <c r="D263" s="5" t="s">
        <v>117</v>
      </c>
      <c r="E263" s="5" cm="1">
        <f t="array" ref="E263">VLOOKUP(I263:I263,combined_data!A1:D549,4,FALSE)</f>
        <v>63</v>
      </c>
      <c r="F263" s="105" t="s">
        <v>1741</v>
      </c>
      <c r="G263" s="7">
        <f>E263*1.1</f>
        <v>69.300000000000011</v>
      </c>
      <c r="H263" s="88" t="s">
        <v>1750</v>
      </c>
      <c r="I263" s="1" t="str">
        <f>CONCATENATE(A263,",",D263)</f>
        <v>AERO 362,ED3-AERO</v>
      </c>
      <c r="J263" s="36"/>
    </row>
    <row r="264" spans="1:10" ht="14.5" x14ac:dyDescent="0.35">
      <c r="D264" s="6" t="s">
        <v>282</v>
      </c>
      <c r="E264" s="11">
        <f>SUM(E250:E262)</f>
        <v>1300</v>
      </c>
      <c r="I264" s="1" t="str">
        <f t="shared" si="17"/>
        <v>,Total T6</v>
      </c>
      <c r="J264" s="36"/>
    </row>
    <row r="265" spans="1:10" ht="14.5" x14ac:dyDescent="0.35">
      <c r="D265" s="19"/>
      <c r="E265" s="20"/>
      <c r="I265" s="1" t="str">
        <f t="shared" si="17"/>
        <v>,</v>
      </c>
      <c r="J265" s="36"/>
    </row>
    <row r="266" spans="1:10" ht="14.5" x14ac:dyDescent="0.35">
      <c r="D266" s="19"/>
      <c r="E266" s="20"/>
      <c r="I266" s="1" t="str">
        <f t="shared" si="17"/>
        <v>,</v>
      </c>
      <c r="J266" s="36"/>
    </row>
    <row r="267" spans="1:10" ht="14.5" x14ac:dyDescent="0.35">
      <c r="A267" s="119" t="s">
        <v>405</v>
      </c>
      <c r="B267" s="119"/>
      <c r="C267" s="119"/>
      <c r="D267" s="119"/>
      <c r="E267" s="119"/>
      <c r="F267" s="119"/>
      <c r="G267" s="119"/>
      <c r="I267" s="1" t="str">
        <f t="shared" si="17"/>
        <v>Tuesday, 8 July 2025,</v>
      </c>
      <c r="J267" s="36"/>
    </row>
    <row r="268" spans="1:10" ht="14.5" x14ac:dyDescent="0.35">
      <c r="A268" s="116" t="str">
        <f>[2]SESSIONS!$K$7</f>
        <v>Session, 7 (6:45 PM - 7:45 PM)</v>
      </c>
      <c r="B268" s="117"/>
      <c r="C268" s="117"/>
      <c r="D268" s="117"/>
      <c r="E268" s="117"/>
      <c r="F268" s="117"/>
      <c r="G268" s="118"/>
      <c r="I268" s="1" t="str">
        <f t="shared" si="17"/>
        <v>Session, 7 (6:45 PM - 7:45 PM),</v>
      </c>
      <c r="J268" s="36"/>
    </row>
    <row r="269" spans="1:10" ht="14.5" x14ac:dyDescent="0.35">
      <c r="A269" s="2" t="s">
        <v>6</v>
      </c>
      <c r="B269" s="2" t="s">
        <v>5</v>
      </c>
      <c r="C269" s="3" t="s">
        <v>4</v>
      </c>
      <c r="D269" s="2" t="s">
        <v>3</v>
      </c>
      <c r="E269" s="2" t="s">
        <v>2</v>
      </c>
      <c r="F269" s="3" t="s">
        <v>1</v>
      </c>
      <c r="G269" s="2" t="s">
        <v>0</v>
      </c>
      <c r="I269" s="1" t="str">
        <f t="shared" si="17"/>
        <v>CODE ,CLASS</v>
      </c>
      <c r="J269" s="36"/>
    </row>
    <row r="270" spans="1:10" ht="14.5" x14ac:dyDescent="0.35">
      <c r="A270" s="5" t="s">
        <v>279</v>
      </c>
      <c r="B270" s="5" t="str">
        <f>IFERROR(VLOOKUP($I270,'[5]Combined Data'!$D$1:$H$534,2,FALSE),0)</f>
        <v>Analysis of Errors</v>
      </c>
      <c r="C270" s="6" t="str" cm="1">
        <f t="array" ref="C270:C277">VLOOKUP(I270:I277,'Combined Data'!A1:E597,3,FALSE)</f>
        <v>A. Acheampong</v>
      </c>
      <c r="D270" s="5" t="s">
        <v>47</v>
      </c>
      <c r="E270" s="5" cm="1">
        <f t="array" ref="E270:E277">VLOOKUP(I270:I277,combined_data!A1:D549,4,FALSE)</f>
        <v>96</v>
      </c>
      <c r="F270" s="98" t="s">
        <v>1751</v>
      </c>
      <c r="G270" s="7">
        <f t="shared" ref="G270:G277" si="21">E270*1.1</f>
        <v>105.60000000000001</v>
      </c>
      <c r="H270" s="88" t="s">
        <v>1752</v>
      </c>
      <c r="I270" s="1" t="str">
        <f t="shared" si="17"/>
        <v>GE 372,ED3-GEOM</v>
      </c>
      <c r="J270" s="36"/>
    </row>
    <row r="271" spans="1:10" ht="14.5" x14ac:dyDescent="0.35">
      <c r="A271" s="5" t="s">
        <v>703</v>
      </c>
      <c r="B271" s="5" t="str">
        <f>IFERROR(VLOOKUP($I271,'[5]Combined Data'!$D$1:$H$534,2,FALSE),0)</f>
        <v>Secure Network Systems</v>
      </c>
      <c r="C271" s="6" t="str">
        <v>Tchao Eric Tutu</v>
      </c>
      <c r="D271" s="5" t="s">
        <v>196</v>
      </c>
      <c r="E271" s="5">
        <v>78</v>
      </c>
      <c r="F271" s="98" t="s">
        <v>1697</v>
      </c>
      <c r="G271" s="7">
        <f t="shared" si="21"/>
        <v>85.800000000000011</v>
      </c>
      <c r="H271" s="88" t="s">
        <v>1885</v>
      </c>
      <c r="I271" s="1" t="str">
        <f t="shared" si="17"/>
        <v>COE 456,ED4-COE</v>
      </c>
      <c r="J271" s="36"/>
    </row>
    <row r="272" spans="1:10" ht="14.5" x14ac:dyDescent="0.35">
      <c r="A272" s="5" t="s">
        <v>277</v>
      </c>
      <c r="B272" s="5" t="str">
        <f>IFERROR(VLOOKUP($I272,'[5]Combined Data'!$D$1:$H$534,2,FALSE),0)</f>
        <v>Logistics and Supply Chain Engineering</v>
      </c>
      <c r="C272" s="6" t="str">
        <v>Kesse Martin Appiah</v>
      </c>
      <c r="D272" s="5" t="s">
        <v>137</v>
      </c>
      <c r="E272" s="5">
        <v>69</v>
      </c>
      <c r="F272" s="98" t="s">
        <v>1472</v>
      </c>
      <c r="G272" s="7">
        <f t="shared" si="21"/>
        <v>75.900000000000006</v>
      </c>
      <c r="H272" s="88" t="s">
        <v>1887</v>
      </c>
      <c r="I272" s="1" t="str">
        <f t="shared" si="17"/>
        <v>IE 354,ED3-IND</v>
      </c>
      <c r="J272" s="36"/>
    </row>
    <row r="273" spans="1:10" ht="14.5" x14ac:dyDescent="0.35">
      <c r="A273" s="5" t="s">
        <v>276</v>
      </c>
      <c r="B273" s="5" t="str">
        <f>IFERROR(VLOOKUP($I273,'[5]Combined Data'!$D$1:$H$534,2,FALSE),0)</f>
        <v>Structural Geology</v>
      </c>
      <c r="C273" s="6" t="str">
        <v>Wilson Matthew Coffie</v>
      </c>
      <c r="D273" s="5" t="s">
        <v>217</v>
      </c>
      <c r="E273" s="5">
        <v>105</v>
      </c>
      <c r="F273" s="98" t="s">
        <v>1886</v>
      </c>
      <c r="G273" s="7">
        <f t="shared" si="21"/>
        <v>115.50000000000001</v>
      </c>
      <c r="H273" s="88" t="s">
        <v>1753</v>
      </c>
      <c r="I273" s="1" t="str">
        <f t="shared" si="17"/>
        <v>GED 364,ED3-GEOL</v>
      </c>
      <c r="J273" s="36"/>
    </row>
    <row r="274" spans="1:10" ht="14.5" x14ac:dyDescent="0.35">
      <c r="A274" s="5" t="s">
        <v>288</v>
      </c>
      <c r="B274" s="5" t="str">
        <f>IFERROR(VLOOKUP($I274,'[5]Combined Data'!$D$1:$H$534,2,FALSE),0)</f>
        <v>Environmental Quality Engineering II</v>
      </c>
      <c r="C274" s="6" t="str">
        <v>Appiah-Effah Eugene</v>
      </c>
      <c r="D274" s="5" t="s">
        <v>84</v>
      </c>
      <c r="E274" s="5">
        <v>255</v>
      </c>
      <c r="F274" s="97" t="s">
        <v>1683</v>
      </c>
      <c r="G274" s="7">
        <f>E274*1.1</f>
        <v>280.5</v>
      </c>
      <c r="H274" s="88" t="s">
        <v>1689</v>
      </c>
      <c r="I274" s="1" t="str">
        <f>CONCATENATE(A274,",",D274)</f>
        <v>CE 464,ED4-CE</v>
      </c>
      <c r="J274" s="36"/>
    </row>
    <row r="275" spans="1:10" ht="14.5" x14ac:dyDescent="0.35">
      <c r="A275" s="5" t="s">
        <v>693</v>
      </c>
      <c r="B275" t="s">
        <v>692</v>
      </c>
      <c r="C275" s="6" t="str">
        <v>Twumasi Elvis</v>
      </c>
      <c r="D275" s="5" t="s">
        <v>25</v>
      </c>
      <c r="E275" s="5">
        <v>378</v>
      </c>
      <c r="F275" s="114" t="s">
        <v>1883</v>
      </c>
      <c r="G275" s="7">
        <f>E275*1.1</f>
        <v>415.8</v>
      </c>
      <c r="H275" s="88" t="s">
        <v>1884</v>
      </c>
      <c r="I275" s="1" t="str">
        <f>CONCATENATE(A275,",",D275)</f>
        <v>EE 166,ED1-EE</v>
      </c>
      <c r="J275" s="36"/>
    </row>
    <row r="276" spans="1:10" ht="14.5" x14ac:dyDescent="0.35">
      <c r="A276" s="5" t="s">
        <v>325</v>
      </c>
      <c r="B276" s="5" t="str">
        <f>IFERROR(VLOOKUP($I276,'[5]Combined Data'!$D$1:$H$534,2,FALSE),0)</f>
        <v>Fundamentals of Petroleum Law</v>
      </c>
      <c r="C276" s="6" t="str">
        <v>Amoah Enoch Kwabena</v>
      </c>
      <c r="D276" s="5" t="s">
        <v>53</v>
      </c>
      <c r="E276" s="5">
        <v>158</v>
      </c>
      <c r="F276" s="98" t="s">
        <v>1541</v>
      </c>
      <c r="G276" s="7">
        <f>E276*1.1</f>
        <v>173.8</v>
      </c>
      <c r="H276" s="88" t="s">
        <v>1467</v>
      </c>
      <c r="I276" s="1" t="str">
        <f>CONCATENATE(A276,",",D276)</f>
        <v>PE 466,ED4-PETE</v>
      </c>
      <c r="J276" s="36"/>
    </row>
    <row r="277" spans="1:10" ht="14.5" x14ac:dyDescent="0.35">
      <c r="A277" s="5" t="s">
        <v>272</v>
      </c>
      <c r="B277" s="5" t="str">
        <f>IFERROR(VLOOKUP($I277,'[5]Combined Data'!$D$1:$H$534,2,FALSE),0)</f>
        <v>Digital Communication Systems</v>
      </c>
      <c r="C277" s="6" t="str">
        <v>Adrah Charles Mawutor</v>
      </c>
      <c r="D277" s="5" t="s">
        <v>67</v>
      </c>
      <c r="E277" s="5">
        <v>230</v>
      </c>
      <c r="F277" s="97" t="s">
        <v>1730</v>
      </c>
      <c r="G277" s="7">
        <f t="shared" si="21"/>
        <v>253.00000000000003</v>
      </c>
      <c r="H277" s="88" t="s">
        <v>1754</v>
      </c>
      <c r="I277" s="1" t="str">
        <f t="shared" si="17"/>
        <v>TE 386,ED3-EE</v>
      </c>
      <c r="J277" s="36"/>
    </row>
    <row r="278" spans="1:10" ht="14.5" x14ac:dyDescent="0.35">
      <c r="D278" s="6" t="s">
        <v>271</v>
      </c>
      <c r="E278" s="11">
        <f>SUM(E270:E277)</f>
        <v>1369</v>
      </c>
      <c r="I278" s="1" t="str">
        <f t="shared" si="17"/>
        <v>,Total T7</v>
      </c>
      <c r="J278" s="36"/>
    </row>
    <row r="279" spans="1:10" ht="14.5" x14ac:dyDescent="0.35">
      <c r="I279" s="1" t="str">
        <f t="shared" si="17"/>
        <v>,</v>
      </c>
      <c r="J279" s="36"/>
    </row>
    <row r="280" spans="1:10" ht="14.5" x14ac:dyDescent="0.35">
      <c r="I280" s="1" t="str">
        <f t="shared" ref="I280:I341" si="22">CONCATENATE(A280,",",D280)</f>
        <v>,</v>
      </c>
      <c r="J280" s="36"/>
    </row>
    <row r="281" spans="1:10" ht="14.5" x14ac:dyDescent="0.35">
      <c r="A281" s="119" t="s">
        <v>1854</v>
      </c>
      <c r="B281" s="119"/>
      <c r="C281" s="119"/>
      <c r="D281" s="119"/>
      <c r="E281" s="119"/>
      <c r="F281" s="119"/>
      <c r="G281" s="119"/>
      <c r="I281" s="1" t="str">
        <f t="shared" si="22"/>
        <v>Wednesday, 9 July 2025,</v>
      </c>
      <c r="J281" s="36"/>
    </row>
    <row r="282" spans="1:10" ht="14.5" x14ac:dyDescent="0.35">
      <c r="A282" s="116" t="str">
        <f>[2]SESSIONS!$K$1</f>
        <v>Session, 1 (8:15 AM - 9:15 AM)</v>
      </c>
      <c r="B282" s="117"/>
      <c r="C282" s="117"/>
      <c r="D282" s="117"/>
      <c r="E282" s="117"/>
      <c r="F282" s="117"/>
      <c r="G282" s="118"/>
      <c r="I282" s="1" t="str">
        <f t="shared" si="22"/>
        <v>Session, 1 (8:15 AM - 9:15 AM),</v>
      </c>
      <c r="J282" s="36"/>
    </row>
    <row r="283" spans="1:10" ht="14.5" x14ac:dyDescent="0.35">
      <c r="A283" s="2" t="s">
        <v>6</v>
      </c>
      <c r="B283" s="2" t="s">
        <v>5</v>
      </c>
      <c r="C283" s="4" t="s">
        <v>4</v>
      </c>
      <c r="D283" s="2" t="s">
        <v>3</v>
      </c>
      <c r="E283" s="2" t="s">
        <v>2</v>
      </c>
      <c r="F283" s="3" t="s">
        <v>1</v>
      </c>
      <c r="G283" s="2" t="s">
        <v>0</v>
      </c>
      <c r="I283" s="1" t="str">
        <f t="shared" si="22"/>
        <v>CODE ,CLASS</v>
      </c>
      <c r="J283" s="36"/>
    </row>
    <row r="284" spans="1:10" ht="14.5" x14ac:dyDescent="0.35">
      <c r="A284" s="5" t="s">
        <v>1395</v>
      </c>
      <c r="B284" s="5" t="s">
        <v>1376</v>
      </c>
      <c r="C284" s="6" t="str" cm="1">
        <f t="array" ref="C284:C293">VLOOKUP(I284:I293,'Combined Data'!A1:E547,3,FALSE)</f>
        <v>SKY Gawu</v>
      </c>
      <c r="D284" s="5" t="s">
        <v>18</v>
      </c>
      <c r="E284" s="5" cm="1">
        <f t="array" ref="E284:E293">VLOOKUP(I284:I293,combined_data!A1:D549,4,FALSE)</f>
        <v>61</v>
      </c>
      <c r="F284" s="5" t="s">
        <v>1422</v>
      </c>
      <c r="G284" s="7">
        <f>E284*1.1</f>
        <v>67.100000000000009</v>
      </c>
      <c r="H284" s="88">
        <v>61</v>
      </c>
      <c r="I284" s="1" t="str">
        <f>CONCATENATE(A284,",",D284)</f>
        <v>GED 162,ED1-METE</v>
      </c>
      <c r="J284" s="36"/>
    </row>
    <row r="285" spans="1:10" ht="14.5" x14ac:dyDescent="0.35">
      <c r="A285" s="5" t="s">
        <v>284</v>
      </c>
      <c r="B285" s="5" t="str">
        <f>IFERROR(VLOOKUP($I285,'[5]Combined Data'!$D$1:$H$534,2,FALSE),0)</f>
        <v>Circuit Theory</v>
      </c>
      <c r="C285" s="6" t="str">
        <v>Yeboah-Akowuah Bright</v>
      </c>
      <c r="D285" s="5" t="s">
        <v>40</v>
      </c>
      <c r="E285" s="5">
        <v>277</v>
      </c>
      <c r="F285" s="8" t="s">
        <v>1567</v>
      </c>
      <c r="G285" s="7">
        <f>E285*1.1</f>
        <v>304.70000000000005</v>
      </c>
      <c r="H285" s="88" t="s">
        <v>1574</v>
      </c>
      <c r="I285" s="1" t="str">
        <f>CONCATENATE(A285,",",D285)</f>
        <v>COE 288,ED2-COE</v>
      </c>
      <c r="J285" s="36"/>
    </row>
    <row r="286" spans="1:10" ht="14.5" x14ac:dyDescent="0.35">
      <c r="A286" s="5" t="s">
        <v>266</v>
      </c>
      <c r="B286" s="5" t="str">
        <f>IFERROR(VLOOKUP($I286,'[5]Combined Data'!$D$1:$H$534,2,FALSE),0)</f>
        <v>Digital Systems</v>
      </c>
      <c r="C286" s="6" t="str">
        <v>Opoku Daniel</v>
      </c>
      <c r="D286" s="5" t="s">
        <v>46</v>
      </c>
      <c r="E286" s="5">
        <v>256</v>
      </c>
      <c r="F286" s="8" t="s">
        <v>1598</v>
      </c>
      <c r="G286" s="7">
        <f t="shared" ref="G286:G293" si="23">E286*1.1</f>
        <v>281.60000000000002</v>
      </c>
      <c r="H286" s="88" t="s">
        <v>1603</v>
      </c>
      <c r="I286" s="1" t="str">
        <f t="shared" si="22"/>
        <v>EE 272,ED2-EE</v>
      </c>
      <c r="J286" s="36"/>
    </row>
    <row r="287" spans="1:10" ht="14.5" x14ac:dyDescent="0.35">
      <c r="A287" s="5" t="s">
        <v>345</v>
      </c>
      <c r="B287" s="5" t="str">
        <f>IFERROR(VLOOKUP($I287,'[5]Combined Data'!$D$1:$H$534,2,FALSE),0)</f>
        <v>Introduction to Programming I</v>
      </c>
      <c r="C287" s="6" t="str">
        <v>Acheampong Francisca Adoma</v>
      </c>
      <c r="D287" s="5" t="s">
        <v>168</v>
      </c>
      <c r="E287" s="5">
        <v>180</v>
      </c>
      <c r="F287" s="8" t="s">
        <v>1417</v>
      </c>
      <c r="G287" s="7">
        <f>E287*1.1</f>
        <v>198.00000000000003</v>
      </c>
      <c r="H287" s="88" t="s">
        <v>1618</v>
      </c>
      <c r="I287" s="1" t="str">
        <f>CONCATENATE(A287,",",D287)</f>
        <v>TE 158,ED1-TEL</v>
      </c>
      <c r="J287" s="36"/>
    </row>
    <row r="288" spans="1:10" ht="14.5" x14ac:dyDescent="0.35">
      <c r="A288" s="5" t="s">
        <v>265</v>
      </c>
      <c r="B288" s="5" t="str">
        <f>IFERROR(VLOOKUP($I288,'[5]Combined Data'!$D$1:$H$534,2,FALSE),0)</f>
        <v>Fundamentals Of Data Science</v>
      </c>
      <c r="C288" s="6" t="str">
        <v>Acheampong Francisca Adoma</v>
      </c>
      <c r="D288" s="5" t="s">
        <v>49</v>
      </c>
      <c r="E288" s="5">
        <v>147</v>
      </c>
      <c r="F288" s="14" t="s">
        <v>1585</v>
      </c>
      <c r="G288" s="7">
        <f t="shared" si="23"/>
        <v>161.70000000000002</v>
      </c>
      <c r="H288" s="88" t="s">
        <v>1619</v>
      </c>
      <c r="I288" s="1" t="str">
        <f t="shared" si="22"/>
        <v>TE 252,ED2-TEL</v>
      </c>
      <c r="J288" s="36"/>
    </row>
    <row r="289" spans="1:10" ht="14.5" x14ac:dyDescent="0.35">
      <c r="A289" s="5" t="s">
        <v>222</v>
      </c>
      <c r="B289" s="5" t="str">
        <f>IFERROR(VLOOKUP($I289,'[5]Combined Data'!$D$1:$H$534,2,FALSE),0)</f>
        <v>Petroleum Project Evaluation</v>
      </c>
      <c r="C289" s="6" t="str">
        <v>Sarkodie Kwame</v>
      </c>
      <c r="D289" s="5" t="s">
        <v>53</v>
      </c>
      <c r="E289" s="5">
        <v>158</v>
      </c>
      <c r="F289" s="8" t="s">
        <v>1585</v>
      </c>
      <c r="G289" s="7">
        <f>E289*1.1</f>
        <v>173.8</v>
      </c>
      <c r="H289" s="88" t="s">
        <v>1620</v>
      </c>
      <c r="I289" s="1" t="str">
        <f>CONCATENATE(A289,",",D289)</f>
        <v>PE 452,ED4-PETE</v>
      </c>
      <c r="J289" s="36"/>
    </row>
    <row r="290" spans="1:10" ht="14.5" x14ac:dyDescent="0.35">
      <c r="A290" s="5" t="s">
        <v>264</v>
      </c>
      <c r="B290" s="5" t="str">
        <f>IFERROR(VLOOKUP($I290,'[5]Combined Data'!$D$1:$H$534,2,FALSE),0)</f>
        <v>Petroleum Production Engineering II</v>
      </c>
      <c r="C290" s="6" t="str">
        <v>Sarkodie Kwame</v>
      </c>
      <c r="D290" s="5" t="s">
        <v>29</v>
      </c>
      <c r="E290" s="5">
        <v>103</v>
      </c>
      <c r="F290" s="14" t="s">
        <v>1469</v>
      </c>
      <c r="G290" s="7">
        <f t="shared" si="23"/>
        <v>113.30000000000001</v>
      </c>
      <c r="H290" s="88" t="s">
        <v>1621</v>
      </c>
      <c r="I290" s="1" t="str">
        <f t="shared" si="22"/>
        <v>PE 358,ED3-PETE</v>
      </c>
      <c r="J290" s="36"/>
    </row>
    <row r="291" spans="1:10" ht="14.5" x14ac:dyDescent="0.35">
      <c r="A291" s="5" t="s">
        <v>263</v>
      </c>
      <c r="B291" s="5" t="str">
        <f>IFERROR(VLOOKUP($I291,'[5]Combined Data'!$D$1:$H$534,2,FALSE),0)</f>
        <v>Food Processing Technology</v>
      </c>
      <c r="C291" s="6" t="str">
        <v>Anang Daniel Adjah</v>
      </c>
      <c r="D291" s="5" t="s">
        <v>48</v>
      </c>
      <c r="E291" s="5">
        <v>40</v>
      </c>
      <c r="F291" s="8" t="s">
        <v>1422</v>
      </c>
      <c r="G291" s="7">
        <f t="shared" si="23"/>
        <v>44</v>
      </c>
      <c r="H291" s="88">
        <v>40</v>
      </c>
      <c r="I291" s="1" t="str">
        <f t="shared" si="22"/>
        <v>CHE 368,ED3-CHE</v>
      </c>
      <c r="J291" s="36"/>
    </row>
    <row r="292" spans="1:10" ht="14.5" x14ac:dyDescent="0.35">
      <c r="A292" s="5" t="s">
        <v>261</v>
      </c>
      <c r="B292" s="5" t="str">
        <f>IFERROR(VLOOKUP($I292,'[5]Combined Data'!$D$1:$H$534,2,FALSE),0)</f>
        <v>Embedded Systems</v>
      </c>
      <c r="C292" s="6" t="str">
        <v>Kommey Benjamin</v>
      </c>
      <c r="D292" s="5" t="s">
        <v>73</v>
      </c>
      <c r="E292" s="5">
        <v>170</v>
      </c>
      <c r="F292" s="5" t="s">
        <v>1417</v>
      </c>
      <c r="G292" s="7">
        <f t="shared" si="23"/>
        <v>187.00000000000003</v>
      </c>
      <c r="H292" s="88" t="s">
        <v>1546</v>
      </c>
      <c r="I292" s="1" t="str">
        <f t="shared" si="22"/>
        <v>COE 358,ED3-COE</v>
      </c>
      <c r="J292" s="36"/>
    </row>
    <row r="293" spans="1:10" ht="14.5" x14ac:dyDescent="0.35">
      <c r="A293" s="5" t="s">
        <v>261</v>
      </c>
      <c r="B293" s="5" t="str">
        <f>IFERROR(VLOOKUP($I293,'[5]Combined Data'!$D$1:$H$534,2,FALSE),0)</f>
        <v>Embedded Systems</v>
      </c>
      <c r="C293" s="6" t="str">
        <v>Kommey Benjamin</v>
      </c>
      <c r="D293" s="5" t="s">
        <v>75</v>
      </c>
      <c r="E293" s="5">
        <v>85</v>
      </c>
      <c r="F293" s="8" t="s">
        <v>1469</v>
      </c>
      <c r="G293" s="7">
        <f t="shared" si="23"/>
        <v>93.500000000000014</v>
      </c>
      <c r="H293" s="88" t="s">
        <v>1622</v>
      </c>
      <c r="I293" s="1" t="str">
        <f t="shared" si="22"/>
        <v>COE 358,ED3-BME</v>
      </c>
      <c r="J293" s="36"/>
    </row>
    <row r="294" spans="1:10" ht="14.5" x14ac:dyDescent="0.35">
      <c r="D294" s="6" t="s">
        <v>260</v>
      </c>
      <c r="E294" s="11">
        <f>SUM(E283:E293)</f>
        <v>1477</v>
      </c>
      <c r="I294" s="1" t="str">
        <f t="shared" si="22"/>
        <v>,Total W1</v>
      </c>
      <c r="J294" s="36"/>
    </row>
    <row r="295" spans="1:10" ht="14.5" x14ac:dyDescent="0.35">
      <c r="I295" s="1" t="str">
        <f t="shared" si="22"/>
        <v>,</v>
      </c>
      <c r="J295" s="36"/>
    </row>
    <row r="296" spans="1:10" ht="14.5" x14ac:dyDescent="0.35">
      <c r="I296" s="1" t="str">
        <f t="shared" si="22"/>
        <v>,</v>
      </c>
      <c r="J296" s="36"/>
    </row>
    <row r="297" spans="1:10" ht="14.5" x14ac:dyDescent="0.35">
      <c r="A297" s="119" t="s">
        <v>1854</v>
      </c>
      <c r="B297" s="119"/>
      <c r="C297" s="119"/>
      <c r="D297" s="119"/>
      <c r="E297" s="119"/>
      <c r="F297" s="119"/>
      <c r="G297" s="119"/>
      <c r="I297" s="1" t="str">
        <f t="shared" si="22"/>
        <v>Wednesday, 9 July 2025,</v>
      </c>
      <c r="J297" s="36"/>
    </row>
    <row r="298" spans="1:10" ht="14.5" x14ac:dyDescent="0.35">
      <c r="A298" s="116" t="str">
        <f>[2]SESSIONS!$K$2</f>
        <v>Session, 2 (10:00 AM - 11:00 AM)</v>
      </c>
      <c r="B298" s="117"/>
      <c r="C298" s="117"/>
      <c r="D298" s="117"/>
      <c r="E298" s="117"/>
      <c r="F298" s="117"/>
      <c r="G298" s="118"/>
      <c r="I298" s="1" t="str">
        <f t="shared" si="22"/>
        <v>Session, 2 (10:00 AM - 11:00 AM),</v>
      </c>
      <c r="J298" s="36"/>
    </row>
    <row r="299" spans="1:10" ht="14.5" x14ac:dyDescent="0.35">
      <c r="A299" s="2" t="s">
        <v>6</v>
      </c>
      <c r="B299" s="2" t="s">
        <v>5</v>
      </c>
      <c r="C299" s="3" t="s">
        <v>4</v>
      </c>
      <c r="D299" s="2" t="s">
        <v>3</v>
      </c>
      <c r="E299" s="2" t="s">
        <v>2</v>
      </c>
      <c r="F299" s="3" t="s">
        <v>1</v>
      </c>
      <c r="G299" s="2" t="s">
        <v>0</v>
      </c>
      <c r="I299" s="1" t="str">
        <f t="shared" si="22"/>
        <v>CODE ,CLASS</v>
      </c>
      <c r="J299" s="36"/>
    </row>
    <row r="300" spans="1:10" ht="14.5" x14ac:dyDescent="0.35">
      <c r="A300" s="5" t="s">
        <v>259</v>
      </c>
      <c r="B300" s="5" t="str">
        <f>IFERROR(VLOOKUP($I300,'[5]Combined Data'!$D$1:$H$534,2,FALSE),0)</f>
        <v>Literature in English II</v>
      </c>
      <c r="C300" s="6" t="str" cm="1">
        <f t="array" ref="C300:C313">VLOOKUP(I300:I313,'Combined Data'!A1:E547,3,FALSE)</f>
        <v>Yeboah Philomena Ama Okyeso</v>
      </c>
      <c r="D300" s="5" t="s">
        <v>51</v>
      </c>
      <c r="E300" s="5" cm="1">
        <f t="array" ref="E300:E313">VLOOKUP(I300:I313,combined_data!A1:D549,4,FALSE)</f>
        <v>111</v>
      </c>
      <c r="F300" s="15" t="s">
        <v>1469</v>
      </c>
      <c r="G300" s="7">
        <f t="shared" ref="G300:G313" si="24">E300*1.1</f>
        <v>122.10000000000001</v>
      </c>
      <c r="H300" s="88" t="s">
        <v>1627</v>
      </c>
      <c r="I300" s="1" t="str">
        <f t="shared" si="22"/>
        <v>ENGL 264,ED2-AE</v>
      </c>
      <c r="J300" s="36"/>
    </row>
    <row r="301" spans="1:10" ht="14.5" x14ac:dyDescent="0.35">
      <c r="A301" s="5" t="s">
        <v>259</v>
      </c>
      <c r="B301" s="5" t="str">
        <f>IFERROR(VLOOKUP($I301,'[5]Combined Data'!$D$1:$H$534,2,FALSE),0)</f>
        <v>Literature in English II</v>
      </c>
      <c r="C301" s="6" t="str">
        <v>Yeboah Philomena Ama Okyeso</v>
      </c>
      <c r="D301" s="5" t="s">
        <v>13</v>
      </c>
      <c r="E301" s="5">
        <v>76</v>
      </c>
      <c r="F301" s="15" t="s">
        <v>1472</v>
      </c>
      <c r="G301" s="7">
        <f t="shared" si="24"/>
        <v>83.600000000000009</v>
      </c>
      <c r="H301" s="88" t="s">
        <v>1628</v>
      </c>
      <c r="I301" s="1" t="str">
        <f t="shared" si="22"/>
        <v>ENGL 264,ED2-AERO</v>
      </c>
      <c r="J301" s="36"/>
    </row>
    <row r="302" spans="1:10" ht="14.5" x14ac:dyDescent="0.35">
      <c r="A302" s="5" t="s">
        <v>259</v>
      </c>
      <c r="B302" s="5" t="str">
        <f>IFERROR(VLOOKUP($I302,'[5]Combined Data'!$D$1:$H$534,2,FALSE),0)</f>
        <v>Literature in English II</v>
      </c>
      <c r="C302" s="6" t="str">
        <v>Yeboah Philomena Ama Okyeso</v>
      </c>
      <c r="D302" s="5" t="s">
        <v>65</v>
      </c>
      <c r="E302" s="5">
        <v>122</v>
      </c>
      <c r="F302" s="15" t="s">
        <v>1469</v>
      </c>
      <c r="G302" s="7">
        <f t="shared" si="24"/>
        <v>134.20000000000002</v>
      </c>
      <c r="H302" s="88" t="s">
        <v>1629</v>
      </c>
      <c r="I302" s="1" t="str">
        <f t="shared" si="22"/>
        <v>ENGL 264,ED2-GEOM</v>
      </c>
      <c r="J302" s="36"/>
    </row>
    <row r="303" spans="1:10" ht="14.5" x14ac:dyDescent="0.35">
      <c r="A303" s="5" t="s">
        <v>259</v>
      </c>
      <c r="B303" s="5" t="str">
        <f>IFERROR(VLOOKUP($I303,'[5]Combined Data'!$D$1:$H$534,2,FALSE),0)</f>
        <v>Literature in English II</v>
      </c>
      <c r="C303" s="6" t="str">
        <v>Yeboah Philomena Ama Okyeso</v>
      </c>
      <c r="D303" s="5" t="s">
        <v>17</v>
      </c>
      <c r="E303" s="5">
        <v>72</v>
      </c>
      <c r="F303" s="15" t="s">
        <v>1822</v>
      </c>
      <c r="G303" s="7">
        <f t="shared" si="24"/>
        <v>79.2</v>
      </c>
      <c r="H303" s="88" t="s">
        <v>1855</v>
      </c>
      <c r="I303" s="1" t="str">
        <f t="shared" si="22"/>
        <v>ENGL 264,ED2-IND</v>
      </c>
      <c r="J303" s="36"/>
    </row>
    <row r="304" spans="1:10" ht="14.5" x14ac:dyDescent="0.35">
      <c r="A304" s="5" t="s">
        <v>262</v>
      </c>
      <c r="B304" s="5" t="str">
        <f>IFERROR(VLOOKUP($I304,'[5]Combined Data'!$D$1:$H$534,2,FALSE),0)</f>
        <v>Materials Processing</v>
      </c>
      <c r="C304" s="6" t="str">
        <v>Asare Eric Kwame Anokye</v>
      </c>
      <c r="D304" s="5" t="s">
        <v>113</v>
      </c>
      <c r="E304" s="5">
        <v>89</v>
      </c>
      <c r="F304" s="41" t="s">
        <v>1623</v>
      </c>
      <c r="G304" s="7">
        <f>E304*1.1</f>
        <v>97.9</v>
      </c>
      <c r="H304" s="88" t="s">
        <v>1631</v>
      </c>
      <c r="I304" s="1" t="str">
        <f>CONCATENATE(A304,",",D304)</f>
        <v>MSE 254,ED2-MSE</v>
      </c>
      <c r="J304" s="36"/>
    </row>
    <row r="305" spans="1:10" ht="14.5" x14ac:dyDescent="0.35">
      <c r="A305" s="5" t="s">
        <v>225</v>
      </c>
      <c r="B305" s="5" t="str">
        <f>IFERROR(VLOOKUP($I305,'[5]Combined Data'!$D$1:$H$534,2,FALSE),0)</f>
        <v>Transportation and Highway II</v>
      </c>
      <c r="C305" s="6" t="str">
        <v>Ababio-Donkor Augustus</v>
      </c>
      <c r="D305" s="5" t="s">
        <v>47</v>
      </c>
      <c r="E305" s="5">
        <v>96</v>
      </c>
      <c r="F305" s="5" t="s">
        <v>1609</v>
      </c>
      <c r="G305" s="7">
        <f t="shared" si="24"/>
        <v>105.60000000000001</v>
      </c>
      <c r="H305" s="88" t="s">
        <v>1632</v>
      </c>
      <c r="I305" s="1" t="str">
        <f t="shared" si="22"/>
        <v>CE 368,ED3-GEOM</v>
      </c>
      <c r="J305" s="36"/>
    </row>
    <row r="306" spans="1:10" ht="14.5" x14ac:dyDescent="0.35">
      <c r="A306" s="5" t="s">
        <v>256</v>
      </c>
      <c r="B306" s="5" t="str">
        <f>IFERROR(VLOOKUP($I306,'[5]Combined Data'!$D$1:$H$534,2,FALSE),0)</f>
        <v>Ground Engineering</v>
      </c>
      <c r="C306" s="6" t="str">
        <v>S. I. K. Ampadu</v>
      </c>
      <c r="D306" s="5" t="s">
        <v>84</v>
      </c>
      <c r="E306" s="5">
        <v>40</v>
      </c>
      <c r="F306" s="8" t="s">
        <v>1554</v>
      </c>
      <c r="G306" s="7">
        <f t="shared" si="24"/>
        <v>44</v>
      </c>
      <c r="H306" s="88" t="s">
        <v>1856</v>
      </c>
      <c r="I306" s="1" t="str">
        <f t="shared" si="22"/>
        <v>CE 478,ED4-CE</v>
      </c>
      <c r="J306" s="36"/>
    </row>
    <row r="307" spans="1:10" ht="14.5" x14ac:dyDescent="0.35">
      <c r="A307" s="5" t="s">
        <v>256</v>
      </c>
      <c r="B307" s="5" t="str">
        <f>IFERROR(VLOOKUP($I307,'[5]Combined Data'!$D$1:$H$534,2,FALSE),0)</f>
        <v>Ground Engineering</v>
      </c>
      <c r="C307" s="6" t="str">
        <v>S. I. K. Ampadu</v>
      </c>
      <c r="D307" s="5" t="s">
        <v>8</v>
      </c>
      <c r="E307" s="5">
        <v>2</v>
      </c>
      <c r="F307" s="8" t="s">
        <v>1424</v>
      </c>
      <c r="G307" s="7">
        <f t="shared" si="24"/>
        <v>2.2000000000000002</v>
      </c>
      <c r="H307" s="88">
        <v>2</v>
      </c>
      <c r="I307" s="1" t="str">
        <f t="shared" si="22"/>
        <v>CE 478,ED4-GEOL</v>
      </c>
      <c r="J307" s="36"/>
    </row>
    <row r="308" spans="1:10" ht="14.5" x14ac:dyDescent="0.35">
      <c r="A308" s="5" t="s">
        <v>172</v>
      </c>
      <c r="B308" s="5" t="str">
        <f>IFERROR(VLOOKUP($I308,'[5]Combined Data'!$D$1:$H$534,2,FALSE),0)</f>
        <v>Applied Meteorology</v>
      </c>
      <c r="C308" s="6" t="str">
        <v>Prince Junior Asilevi</v>
      </c>
      <c r="D308" s="5" t="s">
        <v>93</v>
      </c>
      <c r="E308" s="5">
        <v>75</v>
      </c>
      <c r="F308" s="8" t="s">
        <v>1420</v>
      </c>
      <c r="G308" s="7">
        <f>E308*1.1</f>
        <v>82.5</v>
      </c>
      <c r="H308" s="88">
        <v>75</v>
      </c>
      <c r="I308" s="1" t="str">
        <f>CONCATENATE(A308,",",D308)</f>
        <v>AERO 456,ED4-AERO</v>
      </c>
      <c r="J308" s="36"/>
    </row>
    <row r="309" spans="1:10" ht="14.5" x14ac:dyDescent="0.35">
      <c r="A309" s="5" t="s">
        <v>194</v>
      </c>
      <c r="B309" s="5" t="str">
        <f>IFERROR(VLOOKUP($I309,'[5]Combined Data'!$D$1:$H$534,2,FALSE),0)</f>
        <v>Introduction to Information Technology</v>
      </c>
      <c r="C309" s="6" t="str">
        <v>Bessah Enoch</v>
      </c>
      <c r="D309" s="5" t="s">
        <v>101</v>
      </c>
      <c r="E309" s="5">
        <v>157</v>
      </c>
      <c r="F309" s="93" t="s">
        <v>1585</v>
      </c>
      <c r="G309" s="7">
        <f>E309*1.1</f>
        <v>172.70000000000002</v>
      </c>
      <c r="H309" s="88" t="s">
        <v>1633</v>
      </c>
      <c r="I309" s="1" t="str">
        <f>CONCATENATE(A309,",",D309)</f>
        <v>AE 158,ED1-AE</v>
      </c>
      <c r="J309" s="36"/>
    </row>
    <row r="310" spans="1:10" ht="14.5" x14ac:dyDescent="0.35">
      <c r="A310" s="5" t="s">
        <v>190</v>
      </c>
      <c r="B310" s="5" t="str">
        <f>IFERROR(VLOOKUP($I310,'[5]Combined Data'!$D$1:$H$534,2,FALSE),0)</f>
        <v>Calculus with Analysis</v>
      </c>
      <c r="C310" s="6" t="str">
        <v>Ayekple Yao Elikem</v>
      </c>
      <c r="D310" s="5" t="s">
        <v>25</v>
      </c>
      <c r="E310" s="5">
        <v>378</v>
      </c>
      <c r="F310" s="94" t="s">
        <v>1624</v>
      </c>
      <c r="G310" s="7">
        <f>E310*1.1</f>
        <v>415.8</v>
      </c>
      <c r="H310" s="111" t="s">
        <v>1634</v>
      </c>
      <c r="I310" s="1" t="str">
        <f>CONCATENATE(A310,",",D310)</f>
        <v>MATH 152,ED1-EE</v>
      </c>
      <c r="J310" s="36"/>
    </row>
    <row r="311" spans="1:10" ht="14.5" x14ac:dyDescent="0.35">
      <c r="A311" s="5" t="s">
        <v>190</v>
      </c>
      <c r="B311" s="5" t="str">
        <f>IFERROR(VLOOKUP($I311,'[5]Combined Data'!$D$1:$H$534,2,FALSE),0)</f>
        <v>Calculus with Analysis</v>
      </c>
      <c r="C311" s="6" t="str">
        <v>Kwabi Prince Amponsah</v>
      </c>
      <c r="D311" s="5" t="s">
        <v>98</v>
      </c>
      <c r="E311" s="5">
        <v>97</v>
      </c>
      <c r="F311" s="8" t="s">
        <v>1625</v>
      </c>
      <c r="G311" s="7">
        <f t="shared" si="24"/>
        <v>106.7</v>
      </c>
      <c r="H311" s="88" t="s">
        <v>1635</v>
      </c>
      <c r="I311" s="1" t="str">
        <f t="shared" si="22"/>
        <v>MATH 152,ED1-PETE</v>
      </c>
      <c r="J311" s="36"/>
    </row>
    <row r="312" spans="1:10" ht="14.5" x14ac:dyDescent="0.35">
      <c r="A312" s="5" t="s">
        <v>190</v>
      </c>
      <c r="B312" s="5" t="str">
        <f>IFERROR(VLOOKUP($I312,'[5]Combined Data'!$D$1:$H$534,2,FALSE),0)</f>
        <v>Calculus with Analysis</v>
      </c>
      <c r="C312" s="6" t="str">
        <v>Kwabi Prince Amponsah</v>
      </c>
      <c r="D312" s="5" t="s">
        <v>45</v>
      </c>
      <c r="E312" s="5">
        <v>156</v>
      </c>
      <c r="F312" s="14" t="s">
        <v>1541</v>
      </c>
      <c r="G312" s="7">
        <f t="shared" si="24"/>
        <v>171.60000000000002</v>
      </c>
      <c r="H312" s="88" t="s">
        <v>1591</v>
      </c>
      <c r="I312" s="1" t="str">
        <f t="shared" si="22"/>
        <v>MATH 152,ED1-GEOL</v>
      </c>
      <c r="J312" s="36"/>
    </row>
    <row r="313" spans="1:10" ht="14.5" x14ac:dyDescent="0.35">
      <c r="A313" s="5" t="s">
        <v>255</v>
      </c>
      <c r="B313" s="5" t="str">
        <f>IFERROR(VLOOKUP($I313,'[5]Combined Data'!$D$1:$H$534,2,FALSE),0)</f>
        <v>Kinetics and Reactions Engineering</v>
      </c>
      <c r="C313" s="6" t="str">
        <v>Bonsu Jude Kwaku</v>
      </c>
      <c r="D313" s="5" t="s">
        <v>79</v>
      </c>
      <c r="E313" s="5">
        <v>62</v>
      </c>
      <c r="F313" s="8" t="s">
        <v>1626</v>
      </c>
      <c r="G313" s="7">
        <f t="shared" si="24"/>
        <v>68.2</v>
      </c>
      <c r="H313" s="88" t="s">
        <v>1636</v>
      </c>
      <c r="I313" s="1" t="str">
        <f t="shared" si="22"/>
        <v>PCE 350,ED3-PCE</v>
      </c>
      <c r="J313" s="36"/>
    </row>
    <row r="314" spans="1:10" ht="14.5" x14ac:dyDescent="0.35">
      <c r="D314" s="6" t="s">
        <v>254</v>
      </c>
      <c r="E314" s="11">
        <f>SUM(E300:E313)</f>
        <v>1533</v>
      </c>
      <c r="I314" s="1" t="str">
        <f t="shared" si="22"/>
        <v>,Total W2</v>
      </c>
      <c r="J314" s="36"/>
    </row>
    <row r="315" spans="1:10" ht="14.5" x14ac:dyDescent="0.35">
      <c r="I315" s="1" t="str">
        <f t="shared" si="22"/>
        <v>,</v>
      </c>
      <c r="J315" s="36"/>
    </row>
    <row r="316" spans="1:10" ht="14.5" x14ac:dyDescent="0.35">
      <c r="I316" s="1" t="str">
        <f t="shared" si="22"/>
        <v>,</v>
      </c>
      <c r="J316" s="36"/>
    </row>
    <row r="317" spans="1:10" ht="14.5" x14ac:dyDescent="0.35">
      <c r="A317" s="119" t="s">
        <v>1854</v>
      </c>
      <c r="B317" s="119"/>
      <c r="C317" s="119"/>
      <c r="D317" s="119"/>
      <c r="E317" s="119"/>
      <c r="F317" s="119"/>
      <c r="G317" s="119"/>
      <c r="I317" s="1" t="str">
        <f t="shared" si="22"/>
        <v>Wednesday, 9 July 2025,</v>
      </c>
      <c r="J317" s="36"/>
    </row>
    <row r="318" spans="1:10" ht="14.5" x14ac:dyDescent="0.35">
      <c r="A318" s="116" t="str">
        <f>[2]SESSIONS!$K$3</f>
        <v>Session, 3 (11:45 AM - 12:45 PM)</v>
      </c>
      <c r="B318" s="117"/>
      <c r="C318" s="117"/>
      <c r="D318" s="117"/>
      <c r="E318" s="117"/>
      <c r="F318" s="117"/>
      <c r="G318" s="118"/>
      <c r="I318" s="1" t="str">
        <f t="shared" si="22"/>
        <v>Session, 3 (11:45 AM - 12:45 PM),</v>
      </c>
      <c r="J318" s="36"/>
    </row>
    <row r="319" spans="1:10" ht="14.5" x14ac:dyDescent="0.35">
      <c r="A319" s="2" t="s">
        <v>6</v>
      </c>
      <c r="B319" s="2" t="s">
        <v>5</v>
      </c>
      <c r="C319" s="3" t="s">
        <v>4</v>
      </c>
      <c r="D319" s="2" t="s">
        <v>3</v>
      </c>
      <c r="E319" s="2" t="s">
        <v>2</v>
      </c>
      <c r="F319" s="3" t="s">
        <v>1</v>
      </c>
      <c r="G319" s="2" t="s">
        <v>0</v>
      </c>
      <c r="I319" s="1" t="str">
        <f t="shared" si="22"/>
        <v>CODE ,CLASS</v>
      </c>
      <c r="J319" s="36"/>
    </row>
    <row r="320" spans="1:10" ht="14.5" x14ac:dyDescent="0.35">
      <c r="A320" s="5" t="s">
        <v>253</v>
      </c>
      <c r="B320" s="5" t="str">
        <f>IFERROR(VLOOKUP($I320,'[5]Combined Data'!$D$1:$H$534,2,FALSE),0)</f>
        <v>Vibrations I</v>
      </c>
      <c r="C320" s="6" t="str" cm="1">
        <f t="array" ref="C320:C333">VLOOKUP(I320:I333,'Combined Data'!A1:E547,3,FALSE)</f>
        <v>Adam Faisal Wahib</v>
      </c>
      <c r="D320" s="5" t="s">
        <v>117</v>
      </c>
      <c r="E320" s="5" cm="1">
        <f t="array" ref="E320:E333">VLOOKUP(I320:I333,combined_data!A1:D549,4,FALSE)</f>
        <v>63</v>
      </c>
      <c r="F320" s="8" t="s">
        <v>1637</v>
      </c>
      <c r="G320" s="7">
        <f t="shared" ref="G320:G325" si="25">E320*1.1</f>
        <v>69.300000000000011</v>
      </c>
      <c r="H320" s="88" t="s">
        <v>1640</v>
      </c>
      <c r="I320" s="1" t="str">
        <f t="shared" si="22"/>
        <v>ME 362,ED3-AERO</v>
      </c>
      <c r="J320" s="36"/>
    </row>
    <row r="321" spans="1:10" ht="14.5" x14ac:dyDescent="0.35">
      <c r="A321" s="5" t="s">
        <v>253</v>
      </c>
      <c r="B321" s="5" t="str">
        <f>IFERROR(VLOOKUP($I321,'[5]Combined Data'!$D$1:$H$534,2,FALSE),0)</f>
        <v>Vibrations I</v>
      </c>
      <c r="C321" s="6" t="str">
        <v>Adam Faisal Wahib</v>
      </c>
      <c r="D321" s="5" t="s">
        <v>77</v>
      </c>
      <c r="E321" s="5">
        <v>147</v>
      </c>
      <c r="F321" s="8" t="s">
        <v>1585</v>
      </c>
      <c r="G321" s="7">
        <f t="shared" si="25"/>
        <v>161.70000000000002</v>
      </c>
      <c r="H321" s="88" t="s">
        <v>1619</v>
      </c>
      <c r="I321" s="1" t="str">
        <f t="shared" si="22"/>
        <v>ME 362,ED3-ME</v>
      </c>
      <c r="J321" s="36"/>
    </row>
    <row r="322" spans="1:10" ht="14.5" x14ac:dyDescent="0.35">
      <c r="A322" s="5" t="s">
        <v>253</v>
      </c>
      <c r="B322" s="5" t="str">
        <f>IFERROR(VLOOKUP($I322,'[5]Combined Data'!$D$1:$H$534,2,FALSE),0)</f>
        <v>Vibrations I</v>
      </c>
      <c r="C322" s="6" t="str">
        <v>Adam Faisal Wahib</v>
      </c>
      <c r="D322" s="5" t="s">
        <v>38</v>
      </c>
      <c r="E322" s="5">
        <v>23</v>
      </c>
      <c r="F322" s="8" t="s">
        <v>1424</v>
      </c>
      <c r="G322" s="7">
        <f t="shared" si="25"/>
        <v>25.3</v>
      </c>
      <c r="H322" s="88">
        <v>23</v>
      </c>
      <c r="I322" s="1" t="str">
        <f t="shared" si="22"/>
        <v>ME 362,ED3-MARI</v>
      </c>
      <c r="J322" s="36"/>
    </row>
    <row r="323" spans="1:10" ht="14.5" x14ac:dyDescent="0.35">
      <c r="A323" s="5" t="s">
        <v>252</v>
      </c>
      <c r="B323" s="5" t="str">
        <f>IFERROR(VLOOKUP($I323,'[5]Combined Data'!$D$1:$H$534,2,FALSE),0)</f>
        <v>Vibrations for Automobile Engineers</v>
      </c>
      <c r="C323" s="6" t="str">
        <v>Adam Faisal Wahib</v>
      </c>
      <c r="D323" s="5" t="s">
        <v>150</v>
      </c>
      <c r="E323" s="5">
        <v>32</v>
      </c>
      <c r="F323" s="8" t="s">
        <v>1450</v>
      </c>
      <c r="G323" s="7">
        <f t="shared" si="25"/>
        <v>35.200000000000003</v>
      </c>
      <c r="H323" s="88">
        <v>32</v>
      </c>
      <c r="I323" s="1" t="str">
        <f t="shared" si="22"/>
        <v>AME 362,ED3-AUTO</v>
      </c>
      <c r="J323" s="36"/>
    </row>
    <row r="324" spans="1:10" ht="14.5" x14ac:dyDescent="0.35">
      <c r="A324" s="5" t="s">
        <v>250</v>
      </c>
      <c r="B324" s="5" t="str">
        <f>IFERROR(VLOOKUP($I324,'[5]Combined Data'!$D$1:$H$534,2,FALSE),0)</f>
        <v>Maintenance Engineering</v>
      </c>
      <c r="C324" s="6" t="str">
        <v>Oppong Tawiah Peter</v>
      </c>
      <c r="D324" s="5" t="s">
        <v>91</v>
      </c>
      <c r="E324" s="5">
        <v>184</v>
      </c>
      <c r="F324" s="8" t="s">
        <v>1417</v>
      </c>
      <c r="G324" s="7">
        <f t="shared" si="25"/>
        <v>202.4</v>
      </c>
      <c r="H324" s="88" t="s">
        <v>1641</v>
      </c>
      <c r="I324" s="1" t="str">
        <f t="shared" si="22"/>
        <v>ME 494,ED4-ME</v>
      </c>
      <c r="J324" s="36"/>
    </row>
    <row r="325" spans="1:10" ht="14.5" x14ac:dyDescent="0.35">
      <c r="A325" s="5" t="s">
        <v>250</v>
      </c>
      <c r="B325" s="5" t="str">
        <f>IFERROR(VLOOKUP($I325,'[5]Combined Data'!$D$1:$H$534,2,FALSE),0)</f>
        <v xml:space="preserve">Maintenance Engineering </v>
      </c>
      <c r="C325" s="6" t="str">
        <v>Oppong Tawiah Peter</v>
      </c>
      <c r="D325" s="5" t="s">
        <v>130</v>
      </c>
      <c r="E325" s="5">
        <v>121</v>
      </c>
      <c r="F325" s="8" t="s">
        <v>1469</v>
      </c>
      <c r="G325" s="7">
        <f t="shared" si="25"/>
        <v>133.10000000000002</v>
      </c>
      <c r="H325" s="88" t="s">
        <v>1642</v>
      </c>
      <c r="I325" s="1" t="str">
        <f t="shared" si="22"/>
        <v>ME 494,ED4-IND</v>
      </c>
      <c r="J325" s="36"/>
    </row>
    <row r="326" spans="1:10" ht="14.5" x14ac:dyDescent="0.35">
      <c r="A326" s="5" t="s">
        <v>324</v>
      </c>
      <c r="B326" s="5" t="str">
        <f>IFERROR(VLOOKUP($I326,'[5]Combined Data'!$D$1:$H$534,2,FALSE),0)</f>
        <v>Marine Mechanisms, Systhesis and Analysis</v>
      </c>
      <c r="C326" s="6" t="str">
        <v>Ampofo Joshua</v>
      </c>
      <c r="D326" s="5" t="s">
        <v>31</v>
      </c>
      <c r="E326" s="5">
        <v>41</v>
      </c>
      <c r="F326" s="9" t="s">
        <v>1638</v>
      </c>
      <c r="G326" s="7">
        <f>E326*1.1</f>
        <v>45.1</v>
      </c>
      <c r="H326" s="88" t="s">
        <v>1643</v>
      </c>
      <c r="I326" s="1" t="str">
        <f>CONCATENATE(A326,",",D326)</f>
        <v>MME 264,ED2-MARI</v>
      </c>
      <c r="J326" s="36"/>
    </row>
    <row r="327" spans="1:10" ht="14.5" x14ac:dyDescent="0.35">
      <c r="A327" s="5" t="s">
        <v>671</v>
      </c>
      <c r="B327" s="5" t="str">
        <f>IFERROR(VLOOKUP($I327,'[5]Combined Data'!$D$1:$H$534,2,FALSE),0)</f>
        <v>Power Systems Planning and Optimization</v>
      </c>
      <c r="C327" s="6" t="str">
        <v>Antoh Emmanuel Kwaku</v>
      </c>
      <c r="D327" s="5" t="s">
        <v>57</v>
      </c>
      <c r="E327" s="5">
        <v>200</v>
      </c>
      <c r="F327" s="95" t="s">
        <v>1857</v>
      </c>
      <c r="G327" s="7">
        <f>E327*1.1</f>
        <v>220.00000000000003</v>
      </c>
      <c r="H327" s="88" t="s">
        <v>1858</v>
      </c>
      <c r="I327" s="1" t="str">
        <f>CONCATENATE(A327,",",D327)</f>
        <v>EE 466,ED4-EE</v>
      </c>
      <c r="J327" s="36"/>
    </row>
    <row r="328" spans="1:10" ht="14.5" x14ac:dyDescent="0.35">
      <c r="A328" s="5" t="s">
        <v>128</v>
      </c>
      <c r="B328" s="5" t="str">
        <f>IFERROR(VLOOKUP($I328,'[5]Combined Data'!$D$1:$H$534,2,FALSE),0)</f>
        <v>Steel and Timber Design</v>
      </c>
      <c r="C328" s="6" t="str">
        <v>M. Adom-Asamoah</v>
      </c>
      <c r="D328" s="5" t="s">
        <v>27</v>
      </c>
      <c r="E328" s="5">
        <v>254</v>
      </c>
      <c r="F328" s="8" t="s">
        <v>1598</v>
      </c>
      <c r="G328" s="7">
        <f>E328*1.1</f>
        <v>279.40000000000003</v>
      </c>
      <c r="H328" s="88" t="s">
        <v>1614</v>
      </c>
      <c r="I328" s="1" t="str">
        <f>CONCATENATE(A328,",",D328)</f>
        <v>CE 352,ED3-CE</v>
      </c>
      <c r="J328" s="36"/>
    </row>
    <row r="329" spans="1:10" ht="14.5" x14ac:dyDescent="0.35">
      <c r="A329" s="5" t="s">
        <v>351</v>
      </c>
      <c r="B329" s="5" t="str">
        <f>IFERROR(VLOOKUP($I329,'[5]Combined Data'!$D$1:$H$534,2,FALSE),0)</f>
        <v>Physical Metallurgy of Ferrous Metals</v>
      </c>
      <c r="C329" s="6" t="str">
        <v>Kwofie Samuel</v>
      </c>
      <c r="D329" s="5" t="s">
        <v>33</v>
      </c>
      <c r="E329" s="5">
        <v>65</v>
      </c>
      <c r="F329" s="8" t="s">
        <v>1639</v>
      </c>
      <c r="G329" s="7">
        <f>E329*1.1</f>
        <v>71.5</v>
      </c>
      <c r="H329" s="88" t="s">
        <v>1644</v>
      </c>
      <c r="I329" s="1" t="str">
        <f>CONCATENATE(A329,",",D329)</f>
        <v>MSE 354,ED3-MSE</v>
      </c>
      <c r="J329" s="36"/>
    </row>
    <row r="330" spans="1:10" ht="14.5" x14ac:dyDescent="0.35">
      <c r="A330" s="5" t="s">
        <v>350</v>
      </c>
      <c r="B330" s="5" t="str">
        <f>IFERROR(VLOOKUP($I330,'[5]Combined Data'!$D$1:$H$534,2,FALSE),0)</f>
        <v>Physical Metallurgy of Ferrous Metals</v>
      </c>
      <c r="C330" s="6" t="str">
        <v>Kwofie Samuel</v>
      </c>
      <c r="D330" s="5" t="s">
        <v>120</v>
      </c>
      <c r="E330" s="5">
        <v>55</v>
      </c>
      <c r="F330" s="8" t="s">
        <v>1422</v>
      </c>
      <c r="G330" s="7">
        <f>E330*1.1</f>
        <v>60.500000000000007</v>
      </c>
      <c r="H330" s="88">
        <v>55</v>
      </c>
      <c r="I330" s="1" t="str">
        <f>CONCATENATE(A330,",",D330)</f>
        <v>METE 362,ED3-METE</v>
      </c>
      <c r="J330" s="36"/>
    </row>
    <row r="331" spans="1:10" ht="14.5" x14ac:dyDescent="0.35">
      <c r="A331" s="5" t="s">
        <v>174</v>
      </c>
      <c r="B331" s="5" t="str">
        <f>IFERROR(VLOOKUP($I331,'[5]Combined Data'!$D$1:$H$534,2,FALSE),0)</f>
        <v>Reliability Engineering</v>
      </c>
      <c r="C331" s="6" t="str">
        <v>Takyi Gabriel</v>
      </c>
      <c r="D331" s="5" t="s">
        <v>137</v>
      </c>
      <c r="E331" s="5">
        <v>69</v>
      </c>
      <c r="F331" s="8" t="s">
        <v>1513</v>
      </c>
      <c r="G331" s="7">
        <f t="shared" ref="G331:G332" si="26">E331*1.1</f>
        <v>75.900000000000006</v>
      </c>
      <c r="H331" s="88" t="s">
        <v>1646</v>
      </c>
      <c r="I331" s="1" t="str">
        <f t="shared" si="22"/>
        <v>IE 356,ED3-IND</v>
      </c>
      <c r="J331" s="36"/>
    </row>
    <row r="332" spans="1:10" ht="14.5" x14ac:dyDescent="0.35">
      <c r="A332" s="5" t="s">
        <v>248</v>
      </c>
      <c r="B332" s="5" t="str">
        <f>IFERROR(VLOOKUP($I332,'[5]Combined Data'!$D$1:$H$534,2,FALSE),0)</f>
        <v>Petroleum Engineering Thermodynamics II</v>
      </c>
      <c r="C332" s="6" t="str">
        <v>Sokama-Neuyam Yen Adams</v>
      </c>
      <c r="D332" s="5" t="s">
        <v>36</v>
      </c>
      <c r="E332" s="5">
        <v>82</v>
      </c>
      <c r="F332" s="8" t="s">
        <v>1485</v>
      </c>
      <c r="G332" s="7">
        <f t="shared" si="26"/>
        <v>90.2</v>
      </c>
      <c r="H332" s="88" t="s">
        <v>1499</v>
      </c>
      <c r="I332" s="1" t="str">
        <f t="shared" si="22"/>
        <v>PE 258,ED2-PETE</v>
      </c>
      <c r="J332" s="36"/>
    </row>
    <row r="333" spans="1:10" ht="14.5" x14ac:dyDescent="0.35">
      <c r="A333" s="5" t="s">
        <v>234</v>
      </c>
      <c r="B333" s="5" t="str">
        <f>IFERROR(VLOOKUP($I333,'[5]Combined Data'!$D$1:$H$534,2,FALSE),0)</f>
        <v>Chemical Process Calculations II</v>
      </c>
      <c r="C333" s="6" t="str">
        <v>Ohemeng-Boahen Godfred</v>
      </c>
      <c r="D333" s="5" t="s">
        <v>69</v>
      </c>
      <c r="E333" s="5">
        <v>59</v>
      </c>
      <c r="F333" s="9" t="s">
        <v>1524</v>
      </c>
      <c r="G333" s="7">
        <f>E333*1.1</f>
        <v>64.900000000000006</v>
      </c>
      <c r="H333" s="88" t="s">
        <v>1647</v>
      </c>
      <c r="I333" s="1" t="str">
        <f>CONCATENATE(A333,",",D333)</f>
        <v>CHE 252,ED2-PCE</v>
      </c>
      <c r="J333" s="36"/>
    </row>
    <row r="334" spans="1:10" ht="14.5" x14ac:dyDescent="0.35">
      <c r="A334" s="19"/>
      <c r="B334" s="19"/>
      <c r="C334" s="48"/>
      <c r="D334" s="5"/>
      <c r="E334" s="5"/>
      <c r="F334" s="50"/>
      <c r="G334" s="51"/>
      <c r="J334" s="36"/>
    </row>
    <row r="335" spans="1:10" ht="14.5" x14ac:dyDescent="0.35">
      <c r="A335" s="19"/>
      <c r="B335" s="19"/>
      <c r="C335" s="48"/>
      <c r="D335" s="5"/>
      <c r="E335" s="5"/>
      <c r="F335" s="50"/>
      <c r="G335" s="51"/>
      <c r="J335" s="36"/>
    </row>
    <row r="336" spans="1:10" ht="14.5" x14ac:dyDescent="0.35">
      <c r="D336" s="6" t="s">
        <v>246</v>
      </c>
      <c r="E336" s="11">
        <f>SUM(E320:E332)</f>
        <v>1336</v>
      </c>
      <c r="I336" s="1" t="str">
        <f t="shared" si="22"/>
        <v>,Total W3</v>
      </c>
      <c r="J336" s="36"/>
    </row>
    <row r="337" spans="1:10" ht="14.5" x14ac:dyDescent="0.35">
      <c r="I337" s="1" t="str">
        <f t="shared" si="22"/>
        <v>,</v>
      </c>
      <c r="J337" s="36"/>
    </row>
    <row r="338" spans="1:10" ht="14.5" x14ac:dyDescent="0.35">
      <c r="I338" s="1" t="str">
        <f t="shared" si="22"/>
        <v>,</v>
      </c>
      <c r="J338" s="36"/>
    </row>
    <row r="339" spans="1:10" ht="14.5" x14ac:dyDescent="0.35">
      <c r="A339" s="119" t="s">
        <v>1854</v>
      </c>
      <c r="B339" s="119"/>
      <c r="C339" s="119"/>
      <c r="D339" s="119"/>
      <c r="E339" s="119"/>
      <c r="F339" s="119"/>
      <c r="G339" s="119"/>
      <c r="I339" s="1" t="str">
        <f t="shared" si="22"/>
        <v>Wednesday, 9 July 2025,</v>
      </c>
      <c r="J339" s="36"/>
    </row>
    <row r="340" spans="1:10" ht="14.5" x14ac:dyDescent="0.35">
      <c r="A340" s="116" t="str">
        <f>[2]SESSIONS!$K$4</f>
        <v>Session, 4 (1:30 PM - 2:30 PM)</v>
      </c>
      <c r="B340" s="117"/>
      <c r="C340" s="117"/>
      <c r="D340" s="117"/>
      <c r="E340" s="117"/>
      <c r="F340" s="117"/>
      <c r="G340" s="118"/>
      <c r="I340" s="1" t="str">
        <f t="shared" si="22"/>
        <v>Session, 4 (1:30 PM - 2:30 PM),</v>
      </c>
      <c r="J340" s="36"/>
    </row>
    <row r="341" spans="1:10" ht="14.5" x14ac:dyDescent="0.35">
      <c r="A341" s="2" t="s">
        <v>6</v>
      </c>
      <c r="B341" s="2" t="s">
        <v>5</v>
      </c>
      <c r="C341" s="3" t="s">
        <v>4</v>
      </c>
      <c r="D341" s="2" t="s">
        <v>3</v>
      </c>
      <c r="E341" s="2" t="s">
        <v>2</v>
      </c>
      <c r="F341" s="42" t="s">
        <v>245</v>
      </c>
      <c r="G341" s="2" t="s">
        <v>0</v>
      </c>
      <c r="I341" s="1" t="str">
        <f t="shared" si="22"/>
        <v>CODE ,CLASS</v>
      </c>
      <c r="J341" s="36"/>
    </row>
    <row r="342" spans="1:10" ht="14.5" x14ac:dyDescent="0.35">
      <c r="A342" s="5" t="s">
        <v>244</v>
      </c>
      <c r="B342" s="5" t="str">
        <f>IFERROR(VLOOKUP($I342,'[5]Combined Data'!$D$1:$H$534,2,FALSE),0)</f>
        <v>Surface Treatment of Materials</v>
      </c>
      <c r="C342" s="6" t="str" cm="1">
        <f t="array" ref="C342:C352">VLOOKUP(I342:I352,'Combined Data'!A1:E547,3,FALSE)</f>
        <v>Andrews Anthony</v>
      </c>
      <c r="D342" s="5" t="s">
        <v>107</v>
      </c>
      <c r="E342" s="5" cm="1">
        <f t="array" ref="E342:E352">VLOOKUP(I342:I352,combined_data!A1:D549,4,FALSE)</f>
        <v>115</v>
      </c>
      <c r="F342" s="8" t="s">
        <v>1471</v>
      </c>
      <c r="G342" s="7">
        <f t="shared" ref="G342:G352" si="27">E342*1.1</f>
        <v>126.50000000000001</v>
      </c>
      <c r="H342" s="88" t="s">
        <v>1652</v>
      </c>
      <c r="I342" s="1" t="str">
        <f t="shared" ref="I342:I412" si="28">CONCATENATE(A342,",",D342)</f>
        <v>MSE 454,ED4-MSE</v>
      </c>
      <c r="J342" s="36"/>
    </row>
    <row r="343" spans="1:10" ht="14.5" x14ac:dyDescent="0.35">
      <c r="A343" s="5" t="s">
        <v>243</v>
      </c>
      <c r="B343" s="5" t="str">
        <f>IFERROR(VLOOKUP($I343,'[5]Combined Data'!$D$1:$H$534,2,FALSE),0)</f>
        <v>Medical Device Regulation</v>
      </c>
      <c r="C343" s="6" t="str">
        <v>Acquah Isaac</v>
      </c>
      <c r="D343" s="5" t="s">
        <v>242</v>
      </c>
      <c r="E343" s="5">
        <v>62</v>
      </c>
      <c r="F343" s="8" t="s">
        <v>1648</v>
      </c>
      <c r="G343" s="7">
        <f t="shared" si="27"/>
        <v>68.2</v>
      </c>
      <c r="H343" s="88" t="s">
        <v>1653</v>
      </c>
      <c r="I343" s="1" t="str">
        <f t="shared" si="28"/>
        <v>BME 454,ED4-BME</v>
      </c>
      <c r="J343" s="36"/>
    </row>
    <row r="344" spans="1:10" ht="14.5" x14ac:dyDescent="0.35">
      <c r="A344" s="5" t="s">
        <v>241</v>
      </c>
      <c r="B344" s="5" t="str">
        <f>IFERROR(VLOOKUP($I344,'[5]Combined Data'!$D$1:$H$534,2,FALSE),0)</f>
        <v>Reproduction Cartography</v>
      </c>
      <c r="C344" s="6" t="str">
        <v>Quaye-Ballard Jonathan Arthur</v>
      </c>
      <c r="D344" s="5" t="s">
        <v>23</v>
      </c>
      <c r="E344" s="5">
        <v>139</v>
      </c>
      <c r="F344" s="8" t="s">
        <v>1649</v>
      </c>
      <c r="G344" s="7">
        <f t="shared" si="27"/>
        <v>152.9</v>
      </c>
      <c r="H344" s="88" t="s">
        <v>1654</v>
      </c>
      <c r="I344" s="1" t="str">
        <f t="shared" si="28"/>
        <v>GE 152,ED1-GEOM</v>
      </c>
      <c r="J344" s="36"/>
    </row>
    <row r="345" spans="1:10" ht="14.5" x14ac:dyDescent="0.35">
      <c r="A345" s="5" t="s">
        <v>239</v>
      </c>
      <c r="B345" s="5" t="str">
        <f>IFERROR(VLOOKUP($I345,'[5]Combined Data'!$D$1:$H$534,2,FALSE),0)</f>
        <v>Statics of Solid Mechanics</v>
      </c>
      <c r="C345" s="6" t="str">
        <v>Dzebre Denis Edem Kwame</v>
      </c>
      <c r="D345" s="5" t="s">
        <v>157</v>
      </c>
      <c r="E345" s="5">
        <v>75</v>
      </c>
      <c r="F345" s="8" t="s">
        <v>1420</v>
      </c>
      <c r="G345" s="7">
        <f t="shared" si="27"/>
        <v>82.5</v>
      </c>
      <c r="H345" s="88">
        <v>75</v>
      </c>
      <c r="I345" s="1" t="str">
        <f t="shared" si="28"/>
        <v>ME 164,ED1-AERO</v>
      </c>
      <c r="J345" s="36"/>
    </row>
    <row r="346" spans="1:10" ht="14.5" x14ac:dyDescent="0.35">
      <c r="A346" s="5" t="s">
        <v>238</v>
      </c>
      <c r="B346" s="5" t="str">
        <f>IFERROR(VLOOKUP($I346,'[5]Combined Data'!$D$1:$H$534,2,FALSE),0)</f>
        <v>Introduction to Communication Networks</v>
      </c>
      <c r="C346" s="6" t="str">
        <v>Agyemang Justice Owusu</v>
      </c>
      <c r="D346" s="5" t="s">
        <v>168</v>
      </c>
      <c r="E346" s="5">
        <v>180</v>
      </c>
      <c r="F346" s="8" t="s">
        <v>1414</v>
      </c>
      <c r="G346" s="7">
        <f t="shared" si="27"/>
        <v>198.00000000000003</v>
      </c>
      <c r="H346" s="88">
        <v>180</v>
      </c>
      <c r="I346" s="1" t="str">
        <f t="shared" si="28"/>
        <v>TE 156,ED1-TEL</v>
      </c>
      <c r="J346" s="36"/>
    </row>
    <row r="347" spans="1:10" ht="14.5" x14ac:dyDescent="0.35">
      <c r="A347" s="5" t="s">
        <v>237</v>
      </c>
      <c r="B347" s="5" t="str">
        <f>IFERROR(VLOOKUP($I347,'[5]Combined Data'!$D$1:$H$534,2,FALSE),0)</f>
        <v>Soil Mechanics Application to Mechanisation</v>
      </c>
      <c r="C347" s="6" t="str">
        <v>Agodzo Sampson Kwaku</v>
      </c>
      <c r="D347" s="5" t="s">
        <v>88</v>
      </c>
      <c r="E347" s="5">
        <v>108</v>
      </c>
      <c r="F347" s="8" t="s">
        <v>1859</v>
      </c>
      <c r="G347" s="7">
        <f t="shared" si="27"/>
        <v>118.80000000000001</v>
      </c>
      <c r="H347" s="88" t="s">
        <v>1860</v>
      </c>
      <c r="I347" s="1" t="str">
        <f t="shared" si="28"/>
        <v>AE 352,ED3-AE</v>
      </c>
      <c r="J347" s="36"/>
    </row>
    <row r="348" spans="1:10" ht="14.5" x14ac:dyDescent="0.35">
      <c r="A348" s="52" t="s">
        <v>772</v>
      </c>
      <c r="B348" s="5" t="str">
        <f>IFERROR(VLOOKUP($I348,'[5]Combined Data'!$D$1:$H$534,2,FALSE),0)</f>
        <v>Special Vehicle Design</v>
      </c>
      <c r="C348" s="10" t="str">
        <v>Ayetor Godwin Kafui Kwesi</v>
      </c>
      <c r="D348" s="18" t="s">
        <v>126</v>
      </c>
      <c r="E348" s="18">
        <v>78</v>
      </c>
      <c r="F348" s="88" t="s">
        <v>1472</v>
      </c>
      <c r="G348" s="7">
        <f t="shared" si="27"/>
        <v>85.800000000000011</v>
      </c>
      <c r="H348" s="88" t="s">
        <v>1580</v>
      </c>
      <c r="I348" s="1" t="str">
        <f>CONCATENATE(A348,",",D348)</f>
        <v>AME 482,ED4-AUTO</v>
      </c>
      <c r="J348" s="36"/>
    </row>
    <row r="349" spans="1:10" ht="14.5" x14ac:dyDescent="0.35">
      <c r="A349" s="5" t="s">
        <v>705</v>
      </c>
      <c r="B349" s="5" t="str">
        <f>IFERROR(VLOOKUP($I349,'[5]Combined Data'!$D$1:$H$534,2,FALSE),0)</f>
        <v>Software Engineering</v>
      </c>
      <c r="C349" s="6" t="str">
        <v>Keelson Eliel</v>
      </c>
      <c r="D349" s="5" t="s">
        <v>196</v>
      </c>
      <c r="E349" s="5">
        <v>76</v>
      </c>
      <c r="F349" s="8" t="s">
        <v>1650</v>
      </c>
      <c r="G349" s="7">
        <f t="shared" si="27"/>
        <v>83.600000000000009</v>
      </c>
      <c r="H349" s="88" t="s">
        <v>1655</v>
      </c>
      <c r="I349" s="1" t="str">
        <f t="shared" si="28"/>
        <v>COE 454,ED4-COE</v>
      </c>
      <c r="J349" s="36"/>
    </row>
    <row r="350" spans="1:10" ht="14.5" x14ac:dyDescent="0.35">
      <c r="A350" s="5" t="s">
        <v>235</v>
      </c>
      <c r="B350" s="5" t="str">
        <f>IFERROR(VLOOKUP($I350,'[5]Combined Data'!$D$1:$H$534,2,FALSE),0)</f>
        <v>Power Electronics</v>
      </c>
      <c r="C350" s="6" t="str">
        <v>Effah Francis Boafo</v>
      </c>
      <c r="D350" s="5" t="s">
        <v>67</v>
      </c>
      <c r="E350" s="5">
        <v>226</v>
      </c>
      <c r="F350" s="8" t="s">
        <v>1539</v>
      </c>
      <c r="G350" s="7">
        <f t="shared" si="27"/>
        <v>248.60000000000002</v>
      </c>
      <c r="H350" s="88" t="s">
        <v>1656</v>
      </c>
      <c r="I350" s="1" t="str">
        <f t="shared" si="28"/>
        <v>EE 366,ED3-EE</v>
      </c>
      <c r="J350" s="36"/>
    </row>
    <row r="351" spans="1:10" ht="14.5" x14ac:dyDescent="0.35">
      <c r="A351" s="5" t="s">
        <v>234</v>
      </c>
      <c r="B351" s="5" t="str">
        <f>IFERROR(VLOOKUP($I351,'[5]Combined Data'!$D$1:$H$534,2,FALSE),0)</f>
        <v>Chemical Process Calculations II</v>
      </c>
      <c r="C351" s="6" t="str">
        <v>Rockson Mizpah Ama Dziedzorm</v>
      </c>
      <c r="D351" s="5" t="s">
        <v>71</v>
      </c>
      <c r="E351" s="5">
        <v>119</v>
      </c>
      <c r="F351" s="8" t="s">
        <v>1471</v>
      </c>
      <c r="G351" s="7">
        <f t="shared" si="27"/>
        <v>130.9</v>
      </c>
      <c r="H351" s="88" t="s">
        <v>1657</v>
      </c>
      <c r="I351" s="1" t="str">
        <f t="shared" si="28"/>
        <v>CHE 252,ED2-CHE</v>
      </c>
      <c r="J351" s="36"/>
    </row>
    <row r="352" spans="1:10" ht="14.5" x14ac:dyDescent="0.35">
      <c r="A352" s="5" t="s">
        <v>232</v>
      </c>
      <c r="B352" s="5" t="str">
        <f>IFERROR(VLOOKUP($I352,'[5]Combined Data'!$D$1:$H$534,2,FALSE),0)</f>
        <v>Rock Engineering</v>
      </c>
      <c r="C352" s="6" t="str">
        <v>Gidigasu Solomon Senyo Robert</v>
      </c>
      <c r="D352" s="5" t="s">
        <v>62</v>
      </c>
      <c r="E352" s="5">
        <v>156</v>
      </c>
      <c r="F352" s="8" t="s">
        <v>1651</v>
      </c>
      <c r="G352" s="7">
        <f t="shared" si="27"/>
        <v>171.60000000000002</v>
      </c>
      <c r="H352" s="88" t="s">
        <v>1562</v>
      </c>
      <c r="I352" s="1" t="str">
        <f t="shared" si="28"/>
        <v>GED 254,ED2-GEOL</v>
      </c>
      <c r="J352" s="36"/>
    </row>
    <row r="353" spans="1:10" ht="14.5" x14ac:dyDescent="0.35">
      <c r="D353" s="6" t="s">
        <v>230</v>
      </c>
      <c r="E353" s="11">
        <f>SUM(E341:E352)</f>
        <v>1334</v>
      </c>
      <c r="I353" s="1" t="str">
        <f t="shared" si="28"/>
        <v>,Total W4</v>
      </c>
      <c r="J353" s="36"/>
    </row>
    <row r="354" spans="1:10" ht="14.5" x14ac:dyDescent="0.35">
      <c r="I354" s="1" t="str">
        <f t="shared" si="28"/>
        <v>,</v>
      </c>
      <c r="J354" s="36"/>
    </row>
    <row r="355" spans="1:10" ht="14.5" x14ac:dyDescent="0.35">
      <c r="I355" s="1" t="str">
        <f t="shared" si="28"/>
        <v>,</v>
      </c>
      <c r="J355" s="36"/>
    </row>
    <row r="356" spans="1:10" ht="14.5" x14ac:dyDescent="0.35">
      <c r="A356" s="119" t="s">
        <v>1854</v>
      </c>
      <c r="B356" s="119"/>
      <c r="C356" s="119"/>
      <c r="D356" s="119"/>
      <c r="E356" s="119"/>
      <c r="F356" s="119"/>
      <c r="G356" s="119"/>
      <c r="I356" s="1" t="str">
        <f t="shared" si="28"/>
        <v>Wednesday, 9 July 2025,</v>
      </c>
      <c r="J356" s="36"/>
    </row>
    <row r="357" spans="1:10" ht="14.5" x14ac:dyDescent="0.35">
      <c r="A357" s="116" t="str">
        <f>[2]SESSIONS!$K$5</f>
        <v>Session, 5 (3:15 PM - 4:15 PM)</v>
      </c>
      <c r="B357" s="117"/>
      <c r="C357" s="117"/>
      <c r="D357" s="117"/>
      <c r="E357" s="117"/>
      <c r="F357" s="117"/>
      <c r="G357" s="118"/>
      <c r="I357" s="1" t="str">
        <f t="shared" si="28"/>
        <v>Session, 5 (3:15 PM - 4:15 PM),</v>
      </c>
      <c r="J357" s="36"/>
    </row>
    <row r="358" spans="1:10" ht="14.5" x14ac:dyDescent="0.35">
      <c r="A358" s="2" t="s">
        <v>6</v>
      </c>
      <c r="B358" s="2" t="s">
        <v>5</v>
      </c>
      <c r="C358" s="3" t="s">
        <v>4</v>
      </c>
      <c r="D358" s="2" t="s">
        <v>3</v>
      </c>
      <c r="E358" s="2" t="s">
        <v>2</v>
      </c>
      <c r="F358" s="42" t="s">
        <v>1</v>
      </c>
      <c r="G358" s="2" t="s">
        <v>0</v>
      </c>
      <c r="I358" s="1" t="str">
        <f t="shared" si="28"/>
        <v>CODE ,CLASS</v>
      </c>
      <c r="J358" s="36"/>
    </row>
    <row r="359" spans="1:10" ht="14.5" x14ac:dyDescent="0.35">
      <c r="A359" s="5" t="s">
        <v>229</v>
      </c>
      <c r="B359" s="5" t="str">
        <f>IFERROR(VLOOKUP($I359,'[5]Combined Data'!$D$1:$H$534,2,FALSE),0)</f>
        <v>Elements of Economics II</v>
      </c>
      <c r="C359" s="6" t="str" cm="1">
        <f t="array" ref="C359:C376">VLOOKUP(I359:I376,'Combined Data'!A1:E547,3,FALSE)</f>
        <v>Takyi Paul Owusu</v>
      </c>
      <c r="D359" s="5" t="s">
        <v>46</v>
      </c>
      <c r="E359" s="5" cm="1">
        <f t="array" ref="E359:E376">VLOOKUP(I359:I376,combined_data!A1:D549,4,FALSE)</f>
        <v>60</v>
      </c>
      <c r="F359" s="8" t="s">
        <v>1420</v>
      </c>
      <c r="G359" s="7">
        <f t="shared" ref="G359:G376" si="29">E359*1.1</f>
        <v>66</v>
      </c>
      <c r="H359" s="88">
        <v>60</v>
      </c>
      <c r="I359" s="1" t="str">
        <f t="shared" si="28"/>
        <v>ECON 152,ED2-EE</v>
      </c>
      <c r="J359" s="36"/>
    </row>
    <row r="360" spans="1:10" ht="14.5" x14ac:dyDescent="0.35">
      <c r="A360" s="5" t="s">
        <v>229</v>
      </c>
      <c r="B360" s="5" t="str">
        <f>IFERROR(VLOOKUP($I360,'[5]Combined Data'!$D$1:$H$534,2,FALSE),0)</f>
        <v>Elements of Economics II</v>
      </c>
      <c r="C360" s="6" t="str">
        <v>E. Yeboah</v>
      </c>
      <c r="D360" s="5" t="s">
        <v>47</v>
      </c>
      <c r="E360" s="5">
        <v>12</v>
      </c>
      <c r="F360" s="8">
        <v>303</v>
      </c>
      <c r="G360" s="7">
        <f t="shared" si="29"/>
        <v>13.200000000000001</v>
      </c>
      <c r="H360" s="88">
        <v>12</v>
      </c>
      <c r="I360" s="1" t="str">
        <f t="shared" si="28"/>
        <v>ECON 152,ED3-GEOM</v>
      </c>
      <c r="J360" s="36"/>
    </row>
    <row r="361" spans="1:10" ht="14.5" x14ac:dyDescent="0.35">
      <c r="A361" s="5" t="s">
        <v>229</v>
      </c>
      <c r="B361" s="5" t="str">
        <f>IFERROR(VLOOKUP($I361,'[5]Combined Data'!$D$1:$H$534,2,FALSE),0)</f>
        <v>Elements of Economics II</v>
      </c>
      <c r="C361" s="6" t="str">
        <v>Takyi Paul Owusu</v>
      </c>
      <c r="D361" s="5" t="s">
        <v>44</v>
      </c>
      <c r="E361" s="5">
        <v>32</v>
      </c>
      <c r="F361" s="8" t="s">
        <v>1452</v>
      </c>
      <c r="G361" s="7">
        <f t="shared" si="29"/>
        <v>35.200000000000003</v>
      </c>
      <c r="H361" s="88">
        <v>32</v>
      </c>
      <c r="I361" s="1" t="str">
        <f t="shared" si="28"/>
        <v>ECON 152,ED1-CE</v>
      </c>
      <c r="J361" s="36"/>
    </row>
    <row r="362" spans="1:10" ht="14.5" x14ac:dyDescent="0.35">
      <c r="A362" s="5" t="s">
        <v>229</v>
      </c>
      <c r="B362" s="5" t="str">
        <f>IFERROR(VLOOKUP($I362,'[5]Combined Data'!$D$1:$H$534,2,FALSE),0)</f>
        <v>Elements of Economics II</v>
      </c>
      <c r="C362" s="6" t="str">
        <v>B. Sarpong- Danquah</v>
      </c>
      <c r="D362" s="5" t="s">
        <v>45</v>
      </c>
      <c r="E362" s="5">
        <v>27</v>
      </c>
      <c r="F362" s="8" t="s">
        <v>1424</v>
      </c>
      <c r="G362" s="7">
        <f t="shared" si="29"/>
        <v>29.700000000000003</v>
      </c>
      <c r="H362" s="88">
        <v>27</v>
      </c>
      <c r="I362" s="1" t="str">
        <f t="shared" si="28"/>
        <v>ECON 152,ED1-GEOL</v>
      </c>
      <c r="J362" s="36"/>
    </row>
    <row r="363" spans="1:10" ht="14.5" x14ac:dyDescent="0.35">
      <c r="A363" s="5" t="s">
        <v>229</v>
      </c>
      <c r="B363" s="5" t="str">
        <f>IFERROR(VLOOKUP($I363,'[5]Combined Data'!$D$1:$H$534,2,FALSE),0)</f>
        <v>Elements of Economics II</v>
      </c>
      <c r="C363" s="6" t="str">
        <v>M. H. Yussif</v>
      </c>
      <c r="D363" s="5" t="s">
        <v>42</v>
      </c>
      <c r="E363" s="5">
        <v>9</v>
      </c>
      <c r="F363" s="8" t="s">
        <v>1432</v>
      </c>
      <c r="G363" s="7">
        <f t="shared" si="29"/>
        <v>9.9</v>
      </c>
      <c r="H363" s="88">
        <v>9</v>
      </c>
      <c r="I363" s="1" t="str">
        <f t="shared" si="28"/>
        <v>ECON 152,ED2-BME</v>
      </c>
      <c r="J363" s="36"/>
    </row>
    <row r="364" spans="1:10" ht="14.5" x14ac:dyDescent="0.35">
      <c r="A364" s="5" t="s">
        <v>229</v>
      </c>
      <c r="B364" s="5" t="str">
        <f>IFERROR(VLOOKUP($I364,'[5]Combined Data'!$D$1:$H$534,2,FALSE),0)</f>
        <v>Elements of Economics II</v>
      </c>
      <c r="C364" s="6" t="str">
        <v>Takyi Paul Owusu</v>
      </c>
      <c r="D364" s="5" t="s">
        <v>40</v>
      </c>
      <c r="E364" s="5">
        <v>20</v>
      </c>
      <c r="F364" s="8" t="s">
        <v>1436</v>
      </c>
      <c r="G364" s="7">
        <f t="shared" si="29"/>
        <v>22</v>
      </c>
      <c r="H364" s="88">
        <v>20</v>
      </c>
      <c r="I364" s="1" t="str">
        <f t="shared" si="28"/>
        <v>ECON 152,ED2-COE</v>
      </c>
      <c r="J364" s="36"/>
    </row>
    <row r="365" spans="1:10" ht="14.5" x14ac:dyDescent="0.35">
      <c r="A365" s="5" t="s">
        <v>229</v>
      </c>
      <c r="B365" s="5" t="str">
        <f>IFERROR(VLOOKUP($I365,'[5]Combined Data'!$D$1:$H$534,2,FALSE),0)</f>
        <v>Elements of Economics II</v>
      </c>
      <c r="C365" s="6" t="str">
        <v>Takyi Paul Owusu</v>
      </c>
      <c r="D365" s="5" t="s">
        <v>49</v>
      </c>
      <c r="E365" s="5">
        <v>7</v>
      </c>
      <c r="F365" s="8" t="s">
        <v>1435</v>
      </c>
      <c r="G365" s="7">
        <f t="shared" si="29"/>
        <v>7.7000000000000011</v>
      </c>
      <c r="H365" s="88">
        <v>7</v>
      </c>
      <c r="I365" s="1" t="str">
        <f t="shared" si="28"/>
        <v>ECON 152,ED2-TEL</v>
      </c>
      <c r="J365" s="36"/>
    </row>
    <row r="366" spans="1:10" ht="14.5" x14ac:dyDescent="0.35">
      <c r="A366" s="5" t="s">
        <v>229</v>
      </c>
      <c r="B366" s="5" t="str">
        <f>IFERROR(VLOOKUP($I366,'[5]Combined Data'!$D$1:$H$534,2,FALSE),0)</f>
        <v>Elements of Economics II</v>
      </c>
      <c r="C366" s="6" t="str">
        <v>Takyi Paul Owusu</v>
      </c>
      <c r="D366" s="5" t="s">
        <v>48</v>
      </c>
      <c r="E366" s="5">
        <v>37</v>
      </c>
      <c r="F366" s="8" t="s">
        <v>1554</v>
      </c>
      <c r="G366" s="7">
        <f t="shared" si="29"/>
        <v>40.700000000000003</v>
      </c>
      <c r="H366" s="88" t="s">
        <v>1658</v>
      </c>
      <c r="I366" s="1" t="str">
        <f t="shared" si="28"/>
        <v>ECON 152,ED3-CHE</v>
      </c>
      <c r="J366" s="36"/>
    </row>
    <row r="367" spans="1:10" ht="14.5" x14ac:dyDescent="0.35">
      <c r="A367" s="5" t="s">
        <v>228</v>
      </c>
      <c r="B367" s="5" t="str">
        <f>IFERROR(VLOOKUP($I367,'[5]Combined Data'!$D$1:$H$534,2,FALSE),0)</f>
        <v>Environmental Science</v>
      </c>
      <c r="C367" s="6" t="str">
        <v>Appiah-Brempong Miriam</v>
      </c>
      <c r="D367" s="5" t="s">
        <v>18</v>
      </c>
      <c r="E367" s="5">
        <v>61</v>
      </c>
      <c r="F367" s="8" t="s">
        <v>1549</v>
      </c>
      <c r="G367" s="7">
        <f t="shared" si="29"/>
        <v>67.100000000000009</v>
      </c>
      <c r="H367" s="88" t="s">
        <v>1659</v>
      </c>
      <c r="I367" s="1" t="str">
        <f t="shared" si="28"/>
        <v>METE 154,ED1-METE</v>
      </c>
      <c r="J367" s="36"/>
    </row>
    <row r="368" spans="1:10" ht="14.5" x14ac:dyDescent="0.35">
      <c r="A368" s="5" t="s">
        <v>228</v>
      </c>
      <c r="B368" s="5" t="s">
        <v>952</v>
      </c>
      <c r="C368" s="6" t="str">
        <v>M. Appiah-Brimpong</v>
      </c>
      <c r="D368" s="5" t="s">
        <v>177</v>
      </c>
      <c r="E368" s="5">
        <v>84</v>
      </c>
      <c r="F368" s="8" t="s">
        <v>1485</v>
      </c>
      <c r="G368" s="7">
        <f t="shared" ref="G368" si="30">E368*1.1</f>
        <v>92.4</v>
      </c>
      <c r="H368" s="88" t="s">
        <v>1487</v>
      </c>
      <c r="I368" s="1" t="str">
        <f t="shared" ref="I368" si="31">CONCATENATE(A368,",",D368)</f>
        <v>METE 154,ED1-MSE</v>
      </c>
      <c r="J368" s="36"/>
    </row>
    <row r="369" spans="1:10" ht="14.5" x14ac:dyDescent="0.35">
      <c r="A369" s="5" t="s">
        <v>227</v>
      </c>
      <c r="B369" s="5" t="str">
        <f>IFERROR(VLOOKUP($I369,'[5]Combined Data'!$D$1:$H$534,2,FALSE),0)</f>
        <v>Environmental Science</v>
      </c>
      <c r="C369" s="6" t="str">
        <v>Appiah-Brempong Miriam</v>
      </c>
      <c r="D369" s="5" t="s">
        <v>113</v>
      </c>
      <c r="E369" s="5">
        <v>89</v>
      </c>
      <c r="F369" s="8" t="s">
        <v>1566</v>
      </c>
      <c r="G369" s="7">
        <f t="shared" si="29"/>
        <v>97.9</v>
      </c>
      <c r="H369" s="88" t="s">
        <v>1660</v>
      </c>
      <c r="I369" s="1" t="str">
        <f t="shared" si="28"/>
        <v>MSE 256,ED2-MSE</v>
      </c>
      <c r="J369" s="36"/>
    </row>
    <row r="370" spans="1:10" ht="14.5" x14ac:dyDescent="0.35">
      <c r="A370" s="5" t="s">
        <v>226</v>
      </c>
      <c r="B370" s="5" t="str">
        <f>IFERROR(VLOOKUP($I370,'[5]Combined Data'!$D$1:$H$534,2,FALSE),0)</f>
        <v>Electrical Engineering Drawing</v>
      </c>
      <c r="C370" s="6" t="str">
        <v>Kwegyir Daniel</v>
      </c>
      <c r="D370" s="5" t="s">
        <v>20</v>
      </c>
      <c r="E370" s="5">
        <v>255</v>
      </c>
      <c r="F370" s="14" t="s">
        <v>1540</v>
      </c>
      <c r="G370" s="7">
        <f t="shared" si="29"/>
        <v>280.5</v>
      </c>
      <c r="H370" s="88" t="s">
        <v>1544</v>
      </c>
      <c r="I370" s="1" t="str">
        <f t="shared" si="28"/>
        <v>EE 156,ED1-COE</v>
      </c>
      <c r="J370" s="36"/>
    </row>
    <row r="371" spans="1:10" ht="14.5" x14ac:dyDescent="0.35">
      <c r="A371" s="19" t="s">
        <v>226</v>
      </c>
      <c r="B371" s="5" t="str">
        <f>IFERROR(VLOOKUP($I371,'[5]Combined Data'!$D$1:$H$534,2,FALSE),0)</f>
        <v>Electrical Engineering Drawing</v>
      </c>
      <c r="C371" s="48" t="str">
        <v>Kwegyir Daniel</v>
      </c>
      <c r="D371" s="47" t="s">
        <v>25</v>
      </c>
      <c r="E371" s="47">
        <v>378</v>
      </c>
      <c r="F371" s="96" t="s">
        <v>1624</v>
      </c>
      <c r="G371" s="7">
        <f t="shared" si="29"/>
        <v>415.8</v>
      </c>
      <c r="H371" s="112" t="s">
        <v>1634</v>
      </c>
      <c r="I371" s="1" t="str">
        <f t="shared" si="28"/>
        <v>EE 156,ED1-EE</v>
      </c>
      <c r="J371" s="36"/>
    </row>
    <row r="372" spans="1:10" ht="14.5" x14ac:dyDescent="0.35">
      <c r="A372" s="5" t="s">
        <v>224</v>
      </c>
      <c r="B372" s="5" t="str">
        <f>IFERROR(VLOOKUP($I372,'[5]Combined Data'!$D$1:$H$534,2,FALSE),0)</f>
        <v>Intro to Environmental Eng.</v>
      </c>
      <c r="C372" s="6" t="str">
        <v>Essandoh Helen Michelle Korkor</v>
      </c>
      <c r="D372" s="5" t="s">
        <v>64</v>
      </c>
      <c r="E372" s="5">
        <v>227</v>
      </c>
      <c r="F372" s="5" t="s">
        <v>1600</v>
      </c>
      <c r="G372" s="7">
        <f t="shared" si="29"/>
        <v>249.70000000000002</v>
      </c>
      <c r="H372" s="88" t="s">
        <v>1661</v>
      </c>
      <c r="I372" s="1" t="str">
        <f t="shared" si="28"/>
        <v>CE 264,ED2-CE</v>
      </c>
      <c r="J372" s="36"/>
    </row>
    <row r="373" spans="1:10" ht="14.5" x14ac:dyDescent="0.35">
      <c r="A373" s="5" t="s">
        <v>733</v>
      </c>
      <c r="B373" s="5" t="s">
        <v>1242</v>
      </c>
      <c r="C373" s="6" t="str">
        <v>J. Owusu Twumasi</v>
      </c>
      <c r="D373" s="5" t="s">
        <v>84</v>
      </c>
      <c r="E373" s="5">
        <v>9</v>
      </c>
      <c r="F373" s="8">
        <v>206</v>
      </c>
      <c r="G373" s="7">
        <f t="shared" si="29"/>
        <v>9.9</v>
      </c>
      <c r="H373" s="88">
        <v>9</v>
      </c>
      <c r="I373" s="1" t="str">
        <f t="shared" si="28"/>
        <v>CE 480,ED4-CE</v>
      </c>
      <c r="J373" s="36"/>
    </row>
    <row r="374" spans="1:10" ht="14.5" x14ac:dyDescent="0.35">
      <c r="A374" s="5" t="s">
        <v>218</v>
      </c>
      <c r="B374" s="5" t="str">
        <f>IFERROR(VLOOKUP($I374,'[5]Combined Data'!$D$1:$H$534,2,FALSE),0)</f>
        <v>Mineral Economics and Evaluation</v>
      </c>
      <c r="C374" s="6" t="str">
        <v>Foli Gordon</v>
      </c>
      <c r="D374" s="5" t="s">
        <v>217</v>
      </c>
      <c r="E374" s="5">
        <v>105</v>
      </c>
      <c r="F374" s="8" t="s">
        <v>1471</v>
      </c>
      <c r="G374" s="7">
        <f t="shared" si="29"/>
        <v>115.50000000000001</v>
      </c>
      <c r="H374" s="88" t="s">
        <v>1662</v>
      </c>
      <c r="I374" s="1" t="str">
        <f>CONCATENATE(A374,",",D374)</f>
        <v>GED 366,ED3-GEOL</v>
      </c>
      <c r="J374" s="36"/>
    </row>
    <row r="375" spans="1:10" ht="14.5" x14ac:dyDescent="0.35">
      <c r="A375" s="5" t="s">
        <v>589</v>
      </c>
      <c r="B375" s="5" t="str">
        <f>IFERROR(VLOOKUP($I375,'[5]Combined Data'!$D$1:$H$534,2,FALSE),0)</f>
        <v>Marine Control Engineering and Automation</v>
      </c>
      <c r="C375" s="6" t="str">
        <v>Adjei Eunice Akyereko</v>
      </c>
      <c r="D375" s="5" t="s">
        <v>96</v>
      </c>
      <c r="E375" s="5">
        <v>68</v>
      </c>
      <c r="F375" s="5" t="s">
        <v>1549</v>
      </c>
      <c r="G375" s="7">
        <f t="shared" si="29"/>
        <v>74.800000000000011</v>
      </c>
      <c r="H375" s="88" t="s">
        <v>1663</v>
      </c>
      <c r="I375" s="1" t="str">
        <f t="shared" si="28"/>
        <v>MME 462,ED4-MARI</v>
      </c>
      <c r="J375" s="36"/>
    </row>
    <row r="376" spans="1:10" ht="14.5" x14ac:dyDescent="0.35">
      <c r="A376" s="5" t="s">
        <v>223</v>
      </c>
      <c r="B376" s="5" t="str">
        <f>IFERROR(VLOOKUP($I376,'[5]Combined Data'!$D$1:$H$534,2,FALSE),0)</f>
        <v>Mechanical Engineering Materials III</v>
      </c>
      <c r="C376" s="6" t="str">
        <v>Sackey Samuel Mensah</v>
      </c>
      <c r="D376" s="5" t="s">
        <v>91</v>
      </c>
      <c r="E376" s="5">
        <v>4</v>
      </c>
      <c r="F376" s="8">
        <v>304</v>
      </c>
      <c r="G376" s="7">
        <f t="shared" si="29"/>
        <v>4.4000000000000004</v>
      </c>
      <c r="H376" s="88">
        <v>4</v>
      </c>
      <c r="I376" s="1" t="str">
        <f t="shared" si="28"/>
        <v>ME 482,ED4-ME</v>
      </c>
      <c r="J376" s="36"/>
    </row>
    <row r="377" spans="1:10" ht="14.5" x14ac:dyDescent="0.35">
      <c r="D377" s="6" t="s">
        <v>221</v>
      </c>
      <c r="E377" s="11">
        <f>SUM(E359:E376)</f>
        <v>1484</v>
      </c>
      <c r="I377" s="1" t="str">
        <f t="shared" si="28"/>
        <v>,Total W5</v>
      </c>
      <c r="J377" s="36"/>
    </row>
    <row r="378" spans="1:10" ht="14.5" x14ac:dyDescent="0.35">
      <c r="D378" s="19"/>
      <c r="E378" s="20"/>
      <c r="I378" s="1" t="str">
        <f t="shared" si="28"/>
        <v>,</v>
      </c>
      <c r="J378" s="36"/>
    </row>
    <row r="379" spans="1:10" ht="14.5" x14ac:dyDescent="0.35">
      <c r="D379" s="19"/>
      <c r="E379" s="20"/>
      <c r="I379" s="1" t="str">
        <f t="shared" si="28"/>
        <v>,</v>
      </c>
      <c r="J379" s="36"/>
    </row>
    <row r="380" spans="1:10" ht="14.5" x14ac:dyDescent="0.35">
      <c r="A380" s="119" t="s">
        <v>1854</v>
      </c>
      <c r="B380" s="119"/>
      <c r="C380" s="119"/>
      <c r="D380" s="119"/>
      <c r="E380" s="119"/>
      <c r="F380" s="119"/>
      <c r="G380" s="119"/>
      <c r="I380" s="1" t="str">
        <f t="shared" si="28"/>
        <v>Wednesday, 9 July 2025,</v>
      </c>
      <c r="J380" s="36"/>
    </row>
    <row r="381" spans="1:10" ht="14.5" x14ac:dyDescent="0.35">
      <c r="A381" s="116" t="str">
        <f>[2]SESSIONS!$K$6</f>
        <v>Session, 6 (5:00 PM - 6:00 PM)</v>
      </c>
      <c r="B381" s="117"/>
      <c r="C381" s="117"/>
      <c r="D381" s="117"/>
      <c r="E381" s="117"/>
      <c r="F381" s="117"/>
      <c r="G381" s="118"/>
      <c r="I381" s="1" t="str">
        <f t="shared" si="28"/>
        <v>Session, 6 (5:00 PM - 6:00 PM),</v>
      </c>
      <c r="J381" s="36"/>
    </row>
    <row r="382" spans="1:10" ht="14.5" x14ac:dyDescent="0.35">
      <c r="A382" s="2" t="s">
        <v>6</v>
      </c>
      <c r="B382" s="2" t="s">
        <v>5</v>
      </c>
      <c r="C382" s="3" t="s">
        <v>4</v>
      </c>
      <c r="D382" s="2" t="s">
        <v>3</v>
      </c>
      <c r="E382" s="2" t="s">
        <v>2</v>
      </c>
      <c r="F382" s="3" t="s">
        <v>1</v>
      </c>
      <c r="G382" s="2" t="s">
        <v>0</v>
      </c>
      <c r="I382" s="1" t="str">
        <f t="shared" si="28"/>
        <v>CODE ,CLASS</v>
      </c>
      <c r="J382" s="36"/>
    </row>
    <row r="383" spans="1:10" ht="14.5" x14ac:dyDescent="0.35">
      <c r="A383" s="5" t="s">
        <v>219</v>
      </c>
      <c r="B383" s="5" t="str">
        <f>IFERROR(VLOOKUP($I383,'[5]Combined Data'!$D$1:$H$534,2,FALSE),0)</f>
        <v>Operations Research II</v>
      </c>
      <c r="C383" s="6" t="str" cm="1">
        <f t="array" ref="C383:C398">VLOOKUP(I383:I398,'Combined Data'!A1:E595,3,FALSE)</f>
        <v>Kesse Martin Appiah</v>
      </c>
      <c r="D383" s="5" t="s">
        <v>137</v>
      </c>
      <c r="E383" s="5" cm="1">
        <f t="array" ref="E383:E398">VLOOKUP(I383:I398,combined_data!A1:D548,4,FALSE)</f>
        <v>69</v>
      </c>
      <c r="F383" s="8" t="s">
        <v>1648</v>
      </c>
      <c r="G383" s="7">
        <f t="shared" ref="G383:G398" si="32">E383*1.1</f>
        <v>75.900000000000006</v>
      </c>
      <c r="H383" s="88" t="s">
        <v>1646</v>
      </c>
      <c r="I383" s="1" t="str">
        <f t="shared" si="28"/>
        <v>IE 368,ED3-IND</v>
      </c>
      <c r="J383" s="36"/>
    </row>
    <row r="384" spans="1:10" ht="14.5" x14ac:dyDescent="0.35">
      <c r="A384" s="5" t="s">
        <v>216</v>
      </c>
      <c r="B384" s="5" t="str">
        <f>IFERROR(VLOOKUP($I384,'[5]Combined Data'!$D$1:$H$534,2,FALSE),0)</f>
        <v>Environmental Impact Assessment</v>
      </c>
      <c r="C384" s="6" t="str">
        <v>Afotey Benjamin</v>
      </c>
      <c r="D384" s="5" t="s">
        <v>79</v>
      </c>
      <c r="E384" s="5">
        <v>42</v>
      </c>
      <c r="F384" s="8" t="s">
        <v>1664</v>
      </c>
      <c r="G384" s="7">
        <f t="shared" si="32"/>
        <v>46.2</v>
      </c>
      <c r="H384" s="88" t="s">
        <v>1525</v>
      </c>
      <c r="I384" s="1" t="str">
        <f t="shared" si="28"/>
        <v>CHE 370,ED3-PCE</v>
      </c>
      <c r="J384" s="36"/>
    </row>
    <row r="385" spans="1:10" ht="14.5" x14ac:dyDescent="0.35">
      <c r="A385" s="5" t="s">
        <v>215</v>
      </c>
      <c r="B385" s="5" t="str">
        <f>IFERROR(VLOOKUP($I385,'[5]Combined Data'!$D$1:$H$534,2,FALSE),0)</f>
        <v>Machine Shop and Factory Design</v>
      </c>
      <c r="C385" s="6" t="str">
        <v>Obeng George Yaw</v>
      </c>
      <c r="D385" s="5" t="s">
        <v>91</v>
      </c>
      <c r="E385" s="5">
        <v>54</v>
      </c>
      <c r="F385" s="8" t="s">
        <v>1422</v>
      </c>
      <c r="G385" s="7">
        <f t="shared" si="32"/>
        <v>59.400000000000006</v>
      </c>
      <c r="H385" s="88">
        <v>54</v>
      </c>
      <c r="I385" s="1" t="str">
        <f t="shared" si="28"/>
        <v>ME 472,ED4-ME</v>
      </c>
      <c r="J385" s="36"/>
    </row>
    <row r="386" spans="1:10" ht="14.5" x14ac:dyDescent="0.35">
      <c r="A386" s="5" t="s">
        <v>215</v>
      </c>
      <c r="B386" s="5" t="str">
        <f>IFERROR(VLOOKUP($I386,'[5]Combined Data'!$D$1:$H$534,2,FALSE),0)</f>
        <v>Machine Shop and Factory Design</v>
      </c>
      <c r="C386" s="6" t="str">
        <v>Obeng George Yaw</v>
      </c>
      <c r="D386" s="5" t="s">
        <v>93</v>
      </c>
      <c r="E386" s="5">
        <v>2</v>
      </c>
      <c r="F386" s="8" t="s">
        <v>1424</v>
      </c>
      <c r="G386" s="7">
        <f t="shared" si="32"/>
        <v>2.2000000000000002</v>
      </c>
      <c r="H386" s="88">
        <v>2</v>
      </c>
      <c r="I386" s="1" t="str">
        <f t="shared" si="28"/>
        <v>ME 472,ED4-AERO</v>
      </c>
      <c r="J386" s="36"/>
    </row>
    <row r="387" spans="1:10" ht="14.5" x14ac:dyDescent="0.35">
      <c r="A387" s="5" t="s">
        <v>239</v>
      </c>
      <c r="B387" s="5" t="str">
        <f>IFERROR(VLOOKUP($I387,'[5]Combined Data'!$D$1:$H$534,2,FALSE),0)</f>
        <v>Statics of Solid Mechanics</v>
      </c>
      <c r="C387" s="6" t="str">
        <v>Dzebre Denis Edem Kwame</v>
      </c>
      <c r="D387" s="5" t="s">
        <v>176</v>
      </c>
      <c r="E387" s="5">
        <v>244</v>
      </c>
      <c r="F387" s="50" t="s">
        <v>1600</v>
      </c>
      <c r="G387" s="7">
        <f t="shared" ref="G387:G388" si="33">E387*1.1</f>
        <v>268.40000000000003</v>
      </c>
      <c r="H387" s="88" t="s">
        <v>1666</v>
      </c>
      <c r="I387" s="1" t="str">
        <f t="shared" ref="I387:I392" si="34">CONCATENATE(A387,",",D387)</f>
        <v>ME 164,ED1-ME</v>
      </c>
      <c r="J387" s="36"/>
    </row>
    <row r="388" spans="1:10" ht="14.5" x14ac:dyDescent="0.35">
      <c r="A388" s="5" t="s">
        <v>310</v>
      </c>
      <c r="B388" s="5" t="str">
        <f>IFERROR(VLOOKUP($I388,'[5]Combined Data'!$D$1:$H$534,2,FALSE),0)</f>
        <v>Database Systems</v>
      </c>
      <c r="C388" s="6" t="str">
        <v>Ayer John Wise Divine</v>
      </c>
      <c r="D388" s="5" t="s">
        <v>94</v>
      </c>
      <c r="E388" s="5">
        <v>107</v>
      </c>
      <c r="F388" s="12" t="s">
        <v>1471</v>
      </c>
      <c r="G388" s="7">
        <f t="shared" si="33"/>
        <v>117.7</v>
      </c>
      <c r="H388" s="88" t="s">
        <v>1667</v>
      </c>
      <c r="I388" s="1" t="str">
        <f t="shared" si="34"/>
        <v>GE 464,ED4-GEOM</v>
      </c>
      <c r="J388" s="36"/>
    </row>
    <row r="389" spans="1:10" ht="14.5" x14ac:dyDescent="0.35">
      <c r="A389" s="5" t="s">
        <v>270</v>
      </c>
      <c r="B389" s="5" t="s">
        <v>917</v>
      </c>
      <c r="C389" s="6" t="str">
        <v>Kwao-Boateng Emmanuela</v>
      </c>
      <c r="D389" s="5" t="s">
        <v>35</v>
      </c>
      <c r="E389" s="5">
        <v>104</v>
      </c>
      <c r="F389" s="12" t="s">
        <v>1471</v>
      </c>
      <c r="G389" s="7">
        <f>E389*1.1</f>
        <v>114.4</v>
      </c>
      <c r="H389" s="88" t="s">
        <v>1668</v>
      </c>
      <c r="I389" s="1" t="str">
        <f t="shared" si="34"/>
        <v>PCE 450,ED4-PCE</v>
      </c>
      <c r="J389" s="36"/>
    </row>
    <row r="390" spans="1:10" ht="14.5" x14ac:dyDescent="0.35">
      <c r="A390" s="5" t="s">
        <v>269</v>
      </c>
      <c r="B390" s="5" t="str">
        <f>IFERROR(VLOOKUP($I390,'[5]Combined Data'!$D$1:$H$534,2,FALSE),0)</f>
        <v>Refining Processes Technology</v>
      </c>
      <c r="C390" s="6" t="str">
        <v>Kwao-Boateng Emmanuela</v>
      </c>
      <c r="D390" s="5" t="s">
        <v>104</v>
      </c>
      <c r="E390" s="5">
        <v>70</v>
      </c>
      <c r="F390" s="5" t="s">
        <v>1414</v>
      </c>
      <c r="G390" s="7">
        <f>E390*1.1</f>
        <v>77</v>
      </c>
      <c r="H390" s="88">
        <v>70</v>
      </c>
      <c r="I390" s="1" t="str">
        <f t="shared" si="34"/>
        <v>PCE 464,ED4-CHE</v>
      </c>
      <c r="J390" s="36"/>
    </row>
    <row r="391" spans="1:10" ht="14.5" x14ac:dyDescent="0.35">
      <c r="A391" s="5" t="s">
        <v>268</v>
      </c>
      <c r="B391" s="5" t="str">
        <f>IFERROR(VLOOKUP($I391,'[5]Combined Data'!$D$1:$H$534,2,FALSE),0)</f>
        <v>Refining Process Technology</v>
      </c>
      <c r="C391" s="6" t="str">
        <v>Kwao-Boateng Emmanuela</v>
      </c>
      <c r="D391" s="5" t="s">
        <v>53</v>
      </c>
      <c r="E391" s="5">
        <v>117</v>
      </c>
      <c r="F391" s="5" t="s">
        <v>1587</v>
      </c>
      <c r="G391" s="7">
        <f>E391*1.1</f>
        <v>128.70000000000002</v>
      </c>
      <c r="H391" s="88" t="s">
        <v>1669</v>
      </c>
      <c r="I391" s="1" t="str">
        <f t="shared" si="34"/>
        <v>PE 464,ED4-PETE</v>
      </c>
      <c r="J391" s="36"/>
    </row>
    <row r="392" spans="1:10" ht="14.5" x14ac:dyDescent="0.35">
      <c r="A392" s="5" t="s">
        <v>1382</v>
      </c>
      <c r="B392" s="5" t="s">
        <v>836</v>
      </c>
      <c r="C392" s="6" t="str">
        <v>Affum Emmanuel Ampoma</v>
      </c>
      <c r="D392" s="5" t="s">
        <v>10</v>
      </c>
      <c r="E392" s="5">
        <v>142</v>
      </c>
      <c r="F392" s="5" t="s">
        <v>1585</v>
      </c>
      <c r="G392" s="7">
        <f>E392*1.1</f>
        <v>156.20000000000002</v>
      </c>
      <c r="H392" s="88" t="s">
        <v>1645</v>
      </c>
      <c r="I392" s="1" t="str">
        <f t="shared" si="34"/>
        <v>TE 358,ED3-TEL</v>
      </c>
      <c r="J392" s="36"/>
    </row>
    <row r="393" spans="1:10" ht="14.5" x14ac:dyDescent="0.35">
      <c r="A393" s="5" t="s">
        <v>214</v>
      </c>
      <c r="B393" s="5" t="str">
        <f>IFERROR(VLOOKUP($I393,'[5]Combined Data'!$D$1:$H$534,2,FALSE),0)</f>
        <v>Assaying</v>
      </c>
      <c r="C393" s="6" t="str">
        <v>Koomson Bennetta</v>
      </c>
      <c r="D393" s="5" t="s">
        <v>111</v>
      </c>
      <c r="E393" s="5">
        <v>86</v>
      </c>
      <c r="F393" s="8" t="s">
        <v>1650</v>
      </c>
      <c r="G393" s="7">
        <f t="shared" si="32"/>
        <v>94.600000000000009</v>
      </c>
      <c r="H393" s="88" t="s">
        <v>1670</v>
      </c>
      <c r="I393" s="1" t="str">
        <f t="shared" si="28"/>
        <v>METE 256,ED2-METE</v>
      </c>
      <c r="J393" s="36"/>
    </row>
    <row r="394" spans="1:10" ht="14.5" x14ac:dyDescent="0.35">
      <c r="A394" s="43" t="s">
        <v>213</v>
      </c>
      <c r="B394" s="5" t="str">
        <f>IFERROR(VLOOKUP($I394,'[5]Combined Data'!$D$1:$H$534,2,FALSE),0)</f>
        <v>Geostatistics</v>
      </c>
      <c r="C394" s="6" t="str">
        <v>Nuamah Daniel Oduro Boatey</v>
      </c>
      <c r="D394" s="5" t="s">
        <v>8</v>
      </c>
      <c r="E394" s="5">
        <v>79</v>
      </c>
      <c r="F394" s="8" t="s">
        <v>1553</v>
      </c>
      <c r="G394" s="7">
        <f t="shared" si="32"/>
        <v>86.9</v>
      </c>
      <c r="H394" s="88" t="s">
        <v>1861</v>
      </c>
      <c r="I394" s="1" t="str">
        <f t="shared" si="28"/>
        <v>GED 468,ED4-GEOL</v>
      </c>
      <c r="J394" s="36"/>
    </row>
    <row r="395" spans="1:10" ht="14.5" x14ac:dyDescent="0.35">
      <c r="A395" s="43" t="s">
        <v>207</v>
      </c>
      <c r="B395" s="5" t="str">
        <f>IFERROR(VLOOKUP($I395,'[5]Combined Data'!$D$1:$H$534,2,FALSE),0)</f>
        <v>Marine Engineering Design Project II</v>
      </c>
      <c r="C395" s="6" t="str">
        <v>Afriyie Nyarko Frank Kwabena</v>
      </c>
      <c r="D395" s="5" t="s">
        <v>31</v>
      </c>
      <c r="E395" s="5">
        <v>41</v>
      </c>
      <c r="F395" s="8" t="s">
        <v>1862</v>
      </c>
      <c r="G395" s="7">
        <f t="shared" si="32"/>
        <v>45.1</v>
      </c>
      <c r="H395" s="88" t="s">
        <v>1643</v>
      </c>
      <c r="I395" s="1" t="str">
        <f t="shared" si="28"/>
        <v>MME 274,ED2-MARI</v>
      </c>
      <c r="J395" s="36"/>
    </row>
    <row r="396" spans="1:10" ht="14.5" x14ac:dyDescent="0.35">
      <c r="A396" s="43" t="s">
        <v>208</v>
      </c>
      <c r="B396" s="5" t="str">
        <f>IFERROR(VLOOKUP($I396,'[5]Combined Data'!$D$1:$H$534,2,FALSE),0)</f>
        <v>Second Year Design Project</v>
      </c>
      <c r="C396" s="6" t="str">
        <v>Afriyie Nyarko Frank Kwabena</v>
      </c>
      <c r="D396" s="5" t="s">
        <v>17</v>
      </c>
      <c r="E396" s="5">
        <v>72</v>
      </c>
      <c r="F396" s="50" t="s">
        <v>1420</v>
      </c>
      <c r="G396" s="7">
        <f t="shared" si="32"/>
        <v>79.2</v>
      </c>
      <c r="H396" s="88">
        <v>72</v>
      </c>
      <c r="I396" s="1" t="str">
        <f t="shared" si="28"/>
        <v>IE 274,ED2-IND</v>
      </c>
      <c r="J396" s="36"/>
    </row>
    <row r="397" spans="1:10" ht="14.5" x14ac:dyDescent="0.35">
      <c r="A397" s="5" t="s">
        <v>193</v>
      </c>
      <c r="B397" s="5" t="str">
        <f>IFERROR(VLOOKUP($I397,'[5]Combined Data'!$D$1:$H$534,2,FALSE),0)</f>
        <v>Heat Transport Processes</v>
      </c>
      <c r="C397" s="6" t="str">
        <v>Adjei Stephen</v>
      </c>
      <c r="D397" s="5" t="s">
        <v>36</v>
      </c>
      <c r="E397" s="5">
        <v>82</v>
      </c>
      <c r="F397" s="93" t="s">
        <v>1650</v>
      </c>
      <c r="G397" s="7">
        <f>E397*1.1</f>
        <v>90.2</v>
      </c>
      <c r="H397" s="88" t="s">
        <v>1671</v>
      </c>
      <c r="I397" s="1" t="str">
        <f>CONCATENATE(A397,",",D397)</f>
        <v>PE 252,ED2-PETE</v>
      </c>
      <c r="J397" s="36"/>
    </row>
    <row r="398" spans="1:10" ht="14.5" x14ac:dyDescent="0.35">
      <c r="A398" s="43" t="s">
        <v>209</v>
      </c>
      <c r="B398" s="5" t="str">
        <f>IFERROR(VLOOKUP($I398,'[5]Combined Data'!$D$1:$H$534,2,FALSE),0)</f>
        <v>Design of Auto Machine Elements</v>
      </c>
      <c r="C398" s="6" t="str">
        <v>Afriyie Nyarko Frank Kwabena</v>
      </c>
      <c r="D398" s="5" t="s">
        <v>11</v>
      </c>
      <c r="E398" s="5">
        <v>48</v>
      </c>
      <c r="F398" s="8" t="s">
        <v>1665</v>
      </c>
      <c r="G398" s="7">
        <f t="shared" si="32"/>
        <v>52.800000000000004</v>
      </c>
      <c r="H398" s="88" t="s">
        <v>1672</v>
      </c>
      <c r="I398" s="1" t="str">
        <f t="shared" si="28"/>
        <v>AME 274,ED2-AUTO</v>
      </c>
      <c r="J398" s="36"/>
    </row>
    <row r="399" spans="1:10" ht="14.5" x14ac:dyDescent="0.35">
      <c r="D399" s="6" t="s">
        <v>206</v>
      </c>
      <c r="E399" s="11">
        <f>SUM(E382:E398)</f>
        <v>1359</v>
      </c>
      <c r="I399" s="1" t="str">
        <f t="shared" si="28"/>
        <v>,Total W6</v>
      </c>
      <c r="J399" s="36"/>
    </row>
    <row r="400" spans="1:10" ht="14.5" x14ac:dyDescent="0.35">
      <c r="I400" s="1" t="str">
        <f t="shared" si="28"/>
        <v>,</v>
      </c>
      <c r="J400" s="36"/>
    </row>
    <row r="401" spans="1:10" ht="14.5" x14ac:dyDescent="0.35">
      <c r="I401" s="1" t="str">
        <f t="shared" si="28"/>
        <v>,</v>
      </c>
      <c r="J401" s="36"/>
    </row>
    <row r="402" spans="1:10" ht="14.5" x14ac:dyDescent="0.35">
      <c r="A402" s="119" t="s">
        <v>1854</v>
      </c>
      <c r="B402" s="119"/>
      <c r="C402" s="119"/>
      <c r="D402" s="119"/>
      <c r="E402" s="119"/>
      <c r="F402" s="119"/>
      <c r="G402" s="119"/>
      <c r="I402" s="1" t="str">
        <f t="shared" si="28"/>
        <v>Wednesday, 9 July 2025,</v>
      </c>
      <c r="J402" s="36"/>
    </row>
    <row r="403" spans="1:10" ht="14.5" x14ac:dyDescent="0.35">
      <c r="A403" s="116" t="str">
        <f>[2]SESSIONS!$K$7</f>
        <v>Session, 7 (6:45 PM - 7:45 PM)</v>
      </c>
      <c r="B403" s="117"/>
      <c r="C403" s="117"/>
      <c r="D403" s="117"/>
      <c r="E403" s="117"/>
      <c r="F403" s="117"/>
      <c r="G403" s="118"/>
      <c r="I403" s="1" t="str">
        <f t="shared" si="28"/>
        <v>Session, 7 (6:45 PM - 7:45 PM),</v>
      </c>
      <c r="J403" s="36"/>
    </row>
    <row r="404" spans="1:10" ht="14.5" x14ac:dyDescent="0.35">
      <c r="A404" s="2" t="s">
        <v>6</v>
      </c>
      <c r="B404" s="2" t="s">
        <v>5</v>
      </c>
      <c r="C404" s="3" t="s">
        <v>4</v>
      </c>
      <c r="D404" s="2" t="s">
        <v>3</v>
      </c>
      <c r="E404" s="2" t="s">
        <v>2</v>
      </c>
      <c r="F404" s="4" t="s">
        <v>1</v>
      </c>
      <c r="G404" s="2" t="s">
        <v>0</v>
      </c>
      <c r="I404" s="1" t="str">
        <f t="shared" si="28"/>
        <v>CODE ,CLASS</v>
      </c>
      <c r="J404" s="36"/>
    </row>
    <row r="405" spans="1:10" ht="14.5" x14ac:dyDescent="0.35">
      <c r="A405" s="5" t="s">
        <v>205</v>
      </c>
      <c r="B405" s="5" t="str">
        <f>IFERROR(VLOOKUP($I405,'[5]Combined Data'!$D$1:$H$534,2,FALSE),0)</f>
        <v>General Physics</v>
      </c>
      <c r="C405" s="6" t="str" cm="1">
        <f t="array" ref="C405:C424">VLOOKUP(I405:I424,'Combined Data'!A1:E597,3,FALSE)</f>
        <v>Abavare Eric Kwabena Kyeh</v>
      </c>
      <c r="D405" s="5" t="s">
        <v>60</v>
      </c>
      <c r="E405" s="5" cm="1">
        <f t="array" ref="E405:E424">VLOOKUP(I405:I424,combined_data!A1:D549,4,FALSE)</f>
        <v>155</v>
      </c>
      <c r="F405" s="123" t="s">
        <v>114</v>
      </c>
      <c r="G405" s="7">
        <f t="shared" ref="G405:G424" si="35">E405*1.1</f>
        <v>170.5</v>
      </c>
      <c r="I405" s="1" t="str">
        <f t="shared" si="28"/>
        <v>PHY 170,ED1-CHE</v>
      </c>
      <c r="J405" s="36"/>
    </row>
    <row r="406" spans="1:10" ht="14.5" x14ac:dyDescent="0.35">
      <c r="A406" s="5" t="s">
        <v>205</v>
      </c>
      <c r="B406" s="5" t="str">
        <f>IFERROR(VLOOKUP($I406,'[5]Combined Data'!$D$1:$H$534,2,FALSE),0)</f>
        <v>General Physics</v>
      </c>
      <c r="C406" s="6" t="str">
        <v>Abavare Eric Kwabena Kyeh</v>
      </c>
      <c r="D406" s="5" t="s">
        <v>58</v>
      </c>
      <c r="E406" s="5">
        <v>59</v>
      </c>
      <c r="F406" s="123"/>
      <c r="G406" s="17">
        <f t="shared" si="35"/>
        <v>64.900000000000006</v>
      </c>
      <c r="I406" s="1" t="str">
        <f t="shared" si="28"/>
        <v>PHY 170,ED1-PCE</v>
      </c>
      <c r="J406" s="36"/>
    </row>
    <row r="407" spans="1:10" ht="14.5" x14ac:dyDescent="0.35">
      <c r="A407" s="5" t="s">
        <v>205</v>
      </c>
      <c r="B407" s="5" t="str">
        <f>IFERROR(VLOOKUP($I407,'[5]Combined Data'!$D$1:$H$534,2,FALSE),0)</f>
        <v>General Physics</v>
      </c>
      <c r="C407" s="6" t="str">
        <v>Boateng Cyril Dziedzorm</v>
      </c>
      <c r="D407" s="5" t="s">
        <v>98</v>
      </c>
      <c r="E407" s="5">
        <v>97</v>
      </c>
      <c r="F407" s="123"/>
      <c r="G407" s="7">
        <f t="shared" si="35"/>
        <v>106.7</v>
      </c>
      <c r="I407" s="1" t="str">
        <f t="shared" si="28"/>
        <v>PHY 170,ED1-PETE</v>
      </c>
      <c r="J407" s="36"/>
    </row>
    <row r="408" spans="1:10" ht="14.5" x14ac:dyDescent="0.35">
      <c r="A408" s="5" t="s">
        <v>190</v>
      </c>
      <c r="B408" s="5" t="str">
        <f>IFERROR(VLOOKUP($I408,'[5]Combined Data'!$D$1:$H$534,2,FALSE),0)</f>
        <v>Calculus with Analysis</v>
      </c>
      <c r="C408" s="6" t="str">
        <v>Asamoah Joshua Kiddy Kwasi</v>
      </c>
      <c r="D408" s="5" t="s">
        <v>101</v>
      </c>
      <c r="E408" s="5">
        <v>157</v>
      </c>
      <c r="F408" s="120" t="s">
        <v>114</v>
      </c>
      <c r="G408" s="7">
        <f>E408*1.1</f>
        <v>172.70000000000002</v>
      </c>
      <c r="I408" s="1" t="str">
        <f>CONCATENATE(A408,",",D408)</f>
        <v>MATH 152,ED1-AE</v>
      </c>
      <c r="J408" s="36"/>
    </row>
    <row r="409" spans="1:10" ht="14.5" x14ac:dyDescent="0.35">
      <c r="A409" s="5" t="s">
        <v>190</v>
      </c>
      <c r="B409" s="5" t="str">
        <f>IFERROR(VLOOKUP($I409,'[5]Combined Data'!$D$1:$H$534,2,FALSE),0)</f>
        <v>Calculus with Analysis</v>
      </c>
      <c r="C409" s="6" t="str">
        <v>Asamoah Joshua Kiddy Kwasi</v>
      </c>
      <c r="D409" s="5" t="s">
        <v>22</v>
      </c>
      <c r="E409" s="5">
        <v>86</v>
      </c>
      <c r="F409" s="121"/>
      <c r="G409" s="7">
        <f>E409*1.1</f>
        <v>94.600000000000009</v>
      </c>
      <c r="I409" s="1" t="str">
        <f>CONCATENATE(A409,",",D409)</f>
        <v>MATH 152,ED1-BME</v>
      </c>
      <c r="J409" s="36"/>
    </row>
    <row r="410" spans="1:10" ht="14.5" x14ac:dyDescent="0.35">
      <c r="A410" s="5" t="s">
        <v>204</v>
      </c>
      <c r="B410" s="5" t="str">
        <f>IFERROR(VLOOKUP($I410,'[5]Combined Data'!$D$1:$H$534,2,FALSE),0)</f>
        <v>Well Testing</v>
      </c>
      <c r="C410" s="6" t="str">
        <v>Adenutsi Caspar Daniel</v>
      </c>
      <c r="D410" s="5" t="s">
        <v>29</v>
      </c>
      <c r="E410" s="5">
        <v>103</v>
      </c>
      <c r="F410" s="14" t="s">
        <v>1609</v>
      </c>
      <c r="G410" s="7">
        <f t="shared" si="35"/>
        <v>113.30000000000001</v>
      </c>
      <c r="H410" s="88" t="s">
        <v>1863</v>
      </c>
      <c r="I410" s="1" t="str">
        <f t="shared" si="28"/>
        <v>PE 360,ED3-PETE</v>
      </c>
      <c r="J410" s="36"/>
    </row>
    <row r="411" spans="1:10" ht="14.5" x14ac:dyDescent="0.35">
      <c r="A411" s="43" t="s">
        <v>78</v>
      </c>
      <c r="B411" s="5" t="str">
        <f>IFERROR(VLOOKUP($I411,'[5]Combined Data'!$D$1:$H$534,2,FALSE),0)</f>
        <v>Machine Design II</v>
      </c>
      <c r="C411" s="6" t="str">
        <v>Afriyie Nyarko Frank Kwabena</v>
      </c>
      <c r="D411" s="5" t="s">
        <v>88</v>
      </c>
      <c r="E411" s="5">
        <v>108</v>
      </c>
      <c r="F411" s="8" t="s">
        <v>1609</v>
      </c>
      <c r="G411" s="7">
        <f>E411*1.1</f>
        <v>118.80000000000001</v>
      </c>
      <c r="H411" s="88" t="s">
        <v>1611</v>
      </c>
      <c r="I411" s="1" t="str">
        <f>CONCATENATE(A411,",",D411)</f>
        <v>ME 374,ED3-AE</v>
      </c>
      <c r="J411" s="36"/>
    </row>
    <row r="412" spans="1:10" ht="14.5" x14ac:dyDescent="0.35">
      <c r="A412" s="5" t="s">
        <v>203</v>
      </c>
      <c r="B412" s="5" t="str">
        <f>IFERROR(VLOOKUP($I412,'[5]Combined Data'!$D$1:$H$534,2,FALSE),0)</f>
        <v>Materials Joining Processes</v>
      </c>
      <c r="C412" s="6" t="str">
        <v>Kwofie Samuel</v>
      </c>
      <c r="D412" s="5" t="s">
        <v>120</v>
      </c>
      <c r="E412" s="5">
        <v>55</v>
      </c>
      <c r="F412" s="93" t="s">
        <v>1422</v>
      </c>
      <c r="G412" s="7">
        <f t="shared" si="35"/>
        <v>60.500000000000007</v>
      </c>
      <c r="H412" s="88">
        <v>55</v>
      </c>
      <c r="I412" s="1" t="str">
        <f t="shared" si="28"/>
        <v>MSE 362,ED3-METE</v>
      </c>
      <c r="J412" s="36"/>
    </row>
    <row r="413" spans="1:10" ht="14.5" x14ac:dyDescent="0.35">
      <c r="A413" s="5" t="s">
        <v>203</v>
      </c>
      <c r="B413" s="5" t="str">
        <f>IFERROR(VLOOKUP($I413,'[5]Combined Data'!$D$1:$H$534,2,FALSE),0)</f>
        <v>Materials Joining Processes</v>
      </c>
      <c r="C413" s="6" t="str">
        <v>Kwofie Samuel</v>
      </c>
      <c r="D413" s="5" t="s">
        <v>33</v>
      </c>
      <c r="E413" s="5">
        <v>65</v>
      </c>
      <c r="F413" s="93" t="s">
        <v>1420</v>
      </c>
      <c r="G413" s="7">
        <f t="shared" si="35"/>
        <v>71.5</v>
      </c>
      <c r="H413" s="88">
        <v>65</v>
      </c>
      <c r="I413" s="1" t="str">
        <f t="shared" ref="I413:I468" si="36">CONCATENATE(A413,",",D413)</f>
        <v>MSE 362,ED3-MSE</v>
      </c>
      <c r="J413" s="36"/>
    </row>
    <row r="414" spans="1:10" ht="14.5" x14ac:dyDescent="0.35">
      <c r="A414" s="5" t="s">
        <v>202</v>
      </c>
      <c r="B414" s="5" t="str">
        <f>IFERROR(VLOOKUP($I414,'[5]Combined Data'!$D$1:$H$534,2,FALSE),0)</f>
        <v>Industrial Engineering and Ergonomics</v>
      </c>
      <c r="C414" s="6" t="str">
        <v>Mensah Lena Dzifa</v>
      </c>
      <c r="D414" s="5" t="s">
        <v>117</v>
      </c>
      <c r="E414" s="5">
        <v>63</v>
      </c>
      <c r="F414" s="89" t="s">
        <v>1414</v>
      </c>
      <c r="G414" s="7">
        <f t="shared" si="35"/>
        <v>69.300000000000011</v>
      </c>
      <c r="H414" s="88">
        <v>63</v>
      </c>
      <c r="I414" s="1" t="str">
        <f t="shared" si="36"/>
        <v>ME 392,ED3-AERO</v>
      </c>
      <c r="J414" s="36"/>
    </row>
    <row r="415" spans="1:10" ht="14.5" x14ac:dyDescent="0.35">
      <c r="A415" s="5" t="s">
        <v>202</v>
      </c>
      <c r="B415" s="5" t="str">
        <f>IFERROR(VLOOKUP($I415,'[5]Combined Data'!$D$1:$H$534,2,FALSE),0)</f>
        <v>Industrial Engineering and Ergonomics</v>
      </c>
      <c r="C415" s="6" t="str">
        <v>Mensah Lena Dzifa</v>
      </c>
      <c r="D415" s="5" t="s">
        <v>77</v>
      </c>
      <c r="E415" s="5">
        <v>147</v>
      </c>
      <c r="F415" s="89" t="s">
        <v>1585</v>
      </c>
      <c r="G415" s="7">
        <f t="shared" si="35"/>
        <v>161.70000000000002</v>
      </c>
      <c r="H415" s="88" t="s">
        <v>1675</v>
      </c>
      <c r="I415" s="1" t="str">
        <f t="shared" si="36"/>
        <v>ME 392,ED3-ME</v>
      </c>
      <c r="J415" s="36"/>
    </row>
    <row r="416" spans="1:10" ht="14.5" x14ac:dyDescent="0.35">
      <c r="A416" s="5" t="s">
        <v>201</v>
      </c>
      <c r="B416" s="5" t="str">
        <f>IFERROR(VLOOKUP($I416,'[5]Combined Data'!$D$1:$H$534,2,FALSE),0)</f>
        <v>Industrial Engineering And Ergonomics</v>
      </c>
      <c r="C416" s="6" t="str">
        <v>Mensah Lena Dzifa</v>
      </c>
      <c r="D416" s="5" t="s">
        <v>16</v>
      </c>
      <c r="E416" s="5">
        <v>237</v>
      </c>
      <c r="F416" s="8" t="s">
        <v>1600</v>
      </c>
      <c r="G416" s="7">
        <f t="shared" si="35"/>
        <v>260.70000000000005</v>
      </c>
      <c r="H416" s="88" t="s">
        <v>1605</v>
      </c>
      <c r="I416" s="1" t="str">
        <f t="shared" si="36"/>
        <v>ME 292,ED2-ME</v>
      </c>
      <c r="J416" s="36"/>
    </row>
    <row r="417" spans="1:10" ht="14.5" x14ac:dyDescent="0.35">
      <c r="A417" s="5" t="s">
        <v>200</v>
      </c>
      <c r="B417" s="5" t="str">
        <f>IFERROR(VLOOKUP($I417,'[5]Combined Data'!$D$1:$H$534,2,FALSE),0)</f>
        <v>Industrial Engineering and Ergonomics</v>
      </c>
      <c r="C417" s="6" t="str">
        <v>Mensah Lena Dzifa</v>
      </c>
      <c r="D417" s="5" t="s">
        <v>150</v>
      </c>
      <c r="E417" s="5">
        <v>32</v>
      </c>
      <c r="F417" s="89" t="s">
        <v>1438</v>
      </c>
      <c r="G417" s="7">
        <f t="shared" si="35"/>
        <v>35.200000000000003</v>
      </c>
      <c r="H417" s="88">
        <v>32</v>
      </c>
      <c r="I417" s="1" t="str">
        <f t="shared" si="36"/>
        <v>AME 392,ED3-AUTO</v>
      </c>
      <c r="J417" s="36"/>
    </row>
    <row r="418" spans="1:10" ht="14.5" x14ac:dyDescent="0.35">
      <c r="A418" s="5" t="s">
        <v>199</v>
      </c>
      <c r="B418" s="5" t="str">
        <f>IFERROR(VLOOKUP($I418,'[5]Combined Data'!$D$1:$H$534,2,FALSE),0)</f>
        <v>Marine Industrial Engineering and Ergonomics</v>
      </c>
      <c r="C418" s="6" t="str">
        <v>Mensah Lena Dzifa</v>
      </c>
      <c r="D418" s="5" t="s">
        <v>38</v>
      </c>
      <c r="E418" s="5">
        <v>23</v>
      </c>
      <c r="F418" s="93" t="s">
        <v>1424</v>
      </c>
      <c r="G418" s="7">
        <f t="shared" si="35"/>
        <v>25.3</v>
      </c>
      <c r="H418" s="88">
        <v>23</v>
      </c>
      <c r="I418" s="1" t="str">
        <f t="shared" si="36"/>
        <v>MME 392,ED3-MARI</v>
      </c>
      <c r="J418" s="36"/>
    </row>
    <row r="419" spans="1:10" ht="14.5" x14ac:dyDescent="0.35">
      <c r="A419" s="5" t="s">
        <v>197</v>
      </c>
      <c r="B419" s="5" t="str">
        <f>IFERROR(VLOOKUP($I419,'[5]Combined Data'!$D$1:$H$534,2,FALSE),0)</f>
        <v>Fault Diagnosis and Failure Tolerance</v>
      </c>
      <c r="C419" s="6" t="str">
        <v>Agbemenu Andrew Selasi</v>
      </c>
      <c r="D419" s="5" t="s">
        <v>196</v>
      </c>
      <c r="E419" s="5">
        <v>60</v>
      </c>
      <c r="F419" s="89" t="s">
        <v>1681</v>
      </c>
      <c r="G419" s="7">
        <f t="shared" si="35"/>
        <v>66</v>
      </c>
      <c r="H419" s="88" t="s">
        <v>1676</v>
      </c>
      <c r="I419" s="1" t="str">
        <f t="shared" si="36"/>
        <v>COE 480,ED4-COE</v>
      </c>
      <c r="J419" s="36"/>
    </row>
    <row r="420" spans="1:10" ht="14.5" x14ac:dyDescent="0.35">
      <c r="A420" s="5" t="s">
        <v>195</v>
      </c>
      <c r="B420" s="5" t="str">
        <f>IFERROR(VLOOKUP($I420,'[5]Combined Data'!$D$1:$H$534,2,FALSE),0)</f>
        <v>Biomaterials I</v>
      </c>
      <c r="C420" s="6" t="str">
        <v>Odame Prince</v>
      </c>
      <c r="D420" s="5" t="s">
        <v>75</v>
      </c>
      <c r="E420" s="5">
        <v>85</v>
      </c>
      <c r="F420" s="93" t="s">
        <v>1682</v>
      </c>
      <c r="G420" s="7">
        <f t="shared" si="35"/>
        <v>93.500000000000014</v>
      </c>
      <c r="H420" s="88" t="s">
        <v>1677</v>
      </c>
      <c r="I420" s="1" t="str">
        <f t="shared" si="36"/>
        <v>BME 362,ED3-BME</v>
      </c>
      <c r="J420" s="36"/>
    </row>
    <row r="421" spans="1:10" ht="14.5" x14ac:dyDescent="0.35">
      <c r="A421" s="5" t="s">
        <v>257</v>
      </c>
      <c r="B421" s="5" t="str">
        <f>IFERROR(VLOOKUP($I421,'[5]Combined Data'!$D$1:$H$534,2,FALSE),0)</f>
        <v>Crop Losses and Their Control</v>
      </c>
      <c r="C421" s="6" t="str">
        <v xml:space="preserve">Darko Joseph Ofei </v>
      </c>
      <c r="D421" s="5" t="s">
        <v>109</v>
      </c>
      <c r="E421" s="5">
        <v>125</v>
      </c>
      <c r="F421" s="14" t="s">
        <v>1471</v>
      </c>
      <c r="G421" s="7">
        <f>E421*1.1</f>
        <v>137.5</v>
      </c>
      <c r="H421" s="88" t="s">
        <v>1678</v>
      </c>
      <c r="I421" s="1" t="str">
        <f>CONCATENATE(A421,",",D421)</f>
        <v>AE 458,ED4-AE</v>
      </c>
      <c r="J421" s="36"/>
    </row>
    <row r="422" spans="1:10" ht="14.5" x14ac:dyDescent="0.35">
      <c r="A422" s="5" t="s">
        <v>192</v>
      </c>
      <c r="B422" s="5" t="str">
        <f>IFERROR(VLOOKUP($I422,'[5]Combined Data'!$D$1:$H$534,2,FALSE),0)</f>
        <v>Network Planning</v>
      </c>
      <c r="C422" s="6" t="str">
        <v>Opare Kwasi Adu-Boahen</v>
      </c>
      <c r="D422" s="5" t="s">
        <v>55</v>
      </c>
      <c r="E422" s="5">
        <v>141</v>
      </c>
      <c r="F422" s="89" t="s">
        <v>1585</v>
      </c>
      <c r="G422" s="7">
        <f t="shared" si="35"/>
        <v>155.10000000000002</v>
      </c>
      <c r="H422" s="88" t="s">
        <v>1679</v>
      </c>
      <c r="I422" s="1" t="str">
        <f t="shared" si="36"/>
        <v>TE 484,ED4-TEL</v>
      </c>
      <c r="J422" s="36"/>
    </row>
    <row r="423" spans="1:10" ht="14.5" x14ac:dyDescent="0.35">
      <c r="A423" s="5" t="s">
        <v>124</v>
      </c>
      <c r="B423" s="5" t="str">
        <f>IFERROR(VLOOKUP($I423,'[5]Combined Data'!$D$1:$H$534,2,FALSE),0)</f>
        <v>Strength of Materials for Chemical Engineers</v>
      </c>
      <c r="C423" s="6" t="str">
        <v>Anang Daniel Adjah</v>
      </c>
      <c r="D423" s="5" t="s">
        <v>71</v>
      </c>
      <c r="E423" s="5">
        <v>119</v>
      </c>
      <c r="F423" s="93" t="s">
        <v>1471</v>
      </c>
      <c r="G423" s="7">
        <f t="shared" si="35"/>
        <v>130.9</v>
      </c>
      <c r="H423" s="88" t="s">
        <v>1680</v>
      </c>
      <c r="I423" s="1" t="str">
        <f t="shared" si="36"/>
        <v>CHE 250,ED2-CHE</v>
      </c>
      <c r="J423" s="36"/>
    </row>
    <row r="424" spans="1:10" ht="14.5" x14ac:dyDescent="0.35">
      <c r="A424" s="5" t="s">
        <v>124</v>
      </c>
      <c r="B424" s="5" t="str">
        <f>IFERROR(VLOOKUP($I424,'[5]Combined Data'!$D$1:$H$534,2,FALSE),0)</f>
        <v>Strength of Materials for Chemical Engineers</v>
      </c>
      <c r="C424" s="6" t="str">
        <v>Baidoo Martina Francisca</v>
      </c>
      <c r="D424" s="5" t="s">
        <v>69</v>
      </c>
      <c r="E424" s="5">
        <v>59</v>
      </c>
      <c r="F424" s="89" t="s">
        <v>1511</v>
      </c>
      <c r="G424" s="7">
        <f t="shared" si="35"/>
        <v>64.900000000000006</v>
      </c>
      <c r="H424" s="88" t="s">
        <v>1864</v>
      </c>
      <c r="I424" s="1" t="str">
        <f t="shared" si="36"/>
        <v>CHE 250,ED2-PCE</v>
      </c>
      <c r="J424" s="36"/>
    </row>
    <row r="425" spans="1:10" ht="14.5" x14ac:dyDescent="0.35">
      <c r="D425" s="6" t="s">
        <v>191</v>
      </c>
      <c r="E425" s="11">
        <f>SUM(E410:E424)</f>
        <v>1422</v>
      </c>
      <c r="I425" s="1" t="str">
        <f t="shared" si="36"/>
        <v>,Total W7</v>
      </c>
      <c r="J425" s="36"/>
    </row>
    <row r="426" spans="1:10" ht="14.5" x14ac:dyDescent="0.35">
      <c r="I426" s="1" t="str">
        <f t="shared" si="36"/>
        <v>,</v>
      </c>
      <c r="J426" s="36"/>
    </row>
    <row r="427" spans="1:10" ht="14.5" x14ac:dyDescent="0.35">
      <c r="I427" s="1" t="str">
        <f t="shared" si="36"/>
        <v>,</v>
      </c>
      <c r="J427" s="36"/>
    </row>
    <row r="428" spans="1:10" ht="14.5" x14ac:dyDescent="0.35">
      <c r="A428" s="119" t="s">
        <v>406</v>
      </c>
      <c r="B428" s="119"/>
      <c r="C428" s="119"/>
      <c r="D428" s="119"/>
      <c r="E428" s="119"/>
      <c r="F428" s="119"/>
      <c r="G428" s="119"/>
      <c r="I428" s="1" t="str">
        <f t="shared" si="36"/>
        <v>Thursday, 10 July 2025,</v>
      </c>
      <c r="J428" s="36"/>
    </row>
    <row r="429" spans="1:10" ht="14.5" x14ac:dyDescent="0.35">
      <c r="A429" s="116" t="str">
        <f>[2]SESSIONS!$K$1</f>
        <v>Session, 1 (8:15 AM - 9:15 AM)</v>
      </c>
      <c r="B429" s="117"/>
      <c r="C429" s="117"/>
      <c r="D429" s="117"/>
      <c r="E429" s="117"/>
      <c r="F429" s="117"/>
      <c r="G429" s="118"/>
      <c r="I429" s="1" t="str">
        <f t="shared" si="36"/>
        <v>Session, 1 (8:15 AM - 9:15 AM),</v>
      </c>
      <c r="J429" s="36"/>
    </row>
    <row r="430" spans="1:10" ht="14.5" x14ac:dyDescent="0.35">
      <c r="A430" s="2" t="s">
        <v>6</v>
      </c>
      <c r="B430" s="2" t="s">
        <v>5</v>
      </c>
      <c r="C430" s="3" t="s">
        <v>4</v>
      </c>
      <c r="D430" s="2" t="s">
        <v>3</v>
      </c>
      <c r="E430" s="2" t="s">
        <v>2</v>
      </c>
      <c r="F430" s="3" t="s">
        <v>1</v>
      </c>
      <c r="G430" s="2" t="s">
        <v>0</v>
      </c>
      <c r="I430" s="1" t="str">
        <f t="shared" si="36"/>
        <v>CODE ,CLASS</v>
      </c>
      <c r="J430" s="36"/>
    </row>
    <row r="431" spans="1:10" ht="14.5" x14ac:dyDescent="0.35">
      <c r="A431" s="5" t="s">
        <v>190</v>
      </c>
      <c r="B431" s="5" t="str">
        <f>IFERROR(VLOOKUP($I431,'[5]Combined Data'!$D$1:$H$534,2,FALSE),0)</f>
        <v>Calculus with Analysis</v>
      </c>
      <c r="C431" s="6" t="str" cm="1">
        <f t="array" ref="C431:C442">VLOOKUP(I431:I442,'Combined Data'!A1:E547,3,FALSE)</f>
        <v>I. Azure</v>
      </c>
      <c r="D431" s="5" t="s">
        <v>23</v>
      </c>
      <c r="E431" s="5" cm="1">
        <f t="array" ref="E431:E442">VLOOKUP(I431:I442,combined_data!A1:D549,4,FALSE)</f>
        <v>139</v>
      </c>
      <c r="F431" s="98" t="s">
        <v>1699</v>
      </c>
      <c r="G431" s="7">
        <f>E431*1.1</f>
        <v>152.9</v>
      </c>
      <c r="H431" s="88" t="s">
        <v>1759</v>
      </c>
      <c r="I431" s="1" t="str">
        <f>CONCATENATE(A431,",",D431)</f>
        <v>MATH 152,ED1-GEOM</v>
      </c>
      <c r="J431" s="36"/>
    </row>
    <row r="432" spans="1:10" ht="14.5" x14ac:dyDescent="0.35">
      <c r="A432" s="5" t="s">
        <v>190</v>
      </c>
      <c r="B432" s="5" t="str">
        <f>IFERROR(VLOOKUP($I432,'[5]Combined Data'!$D$1:$H$534,2,FALSE),0)</f>
        <v>Calculus with Analysis</v>
      </c>
      <c r="C432" s="6" t="str">
        <v>I. Azure</v>
      </c>
      <c r="D432" s="5" t="s">
        <v>15</v>
      </c>
      <c r="E432" s="5">
        <v>78</v>
      </c>
      <c r="F432" s="98" t="s">
        <v>1755</v>
      </c>
      <c r="G432" s="7">
        <f t="shared" ref="G432:G442" si="37">E432*1.1</f>
        <v>85.800000000000011</v>
      </c>
      <c r="H432" s="88" t="s">
        <v>1760</v>
      </c>
      <c r="I432" s="1" t="str">
        <f t="shared" si="36"/>
        <v>MATH 152,ED1-AUTO</v>
      </c>
      <c r="J432" s="36"/>
    </row>
    <row r="433" spans="1:10" ht="14.5" x14ac:dyDescent="0.35">
      <c r="A433" s="5" t="s">
        <v>190</v>
      </c>
      <c r="B433" s="5" t="str">
        <f>IFERROR(VLOOKUP($I433,'[5]Combined Data'!$D$1:$H$534,2,FALSE),0)</f>
        <v>Calculus with Analysis</v>
      </c>
      <c r="C433" s="6" t="str">
        <v>I. Azure</v>
      </c>
      <c r="D433" s="5" t="s">
        <v>60</v>
      </c>
      <c r="E433" s="5">
        <v>155</v>
      </c>
      <c r="F433" s="99" t="s">
        <v>1541</v>
      </c>
      <c r="G433" s="7">
        <f t="shared" si="37"/>
        <v>170.5</v>
      </c>
      <c r="H433" s="88" t="s">
        <v>1761</v>
      </c>
      <c r="I433" s="1" t="str">
        <f t="shared" si="36"/>
        <v>MATH 152,ED1-CHE</v>
      </c>
      <c r="J433" s="36"/>
    </row>
    <row r="434" spans="1:10" ht="14.5" x14ac:dyDescent="0.35">
      <c r="A434" s="5" t="s">
        <v>190</v>
      </c>
      <c r="B434" s="5" t="str">
        <f>IFERROR(VLOOKUP($I434,'[5]Combined Data'!$D$1:$H$534,2,FALSE),0)</f>
        <v>Calculus with Analysis</v>
      </c>
      <c r="C434" s="6" t="str">
        <v>I. Azure</v>
      </c>
      <c r="D434" s="5" t="s">
        <v>176</v>
      </c>
      <c r="E434" s="5">
        <v>244</v>
      </c>
      <c r="F434" s="97" t="s">
        <v>1686</v>
      </c>
      <c r="G434" s="7">
        <f>E434*1.1</f>
        <v>268.40000000000003</v>
      </c>
      <c r="H434" s="88" t="s">
        <v>1762</v>
      </c>
      <c r="I434" s="1" t="str">
        <f>CONCATENATE(A434,",",D434)</f>
        <v>MATH 152,ED1-ME</v>
      </c>
      <c r="J434" s="36"/>
    </row>
    <row r="435" spans="1:10" ht="14.5" x14ac:dyDescent="0.35">
      <c r="A435" s="5" t="s">
        <v>190</v>
      </c>
      <c r="B435" s="5" t="str">
        <f>IFERROR(VLOOKUP($I435,'[5]Combined Data'!$D$1:$H$534,2,FALSE),0)</f>
        <v>Calculus with Analysis</v>
      </c>
      <c r="C435" s="6" t="str">
        <v>I. Azure</v>
      </c>
      <c r="D435" s="5" t="s">
        <v>58</v>
      </c>
      <c r="E435" s="5">
        <v>59</v>
      </c>
      <c r="F435" s="99" t="s">
        <v>1756</v>
      </c>
      <c r="G435" s="7">
        <f t="shared" si="37"/>
        <v>64.900000000000006</v>
      </c>
      <c r="H435" s="88" t="s">
        <v>1535</v>
      </c>
      <c r="I435" s="1" t="str">
        <f t="shared" si="36"/>
        <v>MATH 152,ED1-PCE</v>
      </c>
      <c r="J435" s="36"/>
    </row>
    <row r="436" spans="1:10" ht="14.5" x14ac:dyDescent="0.35">
      <c r="A436" s="5" t="s">
        <v>190</v>
      </c>
      <c r="B436" s="5" t="str">
        <f>IFERROR(VLOOKUP($I436,'[5]Combined Data'!$D$1:$H$534,2,FALSE),0)</f>
        <v>Calculus with Analysis</v>
      </c>
      <c r="C436" s="6" t="str">
        <v>Ezearn Jeffery</v>
      </c>
      <c r="D436" s="5" t="s">
        <v>157</v>
      </c>
      <c r="E436" s="5">
        <v>75</v>
      </c>
      <c r="F436" s="99" t="s">
        <v>1757</v>
      </c>
      <c r="G436" s="7">
        <f t="shared" si="37"/>
        <v>82.5</v>
      </c>
      <c r="H436" s="88" t="s">
        <v>1501</v>
      </c>
      <c r="I436" s="1" t="str">
        <f t="shared" si="36"/>
        <v>MATH 152,ED1-AERO</v>
      </c>
      <c r="J436" s="36"/>
    </row>
    <row r="437" spans="1:10" ht="14.5" x14ac:dyDescent="0.35">
      <c r="A437" s="5" t="s">
        <v>190</v>
      </c>
      <c r="B437" s="5" t="str">
        <f>IFERROR(VLOOKUP($I437,'[5]Combined Data'!$D$1:$H$534,2,FALSE),0)</f>
        <v>Calculus with Analysis</v>
      </c>
      <c r="C437" s="6" t="str">
        <v>Ezearn Jeffery</v>
      </c>
      <c r="D437" s="5" t="s">
        <v>82</v>
      </c>
      <c r="E437" s="5">
        <v>88</v>
      </c>
      <c r="F437" s="99" t="s">
        <v>1538</v>
      </c>
      <c r="G437" s="7">
        <f t="shared" si="37"/>
        <v>96.800000000000011</v>
      </c>
      <c r="H437" s="88" t="s">
        <v>1498</v>
      </c>
      <c r="I437" s="1" t="str">
        <f t="shared" si="36"/>
        <v>MATH 152,ED1-IND</v>
      </c>
      <c r="J437" s="36"/>
    </row>
    <row r="438" spans="1:10" ht="14.5" x14ac:dyDescent="0.35">
      <c r="A438" s="5" t="s">
        <v>190</v>
      </c>
      <c r="B438" s="5" t="str">
        <f>IFERROR(VLOOKUP($I438,'[5]Combined Data'!$D$1:$H$534,2,FALSE),0)</f>
        <v>Calculus with Analysis</v>
      </c>
      <c r="C438" s="6" t="str">
        <v>Ezearn Jeffery</v>
      </c>
      <c r="D438" s="5" t="s">
        <v>43</v>
      </c>
      <c r="E438" s="5">
        <v>37</v>
      </c>
      <c r="F438" s="99" t="s">
        <v>1511</v>
      </c>
      <c r="G438" s="7">
        <f t="shared" si="37"/>
        <v>40.700000000000003</v>
      </c>
      <c r="H438" s="88" t="s">
        <v>1744</v>
      </c>
      <c r="I438" s="1" t="str">
        <f t="shared" si="36"/>
        <v>MATH 152,ED1-MARI</v>
      </c>
      <c r="J438" s="36"/>
    </row>
    <row r="439" spans="1:10" ht="14.5" x14ac:dyDescent="0.35">
      <c r="A439" s="5" t="s">
        <v>190</v>
      </c>
      <c r="B439" s="5" t="str">
        <f>IFERROR(VLOOKUP($I439,'[5]Combined Data'!$D$1:$H$534,2,FALSE),0)</f>
        <v>Calculus with Analysis</v>
      </c>
      <c r="C439" s="6" t="str">
        <v>Ezearn Jeffery</v>
      </c>
      <c r="D439" s="5" t="s">
        <v>44</v>
      </c>
      <c r="E439" s="5">
        <v>260</v>
      </c>
      <c r="F439" s="97" t="s">
        <v>1683</v>
      </c>
      <c r="G439" s="7">
        <f t="shared" si="37"/>
        <v>286</v>
      </c>
      <c r="H439" s="88" t="s">
        <v>1689</v>
      </c>
      <c r="I439" s="1" t="str">
        <f t="shared" si="36"/>
        <v>MATH 152,ED1-CE</v>
      </c>
      <c r="J439" s="36"/>
    </row>
    <row r="440" spans="1:10" ht="14.5" x14ac:dyDescent="0.35">
      <c r="A440" s="5" t="s">
        <v>190</v>
      </c>
      <c r="B440" s="5" t="str">
        <f>IFERROR(VLOOKUP($I440,'[5]Combined Data'!$D$1:$H$534,2,FALSE),0)</f>
        <v>Calculus with Analysis</v>
      </c>
      <c r="C440" s="6" t="str">
        <v>Ezearn Jeffery</v>
      </c>
      <c r="D440" s="5" t="s">
        <v>20</v>
      </c>
      <c r="E440" s="5">
        <v>255</v>
      </c>
      <c r="F440" s="98" t="s">
        <v>1758</v>
      </c>
      <c r="G440" s="7">
        <f t="shared" si="37"/>
        <v>280.5</v>
      </c>
      <c r="H440" s="88" t="s">
        <v>1763</v>
      </c>
      <c r="I440" s="1" t="str">
        <f t="shared" si="36"/>
        <v>MATH 152,ED1-COE</v>
      </c>
      <c r="J440" s="36"/>
    </row>
    <row r="441" spans="1:10" ht="14.5" x14ac:dyDescent="0.35">
      <c r="A441" s="5" t="s">
        <v>190</v>
      </c>
      <c r="B441" s="5" t="str">
        <f>IFERROR(VLOOKUP($I441,'[5]Combined Data'!$D$1:$H$534,2,FALSE),0)</f>
        <v>Calculus with Analysis</v>
      </c>
      <c r="C441" s="6" t="str">
        <v>I. Azure</v>
      </c>
      <c r="D441" s="5" t="s">
        <v>18</v>
      </c>
      <c r="E441" s="5">
        <v>61</v>
      </c>
      <c r="F441" s="106" t="s">
        <v>1537</v>
      </c>
      <c r="G441" s="7">
        <f t="shared" si="37"/>
        <v>67.100000000000009</v>
      </c>
      <c r="H441" s="88" t="s">
        <v>1490</v>
      </c>
      <c r="I441" s="1" t="str">
        <f t="shared" si="36"/>
        <v>MATH 152,ED1-METE</v>
      </c>
      <c r="J441" s="36"/>
    </row>
    <row r="442" spans="1:10" ht="14.5" x14ac:dyDescent="0.35">
      <c r="A442" s="5" t="s">
        <v>190</v>
      </c>
      <c r="B442" s="5" t="str">
        <f>IFERROR(VLOOKUP($I442,'[5]Combined Data'!$D$1:$H$534,2,FALSE),0)</f>
        <v>Calculus with Analysis</v>
      </c>
      <c r="C442" s="6" t="str">
        <v>I. Azure</v>
      </c>
      <c r="D442" s="5" t="s">
        <v>177</v>
      </c>
      <c r="E442" s="5">
        <v>84</v>
      </c>
      <c r="F442" s="107" t="s">
        <v>1472</v>
      </c>
      <c r="G442" s="7">
        <f t="shared" si="37"/>
        <v>92.4</v>
      </c>
      <c r="H442" s="88" t="s">
        <v>1745</v>
      </c>
      <c r="I442" s="1" t="str">
        <f t="shared" si="36"/>
        <v>MATH 152,ED1-MSE</v>
      </c>
      <c r="J442" s="36"/>
    </row>
    <row r="443" spans="1:10" ht="14.5" x14ac:dyDescent="0.35">
      <c r="D443" s="6" t="s">
        <v>189</v>
      </c>
      <c r="E443" s="11">
        <f>SUM(E431:E442)</f>
        <v>1535</v>
      </c>
      <c r="I443" s="1" t="str">
        <f t="shared" si="36"/>
        <v>,Total H1</v>
      </c>
      <c r="J443" s="36"/>
    </row>
    <row r="444" spans="1:10" ht="14.5" x14ac:dyDescent="0.35">
      <c r="I444" s="1" t="str">
        <f t="shared" si="36"/>
        <v>,</v>
      </c>
      <c r="J444" s="36"/>
    </row>
    <row r="445" spans="1:10" ht="14.5" x14ac:dyDescent="0.35">
      <c r="I445" s="1" t="str">
        <f t="shared" si="36"/>
        <v>,</v>
      </c>
      <c r="J445" s="36"/>
    </row>
    <row r="446" spans="1:10" ht="14.5" x14ac:dyDescent="0.35">
      <c r="A446" s="119" t="s">
        <v>406</v>
      </c>
      <c r="B446" s="119"/>
      <c r="C446" s="119"/>
      <c r="D446" s="119"/>
      <c r="E446" s="119"/>
      <c r="F446" s="119"/>
      <c r="G446" s="119"/>
      <c r="I446" s="1" t="str">
        <f t="shared" si="36"/>
        <v>Thursday, 10 July 2025,</v>
      </c>
      <c r="J446" s="36"/>
    </row>
    <row r="447" spans="1:10" ht="14.5" x14ac:dyDescent="0.35">
      <c r="A447" s="116" t="str">
        <f>[2]SESSIONS!$K$2</f>
        <v>Session, 2 (10:00 AM - 11:00 AM)</v>
      </c>
      <c r="B447" s="117"/>
      <c r="C447" s="117"/>
      <c r="D447" s="117"/>
      <c r="E447" s="117"/>
      <c r="F447" s="117"/>
      <c r="G447" s="118"/>
      <c r="I447" s="1" t="str">
        <f t="shared" si="36"/>
        <v>Session, 2 (10:00 AM - 11:00 AM),</v>
      </c>
      <c r="J447" s="36"/>
    </row>
    <row r="448" spans="1:10" ht="14.5" x14ac:dyDescent="0.35">
      <c r="A448" s="2" t="s">
        <v>6</v>
      </c>
      <c r="B448" s="2" t="s">
        <v>5</v>
      </c>
      <c r="C448" s="3" t="s">
        <v>4</v>
      </c>
      <c r="D448" s="2" t="s">
        <v>3</v>
      </c>
      <c r="E448" s="2" t="s">
        <v>2</v>
      </c>
      <c r="F448" s="3" t="s">
        <v>1</v>
      </c>
      <c r="G448" s="2" t="s">
        <v>0</v>
      </c>
      <c r="I448" s="1" t="str">
        <f t="shared" si="36"/>
        <v>CODE ,CLASS</v>
      </c>
      <c r="J448" s="36"/>
    </row>
    <row r="449" spans="1:10" ht="14.5" x14ac:dyDescent="0.35">
      <c r="A449" s="5" t="s">
        <v>188</v>
      </c>
      <c r="B449" s="5" t="str">
        <f>IFERROR(VLOOKUP($I449,'[5]Combined Data'!$D$1:$H$534,2,FALSE),0)</f>
        <v>Digital Systems Design I</v>
      </c>
      <c r="C449" s="6" t="str" cm="1">
        <f t="array" ref="C449:C460">VLOOKUP(I449:I460,'Combined Data'!A1:E597,3,FALSE)</f>
        <v>Nunoo-Mensah Henry</v>
      </c>
      <c r="D449" s="5" t="s">
        <v>40</v>
      </c>
      <c r="E449" s="5" cm="1">
        <f t="array" ref="E449:E460">VLOOKUP(I449:I460,combined_data!A1:D549,4,FALSE)</f>
        <v>277</v>
      </c>
      <c r="F449" s="97" t="s">
        <v>1764</v>
      </c>
      <c r="G449" s="7">
        <f t="shared" ref="G449:G460" si="38">E449*1.1</f>
        <v>304.70000000000005</v>
      </c>
      <c r="H449" s="88" t="s">
        <v>1765</v>
      </c>
      <c r="I449" s="1" t="str">
        <f t="shared" si="36"/>
        <v>COE 272,ED2-COE</v>
      </c>
      <c r="J449" s="36"/>
    </row>
    <row r="450" spans="1:10" ht="14.5" x14ac:dyDescent="0.35">
      <c r="A450" s="5" t="s">
        <v>188</v>
      </c>
      <c r="B450" s="5" t="str">
        <f>IFERROR(VLOOKUP($I450,'[5]Combined Data'!$D$1:$H$534,2,FALSE),0)</f>
        <v>Digital Systems Design I</v>
      </c>
      <c r="C450" s="6" t="str">
        <v>Nunoo-Mensah Henry</v>
      </c>
      <c r="D450" s="5" t="s">
        <v>42</v>
      </c>
      <c r="E450" s="5">
        <v>94</v>
      </c>
      <c r="F450" s="98" t="s">
        <v>1538</v>
      </c>
      <c r="G450" s="7">
        <f t="shared" si="38"/>
        <v>103.4</v>
      </c>
      <c r="H450" s="88" t="s">
        <v>1766</v>
      </c>
      <c r="I450" s="1" t="str">
        <f t="shared" si="36"/>
        <v>COE 272,ED2-BME</v>
      </c>
      <c r="J450" s="36"/>
    </row>
    <row r="451" spans="1:10" ht="14.5" x14ac:dyDescent="0.35">
      <c r="A451" s="5" t="s">
        <v>187</v>
      </c>
      <c r="B451" s="5" t="str">
        <f>IFERROR(VLOOKUP($I451,'[5]Combined Data'!$D$1:$H$534,2,FALSE),0)</f>
        <v>Numerical Methods for Chemical Engineers</v>
      </c>
      <c r="C451" s="6" t="str">
        <v>Mensah Mary</v>
      </c>
      <c r="D451" s="5" t="s">
        <v>79</v>
      </c>
      <c r="E451" s="5">
        <v>62</v>
      </c>
      <c r="F451" s="98" t="s">
        <v>1420</v>
      </c>
      <c r="G451" s="7">
        <f t="shared" si="38"/>
        <v>68.2</v>
      </c>
      <c r="H451" s="88">
        <v>62</v>
      </c>
      <c r="I451" s="1" t="str">
        <f t="shared" si="36"/>
        <v>CHE 358,ED3-PCE</v>
      </c>
      <c r="J451" s="36"/>
    </row>
    <row r="452" spans="1:10" ht="14.5" x14ac:dyDescent="0.35">
      <c r="A452" s="5" t="s">
        <v>187</v>
      </c>
      <c r="B452" s="5" t="str">
        <f>IFERROR(VLOOKUP($I452,'[5]Combined Data'!$D$1:$H$534,2,FALSE),0)</f>
        <v>Numerical Methods for Chemical Engineers</v>
      </c>
      <c r="C452" s="6" t="str">
        <v>Mensah Mary</v>
      </c>
      <c r="D452" s="5" t="s">
        <v>48</v>
      </c>
      <c r="E452" s="5">
        <v>114</v>
      </c>
      <c r="F452" s="98" t="s">
        <v>1696</v>
      </c>
      <c r="G452" s="7">
        <f t="shared" si="38"/>
        <v>125.4</v>
      </c>
      <c r="H452" s="88" t="s">
        <v>1767</v>
      </c>
      <c r="I452" s="1" t="str">
        <f t="shared" si="36"/>
        <v>CHE 358,ED3-CHE</v>
      </c>
      <c r="J452" s="36"/>
    </row>
    <row r="453" spans="1:10" ht="14.5" x14ac:dyDescent="0.35">
      <c r="A453" s="5" t="s">
        <v>186</v>
      </c>
      <c r="B453" s="5" t="str">
        <f>IFERROR(VLOOKUP($I453,'[5]Combined Data'!$D$1:$H$534,2,FALSE),0)</f>
        <v>Fluid Machinery</v>
      </c>
      <c r="C453" s="6" t="str">
        <v>Opoku Richard</v>
      </c>
      <c r="D453" s="5" t="s">
        <v>91</v>
      </c>
      <c r="E453" s="5">
        <v>184</v>
      </c>
      <c r="F453" s="98" t="s">
        <v>1417</v>
      </c>
      <c r="G453" s="7">
        <f t="shared" si="38"/>
        <v>202.4</v>
      </c>
      <c r="H453" s="88" t="s">
        <v>1768</v>
      </c>
      <c r="I453" s="1" t="str">
        <f t="shared" si="36"/>
        <v>ME 452,ED4-ME</v>
      </c>
      <c r="J453" s="36"/>
    </row>
    <row r="454" spans="1:10" ht="14.5" x14ac:dyDescent="0.35">
      <c r="A454" s="5" t="s">
        <v>471</v>
      </c>
      <c r="B454" s="5" t="str">
        <f>IFERROR(VLOOKUP($I454,'[5]Combined Data'!$D$1:$H$534,2,FALSE),0)</f>
        <v>Geostatistics</v>
      </c>
      <c r="C454" s="6" t="str">
        <v>D. O. B. Nuamah</v>
      </c>
      <c r="D454" s="5" t="s">
        <v>29</v>
      </c>
      <c r="E454" s="5">
        <v>103</v>
      </c>
      <c r="F454" s="98" t="s">
        <v>1564</v>
      </c>
      <c r="G454" s="7">
        <f t="shared" si="38"/>
        <v>113.30000000000001</v>
      </c>
      <c r="H454" s="88" t="s">
        <v>1770</v>
      </c>
      <c r="I454" s="1" t="str">
        <f t="shared" si="36"/>
        <v>PE 362,ED3-PETE</v>
      </c>
      <c r="J454" s="36"/>
    </row>
    <row r="455" spans="1:10" ht="14.5" x14ac:dyDescent="0.35">
      <c r="A455" s="5" t="s">
        <v>37</v>
      </c>
      <c r="B455" s="5" t="str">
        <f>IFERROR(VLOOKUP($I455,'[5]Combined Data'!$D$1:$H$534,2,FALSE),0)</f>
        <v>Reservoir Fluid Properties</v>
      </c>
      <c r="C455" s="6" t="str">
        <v>Erzuah Samuel</v>
      </c>
      <c r="D455" s="5" t="s">
        <v>36</v>
      </c>
      <c r="E455" s="5">
        <v>82</v>
      </c>
      <c r="F455" s="8" t="s">
        <v>1718</v>
      </c>
      <c r="G455" s="7">
        <f>E455*1.1</f>
        <v>90.2</v>
      </c>
      <c r="H455" s="88" t="s">
        <v>1853</v>
      </c>
      <c r="I455" s="1" t="str">
        <f>CONCATENATE(A455,",",D455)</f>
        <v>PE 260,ED2-PETE</v>
      </c>
      <c r="J455" s="36"/>
    </row>
    <row r="456" spans="1:10" ht="14.5" x14ac:dyDescent="0.35">
      <c r="A456" s="5" t="s">
        <v>78</v>
      </c>
      <c r="B456" s="5" t="str">
        <f>IFERROR(VLOOKUP($I456,'[5]Combined Data'!$D$1:$H$534,2,FALSE),0)</f>
        <v>Machine Design</v>
      </c>
      <c r="C456" s="6" t="str">
        <v>Andoh Prince Yaw</v>
      </c>
      <c r="D456" s="5" t="s">
        <v>77</v>
      </c>
      <c r="E456" s="5">
        <v>147</v>
      </c>
      <c r="F456" s="98" t="s">
        <v>1684</v>
      </c>
      <c r="G456" s="7">
        <f t="shared" si="38"/>
        <v>161.70000000000002</v>
      </c>
      <c r="H456" s="88" t="s">
        <v>1771</v>
      </c>
      <c r="I456" s="1" t="str">
        <f>CONCATENATE(A456,",",D456)</f>
        <v>ME 374,ED3-ME</v>
      </c>
      <c r="J456" s="36"/>
    </row>
    <row r="457" spans="1:10" ht="14.5" x14ac:dyDescent="0.35">
      <c r="A457" s="5" t="s">
        <v>184</v>
      </c>
      <c r="B457" s="5" t="str">
        <f>IFERROR(VLOOKUP($I457,'[5]Combined Data'!$D$1:$H$534,2,FALSE),0)</f>
        <v>Oilfield Geochemistry</v>
      </c>
      <c r="C457" s="6" t="str">
        <v>Adenutsi Caspar Daniel</v>
      </c>
      <c r="D457" s="5" t="s">
        <v>53</v>
      </c>
      <c r="E457" s="5">
        <v>158</v>
      </c>
      <c r="F457" s="98" t="s">
        <v>1769</v>
      </c>
      <c r="G457" s="7">
        <f t="shared" si="38"/>
        <v>173.8</v>
      </c>
      <c r="H457" s="88" t="s">
        <v>1772</v>
      </c>
      <c r="I457" s="1" t="str">
        <f t="shared" si="36"/>
        <v>PE 458,ED4-PETE</v>
      </c>
      <c r="J457" s="36"/>
    </row>
    <row r="458" spans="1:10" ht="14.5" x14ac:dyDescent="0.35">
      <c r="A458" s="5" t="s">
        <v>183</v>
      </c>
      <c r="B458" s="5" t="str">
        <f>IFERROR(VLOOKUP($I458,'[5]Combined Data'!$D$1:$H$534,2,FALSE),0)</f>
        <v>Heat Transport Processes</v>
      </c>
      <c r="C458" s="6" t="str">
        <v>Ohemeng-Boahen Godfred</v>
      </c>
      <c r="D458" s="16" t="s">
        <v>69</v>
      </c>
      <c r="E458" s="5">
        <v>59</v>
      </c>
      <c r="F458" s="98" t="s">
        <v>1422</v>
      </c>
      <c r="G458" s="7">
        <f t="shared" si="38"/>
        <v>64.900000000000006</v>
      </c>
      <c r="H458" s="88">
        <v>59</v>
      </c>
      <c r="I458" s="1" t="str">
        <f t="shared" si="36"/>
        <v>CHE 256,ED2-PCE</v>
      </c>
      <c r="J458" s="36"/>
    </row>
    <row r="459" spans="1:10" ht="14.5" x14ac:dyDescent="0.35">
      <c r="A459" s="5" t="s">
        <v>181</v>
      </c>
      <c r="B459" s="5" t="str">
        <f>IFERROR(VLOOKUP($I459,'[5]Combined Data'!$D$1:$H$534,2,FALSE),0)</f>
        <v>Biosignal Processes and Analysis</v>
      </c>
      <c r="C459" s="6" t="str">
        <v>Adjei Prince Ebenezer</v>
      </c>
      <c r="D459" s="5" t="s">
        <v>75</v>
      </c>
      <c r="E459" s="5">
        <v>85</v>
      </c>
      <c r="F459" s="98" t="s">
        <v>1757</v>
      </c>
      <c r="G459" s="7">
        <f t="shared" si="38"/>
        <v>93.500000000000014</v>
      </c>
      <c r="H459" s="88" t="s">
        <v>1773</v>
      </c>
      <c r="I459" s="1" t="str">
        <f t="shared" si="36"/>
        <v>BME 366,ED3-BME</v>
      </c>
      <c r="J459" s="36"/>
    </row>
    <row r="460" spans="1:10" ht="14.5" x14ac:dyDescent="0.35">
      <c r="A460" s="5" t="s">
        <v>142</v>
      </c>
      <c r="B460" s="5" t="str">
        <f>IFERROR(VLOOKUP($I460,'[5]Combined Data'!$D$1:$H$534,2,FALSE),0)</f>
        <v>Farm Power and Machinery</v>
      </c>
      <c r="C460" s="6" t="str">
        <v>Aikins Stephen Hill Mends</v>
      </c>
      <c r="D460" s="5" t="s">
        <v>88</v>
      </c>
      <c r="E460" s="5">
        <v>108</v>
      </c>
      <c r="F460" s="14" t="s">
        <v>1495</v>
      </c>
      <c r="G460" s="17">
        <f t="shared" si="38"/>
        <v>118.80000000000001</v>
      </c>
      <c r="H460" s="88" t="s">
        <v>1613</v>
      </c>
      <c r="I460" s="1" t="str">
        <f t="shared" si="36"/>
        <v>AE 356,ED3-AE</v>
      </c>
      <c r="J460" s="36"/>
    </row>
    <row r="461" spans="1:10" ht="14.5" x14ac:dyDescent="0.35">
      <c r="D461" s="6" t="s">
        <v>178</v>
      </c>
      <c r="E461" s="11">
        <f>SUM(E449:E460)</f>
        <v>1473</v>
      </c>
      <c r="I461" s="1" t="str">
        <f t="shared" si="36"/>
        <v>,Total H2</v>
      </c>
      <c r="J461" s="36"/>
    </row>
    <row r="462" spans="1:10" ht="14.5" x14ac:dyDescent="0.35">
      <c r="I462" s="1" t="str">
        <f t="shared" si="36"/>
        <v>,</v>
      </c>
      <c r="J462" s="36"/>
    </row>
    <row r="463" spans="1:10" ht="14.5" x14ac:dyDescent="0.35">
      <c r="I463" s="1" t="str">
        <f t="shared" si="36"/>
        <v>,</v>
      </c>
      <c r="J463" s="36"/>
    </row>
    <row r="464" spans="1:10" ht="14.5" x14ac:dyDescent="0.35">
      <c r="A464" s="119" t="s">
        <v>406</v>
      </c>
      <c r="B464" s="119"/>
      <c r="C464" s="119"/>
      <c r="D464" s="119"/>
      <c r="E464" s="119"/>
      <c r="F464" s="119"/>
      <c r="G464" s="119"/>
      <c r="I464" s="1" t="str">
        <f t="shared" si="36"/>
        <v>Thursday, 10 July 2025,</v>
      </c>
      <c r="J464" s="36"/>
    </row>
    <row r="465" spans="1:10" ht="14.5" x14ac:dyDescent="0.35">
      <c r="A465" s="116" t="str">
        <f>[2]SESSIONS!$K$3</f>
        <v>Session, 3 (11:45 AM - 12:45 PM)</v>
      </c>
      <c r="B465" s="117"/>
      <c r="C465" s="117"/>
      <c r="D465" s="117"/>
      <c r="E465" s="117"/>
      <c r="F465" s="117"/>
      <c r="G465" s="118"/>
      <c r="I465" s="1" t="str">
        <f t="shared" si="36"/>
        <v>Session, 3 (11:45 AM - 12:45 PM),</v>
      </c>
      <c r="J465" s="36"/>
    </row>
    <row r="466" spans="1:10" ht="14.5" x14ac:dyDescent="0.35">
      <c r="A466" s="2" t="s">
        <v>6</v>
      </c>
      <c r="B466" s="2" t="s">
        <v>5</v>
      </c>
      <c r="C466" s="3" t="s">
        <v>4</v>
      </c>
      <c r="D466" s="2" t="s">
        <v>3</v>
      </c>
      <c r="E466" s="2" t="s">
        <v>2</v>
      </c>
      <c r="F466" s="4" t="s">
        <v>1</v>
      </c>
      <c r="G466" s="2" t="s">
        <v>0</v>
      </c>
      <c r="I466" s="1" t="str">
        <f t="shared" si="36"/>
        <v>CODE ,CLASS</v>
      </c>
      <c r="J466" s="36"/>
    </row>
    <row r="467" spans="1:10" ht="14.5" x14ac:dyDescent="0.35">
      <c r="A467" s="5" t="s">
        <v>175</v>
      </c>
      <c r="B467" s="5" t="str">
        <f>IFERROR(VLOOKUP($I467,'[5]Combined Data'!$D$1:$H$534,2,FALSE),0)</f>
        <v>Engineering Drawing</v>
      </c>
      <c r="C467" s="6" t="str" cm="1">
        <f t="array" ref="C467:C476">VLOOKUP(I467:I476,'Combined Data'!A1:E597,3,FALSE)</f>
        <v>Aveyire Joseph</v>
      </c>
      <c r="D467" s="5" t="s">
        <v>101</v>
      </c>
      <c r="E467" s="5" cm="1">
        <f t="array" ref="E467:E476">VLOOKUP(I467:I476,combined_data!A1:D549,4,FALSE)</f>
        <v>157</v>
      </c>
      <c r="F467" s="97" t="s">
        <v>1769</v>
      </c>
      <c r="G467" s="7">
        <f t="shared" ref="G467:G476" si="39">E467*1.1</f>
        <v>172.70000000000002</v>
      </c>
      <c r="H467" s="88" t="s">
        <v>1778</v>
      </c>
      <c r="I467" s="1" t="str">
        <f t="shared" si="36"/>
        <v>ME 160,ED1-AE</v>
      </c>
      <c r="J467" s="36"/>
    </row>
    <row r="468" spans="1:10" ht="14.5" x14ac:dyDescent="0.35">
      <c r="A468" s="5" t="s">
        <v>175</v>
      </c>
      <c r="B468" s="5" t="str">
        <f>IFERROR(VLOOKUP($I468,'[5]Combined Data'!$D$1:$H$534,2,FALSE),0)</f>
        <v>Engineering Drawing</v>
      </c>
      <c r="C468" s="6" t="str">
        <v>Aveyire Joseph</v>
      </c>
      <c r="D468" s="5" t="s">
        <v>18</v>
      </c>
      <c r="E468" s="5">
        <v>61</v>
      </c>
      <c r="F468" s="108" t="s">
        <v>1774</v>
      </c>
      <c r="G468" s="7">
        <f t="shared" si="39"/>
        <v>67.100000000000009</v>
      </c>
      <c r="H468" s="88" t="s">
        <v>1490</v>
      </c>
      <c r="I468" s="1" t="str">
        <f t="shared" si="36"/>
        <v>ME 160,ED1-METE</v>
      </c>
      <c r="J468" s="36"/>
    </row>
    <row r="469" spans="1:10" ht="14.5" x14ac:dyDescent="0.35">
      <c r="A469" s="43" t="s">
        <v>440</v>
      </c>
      <c r="B469" s="5" t="str">
        <f>IFERROR(VLOOKUP($I469,'[5]Combined Data'!$D$1:$H$534,2,FALSE),0)</f>
        <v>Communication Circuits</v>
      </c>
      <c r="C469" s="6" t="str">
        <v>Abdul-Rahman Ahmed</v>
      </c>
      <c r="D469" s="5" t="s">
        <v>49</v>
      </c>
      <c r="E469" s="5">
        <v>147</v>
      </c>
      <c r="F469" s="98" t="s">
        <v>1684</v>
      </c>
      <c r="G469" s="7">
        <f t="shared" si="39"/>
        <v>161.70000000000002</v>
      </c>
      <c r="H469" s="88" t="s">
        <v>1779</v>
      </c>
      <c r="I469" s="1" t="str">
        <f>CONCATENATE(A469,",",D469)</f>
        <v>TE 256,ED2-TEL</v>
      </c>
      <c r="J469" s="36"/>
    </row>
    <row r="470" spans="1:10" ht="14.5" x14ac:dyDescent="0.35">
      <c r="A470" s="5" t="s">
        <v>173</v>
      </c>
      <c r="B470" s="5" t="str">
        <f>IFERROR(VLOOKUP($I470,'[5]Combined Data'!$D$1:$H$534,2,FALSE),0)</f>
        <v>Structural Analysis</v>
      </c>
      <c r="C470" s="6" t="str">
        <v>Kankam Charles Kwame</v>
      </c>
      <c r="D470" s="5" t="s">
        <v>64</v>
      </c>
      <c r="E470" s="5">
        <v>227</v>
      </c>
      <c r="F470" s="97" t="s">
        <v>1600</v>
      </c>
      <c r="G470" s="7">
        <f t="shared" si="39"/>
        <v>249.70000000000002</v>
      </c>
      <c r="H470" s="88" t="s">
        <v>1780</v>
      </c>
      <c r="I470" s="1" t="str">
        <f t="shared" ref="I470:I500" si="40">CONCATENATE(A470,",",D470)</f>
        <v>CE 258,ED2-CE</v>
      </c>
      <c r="J470" s="36"/>
    </row>
    <row r="471" spans="1:10" ht="14.5" x14ac:dyDescent="0.35">
      <c r="A471" s="5" t="s">
        <v>112</v>
      </c>
      <c r="B471" s="5" t="str">
        <f>IFERROR(VLOOKUP($I471,'[5]Combined Data'!$D$1:$H$534,2,FALSE),0)</f>
        <v>Calculus with Several Variables</v>
      </c>
      <c r="C471" s="6" t="str">
        <v>Emmanuel Mensah</v>
      </c>
      <c r="D471" s="5" t="s">
        <v>46</v>
      </c>
      <c r="E471" s="5">
        <v>256</v>
      </c>
      <c r="F471" s="97" t="s">
        <v>1683</v>
      </c>
      <c r="G471" s="7">
        <f>E471*1.1</f>
        <v>281.60000000000002</v>
      </c>
      <c r="H471" s="88" t="s">
        <v>1781</v>
      </c>
      <c r="I471" s="1" t="str">
        <f>CONCATENATE(A471,",",D471)</f>
        <v>MATH 252,ED2-EE</v>
      </c>
      <c r="J471" s="36"/>
    </row>
    <row r="472" spans="1:10" ht="14.5" x14ac:dyDescent="0.35">
      <c r="A472" s="5" t="s">
        <v>133</v>
      </c>
      <c r="B472" s="5" t="str">
        <f>IFERROR(VLOOKUP($I472,'[5]Combined Data'!$D$1:$H$534,2,FALSE),0)</f>
        <v>Substations and Transmission Line Design</v>
      </c>
      <c r="C472" s="6" t="str">
        <v>Antoh Emmanuel Kwaku</v>
      </c>
      <c r="D472" s="5" t="s">
        <v>67</v>
      </c>
      <c r="E472" s="5">
        <v>226</v>
      </c>
      <c r="F472" s="98" t="s">
        <v>1775</v>
      </c>
      <c r="G472" s="7">
        <f>E472*1.1</f>
        <v>248.60000000000002</v>
      </c>
      <c r="H472" s="88" t="s">
        <v>1782</v>
      </c>
      <c r="I472" s="1" t="str">
        <f>CONCATENATE(A472,",",D472)</f>
        <v>EE 362,ED3-EE</v>
      </c>
      <c r="J472" s="36"/>
    </row>
    <row r="473" spans="1:10" ht="14.5" x14ac:dyDescent="0.35">
      <c r="A473" s="5" t="s">
        <v>183</v>
      </c>
      <c r="B473" s="5" t="str">
        <f>IFERROR(VLOOKUP($I473,'[5]Combined Data'!$D$1:$H$534,2,FALSE),0)</f>
        <v>Heat Transport Processes</v>
      </c>
      <c r="C473" s="6" t="str">
        <v>Momade Zsuzsanna Gál</v>
      </c>
      <c r="D473" s="5" t="s">
        <v>71</v>
      </c>
      <c r="E473" s="5">
        <v>119</v>
      </c>
      <c r="F473" s="98" t="s">
        <v>1696</v>
      </c>
      <c r="G473" s="7">
        <f>E473*1.1</f>
        <v>130.9</v>
      </c>
      <c r="H473" s="88" t="s">
        <v>1783</v>
      </c>
      <c r="I473" s="1" t="str">
        <f>CONCATENATE(A473,",",D473)</f>
        <v>CHE 256,ED2-CHE</v>
      </c>
      <c r="J473" s="36"/>
    </row>
    <row r="474" spans="1:10" ht="14.5" x14ac:dyDescent="0.35">
      <c r="A474" s="5" t="s">
        <v>171</v>
      </c>
      <c r="B474" s="5" t="str">
        <f>IFERROR(VLOOKUP($I474,'[5]Combined Data'!$D$1:$H$534,2,FALSE),0)</f>
        <v>Aerospace Structures</v>
      </c>
      <c r="C474" s="6" t="str">
        <v>Agyei Agyemang Anthony</v>
      </c>
      <c r="D474" s="16" t="s">
        <v>13</v>
      </c>
      <c r="E474" s="5">
        <v>76</v>
      </c>
      <c r="F474" s="98" t="s">
        <v>1776</v>
      </c>
      <c r="G474" s="7">
        <f t="shared" si="39"/>
        <v>83.600000000000009</v>
      </c>
      <c r="H474" s="88" t="s">
        <v>1784</v>
      </c>
      <c r="I474" s="1" t="str">
        <f t="shared" si="40"/>
        <v>AERO 256,ED2-AERO</v>
      </c>
      <c r="J474" s="36"/>
    </row>
    <row r="475" spans="1:10" ht="14.5" x14ac:dyDescent="0.35">
      <c r="A475" s="5" t="s">
        <v>170</v>
      </c>
      <c r="B475" s="5" t="str">
        <f>IFERROR(VLOOKUP($I475,'[5]Combined Data'!$D$1:$H$534,2,FALSE),0)</f>
        <v>Theory of Machines</v>
      </c>
      <c r="C475" s="6" t="str">
        <v>Adam Faisal Wahib</v>
      </c>
      <c r="D475" s="5" t="s">
        <v>51</v>
      </c>
      <c r="E475" s="5">
        <v>111</v>
      </c>
      <c r="F475" s="98" t="s">
        <v>1777</v>
      </c>
      <c r="G475" s="7">
        <f t="shared" si="39"/>
        <v>122.10000000000001</v>
      </c>
      <c r="H475" s="88" t="s">
        <v>1785</v>
      </c>
      <c r="I475" s="1" t="str">
        <f t="shared" si="40"/>
        <v>ME 262,ED2-AE</v>
      </c>
      <c r="J475" s="36"/>
    </row>
    <row r="476" spans="1:10" ht="14.5" x14ac:dyDescent="0.35">
      <c r="A476" s="5" t="s">
        <v>167</v>
      </c>
      <c r="B476" s="5" t="str">
        <f>IFERROR(VLOOKUP($I476,'[5]Combined Data'!$D$1:$H$534,2,FALSE),0)</f>
        <v>Economic Geology</v>
      </c>
      <c r="C476" s="6" t="str">
        <v>Mensah Emmanuel</v>
      </c>
      <c r="D476" s="16" t="s">
        <v>8</v>
      </c>
      <c r="E476" s="5">
        <v>142</v>
      </c>
      <c r="F476" s="98" t="s">
        <v>1481</v>
      </c>
      <c r="G476" s="7">
        <f t="shared" si="39"/>
        <v>156.20000000000002</v>
      </c>
      <c r="H476" s="88" t="s">
        <v>1786</v>
      </c>
      <c r="I476" s="1" t="str">
        <f t="shared" si="40"/>
        <v>GED 462,ED4-GEOL</v>
      </c>
      <c r="J476" s="36"/>
    </row>
    <row r="477" spans="1:10" ht="14.5" x14ac:dyDescent="0.35">
      <c r="D477" s="6" t="s">
        <v>166</v>
      </c>
      <c r="E477" s="11">
        <f>SUM(E467:E476)</f>
        <v>1522</v>
      </c>
      <c r="I477" s="1" t="str">
        <f t="shared" si="40"/>
        <v>,Total H3</v>
      </c>
      <c r="J477" s="36"/>
    </row>
    <row r="478" spans="1:10" ht="14.5" x14ac:dyDescent="0.35">
      <c r="I478" s="1" t="str">
        <f t="shared" si="40"/>
        <v>,</v>
      </c>
      <c r="J478" s="36"/>
    </row>
    <row r="479" spans="1:10" ht="14.5" x14ac:dyDescent="0.35">
      <c r="I479" s="1" t="str">
        <f t="shared" si="40"/>
        <v>,</v>
      </c>
      <c r="J479" s="36"/>
    </row>
    <row r="480" spans="1:10" ht="14.5" x14ac:dyDescent="0.35">
      <c r="A480" s="119" t="s">
        <v>406</v>
      </c>
      <c r="B480" s="119"/>
      <c r="C480" s="119"/>
      <c r="D480" s="119"/>
      <c r="E480" s="119"/>
      <c r="F480" s="119"/>
      <c r="G480" s="119"/>
      <c r="I480" s="1" t="str">
        <f t="shared" si="40"/>
        <v>Thursday, 10 July 2025,</v>
      </c>
      <c r="J480" s="36"/>
    </row>
    <row r="481" spans="1:10" ht="14.5" x14ac:dyDescent="0.35">
      <c r="A481" s="116" t="str">
        <f>[2]SESSIONS!$K$4</f>
        <v>Session, 4 (1:30 PM - 2:30 PM)</v>
      </c>
      <c r="B481" s="117"/>
      <c r="C481" s="117"/>
      <c r="D481" s="117"/>
      <c r="E481" s="117"/>
      <c r="F481" s="117"/>
      <c r="G481" s="118"/>
      <c r="I481" s="1" t="str">
        <f t="shared" si="40"/>
        <v>Session, 4 (1:30 PM - 2:30 PM),</v>
      </c>
      <c r="J481" s="36"/>
    </row>
    <row r="482" spans="1:10" ht="14.5" x14ac:dyDescent="0.35">
      <c r="A482" s="2" t="s">
        <v>6</v>
      </c>
      <c r="B482" s="2" t="s">
        <v>5</v>
      </c>
      <c r="C482" s="3" t="s">
        <v>4</v>
      </c>
      <c r="D482" s="2" t="s">
        <v>3</v>
      </c>
      <c r="E482" s="2" t="s">
        <v>2</v>
      </c>
      <c r="F482" s="3" t="s">
        <v>1</v>
      </c>
      <c r="G482" s="2" t="s">
        <v>0</v>
      </c>
      <c r="I482" s="1" t="str">
        <f t="shared" si="40"/>
        <v>CODE ,CLASS</v>
      </c>
      <c r="J482" s="36"/>
    </row>
    <row r="483" spans="1:10" ht="14.5" x14ac:dyDescent="0.35">
      <c r="A483" s="5" t="s">
        <v>165</v>
      </c>
      <c r="B483" s="5" t="str">
        <f>IFERROR(VLOOKUP($I483,'[5]Combined Data'!$D$1:$H$534,2,FALSE),0)</f>
        <v>Entrepreneurship and Business Development</v>
      </c>
      <c r="C483" s="6" t="str" cm="1">
        <f t="array" ref="C483:C500">VLOOKUP(I483:I500,'Combined Data'!A1:E547,3,FALSE)</f>
        <v>Asamoah Boateng Kenneth</v>
      </c>
      <c r="D483" s="5" t="s">
        <v>104</v>
      </c>
      <c r="E483" s="5" cm="1">
        <f t="array" ref="E483:E500">VLOOKUP(I483:I500,combined_data!A1:D549,4,FALSE)</f>
        <v>126</v>
      </c>
      <c r="F483" s="103" t="s">
        <v>1469</v>
      </c>
      <c r="G483" s="7">
        <f t="shared" ref="G483:G500" si="41">E483*1.1</f>
        <v>138.60000000000002</v>
      </c>
      <c r="H483" s="88" t="s">
        <v>1828</v>
      </c>
      <c r="I483" s="1" t="str">
        <f t="shared" si="40"/>
        <v>CHE 458,ED4-CHE</v>
      </c>
      <c r="J483" s="36"/>
    </row>
    <row r="484" spans="1:10" ht="14.5" x14ac:dyDescent="0.35">
      <c r="A484" s="5" t="s">
        <v>165</v>
      </c>
      <c r="B484" s="5" t="str">
        <f>IFERROR(VLOOKUP($I484,'[5]Combined Data'!$D$1:$H$534,2,FALSE),0)</f>
        <v>Entrepreneurship and Business Development</v>
      </c>
      <c r="C484" s="6" t="str">
        <v>Asamoah Boateng Kenneth</v>
      </c>
      <c r="D484" s="5" t="s">
        <v>35</v>
      </c>
      <c r="E484" s="5">
        <v>104</v>
      </c>
      <c r="F484" s="98" t="s">
        <v>1713</v>
      </c>
      <c r="G484" s="7">
        <f t="shared" si="41"/>
        <v>114.4</v>
      </c>
      <c r="H484" s="88" t="s">
        <v>1747</v>
      </c>
      <c r="I484" s="1" t="str">
        <f t="shared" si="40"/>
        <v>CHE 458,ED4-PCE</v>
      </c>
      <c r="J484" s="36"/>
    </row>
    <row r="485" spans="1:10" ht="14.5" x14ac:dyDescent="0.35">
      <c r="A485" s="5" t="s">
        <v>164</v>
      </c>
      <c r="B485" s="5" t="str">
        <f>IFERROR(VLOOKUP($I485,'[5]Combined Data'!$D$1:$H$534,2,FALSE),0)</f>
        <v>Soil and Water Engineering II</v>
      </c>
      <c r="C485" s="6" t="str">
        <v>Agyare Wilson Agyei</v>
      </c>
      <c r="D485" s="5" t="s">
        <v>109</v>
      </c>
      <c r="E485" s="5">
        <v>125</v>
      </c>
      <c r="F485" s="98" t="s">
        <v>1714</v>
      </c>
      <c r="G485" s="7">
        <f t="shared" si="41"/>
        <v>137.5</v>
      </c>
      <c r="H485" s="88" t="s">
        <v>1722</v>
      </c>
      <c r="I485" s="1" t="str">
        <f t="shared" si="40"/>
        <v>AE 452,ED4-AE</v>
      </c>
      <c r="J485" s="36"/>
    </row>
    <row r="486" spans="1:10" ht="14.5" x14ac:dyDescent="0.35">
      <c r="A486" s="5" t="s">
        <v>431</v>
      </c>
      <c r="B486" s="5" t="s">
        <v>1351</v>
      </c>
      <c r="C486" s="6" t="str">
        <v>Gadze James Dzisi</v>
      </c>
      <c r="D486" s="5" t="s">
        <v>10</v>
      </c>
      <c r="E486" s="5">
        <v>142</v>
      </c>
      <c r="F486" s="98" t="s">
        <v>1484</v>
      </c>
      <c r="G486" s="7">
        <f t="shared" si="41"/>
        <v>156.20000000000002</v>
      </c>
      <c r="H486" s="88" t="s">
        <v>1829</v>
      </c>
      <c r="I486" s="1" t="str">
        <f>CONCATENATE(A486,",",D486)</f>
        <v>TE 352,ED3-TEL</v>
      </c>
      <c r="J486" s="36"/>
    </row>
    <row r="487" spans="1:10" ht="14.5" x14ac:dyDescent="0.35">
      <c r="A487" s="5" t="s">
        <v>161</v>
      </c>
      <c r="B487" s="5" t="str">
        <f>IFERROR(VLOOKUP($I487,'[5]Combined Data'!$D$1:$H$534,2,FALSE),0)</f>
        <v>Principles of GIS</v>
      </c>
      <c r="C487" s="6" t="str">
        <v>Forkuo Eric Kwabena</v>
      </c>
      <c r="D487" s="5" t="s">
        <v>47</v>
      </c>
      <c r="E487" s="5">
        <v>96</v>
      </c>
      <c r="F487" s="98" t="s">
        <v>1787</v>
      </c>
      <c r="G487" s="7">
        <f t="shared" si="41"/>
        <v>105.60000000000001</v>
      </c>
      <c r="H487" s="88" t="s">
        <v>1789</v>
      </c>
      <c r="I487" s="1" t="str">
        <f t="shared" si="40"/>
        <v>GE 362,ED3-GEOM</v>
      </c>
      <c r="J487" s="36"/>
    </row>
    <row r="488" spans="1:10" ht="14.5" x14ac:dyDescent="0.35">
      <c r="A488" s="5" t="s">
        <v>160</v>
      </c>
      <c r="B488" s="5" t="str">
        <f>IFERROR(VLOOKUP($I488,'[5]Combined Data'!$D$1:$H$534,2,FALSE),0)</f>
        <v>Structural Dynamics</v>
      </c>
      <c r="C488" s="6" t="str">
        <v>M. Adom-Asamoah</v>
      </c>
      <c r="D488" s="5" t="s">
        <v>84</v>
      </c>
      <c r="E488" s="5">
        <v>59</v>
      </c>
      <c r="F488" s="105" t="s">
        <v>1788</v>
      </c>
      <c r="G488" s="7">
        <f t="shared" si="41"/>
        <v>64.900000000000006</v>
      </c>
      <c r="H488" s="88" t="s">
        <v>1790</v>
      </c>
      <c r="I488" s="1" t="str">
        <f t="shared" si="40"/>
        <v>CE 456,ED4-CE</v>
      </c>
      <c r="J488" s="36"/>
    </row>
    <row r="489" spans="1:10" ht="14.5" x14ac:dyDescent="0.35">
      <c r="A489" s="5" t="s">
        <v>155</v>
      </c>
      <c r="B489" s="5" t="str">
        <f>IFERROR(VLOOKUP($I489,'[5]Combined Data'!$D$1:$H$534,2,FALSE),0)</f>
        <v>Production Planning and Control</v>
      </c>
      <c r="C489" s="6" t="str">
        <v>Dzebre Denis Edem Kwame</v>
      </c>
      <c r="D489" s="5" t="s">
        <v>130</v>
      </c>
      <c r="E489" s="5">
        <v>121</v>
      </c>
      <c r="F489" s="105" t="s">
        <v>1739</v>
      </c>
      <c r="G489" s="7">
        <f t="shared" si="41"/>
        <v>133.10000000000002</v>
      </c>
      <c r="H489" s="88" t="s">
        <v>1791</v>
      </c>
      <c r="I489" s="1" t="str">
        <f t="shared" si="40"/>
        <v>IE 454,ED4-IND</v>
      </c>
      <c r="J489" s="36"/>
    </row>
    <row r="490" spans="1:10" ht="14.5" x14ac:dyDescent="0.35">
      <c r="A490" s="5" t="s">
        <v>542</v>
      </c>
      <c r="B490" s="5" t="str">
        <f>IFERROR(VLOOKUP($I490,'[5]Combined Data'!$D$1:$H$534,2,FALSE),0)</f>
        <v>Production Planning and Control</v>
      </c>
      <c r="C490" s="6" t="str">
        <v>Dzebre Denis Edem Kwame</v>
      </c>
      <c r="D490" s="5" t="s">
        <v>93</v>
      </c>
      <c r="E490" s="5">
        <v>14</v>
      </c>
      <c r="F490" s="106" t="s">
        <v>1435</v>
      </c>
      <c r="G490" s="7">
        <f t="shared" si="41"/>
        <v>15.400000000000002</v>
      </c>
      <c r="H490" s="88">
        <v>14</v>
      </c>
      <c r="I490" s="1" t="str">
        <f t="shared" si="40"/>
        <v>ME 474,ED4-AERO</v>
      </c>
      <c r="J490" s="36"/>
    </row>
    <row r="491" spans="1:10" ht="14.5" x14ac:dyDescent="0.35">
      <c r="A491" s="5" t="s">
        <v>542</v>
      </c>
      <c r="B491" s="5" t="str">
        <f>IFERROR(VLOOKUP($I491,'[5]Combined Data'!$D$1:$H$534,2,FALSE),0)</f>
        <v>Production Planning and Control</v>
      </c>
      <c r="C491" s="6" t="str">
        <v>Dzebre Denis Edem Kwame</v>
      </c>
      <c r="D491" s="5" t="s">
        <v>91</v>
      </c>
      <c r="E491" s="5">
        <v>7</v>
      </c>
      <c r="F491" s="106" t="s">
        <v>1441</v>
      </c>
      <c r="G491" s="7">
        <f t="shared" si="41"/>
        <v>7.7000000000000011</v>
      </c>
      <c r="H491" s="88">
        <v>7</v>
      </c>
      <c r="I491" s="1" t="str">
        <f t="shared" si="40"/>
        <v>ME 474,ED4-ME</v>
      </c>
      <c r="J491" s="36"/>
    </row>
    <row r="492" spans="1:10" ht="14.5" x14ac:dyDescent="0.35">
      <c r="A492" s="5" t="s">
        <v>169</v>
      </c>
      <c r="B492" s="5" t="str">
        <f>IFERROR(VLOOKUP($I492,'[5]Combined Data'!$D$1:$H$534,2,FALSE),0)</f>
        <v>Electrical Measurement and Instrumentation</v>
      </c>
      <c r="C492" s="6" t="str">
        <v>Obeng Kwakye Kingsford Sarkodie</v>
      </c>
      <c r="D492" s="5" t="s">
        <v>168</v>
      </c>
      <c r="E492" s="5">
        <v>180</v>
      </c>
      <c r="F492" s="98" t="s">
        <v>1700</v>
      </c>
      <c r="G492" s="7">
        <f>E492*1.1</f>
        <v>198.00000000000003</v>
      </c>
      <c r="H492" s="88" t="s">
        <v>1709</v>
      </c>
      <c r="I492" s="1" t="str">
        <f>CONCATENATE(A492,",",D492)</f>
        <v>EE 188,ED1-TEL</v>
      </c>
      <c r="J492" s="36"/>
    </row>
    <row r="493" spans="1:10" ht="14.5" x14ac:dyDescent="0.35">
      <c r="A493" s="5" t="s">
        <v>154</v>
      </c>
      <c r="B493" s="5" t="str">
        <f>IFERROR(VLOOKUP($I493,'[5]Combined Data'!$D$1:$H$534,2,FALSE),0)</f>
        <v>Propulsion</v>
      </c>
      <c r="C493" s="6" t="str">
        <v>Bofah Kwasi Kete</v>
      </c>
      <c r="D493" s="5" t="s">
        <v>117</v>
      </c>
      <c r="E493" s="5">
        <v>63</v>
      </c>
      <c r="F493" s="98" t="s">
        <v>1716</v>
      </c>
      <c r="G493" s="7">
        <f t="shared" si="41"/>
        <v>69.300000000000011</v>
      </c>
      <c r="H493" s="88" t="s">
        <v>1792</v>
      </c>
      <c r="I493" s="1" t="str">
        <f t="shared" si="40"/>
        <v>AERO 368,ED3-AERO</v>
      </c>
      <c r="J493" s="36"/>
    </row>
    <row r="494" spans="1:10" ht="14.5" x14ac:dyDescent="0.35">
      <c r="A494" s="5" t="s">
        <v>152</v>
      </c>
      <c r="B494" s="5" t="str">
        <f>IFERROR(VLOOKUP($I494,'[5]Combined Data'!$D$1:$H$534,2,FALSE),0)</f>
        <v>Physical Chemistry for Engineers</v>
      </c>
      <c r="C494" s="6" t="str">
        <v>Boakye Patrick</v>
      </c>
      <c r="D494" s="5" t="s">
        <v>98</v>
      </c>
      <c r="E494" s="5">
        <v>97</v>
      </c>
      <c r="F494" s="98" t="s">
        <v>1564</v>
      </c>
      <c r="G494" s="7">
        <f t="shared" si="41"/>
        <v>106.7</v>
      </c>
      <c r="H494" s="88" t="s">
        <v>1793</v>
      </c>
      <c r="I494" s="1" t="str">
        <f t="shared" si="40"/>
        <v>PE 156,ED1-PETE</v>
      </c>
      <c r="J494" s="36"/>
    </row>
    <row r="495" spans="1:10" ht="14.5" x14ac:dyDescent="0.35">
      <c r="A495" s="5" t="s">
        <v>231</v>
      </c>
      <c r="B495" s="5" t="str">
        <f>IFERROR(VLOOKUP($I495,'[5]Combined Data'!$D$1:$H$534,2,FALSE),0)</f>
        <v>Physical Chemistry for Engineers</v>
      </c>
      <c r="C495" s="6" t="str">
        <v>Boakye Patrick</v>
      </c>
      <c r="D495" s="5" t="s">
        <v>58</v>
      </c>
      <c r="E495" s="5">
        <v>59</v>
      </c>
      <c r="F495" s="98" t="s">
        <v>1534</v>
      </c>
      <c r="G495" s="7">
        <f>E495*1.1</f>
        <v>64.900000000000006</v>
      </c>
      <c r="H495" s="88" t="s">
        <v>1535</v>
      </c>
      <c r="I495" s="1" t="str">
        <f>CONCATENATE(A495,",",D495)</f>
        <v>CHE 156,ED1-PCE</v>
      </c>
      <c r="J495" s="36"/>
    </row>
    <row r="496" spans="1:10" ht="14.5" x14ac:dyDescent="0.35">
      <c r="A496" s="5" t="s">
        <v>151</v>
      </c>
      <c r="B496" s="5" t="str">
        <f>IFERROR(VLOOKUP($I496,'[5]Combined Data'!$D$1:$H$534,2,FALSE),0)</f>
        <v>Manual Power Train</v>
      </c>
      <c r="C496" s="6" t="str">
        <v>Abu Frimpong Solomon</v>
      </c>
      <c r="D496" s="5" t="s">
        <v>150</v>
      </c>
      <c r="E496" s="5">
        <v>32</v>
      </c>
      <c r="F496" s="98" t="s">
        <v>1424</v>
      </c>
      <c r="G496" s="7">
        <f t="shared" si="41"/>
        <v>35.200000000000003</v>
      </c>
      <c r="H496" s="88">
        <v>32</v>
      </c>
      <c r="I496" s="1" t="str">
        <f t="shared" si="40"/>
        <v>AME 386,ED3-AUTO</v>
      </c>
      <c r="J496" s="36"/>
    </row>
    <row r="497" spans="1:10" ht="14.5" x14ac:dyDescent="0.35">
      <c r="A497" s="5" t="s">
        <v>148</v>
      </c>
      <c r="B497" s="5" t="str">
        <f>IFERROR(VLOOKUP($I497,'[5]Combined Data'!$D$1:$H$534,2,FALSE),0)</f>
        <v>Manufacturing Technology</v>
      </c>
      <c r="C497" s="6" t="str">
        <v>Boahen Samuel</v>
      </c>
      <c r="D497" s="5" t="s">
        <v>17</v>
      </c>
      <c r="E497" s="5">
        <v>72</v>
      </c>
      <c r="F497" s="98" t="s">
        <v>1420</v>
      </c>
      <c r="G497" s="7">
        <f t="shared" si="41"/>
        <v>79.2</v>
      </c>
      <c r="H497" s="88">
        <v>72</v>
      </c>
      <c r="I497" s="1" t="str">
        <f t="shared" si="40"/>
        <v>ME 270,ED2-IND</v>
      </c>
      <c r="J497" s="36"/>
    </row>
    <row r="498" spans="1:10" ht="14.5" x14ac:dyDescent="0.35">
      <c r="A498" s="5" t="s">
        <v>148</v>
      </c>
      <c r="B498" s="5" t="str">
        <f>IFERROR(VLOOKUP($I498,'[5]Combined Data'!$D$1:$H$534,2,FALSE),0)</f>
        <v>Manufacturing Technology</v>
      </c>
      <c r="C498" s="6" t="str">
        <v>Boahen Samuel</v>
      </c>
      <c r="D498" s="5" t="s">
        <v>31</v>
      </c>
      <c r="E498" s="5">
        <v>41</v>
      </c>
      <c r="F498" s="98" t="s">
        <v>1428</v>
      </c>
      <c r="G498" s="7">
        <f t="shared" si="41"/>
        <v>45.1</v>
      </c>
      <c r="H498" s="88">
        <v>41</v>
      </c>
      <c r="I498" s="1" t="str">
        <f t="shared" si="40"/>
        <v>ME 270,ED2-MARI</v>
      </c>
      <c r="J498" s="36"/>
    </row>
    <row r="499" spans="1:10" ht="14.5" x14ac:dyDescent="0.35">
      <c r="A499" s="5" t="s">
        <v>148</v>
      </c>
      <c r="B499" s="5" t="str">
        <f>IFERROR(VLOOKUP($I499,'[5]Combined Data'!$D$1:$H$534,2,FALSE),0)</f>
        <v>Manufacturing Technology</v>
      </c>
      <c r="C499" s="6" t="str">
        <v>Boahen Samuel</v>
      </c>
      <c r="D499" s="5" t="s">
        <v>11</v>
      </c>
      <c r="E499" s="5">
        <v>48</v>
      </c>
      <c r="F499" s="98" t="s">
        <v>1738</v>
      </c>
      <c r="G499" s="7">
        <f t="shared" si="41"/>
        <v>52.800000000000004</v>
      </c>
      <c r="H499" s="88" t="s">
        <v>1672</v>
      </c>
      <c r="I499" s="1" t="str">
        <f t="shared" si="40"/>
        <v>ME 270,ED2-AUTO</v>
      </c>
      <c r="J499" s="36"/>
    </row>
    <row r="500" spans="1:10" ht="14.5" x14ac:dyDescent="0.35">
      <c r="A500" s="5" t="s">
        <v>147</v>
      </c>
      <c r="B500" s="5" t="str">
        <f>IFERROR(VLOOKUP($I500,'[5]Combined Data'!$D$1:$H$534,2,FALSE),0)</f>
        <v>Principles of Remote Sensing</v>
      </c>
      <c r="C500" s="6" t="str">
        <v>Y. M. Asare</v>
      </c>
      <c r="D500" s="5" t="s">
        <v>65</v>
      </c>
      <c r="E500" s="5">
        <v>122</v>
      </c>
      <c r="F500" s="98" t="s">
        <v>1699</v>
      </c>
      <c r="G500" s="7">
        <f t="shared" si="41"/>
        <v>134.20000000000002</v>
      </c>
      <c r="H500" s="88" t="s">
        <v>1794</v>
      </c>
      <c r="I500" s="1" t="str">
        <f t="shared" si="40"/>
        <v>GE 262,ED2-GEOM</v>
      </c>
      <c r="J500" s="36"/>
    </row>
    <row r="501" spans="1:10" ht="14.5" x14ac:dyDescent="0.35">
      <c r="D501" s="6" t="s">
        <v>146</v>
      </c>
      <c r="E501" s="11">
        <f>SUM(E483:E500)</f>
        <v>1508</v>
      </c>
      <c r="J501" s="36"/>
    </row>
    <row r="502" spans="1:10" ht="14.5" x14ac:dyDescent="0.35">
      <c r="J502" s="36"/>
    </row>
    <row r="503" spans="1:10" ht="14.5" x14ac:dyDescent="0.35">
      <c r="J503" s="36"/>
    </row>
    <row r="504" spans="1:10" ht="14.5" x14ac:dyDescent="0.35">
      <c r="A504" s="119" t="s">
        <v>406</v>
      </c>
      <c r="B504" s="119"/>
      <c r="C504" s="119"/>
      <c r="D504" s="119"/>
      <c r="E504" s="119"/>
      <c r="F504" s="119"/>
      <c r="G504" s="119"/>
      <c r="I504" s="1" t="str">
        <f t="shared" ref="I504:I523" si="42">CONCATENATE(A504,",",D504)</f>
        <v>Thursday, 10 July 2025,</v>
      </c>
      <c r="J504" s="36"/>
    </row>
    <row r="505" spans="1:10" ht="14.5" x14ac:dyDescent="0.35">
      <c r="A505" s="116" t="str">
        <f>[2]SESSIONS!$K$5</f>
        <v>Session, 5 (3:15 PM - 4:15 PM)</v>
      </c>
      <c r="B505" s="117"/>
      <c r="C505" s="117"/>
      <c r="D505" s="117"/>
      <c r="E505" s="117"/>
      <c r="F505" s="117"/>
      <c r="G505" s="118"/>
      <c r="I505" s="1" t="str">
        <f t="shared" si="42"/>
        <v>Session, 5 (3:15 PM - 4:15 PM),</v>
      </c>
      <c r="J505" s="36"/>
    </row>
    <row r="506" spans="1:10" ht="14.5" x14ac:dyDescent="0.35">
      <c r="A506" s="2" t="s">
        <v>6</v>
      </c>
      <c r="B506" s="2" t="s">
        <v>5</v>
      </c>
      <c r="C506" s="3" t="s">
        <v>4</v>
      </c>
      <c r="D506" s="2" t="s">
        <v>3</v>
      </c>
      <c r="E506" s="2" t="s">
        <v>2</v>
      </c>
      <c r="F506" s="3" t="s">
        <v>1</v>
      </c>
      <c r="G506" s="2" t="s">
        <v>0</v>
      </c>
      <c r="I506" s="1" t="str">
        <f t="shared" si="42"/>
        <v>CODE ,CLASS</v>
      </c>
      <c r="J506" s="36"/>
    </row>
    <row r="507" spans="1:10" ht="14.5" x14ac:dyDescent="0.35">
      <c r="A507" s="5" t="s">
        <v>145</v>
      </c>
      <c r="B507" s="5" t="str">
        <f>IFERROR(VLOOKUP($I507,'[5]Combined Data'!$D$1:$H$534,2,FALSE),0)</f>
        <v>Professional Studies and Development</v>
      </c>
      <c r="C507" s="6" t="str" cm="1">
        <f t="array" ref="C507:C522">VLOOKUP(I507:I522,'Combined Data'!A1:E597,3,FALSE)</f>
        <v>Akrofi Emmanuel Offei</v>
      </c>
      <c r="D507" s="5" t="s">
        <v>94</v>
      </c>
      <c r="E507" s="5" cm="1">
        <f t="array" ref="E507:E522">VLOOKUP(I507:I522,combined_data!A1:D549,4,FALSE)</f>
        <v>107</v>
      </c>
      <c r="F507" s="105" t="s">
        <v>1795</v>
      </c>
      <c r="G507" s="7">
        <f t="shared" ref="G507:G522" si="43">E507*1.1</f>
        <v>117.7</v>
      </c>
      <c r="H507" s="88" t="s">
        <v>1796</v>
      </c>
      <c r="I507" s="1" t="str">
        <f>CONCATENATE(A507,",",D507)</f>
        <v>GE 476,ED4-GEOM</v>
      </c>
      <c r="J507" s="36"/>
    </row>
    <row r="508" spans="1:10" ht="14.5" x14ac:dyDescent="0.35">
      <c r="A508" s="5" t="s">
        <v>144</v>
      </c>
      <c r="B508" s="5" t="str">
        <f>IFERROR(VLOOKUP($I508,'[5]Combined Data'!$D$1:$H$534,2,FALSE),0)</f>
        <v>Digital Signal Processing</v>
      </c>
      <c r="C508" s="6" t="str">
        <v>Kponyo Jerry John</v>
      </c>
      <c r="D508" s="5" t="s">
        <v>55</v>
      </c>
      <c r="E508" s="5">
        <v>141</v>
      </c>
      <c r="F508" s="98" t="s">
        <v>1481</v>
      </c>
      <c r="G508" s="7">
        <f t="shared" si="43"/>
        <v>155.10000000000002</v>
      </c>
      <c r="H508" s="88" t="s">
        <v>1797</v>
      </c>
      <c r="I508" s="1" t="str">
        <f>CONCATENATE(A508,",",D508)</f>
        <v>EE 472,ED4-TEL</v>
      </c>
      <c r="J508" s="36"/>
    </row>
    <row r="509" spans="1:10" ht="14.5" x14ac:dyDescent="0.35">
      <c r="A509" s="5" t="s">
        <v>144</v>
      </c>
      <c r="B509" s="5" t="str">
        <f>IFERROR(VLOOKUP($I509,'[5]Combined Data'!$D$1:$H$534,2,FALSE),0)</f>
        <v>Digital Signal Processing</v>
      </c>
      <c r="C509" s="6" t="str">
        <v>Kponyo Jerry John</v>
      </c>
      <c r="D509" s="5" t="s">
        <v>57</v>
      </c>
      <c r="E509" s="5">
        <v>17</v>
      </c>
      <c r="F509" s="105" t="s">
        <v>1438</v>
      </c>
      <c r="G509" s="7">
        <f t="shared" si="43"/>
        <v>18.700000000000003</v>
      </c>
      <c r="H509" s="88">
        <v>17</v>
      </c>
      <c r="I509" s="1" t="str">
        <f t="shared" si="42"/>
        <v>EE 472,ED4-EE</v>
      </c>
      <c r="J509" s="36"/>
    </row>
    <row r="510" spans="1:10" ht="14.5" x14ac:dyDescent="0.35">
      <c r="A510" s="5" t="s">
        <v>141</v>
      </c>
      <c r="B510" s="5" t="str">
        <f>IFERROR(VLOOKUP($I510,'[5]Combined Data'!$D$1:$H$534,2,FALSE),0)</f>
        <v>Renewable Energy Resources</v>
      </c>
      <c r="C510" s="6" t="str">
        <v>Baah-Ennumh Emmanuel Kwaku</v>
      </c>
      <c r="D510" s="5" t="s">
        <v>79</v>
      </c>
      <c r="E510" s="5">
        <v>15</v>
      </c>
      <c r="F510" s="98" t="s">
        <v>1437</v>
      </c>
      <c r="G510" s="7">
        <f t="shared" si="43"/>
        <v>16.5</v>
      </c>
      <c r="H510" s="88">
        <v>15</v>
      </c>
      <c r="I510" s="1" t="str">
        <f t="shared" si="42"/>
        <v>CHE 366,ED3-PCE</v>
      </c>
      <c r="J510" s="36"/>
    </row>
    <row r="511" spans="1:10" ht="14.5" x14ac:dyDescent="0.35">
      <c r="A511" s="5" t="s">
        <v>140</v>
      </c>
      <c r="B511" s="5" t="str">
        <f>IFERROR(VLOOKUP($I511,'[5]Combined Data'!$D$1:$H$534,2,FALSE),0)</f>
        <v>Optical Mineralogy</v>
      </c>
      <c r="C511" s="6" t="str">
        <v>Wilson Matthew Coffie</v>
      </c>
      <c r="D511" s="5" t="s">
        <v>62</v>
      </c>
      <c r="E511" s="5">
        <v>156</v>
      </c>
      <c r="F511" s="98" t="s">
        <v>1555</v>
      </c>
      <c r="G511" s="7">
        <f t="shared" si="43"/>
        <v>171.60000000000002</v>
      </c>
      <c r="H511" s="88" t="s">
        <v>1798</v>
      </c>
      <c r="I511" s="1" t="str">
        <f t="shared" si="42"/>
        <v>GED 258,ED2-GEOL</v>
      </c>
      <c r="J511" s="36"/>
    </row>
    <row r="512" spans="1:10" ht="14.5" x14ac:dyDescent="0.35">
      <c r="A512" s="5" t="s">
        <v>225</v>
      </c>
      <c r="B512" s="5" t="str">
        <f>IFERROR(VLOOKUP($I512,'[5]Combined Data'!$D$1:$H$534,2,FALSE),0)</f>
        <v>Highway Engineering</v>
      </c>
      <c r="C512" s="6" t="str">
        <v>Tutu Kenneth Adomako</v>
      </c>
      <c r="D512" s="5" t="s">
        <v>27</v>
      </c>
      <c r="E512" s="5">
        <v>254</v>
      </c>
      <c r="F512" s="97" t="s">
        <v>1683</v>
      </c>
      <c r="G512" s="7">
        <f t="shared" ref="G512:G517" si="44">E512*1.1</f>
        <v>279.40000000000003</v>
      </c>
      <c r="H512" s="88" t="s">
        <v>1731</v>
      </c>
      <c r="I512" s="1" t="str">
        <f t="shared" ref="I512:I517" si="45">CONCATENATE(A512,",",D512)</f>
        <v>CE 368,ED3-CE</v>
      </c>
      <c r="J512" s="36"/>
    </row>
    <row r="513" spans="1:10" ht="14.5" x14ac:dyDescent="0.35">
      <c r="A513" s="5" t="s">
        <v>139</v>
      </c>
      <c r="B513" s="5" t="str">
        <f>IFERROR(VLOOKUP($I513,'[5]Combined Data'!$D$1:$H$534,2,FALSE),0)</f>
        <v>Properties of Matter</v>
      </c>
      <c r="C513" s="6" t="str">
        <v>R. M. Noye</v>
      </c>
      <c r="D513" s="5" t="s">
        <v>22</v>
      </c>
      <c r="E513" s="5">
        <v>86</v>
      </c>
      <c r="F513" s="98" t="s">
        <v>1865</v>
      </c>
      <c r="G513" s="7">
        <f t="shared" si="44"/>
        <v>94.600000000000009</v>
      </c>
      <c r="H513" s="88" t="s">
        <v>1799</v>
      </c>
      <c r="I513" s="1" t="str">
        <f t="shared" si="45"/>
        <v>PHY 154,ED1-BME</v>
      </c>
      <c r="J513" s="36"/>
    </row>
    <row r="514" spans="1:10" ht="14.5" x14ac:dyDescent="0.35">
      <c r="A514" s="5" t="s">
        <v>163</v>
      </c>
      <c r="B514" s="5" t="str">
        <f>IFERROR(VLOOKUP($I514,'[5]Combined Data'!$D$1:$H$534,2,FALSE),0)</f>
        <v>Heat and Mass Transport</v>
      </c>
      <c r="C514" s="6" t="str">
        <v>Agyemang Frank Ofori</v>
      </c>
      <c r="D514" s="5" t="s">
        <v>113</v>
      </c>
      <c r="E514" s="5">
        <v>89</v>
      </c>
      <c r="F514" s="105" t="s">
        <v>1497</v>
      </c>
      <c r="G514" s="7">
        <f t="shared" si="44"/>
        <v>97.9</v>
      </c>
      <c r="H514" s="88" t="s">
        <v>1800</v>
      </c>
      <c r="I514" s="1" t="str">
        <f t="shared" si="45"/>
        <v>MSE 252,ED2-MSE</v>
      </c>
      <c r="J514" s="36"/>
    </row>
    <row r="515" spans="1:10" ht="14.5" x14ac:dyDescent="0.35">
      <c r="A515" s="5" t="s">
        <v>163</v>
      </c>
      <c r="B515" s="5" t="str">
        <f>IFERROR(VLOOKUP($I515,'[5]Combined Data'!$D$1:$H$534,2,FALSE),0)</f>
        <v>Heat and Mass Transport</v>
      </c>
      <c r="C515" s="6" t="str">
        <v>Agyemang Frank Ofori</v>
      </c>
      <c r="D515" s="5" t="s">
        <v>111</v>
      </c>
      <c r="E515" s="5">
        <v>86</v>
      </c>
      <c r="F515" s="105" t="s">
        <v>1523</v>
      </c>
      <c r="G515" s="7">
        <f t="shared" si="44"/>
        <v>94.600000000000009</v>
      </c>
      <c r="H515" s="88" t="s">
        <v>1801</v>
      </c>
      <c r="I515" s="1" t="str">
        <f t="shared" si="45"/>
        <v>MSE 252,ED2-METE</v>
      </c>
      <c r="J515" s="36"/>
    </row>
    <row r="516" spans="1:10" ht="14.5" x14ac:dyDescent="0.35">
      <c r="A516" s="5" t="s">
        <v>153</v>
      </c>
      <c r="B516" s="5" t="str">
        <f>IFERROR(VLOOKUP($I516,'[5]Combined Data'!$D$1:$H$534,2,FALSE),0)</f>
        <v>Oil &amp; Gas Geophysics</v>
      </c>
      <c r="C516" s="6" t="str">
        <v>Quaye Jonathan Atuquaye</v>
      </c>
      <c r="D516" s="5" t="s">
        <v>29</v>
      </c>
      <c r="E516" s="5">
        <v>103</v>
      </c>
      <c r="F516" s="105" t="s">
        <v>1740</v>
      </c>
      <c r="G516" s="7">
        <f t="shared" si="44"/>
        <v>113.30000000000001</v>
      </c>
      <c r="H516" s="88" t="s">
        <v>1802</v>
      </c>
      <c r="I516" s="1" t="str">
        <f t="shared" si="45"/>
        <v>PE 364,ED3-PETE</v>
      </c>
      <c r="J516" s="36"/>
    </row>
    <row r="517" spans="1:10" ht="14.5" x14ac:dyDescent="0.35">
      <c r="A517" s="5" t="s">
        <v>135</v>
      </c>
      <c r="B517" s="5" t="str">
        <f>IFERROR(VLOOKUP($I517,'[5]Combined Data'!$D$1:$H$534,2,FALSE),0)</f>
        <v>Packaging Technology</v>
      </c>
      <c r="C517" s="6" t="str">
        <v>Baah-Ennumh Emmanuel Kwaku</v>
      </c>
      <c r="D517" s="5" t="s">
        <v>48</v>
      </c>
      <c r="E517" s="5">
        <v>40</v>
      </c>
      <c r="F517" s="98" t="s">
        <v>1422</v>
      </c>
      <c r="G517" s="7">
        <f t="shared" si="44"/>
        <v>44</v>
      </c>
      <c r="H517" s="88">
        <v>40</v>
      </c>
      <c r="I517" s="1" t="str">
        <f t="shared" si="45"/>
        <v>CHE 364,ED3-CHE</v>
      </c>
      <c r="J517" s="36"/>
    </row>
    <row r="518" spans="1:10" ht="14.5" x14ac:dyDescent="0.35">
      <c r="A518" s="5" t="s">
        <v>134</v>
      </c>
      <c r="B518" s="5" t="str">
        <f>IFERROR(VLOOKUP($I518,'[5]Combined Data'!$D$1:$H$534,2,FALSE),0)</f>
        <v>Introduction to Software Eng.</v>
      </c>
      <c r="C518" s="6" t="str">
        <v>Adjaidoo Theresa-Samuelle Maame Atwemaah</v>
      </c>
      <c r="D518" s="5" t="s">
        <v>73</v>
      </c>
      <c r="E518" s="5">
        <v>170</v>
      </c>
      <c r="F518" s="98" t="s">
        <v>1417</v>
      </c>
      <c r="G518" s="7">
        <f t="shared" si="43"/>
        <v>187.00000000000003</v>
      </c>
      <c r="H518" s="88" t="s">
        <v>1546</v>
      </c>
      <c r="I518" s="1" t="str">
        <f t="shared" si="42"/>
        <v>COE 356,ED3-COE</v>
      </c>
      <c r="J518" s="36"/>
    </row>
    <row r="519" spans="1:10" ht="14.5" x14ac:dyDescent="0.35">
      <c r="A519" s="5" t="s">
        <v>574</v>
      </c>
      <c r="B519" s="5" t="str">
        <f>IFERROR(VLOOKUP($I519,'[5]Combined Data'!$D$1:$H$534,2,FALSE),0)</f>
        <v>Third Year Design Project</v>
      </c>
      <c r="C519" s="6" t="str">
        <v>Bota Osei Sekyere</v>
      </c>
      <c r="D519" s="5" t="s">
        <v>33</v>
      </c>
      <c r="E519" s="5">
        <v>65</v>
      </c>
      <c r="F519" s="98" t="s">
        <v>1819</v>
      </c>
      <c r="G519" s="7">
        <f t="shared" si="43"/>
        <v>71.5</v>
      </c>
      <c r="H519" s="88" t="s">
        <v>1503</v>
      </c>
      <c r="I519" s="1" t="str">
        <f t="shared" si="42"/>
        <v>MSE 396,ED3-MSE</v>
      </c>
      <c r="J519" s="36"/>
    </row>
    <row r="520" spans="1:10" ht="14.5" x14ac:dyDescent="0.35">
      <c r="A520" s="5" t="s">
        <v>125</v>
      </c>
      <c r="B520" s="5" t="str">
        <f>IFERROR(VLOOKUP($I520,'[5]Combined Data'!$D$1:$H$534,2,FALSE),0)</f>
        <v>Introduction to Finite Element</v>
      </c>
      <c r="C520" s="6" t="str">
        <v>Andoh Prince Yaw</v>
      </c>
      <c r="D520" s="5" t="s">
        <v>93</v>
      </c>
      <c r="E520" s="5">
        <v>2</v>
      </c>
      <c r="F520" s="98" t="s">
        <v>1441</v>
      </c>
      <c r="G520" s="7">
        <f>E520*1.1</f>
        <v>2.2000000000000002</v>
      </c>
      <c r="H520" s="88">
        <v>2</v>
      </c>
      <c r="I520" s="1" t="str">
        <f>CONCATENATE(A520,",",D520)</f>
        <v>ME 456,ED4-AERO</v>
      </c>
      <c r="J520" s="36"/>
    </row>
    <row r="521" spans="1:10" ht="14.5" x14ac:dyDescent="0.35">
      <c r="A521" s="5" t="s">
        <v>125</v>
      </c>
      <c r="B521" s="5" t="str">
        <f>IFERROR(VLOOKUP($I521,'[5]Combined Data'!$D$1:$H$534,2,FALSE),0)</f>
        <v>Introduction to Finite Element</v>
      </c>
      <c r="C521" s="6" t="str">
        <v>Andoh Prince Yaw</v>
      </c>
      <c r="D521" s="5" t="s">
        <v>126</v>
      </c>
      <c r="E521" s="5">
        <v>78</v>
      </c>
      <c r="F521" s="98" t="s">
        <v>1420</v>
      </c>
      <c r="G521" s="7">
        <f t="shared" si="43"/>
        <v>85.800000000000011</v>
      </c>
      <c r="H521" s="88">
        <v>78</v>
      </c>
      <c r="I521" s="1" t="str">
        <f t="shared" si="42"/>
        <v>ME 456,ED4-AUTO</v>
      </c>
      <c r="J521" s="36"/>
    </row>
    <row r="522" spans="1:10" ht="14.5" x14ac:dyDescent="0.35">
      <c r="A522" s="5" t="s">
        <v>125</v>
      </c>
      <c r="B522" s="5" t="str">
        <f>IFERROR(VLOOKUP($I522,'[5]Combined Data'!$D$1:$H$534,2,FALSE),0)</f>
        <v>Introduction to Finite Element</v>
      </c>
      <c r="C522" s="6" t="str">
        <v>Andoh Prince Yaw</v>
      </c>
      <c r="D522" s="5" t="s">
        <v>91</v>
      </c>
      <c r="E522" s="5">
        <v>5</v>
      </c>
      <c r="F522" s="98" t="s">
        <v>1441</v>
      </c>
      <c r="G522" s="7">
        <f t="shared" si="43"/>
        <v>5.5</v>
      </c>
      <c r="H522" s="88">
        <v>5</v>
      </c>
      <c r="I522" s="1" t="str">
        <f t="shared" si="42"/>
        <v>ME 456,ED4-ME</v>
      </c>
      <c r="J522" s="36"/>
    </row>
    <row r="523" spans="1:10" ht="14.5" x14ac:dyDescent="0.35">
      <c r="D523" s="6" t="s">
        <v>132</v>
      </c>
      <c r="E523" s="37">
        <f>SUM(E507:E522)</f>
        <v>1414</v>
      </c>
      <c r="I523" s="1" t="str">
        <f t="shared" si="42"/>
        <v>,Total H5</v>
      </c>
      <c r="J523" s="36"/>
    </row>
    <row r="524" spans="1:10" ht="14.5" x14ac:dyDescent="0.35">
      <c r="D524" s="48"/>
      <c r="E524" s="20"/>
      <c r="F524" s="12" t="s">
        <v>1866</v>
      </c>
      <c r="J524" s="36"/>
    </row>
    <row r="525" spans="1:10" ht="14.5" x14ac:dyDescent="0.35">
      <c r="J525" s="36"/>
    </row>
    <row r="526" spans="1:10" ht="14.5" x14ac:dyDescent="0.35">
      <c r="A526" s="119" t="s">
        <v>406</v>
      </c>
      <c r="B526" s="119"/>
      <c r="C526" s="119"/>
      <c r="D526" s="119"/>
      <c r="E526" s="119"/>
      <c r="F526" s="119"/>
      <c r="G526" s="119"/>
      <c r="I526" s="1" t="str">
        <f t="shared" ref="I526:I535" si="46">CONCATENATE(A526,",",D526)</f>
        <v>Thursday, 10 July 2025,</v>
      </c>
      <c r="J526" s="36"/>
    </row>
    <row r="527" spans="1:10" ht="14.5" x14ac:dyDescent="0.35">
      <c r="A527" s="116" t="s">
        <v>1367</v>
      </c>
      <c r="B527" s="117"/>
      <c r="C527" s="117"/>
      <c r="D527" s="117"/>
      <c r="E527" s="117"/>
      <c r="F527" s="117"/>
      <c r="G527" s="118"/>
      <c r="I527" s="1" t="str">
        <f t="shared" si="46"/>
        <v>Session, 6 (5:00 PM - 6:00 PM),</v>
      </c>
      <c r="J527" s="36"/>
    </row>
    <row r="528" spans="1:10" ht="14.5" x14ac:dyDescent="0.35">
      <c r="A528" s="2" t="s">
        <v>6</v>
      </c>
      <c r="B528" s="2" t="s">
        <v>5</v>
      </c>
      <c r="C528" s="3" t="s">
        <v>4</v>
      </c>
      <c r="D528" s="2" t="s">
        <v>3</v>
      </c>
      <c r="E528" s="2" t="s">
        <v>2</v>
      </c>
      <c r="F528" s="3" t="s">
        <v>1</v>
      </c>
      <c r="G528" s="2" t="s">
        <v>0</v>
      </c>
      <c r="I528" s="1" t="str">
        <f t="shared" si="46"/>
        <v>CODE ,CLASS</v>
      </c>
      <c r="J528" s="36"/>
    </row>
    <row r="529" spans="1:10" ht="14.5" x14ac:dyDescent="0.35">
      <c r="A529" s="5" t="s">
        <v>699</v>
      </c>
      <c r="B529" s="5" t="str">
        <f>IFERROR(VLOOKUP($I529,'[5]Combined Data'!$D$1:$H$534,2,FALSE),0)</f>
        <v>Digital Signal Processing</v>
      </c>
      <c r="C529" s="6" t="str" cm="1">
        <f t="array" ref="C529">VLOOKUP(I529:I529,'Combined Data'!A2:E598,3,FALSE)</f>
        <v>Akowuah Emmanuel Kofi</v>
      </c>
      <c r="D529" s="5" t="s">
        <v>196</v>
      </c>
      <c r="E529" s="5" cm="1">
        <f t="array" ref="E529">VLOOKUP(I529:I529,combined_data!A2:D550,4,FALSE)</f>
        <v>133</v>
      </c>
      <c r="F529" s="105" t="s">
        <v>1484</v>
      </c>
      <c r="G529" s="7">
        <f t="shared" ref="G529:G530" si="47">E529*1.1</f>
        <v>146.30000000000001</v>
      </c>
      <c r="H529" s="88" t="s">
        <v>1805</v>
      </c>
      <c r="I529" s="1" t="str">
        <f t="shared" si="46"/>
        <v>COE 472,ED4-COE</v>
      </c>
      <c r="J529" s="36"/>
    </row>
    <row r="530" spans="1:10" ht="14.5" x14ac:dyDescent="0.35">
      <c r="A530" s="5" t="s">
        <v>699</v>
      </c>
      <c r="B530" s="5" t="str">
        <f>IFERROR(VLOOKUP($I530,'[5]Combined Data'!$D$1:$H$534,2,FALSE),0)</f>
        <v>Digital Signal Processing</v>
      </c>
      <c r="C530" s="6" t="str" cm="1">
        <f t="array" ref="C530">VLOOKUP(I530:I530,'Combined Data'!A3:E599,3,FALSE)</f>
        <v>P. Adjei</v>
      </c>
      <c r="D530" s="5" t="s">
        <v>242</v>
      </c>
      <c r="E530" s="5" cm="1">
        <f t="array" ref="E530">VLOOKUP(I530:I530,combined_data!A3:D551,4,FALSE)</f>
        <v>62</v>
      </c>
      <c r="F530" s="105" t="s">
        <v>1537</v>
      </c>
      <c r="G530" s="7">
        <f t="shared" si="47"/>
        <v>68.2</v>
      </c>
      <c r="H530" s="88" t="s">
        <v>1726</v>
      </c>
      <c r="I530" s="1" t="str">
        <f t="shared" si="46"/>
        <v>COE 472,ED4-BME</v>
      </c>
      <c r="J530" s="36"/>
    </row>
    <row r="531" spans="1:10" ht="14.5" x14ac:dyDescent="0.35">
      <c r="A531" s="5" t="s">
        <v>158</v>
      </c>
      <c r="B531" s="5" t="str">
        <f>IFERROR(VLOOKUP($I531,'[5]Combined Data'!$D$1:$H$534,2,FALSE),0)</f>
        <v>Aerospace Design Project I</v>
      </c>
      <c r="C531" s="6" t="str" cm="1">
        <f t="array" ref="C531">VLOOKUP(I531:I531,'Combined Data'!A5:E601,3,FALSE)</f>
        <v>Afriyie Nyarko Frank Kwabena</v>
      </c>
      <c r="D531" s="5" t="s">
        <v>157</v>
      </c>
      <c r="E531" s="5" cm="1">
        <f t="array" ref="E531">VLOOKUP(I531:I531,combined_data!A5:D553,4,FALSE)</f>
        <v>75</v>
      </c>
      <c r="F531" s="105" t="s">
        <v>1648</v>
      </c>
      <c r="G531" s="7">
        <f>E531*1.1</f>
        <v>82.5</v>
      </c>
      <c r="H531" s="88" t="s">
        <v>1807</v>
      </c>
      <c r="I531" s="1" t="str">
        <f>CONCATENATE(A531,",",D531)</f>
        <v>AERO 174,ED1-AERO</v>
      </c>
      <c r="J531" s="36"/>
    </row>
    <row r="532" spans="1:10" ht="14.5" x14ac:dyDescent="0.35">
      <c r="A532" s="5" t="s">
        <v>159</v>
      </c>
      <c r="B532" s="5" t="str">
        <f>IFERROR(VLOOKUP($I532,'[5]Combined Data'!$D$1:$H$534,2,FALSE),0)</f>
        <v>Introduction to Lighting and Acoustics</v>
      </c>
      <c r="C532" s="6" t="str" cm="1">
        <f t="array" ref="C532">VLOOKUP(I532:I532,'Combined Data'!A6:E602,3,FALSE)</f>
        <v>Amos-Abanyie Samuel</v>
      </c>
      <c r="D532" s="5" t="s">
        <v>44</v>
      </c>
      <c r="E532" s="5" cm="1">
        <f t="array" ref="E532">VLOOKUP(I532:I532,combined_data!A6:D554,4,FALSE)</f>
        <v>51</v>
      </c>
      <c r="F532" s="98" t="s">
        <v>1511</v>
      </c>
      <c r="G532" s="7">
        <f>E532*1.1</f>
        <v>56.1</v>
      </c>
      <c r="H532" s="88" t="s">
        <v>1808</v>
      </c>
      <c r="I532" s="1" t="str">
        <f>CONCATENATE(A532,",",D532)</f>
        <v>ARC 156,ED1-CE</v>
      </c>
      <c r="J532" s="36"/>
    </row>
    <row r="533" spans="1:10" ht="14.5" x14ac:dyDescent="0.35">
      <c r="A533" s="5" t="s">
        <v>558</v>
      </c>
      <c r="B533" s="5" t="str">
        <f>IFERROR(VLOOKUP($I533,'[5]Combined Data'!$D$1:$H$534,2,FALSE),0)</f>
        <v>Fluid Mechanics II</v>
      </c>
      <c r="C533" s="6" t="str" cm="1">
        <f t="array" ref="C533">VLOOKUP(I533:I533,'Combined Data'!A7:E603,3,FALSE)</f>
        <v>Tay Godwin Fabiola Kwaku</v>
      </c>
      <c r="D533" s="5" t="s">
        <v>77</v>
      </c>
      <c r="E533" s="5" cm="1">
        <f t="array" ref="E533">VLOOKUP(I533:I533,combined_data!A6:D554,4,FALSE)</f>
        <v>147</v>
      </c>
      <c r="F533" s="98" t="s">
        <v>1684</v>
      </c>
      <c r="G533" s="7">
        <f t="shared" ref="G533:G535" si="48">E533*1.1</f>
        <v>161.70000000000002</v>
      </c>
      <c r="H533" s="88" t="s">
        <v>1779</v>
      </c>
      <c r="I533" s="1" t="str">
        <f t="shared" si="46"/>
        <v>ME 352,ED3-ME</v>
      </c>
      <c r="J533" s="36"/>
    </row>
    <row r="534" spans="1:10" ht="14.5" x14ac:dyDescent="0.35">
      <c r="A534" s="5" t="s">
        <v>558</v>
      </c>
      <c r="B534" s="5" t="str">
        <f>IFERROR(VLOOKUP($I534,'[5]Combined Data'!$D$1:$H$534,2,FALSE),0)</f>
        <v>Fluid Dynamics II</v>
      </c>
      <c r="C534" s="6" t="str" cm="1">
        <f t="array" ref="C534">VLOOKUP(I534:I534,'Combined Data'!A7:E603,3,FALSE)</f>
        <v>Tay Godwin Fabiola Kwaku</v>
      </c>
      <c r="D534" s="5" t="s">
        <v>38</v>
      </c>
      <c r="E534" s="5" cm="1">
        <f t="array" ref="E534">VLOOKUP(I534:I534,combined_data!A7:D555,4,FALSE)</f>
        <v>23</v>
      </c>
      <c r="F534" s="105" t="s">
        <v>1435</v>
      </c>
      <c r="G534" s="7">
        <f t="shared" si="48"/>
        <v>25.3</v>
      </c>
      <c r="H534" s="88">
        <v>23</v>
      </c>
      <c r="I534" s="1" t="str">
        <f t="shared" si="46"/>
        <v>ME 352,ED3-MARI</v>
      </c>
      <c r="J534" s="36"/>
    </row>
    <row r="535" spans="1:10" ht="14.5" x14ac:dyDescent="0.35">
      <c r="A535" s="5" t="s">
        <v>485</v>
      </c>
      <c r="B535" s="5" t="str">
        <f>IFERROR(VLOOKUP($I535,'[5]Combined Data'!$D$1:$H$534,2,FALSE),0)</f>
        <v>Drawing for Engineers</v>
      </c>
      <c r="C535" s="6" t="str" cm="1">
        <f t="array" ref="C535">VLOOKUP(I535:I535,'Combined Data'!A7:E603,3,FALSE)</f>
        <v>Jones Twumasi</v>
      </c>
      <c r="D535" s="5" t="s">
        <v>36</v>
      </c>
      <c r="E535" s="5" cm="1">
        <f t="array" ref="E535">VLOOKUP(I535:I535,combined_data!A7:D555,4,FALSE)</f>
        <v>82</v>
      </c>
      <c r="F535" s="105" t="s">
        <v>1804</v>
      </c>
      <c r="G535" s="7">
        <f t="shared" si="48"/>
        <v>90.2</v>
      </c>
      <c r="H535" s="88" t="s">
        <v>1809</v>
      </c>
      <c r="I535" s="1" t="str">
        <f t="shared" si="46"/>
        <v>PE 254,ED2-PETE</v>
      </c>
      <c r="J535" s="36"/>
    </row>
    <row r="536" spans="1:10" ht="14.5" x14ac:dyDescent="0.35">
      <c r="A536" s="5" t="s">
        <v>83</v>
      </c>
      <c r="B536" s="5" t="str">
        <f>IFERROR(VLOOKUP($I536,'[5]Combined Data'!$D$1:$H$534,2,FALSE),0)</f>
        <v>Electrical Measurement and Instrumentation</v>
      </c>
      <c r="C536" s="6" t="str" cm="1">
        <f t="array" ref="C536">VLOOKUP(I536:I536,'Combined Data'!A8:E604,3,FALSE)</f>
        <v>J. Okae</v>
      </c>
      <c r="D536" s="5" t="s">
        <v>40</v>
      </c>
      <c r="E536" s="5" cm="1">
        <f t="array" ref="E536">VLOOKUP(I536:I536,combined_data!A9:D557,4,FALSE)</f>
        <v>277</v>
      </c>
      <c r="F536" s="105" t="s">
        <v>1764</v>
      </c>
      <c r="G536" s="7">
        <f>E536*1.1</f>
        <v>304.70000000000005</v>
      </c>
      <c r="H536" s="88" t="s">
        <v>1765</v>
      </c>
      <c r="I536" s="1" t="str">
        <f t="shared" ref="I536:I541" si="49">CONCATENATE(A536,",",D536)</f>
        <v>EE 288,ED2-COE</v>
      </c>
      <c r="J536" s="36"/>
    </row>
    <row r="537" spans="1:10" ht="14.5" x14ac:dyDescent="0.35">
      <c r="A537" s="5" t="s">
        <v>179</v>
      </c>
      <c r="B537" s="5" t="str">
        <f>IFERROR(VLOOKUP($I537,'[5]Combined Data'!$D$1:$H$534,2,FALSE),0)</f>
        <v>Introduction to CAD/CAM</v>
      </c>
      <c r="C537" s="6" t="str" cm="1">
        <f t="array" ref="C537">VLOOKUP(I537:I537,'Combined Data'!A11:E607,3,FALSE)</f>
        <v>Afriyie Nyarko Frank Kwabena</v>
      </c>
      <c r="D537" s="5" t="s">
        <v>88</v>
      </c>
      <c r="E537" s="5" cm="1">
        <f t="array" ref="E537">VLOOKUP(I537:I537,combined_data!A11:D559,4,FALSE)</f>
        <v>108</v>
      </c>
      <c r="F537" s="98" t="s">
        <v>1564</v>
      </c>
      <c r="G537" s="7">
        <f>E537*1.1</f>
        <v>118.80000000000001</v>
      </c>
      <c r="H537" s="88" t="s">
        <v>1812</v>
      </c>
      <c r="I537" s="1" t="str">
        <f t="shared" si="49"/>
        <v>ME 376,ED3-AE</v>
      </c>
      <c r="J537" s="36"/>
    </row>
    <row r="538" spans="1:10" ht="14.5" x14ac:dyDescent="0.35">
      <c r="A538" s="5" t="s">
        <v>249</v>
      </c>
      <c r="B538" s="5" t="str">
        <f>IFERROR(VLOOKUP($I538,'[5]Combined Data'!$D$1:$H$534,2,FALSE),0)</f>
        <v>Computer-Aided Design and Manufacturing</v>
      </c>
      <c r="C538" s="6" t="str" cm="1">
        <f t="array" ref="C538">VLOOKUP(I538:I538,'Combined Data'!A12:E608,3,FALSE)</f>
        <v>Afriyie Nyarko Frank Kwabena</v>
      </c>
      <c r="D538" s="5" t="s">
        <v>137</v>
      </c>
      <c r="E538" s="5" cm="1">
        <f t="array" ref="E538">VLOOKUP(I538:I538,combined_data!A12:D560,4,FALSE)</f>
        <v>69</v>
      </c>
      <c r="F538" s="98" t="s">
        <v>1533</v>
      </c>
      <c r="G538" s="7">
        <f>E538*1.1</f>
        <v>75.900000000000006</v>
      </c>
      <c r="H538" s="88" t="s">
        <v>1813</v>
      </c>
      <c r="I538" s="1" t="str">
        <f t="shared" si="49"/>
        <v>IE 358,ED3-IND</v>
      </c>
      <c r="J538" s="36"/>
    </row>
    <row r="539" spans="1:10" ht="14.5" x14ac:dyDescent="0.35">
      <c r="A539" s="5" t="s">
        <v>180</v>
      </c>
      <c r="B539" s="5" t="str">
        <f>IFERROR(VLOOKUP($I539,'[5]Combined Data'!$D$1:$H$534,2,FALSE),0)</f>
        <v>Materials Quality Control, Assurrance and Selection</v>
      </c>
      <c r="C539" s="6" t="str" cm="1">
        <f t="array" ref="C539">VLOOKUP(I539:I539,'Combined Data'!A9:E605,3,FALSE)</f>
        <v>Arthur Emmanuel Kwesi</v>
      </c>
      <c r="D539" s="5" t="s">
        <v>107</v>
      </c>
      <c r="E539" s="5" cm="1">
        <f t="array" ref="E539">VLOOKUP(I539:I539,combined_data!A10:D558,4,FALSE)</f>
        <v>115</v>
      </c>
      <c r="F539" s="98" t="s">
        <v>1495</v>
      </c>
      <c r="G539" s="7">
        <f>E539*1.1</f>
        <v>126.50000000000001</v>
      </c>
      <c r="H539" s="88" t="s">
        <v>1810</v>
      </c>
      <c r="I539" s="1" t="str">
        <f t="shared" si="49"/>
        <v>MSE 456,ED4-MSE</v>
      </c>
      <c r="J539" s="36"/>
    </row>
    <row r="540" spans="1:10" ht="14.5" x14ac:dyDescent="0.35">
      <c r="A540" s="5" t="s">
        <v>180</v>
      </c>
      <c r="B540" s="5" t="str">
        <f>IFERROR(VLOOKUP($I540,'[5]Combined Data'!$D$1:$H$534,2,FALSE),0)</f>
        <v>Materials Quality Control, Assurrance and Selection</v>
      </c>
      <c r="C540" s="6" t="str" cm="1">
        <f t="array" ref="C540">VLOOKUP(I540:I540,'Combined Data'!A10:E606,3,FALSE)</f>
        <v>Arthur Emmanuel Kwesi</v>
      </c>
      <c r="D540" s="5" t="s">
        <v>105</v>
      </c>
      <c r="E540" s="5" cm="1">
        <f t="array" ref="E540">VLOOKUP(I540:I540,combined_data!A10:D558,4,FALSE)</f>
        <v>65</v>
      </c>
      <c r="F540" s="98" t="s">
        <v>1695</v>
      </c>
      <c r="G540" s="7">
        <f>E540*1.1</f>
        <v>71.5</v>
      </c>
      <c r="H540" s="88" t="s">
        <v>1811</v>
      </c>
      <c r="I540" s="1" t="str">
        <f t="shared" si="49"/>
        <v>MSE 456,ED4-METE</v>
      </c>
      <c r="J540" s="36"/>
    </row>
    <row r="541" spans="1:10" ht="14.5" x14ac:dyDescent="0.35">
      <c r="D541" s="6" t="s">
        <v>132</v>
      </c>
      <c r="E541" s="37">
        <f>SUM(E529:E540)</f>
        <v>1207</v>
      </c>
      <c r="I541" s="1" t="str">
        <f t="shared" si="49"/>
        <v>,Total H5</v>
      </c>
      <c r="J541" s="36"/>
    </row>
    <row r="542" spans="1:10" ht="14.5" x14ac:dyDescent="0.35">
      <c r="D542" s="6"/>
      <c r="E542" s="37"/>
      <c r="J542" s="36"/>
    </row>
    <row r="543" spans="1:10" ht="14.5" x14ac:dyDescent="0.35">
      <c r="A543" s="119" t="s">
        <v>406</v>
      </c>
      <c r="B543" s="119"/>
      <c r="C543" s="119"/>
      <c r="D543" s="119"/>
      <c r="E543" s="119"/>
      <c r="F543" s="119"/>
      <c r="G543" s="119"/>
      <c r="I543" s="1" t="str">
        <f t="shared" ref="I543:I555" si="50">CONCATENATE(A543,",",D543)</f>
        <v>Thursday, 10 July 2025,</v>
      </c>
      <c r="J543" s="36"/>
    </row>
    <row r="544" spans="1:10" ht="14.5" x14ac:dyDescent="0.35">
      <c r="A544" s="116" t="s">
        <v>1368</v>
      </c>
      <c r="B544" s="117"/>
      <c r="C544" s="117"/>
      <c r="D544" s="117"/>
      <c r="E544" s="117"/>
      <c r="F544" s="117"/>
      <c r="G544" s="118"/>
      <c r="I544" s="1" t="str">
        <f t="shared" si="50"/>
        <v>Session, 7 (6:45 PM - 7:45 PM),</v>
      </c>
      <c r="J544" s="36"/>
    </row>
    <row r="545" spans="1:10" ht="14.5" x14ac:dyDescent="0.35">
      <c r="A545" s="2" t="s">
        <v>6</v>
      </c>
      <c r="B545" s="2" t="s">
        <v>5</v>
      </c>
      <c r="C545" s="3" t="s">
        <v>4</v>
      </c>
      <c r="D545" s="2" t="s">
        <v>3</v>
      </c>
      <c r="E545" s="2" t="s">
        <v>2</v>
      </c>
      <c r="F545" s="3" t="s">
        <v>1</v>
      </c>
      <c r="G545" s="2" t="s">
        <v>0</v>
      </c>
      <c r="I545" s="1" t="str">
        <f t="shared" si="50"/>
        <v>CODE ,CLASS</v>
      </c>
      <c r="J545" s="36"/>
    </row>
    <row r="546" spans="1:10" ht="14.5" x14ac:dyDescent="0.35">
      <c r="A546" s="5" t="s">
        <v>329</v>
      </c>
      <c r="B546" s="5" t="str">
        <f>IFERROR(VLOOKUP($I546,'[5]Combined Data'!$D$1:$H$534,2,FALSE),0)</f>
        <v>Principle of Design</v>
      </c>
      <c r="C546" s="6" t="str" cm="1">
        <f t="array" ref="C546:C556">VLOOKUP(I546:I556,'Combined Data'!A1:E545,3,FALSE)</f>
        <v>Ayeh Felix Jojo Fianko</v>
      </c>
      <c r="D546" s="5" t="s">
        <v>64</v>
      </c>
      <c r="E546" s="5" cm="1">
        <f t="array" ref="E546:E556">VLOOKUP(I546:I556,combined_data!A1:D544,4,FALSE)</f>
        <v>227</v>
      </c>
      <c r="F546" s="97" t="s">
        <v>1600</v>
      </c>
      <c r="G546" s="7">
        <f t="shared" ref="G546:G556" si="51">E546*1.1</f>
        <v>249.70000000000002</v>
      </c>
      <c r="H546" s="88" t="s">
        <v>1780</v>
      </c>
      <c r="I546" s="1" t="str">
        <f t="shared" si="50"/>
        <v>CE 272,ED2-CE</v>
      </c>
      <c r="J546" s="36"/>
    </row>
    <row r="547" spans="1:10" ht="14.5" x14ac:dyDescent="0.35">
      <c r="A547" s="5" t="s">
        <v>210</v>
      </c>
      <c r="B547" s="5" t="str">
        <f>IFERROR(VLOOKUP($I547,'[5]Combined Data'!$D$1:$H$534,2,FALSE),0)</f>
        <v>Basic Mineral Science</v>
      </c>
      <c r="C547" s="6" t="str">
        <v>Appiah-Adjei Emmanuel Kwame</v>
      </c>
      <c r="D547" s="5" t="s">
        <v>45</v>
      </c>
      <c r="E547" s="5">
        <v>156</v>
      </c>
      <c r="F547" s="98" t="s">
        <v>1814</v>
      </c>
      <c r="G547" s="7">
        <f>E547*1.1</f>
        <v>171.60000000000002</v>
      </c>
      <c r="H547" s="88" t="s">
        <v>1815</v>
      </c>
      <c r="I547" s="1" t="str">
        <f>CONCATENATE(A547,",",D547)</f>
        <v>GED 152,ED1-GEOL</v>
      </c>
      <c r="J547" s="36"/>
    </row>
    <row r="548" spans="1:10" ht="14.5" x14ac:dyDescent="0.35">
      <c r="A548" s="5" t="s">
        <v>458</v>
      </c>
      <c r="B548" s="5" t="str">
        <f>IFERROR(VLOOKUP($I548,'[5]Combined Data'!$D$1:$H$534,2,FALSE),0)</f>
        <v>Energy and Climate Change</v>
      </c>
      <c r="C548" s="6" t="str">
        <v>Sokama-Neuyam Yen Adams</v>
      </c>
      <c r="D548" s="5" t="s">
        <v>53</v>
      </c>
      <c r="E548" s="5">
        <v>158</v>
      </c>
      <c r="F548" s="98" t="s">
        <v>1814</v>
      </c>
      <c r="G548" s="7">
        <f>E548*1.1</f>
        <v>173.8</v>
      </c>
      <c r="H548" s="88" t="s">
        <v>1816</v>
      </c>
      <c r="I548" s="1" t="str">
        <f>CONCATENATE(A548,",",D548)</f>
        <v>PE 476,ED4-PETE</v>
      </c>
      <c r="J548" s="36"/>
    </row>
    <row r="549" spans="1:10" ht="14.5" x14ac:dyDescent="0.35">
      <c r="A549" s="5" t="s">
        <v>784</v>
      </c>
      <c r="B549" s="5" t="s">
        <v>1312</v>
      </c>
      <c r="C549" s="6" t="str">
        <v>Ayetor Godwin Kafui Kwesi</v>
      </c>
      <c r="D549" s="5" t="s">
        <v>150</v>
      </c>
      <c r="E549" s="5">
        <v>32</v>
      </c>
      <c r="F549" s="105" t="s">
        <v>1437</v>
      </c>
      <c r="G549" s="7">
        <f>E549*1.1</f>
        <v>35.200000000000003</v>
      </c>
      <c r="H549" s="88">
        <v>32</v>
      </c>
      <c r="I549" s="1" t="str">
        <f>CONCATENATE(A549,",",D549)</f>
        <v>AME 356,ED3-AUTO</v>
      </c>
      <c r="J549" s="36"/>
    </row>
    <row r="550" spans="1:10" ht="14.5" x14ac:dyDescent="0.35">
      <c r="A550" s="5" t="s">
        <v>175</v>
      </c>
      <c r="B550" s="5" t="str">
        <f>IFERROR(VLOOKUP($I550,'[5]Combined Data'!$D$1:$H$534,2,FALSE),0)</f>
        <v>Engineering Drawing</v>
      </c>
      <c r="C550" s="6" t="str">
        <v>P. O. Tawiah</v>
      </c>
      <c r="D550" s="5" t="s">
        <v>177</v>
      </c>
      <c r="E550" s="5">
        <v>84</v>
      </c>
      <c r="F550" s="108" t="s">
        <v>1523</v>
      </c>
      <c r="G550" s="7">
        <f t="shared" si="51"/>
        <v>92.4</v>
      </c>
      <c r="H550" s="88" t="s">
        <v>1487</v>
      </c>
      <c r="I550" s="1" t="str">
        <f t="shared" ref="I550:I554" si="52">CONCATENATE(A550,",",D550)</f>
        <v>ME 160,ED1-MSE</v>
      </c>
      <c r="J550" s="36"/>
    </row>
    <row r="551" spans="1:10" ht="14.5" x14ac:dyDescent="0.35">
      <c r="A551" s="5" t="s">
        <v>175</v>
      </c>
      <c r="B551" s="5" t="str">
        <f>IFERROR(VLOOKUP($I551,'[5]Combined Data'!$D$1:$H$534,2,FALSE),0)</f>
        <v>Engineering Drawing</v>
      </c>
      <c r="C551" s="6" t="str">
        <v>Sekyere Charles Kofi Kafui</v>
      </c>
      <c r="D551" s="5" t="s">
        <v>176</v>
      </c>
      <c r="E551" s="5">
        <v>244</v>
      </c>
      <c r="F551" s="97" t="s">
        <v>1683</v>
      </c>
      <c r="G551" s="7">
        <f t="shared" si="51"/>
        <v>268.40000000000003</v>
      </c>
      <c r="H551" s="88" t="s">
        <v>1817</v>
      </c>
      <c r="I551" s="1" t="str">
        <f t="shared" si="52"/>
        <v>ME 160,ED1-ME</v>
      </c>
      <c r="J551" s="36"/>
    </row>
    <row r="552" spans="1:10" ht="14.5" x14ac:dyDescent="0.35">
      <c r="A552" s="5" t="s">
        <v>175</v>
      </c>
      <c r="B552" s="5" t="str">
        <f>IFERROR(VLOOKUP($I552,'[5]Combined Data'!$D$1:$H$534,2,FALSE),0)</f>
        <v>Engineering Drawing</v>
      </c>
      <c r="C552" s="6" t="str">
        <v>Sekyere Charles Kofi Kafui</v>
      </c>
      <c r="D552" s="5" t="s">
        <v>15</v>
      </c>
      <c r="E552" s="5">
        <v>78</v>
      </c>
      <c r="F552" s="108" t="s">
        <v>1420</v>
      </c>
      <c r="G552" s="7">
        <f t="shared" si="51"/>
        <v>85.800000000000011</v>
      </c>
      <c r="H552" s="88">
        <v>78</v>
      </c>
      <c r="I552" s="1" t="str">
        <f t="shared" si="52"/>
        <v>ME 160,ED1-AUTO</v>
      </c>
      <c r="J552" s="36"/>
    </row>
    <row r="553" spans="1:10" ht="14.5" x14ac:dyDescent="0.35">
      <c r="A553" s="5" t="s">
        <v>175</v>
      </c>
      <c r="B553" s="5" t="str">
        <f>IFERROR(VLOOKUP($I553,'[5]Combined Data'!$D$1:$H$534,2,FALSE),0)</f>
        <v>Engineering Drawing</v>
      </c>
      <c r="C553" s="6" t="str">
        <v>Sekyere Charles Kofi Kafui</v>
      </c>
      <c r="D553" s="5" t="s">
        <v>82</v>
      </c>
      <c r="E553" s="5">
        <v>88</v>
      </c>
      <c r="F553" s="108" t="s">
        <v>1718</v>
      </c>
      <c r="G553" s="7">
        <f t="shared" si="51"/>
        <v>96.800000000000011</v>
      </c>
      <c r="H553" s="88" t="s">
        <v>1498</v>
      </c>
      <c r="I553" s="1" t="str">
        <f t="shared" si="52"/>
        <v>ME 160,ED1-IND</v>
      </c>
      <c r="J553" s="36"/>
    </row>
    <row r="554" spans="1:10" ht="14.5" x14ac:dyDescent="0.35">
      <c r="A554" s="5" t="s">
        <v>175</v>
      </c>
      <c r="B554" s="5" t="str">
        <f>IFERROR(VLOOKUP($I554,'[5]Combined Data'!$D$1:$H$534,2,FALSE),0)</f>
        <v>Engineering Drawing</v>
      </c>
      <c r="C554" s="6" t="str">
        <v>Sekyere Charles Kofi Kafui</v>
      </c>
      <c r="D554" s="5" t="s">
        <v>43</v>
      </c>
      <c r="E554" s="5">
        <v>37</v>
      </c>
      <c r="F554" s="108" t="s">
        <v>1422</v>
      </c>
      <c r="G554" s="7">
        <f t="shared" si="51"/>
        <v>40.700000000000003</v>
      </c>
      <c r="H554" s="88">
        <v>37</v>
      </c>
      <c r="I554" s="1" t="str">
        <f t="shared" si="52"/>
        <v>ME 160,ED1-MARI</v>
      </c>
      <c r="J554" s="36"/>
    </row>
    <row r="555" spans="1:10" ht="14.5" x14ac:dyDescent="0.35">
      <c r="A555" s="5" t="s">
        <v>341</v>
      </c>
      <c r="B555" s="5" t="str">
        <f>IFERROR(VLOOKUP($I555,'[5]Combined Data'!$D$1:$H$534,2,FALSE),0)</f>
        <v>Environmental Quality Engineering</v>
      </c>
      <c r="C555" s="6" t="str">
        <v>K.B. Nyarko</v>
      </c>
      <c r="D555" s="5" t="s">
        <v>27</v>
      </c>
      <c r="E555" s="5">
        <v>254</v>
      </c>
      <c r="F555" s="97" t="s">
        <v>1683</v>
      </c>
      <c r="G555" s="7">
        <f t="shared" si="51"/>
        <v>279.40000000000003</v>
      </c>
      <c r="H555" s="88" t="s">
        <v>1731</v>
      </c>
      <c r="I555" s="1" t="str">
        <f t="shared" si="50"/>
        <v>CE 364,ED3-CE</v>
      </c>
      <c r="J555" s="36"/>
    </row>
    <row r="556" spans="1:10" ht="14.5" x14ac:dyDescent="0.35">
      <c r="A556" s="5" t="s">
        <v>236</v>
      </c>
      <c r="B556" s="5" t="str">
        <f>IFERROR(VLOOKUP($I556,'[5]Combined Data'!$D$1:$H$534,2,FALSE),0)</f>
        <v>Biomedical Engineering Design II</v>
      </c>
      <c r="C556" s="6" t="str">
        <v>Addo Daniel Akwei</v>
      </c>
      <c r="D556" s="5" t="s">
        <v>42</v>
      </c>
      <c r="E556" s="5">
        <v>94</v>
      </c>
      <c r="F556" s="98" t="s">
        <v>1564</v>
      </c>
      <c r="G556" s="7">
        <f t="shared" si="51"/>
        <v>103.4</v>
      </c>
      <c r="H556" s="88" t="s">
        <v>1818</v>
      </c>
      <c r="I556" s="1" t="str">
        <f>CONCATENATE(A556,",",D556)</f>
        <v>BME 252,ED2-BME</v>
      </c>
      <c r="J556" s="36"/>
    </row>
    <row r="557" spans="1:10" ht="14.5" x14ac:dyDescent="0.35">
      <c r="A557" s="5"/>
      <c r="B557" s="5"/>
      <c r="C557" s="6"/>
      <c r="D557" s="5"/>
      <c r="E557" s="5"/>
      <c r="F557" s="8"/>
      <c r="G557" s="7"/>
      <c r="J557" s="36"/>
    </row>
    <row r="558" spans="1:10" ht="14.5" x14ac:dyDescent="0.35">
      <c r="D558" s="6" t="s">
        <v>132</v>
      </c>
      <c r="E558" s="37">
        <f>SUM(E546:E557)</f>
        <v>1452</v>
      </c>
      <c r="I558" s="1" t="str">
        <f>CONCATENATE(A558,",",D558)</f>
        <v>,Total H5</v>
      </c>
      <c r="J558" s="36"/>
    </row>
    <row r="560" spans="1:10" ht="14.5" x14ac:dyDescent="0.35">
      <c r="A560" s="119" t="s">
        <v>1869</v>
      </c>
      <c r="B560" s="119"/>
      <c r="C560" s="119"/>
      <c r="D560" s="119"/>
      <c r="E560" s="119"/>
      <c r="F560" s="119"/>
      <c r="G560" s="119"/>
      <c r="I560" s="1" t="str">
        <f t="shared" ref="I560:I572" si="53">CONCATENATE(A560,",",D560)</f>
        <v>Friday, 11 July 2025,</v>
      </c>
      <c r="J560" s="36"/>
    </row>
    <row r="561" spans="1:10" ht="14.5" x14ac:dyDescent="0.35">
      <c r="A561" s="116" t="str">
        <f>[2]SESSIONS!$K$1</f>
        <v>Session, 1 (8:15 AM - 9:15 AM)</v>
      </c>
      <c r="B561" s="117"/>
      <c r="C561" s="117"/>
      <c r="D561" s="117"/>
      <c r="E561" s="117"/>
      <c r="F561" s="117"/>
      <c r="G561" s="118"/>
      <c r="I561" s="1" t="str">
        <f t="shared" si="53"/>
        <v>Session, 1 (8:15 AM - 9:15 AM),</v>
      </c>
      <c r="J561" s="36"/>
    </row>
    <row r="562" spans="1:10" ht="14.5" x14ac:dyDescent="0.35">
      <c r="A562" s="2" t="s">
        <v>6</v>
      </c>
      <c r="B562" s="2" t="s">
        <v>5</v>
      </c>
      <c r="C562" s="4" t="s">
        <v>4</v>
      </c>
      <c r="D562" s="2" t="s">
        <v>3</v>
      </c>
      <c r="E562" s="2" t="s">
        <v>2</v>
      </c>
      <c r="F562" s="3" t="s">
        <v>1</v>
      </c>
      <c r="G562" s="2" t="s">
        <v>0</v>
      </c>
      <c r="I562" s="1" t="str">
        <f t="shared" si="53"/>
        <v>CODE ,CLASS</v>
      </c>
      <c r="J562" s="36"/>
    </row>
    <row r="563" spans="1:10" ht="14.5" x14ac:dyDescent="0.35">
      <c r="A563" s="43" t="s">
        <v>129</v>
      </c>
      <c r="B563" s="5" t="str">
        <f>IFERROR(VLOOKUP($I563,'[5]Combined Data'!$D$1:$H$534,2,FALSE),0)</f>
        <v>Satellite Surveying</v>
      </c>
      <c r="C563" s="6" t="str" cm="1">
        <f t="array" ref="C563:C573">VLOOKUP(I563:I573,'Combined Data'!A1:E597,3,FALSE)</f>
        <v>Andam-Akorful Samuel Ato</v>
      </c>
      <c r="D563" s="16" t="s">
        <v>47</v>
      </c>
      <c r="E563" s="5" cm="1">
        <f t="array" ref="E563:E573">VLOOKUP(I563:I573,combined_data!A1:D549,4,FALSE)</f>
        <v>96</v>
      </c>
      <c r="F563" s="53" t="s">
        <v>114</v>
      </c>
      <c r="G563" s="7">
        <f t="shared" ref="G563:G572" si="54">E563*1.1</f>
        <v>105.60000000000001</v>
      </c>
      <c r="I563" s="1" t="str">
        <f t="shared" si="53"/>
        <v>GE 354,ED3-GEOM</v>
      </c>
      <c r="J563" s="36"/>
    </row>
    <row r="564" spans="1:10" ht="14.5" x14ac:dyDescent="0.35">
      <c r="A564" s="5" t="s">
        <v>403</v>
      </c>
      <c r="B564" s="5" t="str">
        <f>IFERROR(VLOOKUP($I564,'[5]Combined Data'!$D$1:$H$534,2,FALSE),0)</f>
        <v>Synchronous Machines</v>
      </c>
      <c r="C564" s="6" t="str">
        <v>Asigri Peter</v>
      </c>
      <c r="D564" s="5" t="s">
        <v>46</v>
      </c>
      <c r="E564" s="5">
        <v>256</v>
      </c>
      <c r="F564" s="14" t="s">
        <v>1465</v>
      </c>
      <c r="G564" s="7">
        <f t="shared" ref="G564:G569" si="55">E564*1.1</f>
        <v>281.60000000000002</v>
      </c>
      <c r="H564" s="88" t="s">
        <v>1464</v>
      </c>
      <c r="I564" s="1" t="str">
        <f t="shared" ref="I564:I569" si="56">CONCATENATE(A564,",",D564)</f>
        <v>EE 262,ED2-EE</v>
      </c>
      <c r="J564" s="36"/>
    </row>
    <row r="565" spans="1:10" ht="14.5" x14ac:dyDescent="0.35">
      <c r="A565" s="5" t="s">
        <v>143</v>
      </c>
      <c r="B565" s="5" t="str">
        <f>IFERROR(VLOOKUP($I565,'[5]Combined Data'!$D$1:$H$534,2,FALSE),0)</f>
        <v>Petroleum Business: Structures, Logistics</v>
      </c>
      <c r="C565" s="6" t="str">
        <v>Quaye Jonathan Atuquaye</v>
      </c>
      <c r="D565" s="5" t="s">
        <v>53</v>
      </c>
      <c r="E565" s="5">
        <v>158</v>
      </c>
      <c r="F565" s="12" t="s">
        <v>1541</v>
      </c>
      <c r="G565" s="7">
        <f t="shared" si="55"/>
        <v>173.8</v>
      </c>
      <c r="H565" s="88" t="s">
        <v>1467</v>
      </c>
      <c r="I565" s="1" t="str">
        <f t="shared" si="56"/>
        <v>PE 468,ED4-PETE</v>
      </c>
      <c r="J565" s="36"/>
    </row>
    <row r="566" spans="1:10" ht="14.5" x14ac:dyDescent="0.35">
      <c r="A566" s="5" t="s">
        <v>354</v>
      </c>
      <c r="B566" s="5" t="str">
        <f>IFERROR(VLOOKUP($I566,'[5]Combined Data'!$D$1:$H$534,2,FALSE),0)</f>
        <v>Electrical Engineering Machines</v>
      </c>
      <c r="C566" s="6" t="str">
        <v>Y. O. M Sekyere</v>
      </c>
      <c r="D566" s="5" t="s">
        <v>51</v>
      </c>
      <c r="E566" s="5">
        <v>111</v>
      </c>
      <c r="F566" s="8" t="s">
        <v>1473</v>
      </c>
      <c r="G566" s="7">
        <f t="shared" si="55"/>
        <v>122.10000000000001</v>
      </c>
      <c r="H566" s="88" t="s">
        <v>1474</v>
      </c>
      <c r="I566" s="1" t="str">
        <f t="shared" si="56"/>
        <v>EE 252,ED2-AE</v>
      </c>
      <c r="J566" s="36"/>
    </row>
    <row r="567" spans="1:10" ht="14.5" x14ac:dyDescent="0.35">
      <c r="A567" s="5" t="s">
        <v>354</v>
      </c>
      <c r="B567" s="5" t="str">
        <f>IFERROR(VLOOKUP($I567,'[5]Combined Data'!$D$1:$H$534,2,FALSE),0)</f>
        <v>Electrical Engineering Machines</v>
      </c>
      <c r="C567" s="6" t="str">
        <v>Y. O. M Sekyere</v>
      </c>
      <c r="D567" s="5" t="s">
        <v>77</v>
      </c>
      <c r="E567" s="5">
        <v>147</v>
      </c>
      <c r="F567" s="8" t="s">
        <v>1471</v>
      </c>
      <c r="G567" s="7">
        <f t="shared" si="55"/>
        <v>161.70000000000002</v>
      </c>
      <c r="H567" s="88" t="s">
        <v>1470</v>
      </c>
      <c r="I567" s="1" t="str">
        <f t="shared" si="56"/>
        <v>EE 252,ED3-ME</v>
      </c>
      <c r="J567" s="36"/>
    </row>
    <row r="568" spans="1:10" ht="14.5" x14ac:dyDescent="0.35">
      <c r="A568" s="5" t="s">
        <v>280</v>
      </c>
      <c r="B568" s="5" t="str">
        <f>IFERROR(VLOOKUP($I568,'[5]Combined Data'!$D$1:$H$534,2,FALSE),0)</f>
        <v>Electrical Machines</v>
      </c>
      <c r="C568" s="6" t="str">
        <v>Y. O. M Sekyere</v>
      </c>
      <c r="D568" s="5" t="s">
        <v>20</v>
      </c>
      <c r="E568" s="5">
        <v>255</v>
      </c>
      <c r="F568" s="14" t="s">
        <v>1465</v>
      </c>
      <c r="G568" s="7">
        <f t="shared" si="55"/>
        <v>280.5</v>
      </c>
      <c r="H568" s="88" t="s">
        <v>1462</v>
      </c>
      <c r="I568" s="1" t="str">
        <f t="shared" si="56"/>
        <v>EE 172,ED1-COE</v>
      </c>
      <c r="J568" s="36"/>
    </row>
    <row r="569" spans="1:10" ht="14.5" x14ac:dyDescent="0.35">
      <c r="A569" s="5" t="s">
        <v>307</v>
      </c>
      <c r="B569" s="5" t="str">
        <f>IFERROR(VLOOKUP($I569,'[5]Combined Data'!$D$1:$H$534,2,FALSE),0)</f>
        <v>Engineering Research and Technical Report Writing</v>
      </c>
      <c r="C569" s="6" t="str">
        <v>Acheampong Francisca Adoma</v>
      </c>
      <c r="D569" s="5" t="s">
        <v>168</v>
      </c>
      <c r="E569" s="5">
        <v>180</v>
      </c>
      <c r="F569" s="12" t="s">
        <v>1468</v>
      </c>
      <c r="G569" s="7">
        <f t="shared" si="55"/>
        <v>198.00000000000003</v>
      </c>
      <c r="H569" s="88" t="s">
        <v>1851</v>
      </c>
      <c r="I569" s="1" t="str">
        <f t="shared" si="56"/>
        <v>TE 152,ED1-TEL</v>
      </c>
      <c r="J569" s="36"/>
    </row>
    <row r="570" spans="1:10" ht="14.5" x14ac:dyDescent="0.35">
      <c r="A570" s="5" t="s">
        <v>99</v>
      </c>
      <c r="B570" s="5" t="str">
        <f>IFERROR(VLOOKUP($I570,'[5]Combined Data'!$D$1:$H$534,2,FALSE),0)</f>
        <v>Introduction to Petroleum Engineering</v>
      </c>
      <c r="C570" s="6" t="str">
        <v>Erzuah Samuel</v>
      </c>
      <c r="D570" s="16" t="s">
        <v>98</v>
      </c>
      <c r="E570" s="5">
        <v>97</v>
      </c>
      <c r="F570" s="8" t="s">
        <v>1473</v>
      </c>
      <c r="G570" s="7">
        <f>E570*1.1</f>
        <v>106.7</v>
      </c>
      <c r="H570" s="88" t="s">
        <v>1852</v>
      </c>
      <c r="I570" s="1" t="str">
        <f>CONCATENATE(A570,",",D570)</f>
        <v>PE 154,ED1-PETE</v>
      </c>
      <c r="J570" s="36"/>
    </row>
    <row r="571" spans="1:10" ht="14.5" x14ac:dyDescent="0.35">
      <c r="A571" s="5" t="s">
        <v>121</v>
      </c>
      <c r="B571" s="5" t="str">
        <f>IFERROR(VLOOKUP($I571,'[5]Combined Data'!$D$1:$H$534,2,FALSE),0)</f>
        <v>Numerical Methods for Engineers</v>
      </c>
      <c r="C571" s="6" t="str">
        <v>Nartey Martinson Addo</v>
      </c>
      <c r="D571" s="5" t="s">
        <v>33</v>
      </c>
      <c r="E571" s="5">
        <v>65</v>
      </c>
      <c r="F571" s="8" t="s">
        <v>1472</v>
      </c>
      <c r="G571" s="7">
        <f t="shared" si="54"/>
        <v>71.5</v>
      </c>
      <c r="H571" s="88" t="s">
        <v>1846</v>
      </c>
      <c r="I571" s="1" t="str">
        <f t="shared" si="53"/>
        <v>MSE 358,ED3-MSE</v>
      </c>
      <c r="J571" s="36"/>
    </row>
    <row r="572" spans="1:10" ht="14.5" x14ac:dyDescent="0.35">
      <c r="A572" s="5" t="s">
        <v>121</v>
      </c>
      <c r="B572" s="5" t="str">
        <f>IFERROR(VLOOKUP($I572,'[5]Combined Data'!$D$1:$H$534,2,FALSE),0)</f>
        <v>Numerical Methods for Engineers</v>
      </c>
      <c r="C572" s="6" t="str">
        <v>Nartey Martinson Addo</v>
      </c>
      <c r="D572" s="5" t="s">
        <v>120</v>
      </c>
      <c r="E572" s="5">
        <v>55</v>
      </c>
      <c r="F572" s="14" t="s">
        <v>1422</v>
      </c>
      <c r="G572" s="7">
        <f t="shared" si="54"/>
        <v>60.500000000000007</v>
      </c>
      <c r="H572" s="88">
        <v>55</v>
      </c>
      <c r="I572" s="1" t="str">
        <f t="shared" si="53"/>
        <v>MSE 358,ED3-METE</v>
      </c>
      <c r="J572" s="36"/>
    </row>
    <row r="573" spans="1:10" ht="14.5" x14ac:dyDescent="0.35">
      <c r="A573" s="5" t="s">
        <v>118</v>
      </c>
      <c r="B573" s="5" t="str">
        <f>IFERROR(VLOOKUP($I573,'[5]Combined Data'!$D$1:$H$534,2,FALSE),0)</f>
        <v>Aircraft Performance and Design</v>
      </c>
      <c r="C573" s="6" t="str">
        <v>Agyei Agyemang Anthony</v>
      </c>
      <c r="D573" s="5" t="s">
        <v>117</v>
      </c>
      <c r="E573" s="5">
        <v>63</v>
      </c>
      <c r="F573" s="8" t="s">
        <v>1475</v>
      </c>
      <c r="G573" s="7">
        <f>E573*1.1</f>
        <v>69.300000000000011</v>
      </c>
      <c r="H573" s="88" t="s">
        <v>1476</v>
      </c>
      <c r="I573" s="1" t="str">
        <f>CONCATENATE(A573,",",D573)</f>
        <v>AERO 374,ED3-AERO</v>
      </c>
      <c r="J573" s="36"/>
    </row>
    <row r="574" spans="1:10" ht="14.5" x14ac:dyDescent="0.35">
      <c r="A574" s="19"/>
      <c r="B574" s="19"/>
      <c r="C574" s="48"/>
      <c r="D574" s="5"/>
      <c r="E574" s="5"/>
      <c r="F574" s="50"/>
      <c r="G574" s="51"/>
      <c r="J574" s="36"/>
    </row>
    <row r="575" spans="1:10" ht="14.5" x14ac:dyDescent="0.35">
      <c r="A575" s="19"/>
      <c r="B575" s="19"/>
      <c r="C575" s="48"/>
      <c r="D575" s="5"/>
      <c r="E575" s="5"/>
      <c r="F575" s="50"/>
      <c r="G575" s="51"/>
      <c r="J575" s="36"/>
    </row>
    <row r="576" spans="1:10" ht="14.5" x14ac:dyDescent="0.35">
      <c r="D576" s="6" t="s">
        <v>115</v>
      </c>
      <c r="E576" s="11">
        <f>SUM(E564:E573)</f>
        <v>1387</v>
      </c>
      <c r="J576" s="36"/>
    </row>
    <row r="579" spans="1:10" ht="14.5" x14ac:dyDescent="0.35">
      <c r="A579" s="119" t="s">
        <v>1869</v>
      </c>
      <c r="B579" s="119"/>
      <c r="C579" s="119"/>
      <c r="D579" s="119"/>
      <c r="E579" s="119"/>
      <c r="F579" s="119"/>
      <c r="G579" s="119"/>
      <c r="I579" s="1" t="str">
        <f t="shared" ref="I579:I610" si="57">CONCATENATE(A579,",",D579)</f>
        <v>Friday, 11 July 2025,</v>
      </c>
      <c r="J579" s="36"/>
    </row>
    <row r="580" spans="1:10" ht="14.5" x14ac:dyDescent="0.35">
      <c r="A580" s="116" t="str">
        <f>[2]SESSIONS!$K$2</f>
        <v>Session, 2 (10:00 AM - 11:00 AM)</v>
      </c>
      <c r="B580" s="117"/>
      <c r="C580" s="117"/>
      <c r="D580" s="117"/>
      <c r="E580" s="117"/>
      <c r="F580" s="117"/>
      <c r="G580" s="118"/>
      <c r="I580" s="1" t="str">
        <f t="shared" si="57"/>
        <v>Session, 2 (10:00 AM - 11:00 AM),</v>
      </c>
      <c r="J580" s="36"/>
    </row>
    <row r="581" spans="1:10" ht="14.5" x14ac:dyDescent="0.35">
      <c r="A581" s="2" t="s">
        <v>6</v>
      </c>
      <c r="B581" s="2" t="s">
        <v>5</v>
      </c>
      <c r="C581" s="3" t="s">
        <v>4</v>
      </c>
      <c r="D581" s="2" t="s">
        <v>3</v>
      </c>
      <c r="E581" s="2" t="s">
        <v>2</v>
      </c>
      <c r="F581" s="4" t="s">
        <v>1</v>
      </c>
      <c r="G581" s="2" t="s">
        <v>0</v>
      </c>
      <c r="I581" s="1" t="str">
        <f t="shared" si="57"/>
        <v>CODE ,CLASS</v>
      </c>
      <c r="J581" s="36"/>
    </row>
    <row r="582" spans="1:10" ht="14.5" x14ac:dyDescent="0.35">
      <c r="A582" s="5" t="s">
        <v>112</v>
      </c>
      <c r="B582" s="5" t="str">
        <f>IFERROR(VLOOKUP($I582,'[5]Combined Data'!$D$1:$H$534,2,FALSE),0)</f>
        <v>Calculus with Several Variables</v>
      </c>
      <c r="C582" s="6" t="str" cm="1">
        <f t="array" ref="C582:C609">VLOOKUP(I582:I609,'Combined Data'!A1:E597,3,FALSE)</f>
        <v>Eghan Rhydal Esi</v>
      </c>
      <c r="D582" s="5" t="s">
        <v>42</v>
      </c>
      <c r="E582" s="5" cm="1">
        <f t="array" ref="E582:E609">VLOOKUP(I582:I609,combined_data!A1:D549,4,FALSE)</f>
        <v>94</v>
      </c>
      <c r="F582" s="120" t="s">
        <v>114</v>
      </c>
      <c r="G582" s="7">
        <f t="shared" ref="G582:G609" si="58">E582*1.1</f>
        <v>103.4</v>
      </c>
      <c r="I582" s="1" t="str">
        <f t="shared" si="57"/>
        <v>MATH 252,ED2-BME</v>
      </c>
      <c r="J582" s="36"/>
    </row>
    <row r="583" spans="1:10" ht="14.5" x14ac:dyDescent="0.35">
      <c r="A583" s="5" t="s">
        <v>112</v>
      </c>
      <c r="B583" s="5" t="str">
        <f>IFERROR(VLOOKUP($I583,'[5]Combined Data'!$D$1:$H$534,2,FALSE),0)</f>
        <v>Calculus with Several Variables</v>
      </c>
      <c r="C583" s="6" t="str">
        <v>Eghan Rhydal Esi</v>
      </c>
      <c r="D583" s="5" t="s">
        <v>11</v>
      </c>
      <c r="E583" s="5">
        <v>48</v>
      </c>
      <c r="F583" s="122"/>
      <c r="G583" s="7">
        <f t="shared" si="58"/>
        <v>52.800000000000004</v>
      </c>
      <c r="I583" s="1" t="str">
        <f t="shared" si="57"/>
        <v>MATH 252,ED2-AUTO</v>
      </c>
      <c r="J583" s="36"/>
    </row>
    <row r="584" spans="1:10" ht="14.5" x14ac:dyDescent="0.35">
      <c r="A584" s="5" t="s">
        <v>112</v>
      </c>
      <c r="B584" s="5" t="str">
        <f>IFERROR(VLOOKUP($I584,'[5]Combined Data'!$D$1:$H$534,2,FALSE),0)</f>
        <v>Calculus with Several Variables</v>
      </c>
      <c r="C584" s="6" t="str">
        <v>Eghan Rhydal Esi</v>
      </c>
      <c r="D584" s="5" t="s">
        <v>69</v>
      </c>
      <c r="E584" s="5">
        <v>59</v>
      </c>
      <c r="F584" s="122"/>
      <c r="G584" s="7">
        <f t="shared" si="58"/>
        <v>64.900000000000006</v>
      </c>
      <c r="I584" s="1" t="str">
        <f t="shared" si="57"/>
        <v>MATH 252,ED2-PCE</v>
      </c>
      <c r="J584" s="36"/>
    </row>
    <row r="585" spans="1:10" ht="14.5" x14ac:dyDescent="0.35">
      <c r="A585" s="5" t="s">
        <v>112</v>
      </c>
      <c r="B585" s="5" t="str">
        <f>IFERROR(VLOOKUP($I585,'[5]Combined Data'!$D$1:$H$534,2,FALSE),0)</f>
        <v>Calculus with Several Variables</v>
      </c>
      <c r="C585" s="6" t="str">
        <v>Eghan Rhydal Esi</v>
      </c>
      <c r="D585" s="5" t="s">
        <v>36</v>
      </c>
      <c r="E585" s="5">
        <v>82</v>
      </c>
      <c r="F585" s="122"/>
      <c r="G585" s="7">
        <f t="shared" si="58"/>
        <v>90.2</v>
      </c>
      <c r="I585" s="1" t="str">
        <f t="shared" si="57"/>
        <v>MATH 252,ED2-PETE</v>
      </c>
      <c r="J585" s="36"/>
    </row>
    <row r="586" spans="1:10" ht="14.5" x14ac:dyDescent="0.35">
      <c r="A586" s="5" t="s">
        <v>112</v>
      </c>
      <c r="B586" s="5" t="str">
        <f>IFERROR(VLOOKUP($I586,'[5]Combined Data'!$D$1:$H$534,2,FALSE),0)</f>
        <v>Calculus with Several Variables</v>
      </c>
      <c r="C586" s="6" t="str">
        <v>Asamoah Joshua Kiddy Kwasi</v>
      </c>
      <c r="D586" s="5" t="s">
        <v>113</v>
      </c>
      <c r="E586" s="5">
        <v>89</v>
      </c>
      <c r="F586" s="122"/>
      <c r="G586" s="7">
        <f t="shared" si="58"/>
        <v>97.9</v>
      </c>
      <c r="I586" s="1" t="str">
        <f t="shared" si="57"/>
        <v>MATH 252,ED2-MSE</v>
      </c>
      <c r="J586" s="36"/>
    </row>
    <row r="587" spans="1:10" ht="14.5" x14ac:dyDescent="0.35">
      <c r="A587" s="5" t="s">
        <v>112</v>
      </c>
      <c r="B587" s="5" t="str">
        <f>IFERROR(VLOOKUP($I587,'[5]Combined Data'!$D$1:$H$534,2,FALSE),0)</f>
        <v>Calculus with Several Variables</v>
      </c>
      <c r="C587" s="6" t="str">
        <v>Asamoah Joshua Kiddy Kwasi</v>
      </c>
      <c r="D587" s="5" t="s">
        <v>111</v>
      </c>
      <c r="E587" s="5">
        <v>86</v>
      </c>
      <c r="F587" s="122"/>
      <c r="G587" s="7">
        <f t="shared" si="58"/>
        <v>94.600000000000009</v>
      </c>
      <c r="I587" s="1" t="str">
        <f t="shared" si="57"/>
        <v>MATH 252,ED2-METE</v>
      </c>
      <c r="J587" s="36"/>
    </row>
    <row r="588" spans="1:10" ht="14.5" x14ac:dyDescent="0.35">
      <c r="A588" s="5" t="s">
        <v>112</v>
      </c>
      <c r="B588" s="5" t="str">
        <f>IFERROR(VLOOKUP($I588,'[5]Combined Data'!$D$1:$H$534,2,FALSE),0)</f>
        <v>Calculus with Several Variables</v>
      </c>
      <c r="C588" s="6" t="str">
        <v>Wireko Fredrick Asenso</v>
      </c>
      <c r="D588" s="5" t="s">
        <v>13</v>
      </c>
      <c r="E588" s="5">
        <v>76</v>
      </c>
      <c r="F588" s="122"/>
      <c r="G588" s="7">
        <f t="shared" ref="G588:G595" si="59">E588*1.1</f>
        <v>83.600000000000009</v>
      </c>
      <c r="I588" s="1" t="str">
        <f t="shared" ref="I588:I595" si="60">CONCATENATE(A588,",",D588)</f>
        <v>MATH 252,ED2-AERO</v>
      </c>
      <c r="J588" s="36"/>
    </row>
    <row r="589" spans="1:10" ht="14.5" x14ac:dyDescent="0.35">
      <c r="A589" s="5" t="s">
        <v>112</v>
      </c>
      <c r="B589" s="5" t="str">
        <f>IFERROR(VLOOKUP($I589,'[5]Combined Data'!$D$1:$H$534,2,FALSE),0)</f>
        <v>Calculus with Several Variables</v>
      </c>
      <c r="C589" s="6" t="str">
        <v>Wireko Fredrick Asenso</v>
      </c>
      <c r="D589" s="5" t="s">
        <v>17</v>
      </c>
      <c r="E589" s="5">
        <v>72</v>
      </c>
      <c r="F589" s="122"/>
      <c r="G589" s="7">
        <f t="shared" si="59"/>
        <v>79.2</v>
      </c>
      <c r="I589" s="1" t="str">
        <f t="shared" si="60"/>
        <v>MATH 252,ED2-IND</v>
      </c>
      <c r="J589" s="36"/>
    </row>
    <row r="590" spans="1:10" ht="14.5" x14ac:dyDescent="0.35">
      <c r="A590" s="5" t="s">
        <v>112</v>
      </c>
      <c r="B590" s="5" t="str">
        <f>IFERROR(VLOOKUP($I590,'[5]Combined Data'!$D$1:$H$534,2,FALSE),0)</f>
        <v>Calculus with Several Variables</v>
      </c>
      <c r="C590" s="6" t="str">
        <v>Wireko Fredrick Asenso</v>
      </c>
      <c r="D590" s="5" t="s">
        <v>49</v>
      </c>
      <c r="E590" s="5">
        <v>147</v>
      </c>
      <c r="F590" s="122"/>
      <c r="G590" s="7">
        <f t="shared" si="59"/>
        <v>161.70000000000002</v>
      </c>
      <c r="I590" s="1" t="str">
        <f t="shared" si="60"/>
        <v>MATH 252,ED2-TEL</v>
      </c>
      <c r="J590" s="36"/>
    </row>
    <row r="591" spans="1:10" ht="14.5" x14ac:dyDescent="0.35">
      <c r="A591" s="5" t="s">
        <v>112</v>
      </c>
      <c r="B591" s="5" t="str">
        <f>IFERROR(VLOOKUP($I591,'[5]Combined Data'!$D$1:$H$534,2,FALSE),0)</f>
        <v>Calculus with Several Variables</v>
      </c>
      <c r="C591" s="6" t="str">
        <v>Wireko Fredrick Asenso</v>
      </c>
      <c r="D591" s="5" t="s">
        <v>62</v>
      </c>
      <c r="E591" s="5">
        <v>156</v>
      </c>
      <c r="F591" s="122"/>
      <c r="G591" s="7">
        <f t="shared" si="59"/>
        <v>171.60000000000002</v>
      </c>
      <c r="I591" s="1" t="str">
        <f t="shared" si="60"/>
        <v>MATH 252,ED2-GEOL</v>
      </c>
      <c r="J591" s="36"/>
    </row>
    <row r="592" spans="1:10" ht="14.5" x14ac:dyDescent="0.35">
      <c r="A592" s="5" t="s">
        <v>112</v>
      </c>
      <c r="B592" s="5" t="str">
        <f>IFERROR(VLOOKUP($I592,'[5]Combined Data'!$D$1:$H$534,2,FALSE),0)</f>
        <v>Calculus with Several Variables</v>
      </c>
      <c r="C592" s="6" t="str">
        <v>E. BONYA</v>
      </c>
      <c r="D592" s="5" t="s">
        <v>65</v>
      </c>
      <c r="E592" s="5">
        <v>122</v>
      </c>
      <c r="F592" s="122"/>
      <c r="G592" s="7">
        <f t="shared" si="59"/>
        <v>134.20000000000002</v>
      </c>
      <c r="I592" s="1" t="str">
        <f t="shared" si="60"/>
        <v>MATH 252,ED2-GEOM</v>
      </c>
      <c r="J592" s="36"/>
    </row>
    <row r="593" spans="1:10" ht="14.5" x14ac:dyDescent="0.35">
      <c r="A593" s="5" t="s">
        <v>112</v>
      </c>
      <c r="B593" s="5" t="str">
        <f>IFERROR(VLOOKUP($I593,'[5]Combined Data'!$D$1:$H$534,2,FALSE),0)</f>
        <v>Calculus with Several Variables</v>
      </c>
      <c r="C593" s="6" t="str">
        <v>R. N. Borkor</v>
      </c>
      <c r="D593" s="5" t="s">
        <v>64</v>
      </c>
      <c r="E593" s="5">
        <v>227</v>
      </c>
      <c r="F593" s="122"/>
      <c r="G593" s="7">
        <f t="shared" si="59"/>
        <v>249.70000000000002</v>
      </c>
      <c r="I593" s="1" t="str">
        <f t="shared" si="60"/>
        <v>MATH 252,ED2-CE</v>
      </c>
      <c r="J593" s="36"/>
    </row>
    <row r="594" spans="1:10" ht="14.5" x14ac:dyDescent="0.35">
      <c r="A594" s="5" t="s">
        <v>112</v>
      </c>
      <c r="B594" s="5" t="str">
        <f>IFERROR(VLOOKUP($I594,'[5]Combined Data'!$D$1:$H$534,2,FALSE),0)</f>
        <v>Calculus with Several Variables</v>
      </c>
      <c r="C594" s="6" t="str">
        <v>Wireko Fredrick Asenso</v>
      </c>
      <c r="D594" s="5" t="s">
        <v>51</v>
      </c>
      <c r="E594" s="5">
        <v>111</v>
      </c>
      <c r="F594" s="122"/>
      <c r="G594" s="7">
        <f t="shared" si="59"/>
        <v>122.10000000000001</v>
      </c>
      <c r="I594" s="1" t="str">
        <f t="shared" si="60"/>
        <v>MATH 252,ED2-AE</v>
      </c>
      <c r="J594" s="36"/>
    </row>
    <row r="595" spans="1:10" ht="14.5" x14ac:dyDescent="0.35">
      <c r="A595" s="5" t="s">
        <v>112</v>
      </c>
      <c r="B595" s="5" t="str">
        <f>IFERROR(VLOOKUP($I595,'[5]Combined Data'!$D$1:$H$534,2,FALSE),0)</f>
        <v>Calculus with Several Variables</v>
      </c>
      <c r="C595" s="6" t="str">
        <v>Wireko Fredrick Asenso</v>
      </c>
      <c r="D595" s="5" t="s">
        <v>40</v>
      </c>
      <c r="E595" s="5">
        <v>277</v>
      </c>
      <c r="F595" s="122"/>
      <c r="G595" s="7">
        <f t="shared" si="59"/>
        <v>304.70000000000005</v>
      </c>
      <c r="I595" s="1" t="str">
        <f t="shared" si="60"/>
        <v>MATH 252,ED2-COE</v>
      </c>
      <c r="J595" s="36"/>
    </row>
    <row r="596" spans="1:10" ht="14.5" x14ac:dyDescent="0.35">
      <c r="A596" s="5" t="s">
        <v>110</v>
      </c>
      <c r="B596" s="5" t="str">
        <f>IFERROR(VLOOKUP($I596,'[5]Combined Data'!$D$1:$H$534,2,FALSE),0)</f>
        <v>Crop Storage and Storage Structures</v>
      </c>
      <c r="C596" s="6" t="str">
        <v>Bart Plange Ato</v>
      </c>
      <c r="D596" s="5" t="s">
        <v>109</v>
      </c>
      <c r="E596" s="5">
        <v>125</v>
      </c>
      <c r="F596" s="45" t="s">
        <v>1484</v>
      </c>
      <c r="G596" s="7">
        <f t="shared" si="58"/>
        <v>137.5</v>
      </c>
      <c r="H596" s="88" t="s">
        <v>1722</v>
      </c>
      <c r="I596" s="1" t="str">
        <f t="shared" si="57"/>
        <v>AE 464,ED4-AE</v>
      </c>
      <c r="J596" s="36"/>
    </row>
    <row r="597" spans="1:10" ht="14.5" x14ac:dyDescent="0.35">
      <c r="A597" s="5" t="s">
        <v>233</v>
      </c>
      <c r="B597" s="5" t="str">
        <f>IFERROR(VLOOKUP($I597,'[5]Combined Data'!$D$1:$H$534,2,FALSE),0)</f>
        <v>Silicate Technology II</v>
      </c>
      <c r="C597" s="6" t="str">
        <v>Momade Zsuzsanna Gál</v>
      </c>
      <c r="D597" s="5" t="s">
        <v>48</v>
      </c>
      <c r="E597" s="5">
        <v>33</v>
      </c>
      <c r="F597" s="8" t="s">
        <v>1438</v>
      </c>
      <c r="G597" s="7">
        <f>E597*1.1</f>
        <v>36.300000000000004</v>
      </c>
      <c r="H597" s="88">
        <v>33</v>
      </c>
      <c r="I597" s="1" t="str">
        <f>CONCATENATE(A597,",",D597)</f>
        <v>CHE 362,ED3-CHE</v>
      </c>
      <c r="J597" s="36"/>
    </row>
    <row r="598" spans="1:10" ht="14.5" x14ac:dyDescent="0.35">
      <c r="A598" s="5" t="s">
        <v>68</v>
      </c>
      <c r="B598" s="5" t="str">
        <f>IFERROR(VLOOKUP($I598,'[5]Combined Data'!$D$1:$H$534,2,FALSE),0)</f>
        <v>Power Systems Analysis</v>
      </c>
      <c r="C598" s="6" t="str">
        <v>Twumasi Elvis</v>
      </c>
      <c r="D598" s="5" t="s">
        <v>67</v>
      </c>
      <c r="E598" s="5">
        <v>226</v>
      </c>
      <c r="F598" s="14" t="s">
        <v>1478</v>
      </c>
      <c r="G598" s="7">
        <f>E598*1.1</f>
        <v>248.60000000000002</v>
      </c>
      <c r="H598" s="88" t="s">
        <v>1477</v>
      </c>
      <c r="I598" s="1" t="str">
        <f>CONCATENATE(A598,",",D598)</f>
        <v>EE 368,ED3-EE</v>
      </c>
      <c r="J598" s="36"/>
    </row>
    <row r="599" spans="1:10" ht="14.5" x14ac:dyDescent="0.35">
      <c r="A599" s="5" t="s">
        <v>102</v>
      </c>
      <c r="B599" s="5" t="str">
        <f>IFERROR(VLOOKUP($I599,'[5]Combined Data'!$D$1:$H$534,2,FALSE),0)</f>
        <v>Basic Agriculture</v>
      </c>
      <c r="C599" s="6" t="str">
        <v>Bessah Enoch</v>
      </c>
      <c r="D599" s="5" t="s">
        <v>101</v>
      </c>
      <c r="E599" s="5">
        <v>157</v>
      </c>
      <c r="F599" s="8" t="s">
        <v>1479</v>
      </c>
      <c r="G599" s="46">
        <f t="shared" si="58"/>
        <v>172.70000000000002</v>
      </c>
      <c r="H599" s="88" t="s">
        <v>1480</v>
      </c>
      <c r="I599" s="1" t="str">
        <f t="shared" si="57"/>
        <v>AE 162,ED1-AE</v>
      </c>
      <c r="J599" s="36"/>
    </row>
    <row r="600" spans="1:10" ht="14.5" x14ac:dyDescent="0.35">
      <c r="A600" s="5" t="s">
        <v>240</v>
      </c>
      <c r="B600" s="5" t="str">
        <f>IFERROR(VLOOKUP($I600,'[5]Combined Data'!$D$1:$H$534,2,FALSE),0)</f>
        <v>Kinetics of Chemical Reactions</v>
      </c>
      <c r="C600" s="6" t="str">
        <v>Agyemang Frank Ofori</v>
      </c>
      <c r="D600" s="5" t="s">
        <v>177</v>
      </c>
      <c r="E600" s="5">
        <v>84</v>
      </c>
      <c r="F600" s="8" t="s">
        <v>1848</v>
      </c>
      <c r="G600" s="7">
        <f t="shared" ref="G600:G605" si="61">E600*1.1</f>
        <v>92.4</v>
      </c>
      <c r="H600" s="88" t="s">
        <v>1487</v>
      </c>
      <c r="I600" s="1" t="str">
        <f t="shared" ref="I600:I605" si="62">CONCATENATE(A600,",",D600)</f>
        <v>MSE 152,ED1-MSE</v>
      </c>
      <c r="J600" s="36"/>
    </row>
    <row r="601" spans="1:10" ht="14.5" x14ac:dyDescent="0.35">
      <c r="A601" s="5" t="s">
        <v>19</v>
      </c>
      <c r="B601" s="5" t="str">
        <f>IFERROR(VLOOKUP($I601,'[5]Combined Data'!$D$1:$H$534,2,FALSE),0)</f>
        <v>Chemistry for Metallurgical Engineers</v>
      </c>
      <c r="C601" s="6" t="str">
        <v>Agyemang Frank Ofori</v>
      </c>
      <c r="D601" s="5" t="s">
        <v>18</v>
      </c>
      <c r="E601" s="5">
        <v>61</v>
      </c>
      <c r="F601" s="8" t="s">
        <v>1472</v>
      </c>
      <c r="G601" s="7">
        <f t="shared" si="61"/>
        <v>67.100000000000009</v>
      </c>
      <c r="H601" s="88" t="s">
        <v>1490</v>
      </c>
      <c r="I601" s="1" t="str">
        <f t="shared" si="62"/>
        <v>METE 152,ED1-METE</v>
      </c>
      <c r="J601" s="36"/>
    </row>
    <row r="602" spans="1:10" ht="14.5" x14ac:dyDescent="0.35">
      <c r="A602" s="5" t="s">
        <v>74</v>
      </c>
      <c r="B602" s="5" t="str">
        <f>IFERROR(VLOOKUP($I602,'[5]Combined Data'!$D$1:$H$534,2,FALSE),0)</f>
        <v>Database and Information Retrieval</v>
      </c>
      <c r="C602" s="6" t="str">
        <v>Keelson Eliel</v>
      </c>
      <c r="D602" s="5" t="s">
        <v>73</v>
      </c>
      <c r="E602" s="5">
        <v>170</v>
      </c>
      <c r="F602" s="8" t="s">
        <v>1468</v>
      </c>
      <c r="G602" s="7">
        <f t="shared" si="61"/>
        <v>187.00000000000003</v>
      </c>
      <c r="H602" s="88" t="s">
        <v>1850</v>
      </c>
      <c r="I602" s="1" t="str">
        <f t="shared" si="62"/>
        <v>COE 368,ED3-COE</v>
      </c>
      <c r="J602" s="36"/>
    </row>
    <row r="603" spans="1:10" ht="14.5" x14ac:dyDescent="0.35">
      <c r="A603" s="5" t="s">
        <v>278</v>
      </c>
      <c r="B603" s="5" t="str">
        <f>IFERROR(VLOOKUP($I603,'[5]Combined Data'!$D$1:$H$534,2,FALSE),0)</f>
        <v>Drilling Engineering II</v>
      </c>
      <c r="C603" s="6" t="str">
        <v>Erzuah Samuel</v>
      </c>
      <c r="D603" s="5" t="s">
        <v>29</v>
      </c>
      <c r="E603" s="5">
        <v>103</v>
      </c>
      <c r="F603" s="8" t="s">
        <v>1488</v>
      </c>
      <c r="G603" s="7">
        <f t="shared" si="61"/>
        <v>113.30000000000001</v>
      </c>
      <c r="H603" s="88" t="s">
        <v>1489</v>
      </c>
      <c r="I603" s="1" t="str">
        <f t="shared" si="62"/>
        <v>PE 354,ED3-PETE</v>
      </c>
      <c r="J603" s="36"/>
    </row>
    <row r="604" spans="1:10" ht="14.5" x14ac:dyDescent="0.35">
      <c r="A604" s="5" t="s">
        <v>258</v>
      </c>
      <c r="B604" s="5" t="str">
        <f>IFERROR(VLOOKUP($I604,'[5]Combined Data'!$D$1:$H$534,2,FALSE),0)</f>
        <v>Mining Principles</v>
      </c>
      <c r="C604" s="6" t="str">
        <v>Owusu-Sarpong Seth</v>
      </c>
      <c r="D604" s="5" t="s">
        <v>217</v>
      </c>
      <c r="E604" s="5">
        <v>105</v>
      </c>
      <c r="F604" s="8" t="s">
        <v>1485</v>
      </c>
      <c r="G604" s="7">
        <f t="shared" si="61"/>
        <v>115.50000000000001</v>
      </c>
      <c r="H604" s="88" t="s">
        <v>1486</v>
      </c>
      <c r="I604" s="1" t="str">
        <f t="shared" si="62"/>
        <v>GED 342,ED3-GEOL</v>
      </c>
      <c r="J604" s="36"/>
    </row>
    <row r="605" spans="1:10" ht="14.5" x14ac:dyDescent="0.35">
      <c r="A605" s="5" t="s">
        <v>401</v>
      </c>
      <c r="B605" s="5" t="s">
        <v>1870</v>
      </c>
      <c r="C605" s="6" t="str">
        <v>Agyekum Kwame Agyeman-Prempeh</v>
      </c>
      <c r="D605" s="5" t="s">
        <v>10</v>
      </c>
      <c r="E605" s="5">
        <v>142</v>
      </c>
      <c r="F605" s="8" t="s">
        <v>1481</v>
      </c>
      <c r="G605" s="7">
        <f t="shared" si="61"/>
        <v>156.20000000000002</v>
      </c>
      <c r="H605" s="88" t="s">
        <v>1482</v>
      </c>
      <c r="I605" s="1" t="str">
        <f t="shared" si="62"/>
        <v>TE 372,ED3-TEL</v>
      </c>
      <c r="J605" s="36"/>
    </row>
    <row r="606" spans="1:10" ht="14.5" x14ac:dyDescent="0.35">
      <c r="A606" s="5" t="s">
        <v>100</v>
      </c>
      <c r="B606" s="5" t="str">
        <f>IFERROR(VLOOKUP($I606,'[5]Combined Data'!$D$1:$H$534,2,FALSE),0)</f>
        <v>Petroleum Geology</v>
      </c>
      <c r="C606" s="6" t="str">
        <v>Foli Gordon</v>
      </c>
      <c r="D606" s="16" t="s">
        <v>8</v>
      </c>
      <c r="E606" s="5">
        <v>52</v>
      </c>
      <c r="F606" s="8" t="s">
        <v>1639</v>
      </c>
      <c r="G606" s="7">
        <f t="shared" si="58"/>
        <v>57.2</v>
      </c>
      <c r="H606" s="88" t="s">
        <v>1849</v>
      </c>
      <c r="I606" s="1" t="str">
        <f t="shared" si="57"/>
        <v>GED 466,ED4-GEOL</v>
      </c>
      <c r="J606" s="36"/>
    </row>
    <row r="607" spans="1:10" ht="14.5" x14ac:dyDescent="0.35">
      <c r="A607" s="5" t="s">
        <v>97</v>
      </c>
      <c r="B607" s="5" t="str">
        <f>IFERROR(VLOOKUP($I607,'[5]Combined Data'!$D$1:$H$534,2,FALSE),0)</f>
        <v>Ship Safety, Environmental Protection and Safe Watch Keeping</v>
      </c>
      <c r="C607" s="6" t="str">
        <v>Larkai Francis Laako</v>
      </c>
      <c r="D607" s="5" t="s">
        <v>96</v>
      </c>
      <c r="E607" s="5">
        <v>68</v>
      </c>
      <c r="F607" s="14" t="s">
        <v>1483</v>
      </c>
      <c r="G607" s="7">
        <f t="shared" si="58"/>
        <v>74.800000000000011</v>
      </c>
      <c r="H607" s="88">
        <v>68</v>
      </c>
      <c r="I607" s="1" t="str">
        <f t="shared" si="57"/>
        <v>MME 486,ED4-MARI</v>
      </c>
      <c r="J607" s="36"/>
    </row>
    <row r="608" spans="1:10" ht="14.5" x14ac:dyDescent="0.35">
      <c r="A608" s="5" t="s">
        <v>92</v>
      </c>
      <c r="B608" s="5" t="str">
        <f>IFERROR(VLOOKUP($I608,'[5]Combined Data'!$D$1:$H$534,2,FALSE),0)</f>
        <v>Internal Combustion Engine</v>
      </c>
      <c r="C608" s="6" t="str">
        <v>Forson Francis Kofi</v>
      </c>
      <c r="D608" s="5" t="s">
        <v>93</v>
      </c>
      <c r="E608" s="5">
        <v>8</v>
      </c>
      <c r="F608" s="8" t="s">
        <v>1441</v>
      </c>
      <c r="G608" s="7">
        <f t="shared" si="58"/>
        <v>8.8000000000000007</v>
      </c>
      <c r="H608" s="88">
        <v>8</v>
      </c>
      <c r="I608" s="1" t="str">
        <f t="shared" si="57"/>
        <v>ME 468,ED4-AERO</v>
      </c>
      <c r="J608" s="36"/>
    </row>
    <row r="609" spans="1:10" ht="14.5" x14ac:dyDescent="0.35">
      <c r="A609" s="5" t="s">
        <v>92</v>
      </c>
      <c r="B609" s="5" t="str">
        <f>IFERROR(VLOOKUP($I609,'[5]Combined Data'!$D$1:$H$534,2,FALSE),0)</f>
        <v>Internal Combustion Engines</v>
      </c>
      <c r="C609" s="6" t="str">
        <v>Forson Francis Kofi</v>
      </c>
      <c r="D609" s="5" t="s">
        <v>91</v>
      </c>
      <c r="E609" s="5">
        <v>72</v>
      </c>
      <c r="F609" s="8" t="s">
        <v>1513</v>
      </c>
      <c r="G609" s="7">
        <f t="shared" si="58"/>
        <v>79.2</v>
      </c>
      <c r="H609" s="88" t="s">
        <v>1630</v>
      </c>
      <c r="I609" s="1" t="str">
        <f t="shared" si="57"/>
        <v>ME 468,ED4-ME</v>
      </c>
      <c r="J609" s="36"/>
    </row>
    <row r="610" spans="1:10" ht="14.5" x14ac:dyDescent="0.35">
      <c r="D610" s="6" t="s">
        <v>90</v>
      </c>
      <c r="E610" s="11">
        <f>SUM(E596:E609)</f>
        <v>1406</v>
      </c>
      <c r="I610" s="1" t="str">
        <f t="shared" si="57"/>
        <v>,Total F2</v>
      </c>
      <c r="J610" s="36"/>
    </row>
    <row r="613" spans="1:10" ht="14.5" x14ac:dyDescent="0.35">
      <c r="A613" s="119" t="s">
        <v>1869</v>
      </c>
      <c r="B613" s="119"/>
      <c r="C613" s="119"/>
      <c r="D613" s="119"/>
      <c r="E613" s="119"/>
      <c r="F613" s="119"/>
      <c r="G613" s="119"/>
      <c r="I613" s="1" t="str">
        <f t="shared" ref="I613:I629" si="63">CONCATENATE(A613,",",D613)</f>
        <v>Friday, 11 July 2025,</v>
      </c>
      <c r="J613" s="36"/>
    </row>
    <row r="614" spans="1:10" ht="14.5" x14ac:dyDescent="0.35">
      <c r="A614" s="116" t="str">
        <f>[2]SESSIONS!$K$3</f>
        <v>Session, 3 (11:45 AM - 12:45 PM)</v>
      </c>
      <c r="B614" s="117"/>
      <c r="C614" s="117"/>
      <c r="D614" s="117"/>
      <c r="E614" s="117"/>
      <c r="F614" s="117"/>
      <c r="G614" s="118"/>
      <c r="I614" s="1" t="str">
        <f t="shared" si="63"/>
        <v>Session, 3 (11:45 AM - 12:45 PM),</v>
      </c>
      <c r="J614" s="36"/>
    </row>
    <row r="615" spans="1:10" ht="14.5" x14ac:dyDescent="0.35">
      <c r="A615" s="2" t="s">
        <v>6</v>
      </c>
      <c r="B615" s="2" t="s">
        <v>5</v>
      </c>
      <c r="C615" s="4" t="s">
        <v>4</v>
      </c>
      <c r="D615" s="2" t="s">
        <v>3</v>
      </c>
      <c r="E615" s="2" t="s">
        <v>2</v>
      </c>
      <c r="F615" s="3" t="s">
        <v>1</v>
      </c>
      <c r="G615" s="2" t="s">
        <v>0</v>
      </c>
      <c r="I615" s="1" t="str">
        <f t="shared" si="63"/>
        <v>CODE ,CLASS</v>
      </c>
      <c r="J615" s="36"/>
    </row>
    <row r="616" spans="1:10" ht="14.5" x14ac:dyDescent="0.35">
      <c r="A616" s="5" t="s">
        <v>89</v>
      </c>
      <c r="B616" s="5" t="str">
        <f>IFERROR(VLOOKUP($I616,'[5]Combined Data'!$D$1:$H$534,2,FALSE),0)</f>
        <v>Research Methods for Engineers</v>
      </c>
      <c r="C616" s="6" t="str" cm="1">
        <f t="array" ref="C616:C627">VLOOKUP(I616:I627,'Combined Data'!A1:E597,3,FALSE)</f>
        <v>Amponsah William</v>
      </c>
      <c r="D616" s="5" t="s">
        <v>88</v>
      </c>
      <c r="E616" s="5" cm="1">
        <f t="array" ref="E616:E627">VLOOKUP(I616:I627,combined_data!A1:D549,4,FALSE)</f>
        <v>108</v>
      </c>
      <c r="F616" s="8" t="s">
        <v>1495</v>
      </c>
      <c r="G616" s="7">
        <f t="shared" ref="G616:G625" si="64">E616*1.1</f>
        <v>118.80000000000001</v>
      </c>
      <c r="H616" s="88" t="s">
        <v>1494</v>
      </c>
      <c r="I616" s="1" t="str">
        <f t="shared" si="63"/>
        <v>AE 362,ED3-AE</v>
      </c>
      <c r="J616" s="36"/>
    </row>
    <row r="617" spans="1:10" ht="14.5" x14ac:dyDescent="0.35">
      <c r="A617" s="5" t="s">
        <v>85</v>
      </c>
      <c r="B617" s="5" t="str">
        <f>IFERROR(VLOOKUP($I617,'[5]Combined Data'!$D$1:$H$534,2,FALSE),0)</f>
        <v>Transportation Engineering</v>
      </c>
      <c r="C617" s="6" t="str">
        <v>Tuffour Yaw Adubofour</v>
      </c>
      <c r="D617" s="5" t="s">
        <v>84</v>
      </c>
      <c r="E617" s="5">
        <v>55</v>
      </c>
      <c r="F617" s="14" t="s">
        <v>1502</v>
      </c>
      <c r="G617" s="7">
        <f t="shared" si="64"/>
        <v>60.500000000000007</v>
      </c>
      <c r="H617" s="88" t="s">
        <v>1503</v>
      </c>
      <c r="I617" s="1" t="str">
        <f t="shared" si="63"/>
        <v>CE 468,ED4-CE</v>
      </c>
      <c r="J617" s="36"/>
    </row>
    <row r="618" spans="1:10" ht="14.5" x14ac:dyDescent="0.35">
      <c r="A618" s="5" t="s">
        <v>95</v>
      </c>
      <c r="B618" s="5" t="str">
        <f>IFERROR(VLOOKUP($I618,'[5]Combined Data'!$D$1:$H$534,2,FALSE),0)</f>
        <v>Principles of Valuation of Land and Building</v>
      </c>
      <c r="C618" s="6" t="str">
        <v>Ayitey Jonathan</v>
      </c>
      <c r="D618" s="5" t="s">
        <v>94</v>
      </c>
      <c r="E618" s="5">
        <v>107</v>
      </c>
      <c r="F618" s="8" t="s">
        <v>1469</v>
      </c>
      <c r="G618" s="7">
        <f>E618*1.1</f>
        <v>117.7</v>
      </c>
      <c r="H618" s="88" t="s">
        <v>1496</v>
      </c>
      <c r="I618" s="1" t="str">
        <f>CONCATENATE(A618,",",D618)</f>
        <v>GE 474,ED4-GEOM</v>
      </c>
      <c r="J618" s="36"/>
    </row>
    <row r="619" spans="1:10" ht="14.5" x14ac:dyDescent="0.35">
      <c r="A619" s="5" t="s">
        <v>602</v>
      </c>
      <c r="B619" s="5" t="str">
        <f>IFERROR(VLOOKUP($I619,'[5]Combined Data'!$D$1:$H$534,2,FALSE),0)</f>
        <v>Seamanship</v>
      </c>
      <c r="C619" s="6" t="str">
        <v>Larkai Francis Laako</v>
      </c>
      <c r="D619" s="5" t="s">
        <v>31</v>
      </c>
      <c r="E619" s="5">
        <v>41</v>
      </c>
      <c r="F619" s="50" t="s">
        <v>1422</v>
      </c>
      <c r="G619" s="7">
        <f>E619*1.1</f>
        <v>45.1</v>
      </c>
      <c r="H619" s="88">
        <v>41</v>
      </c>
      <c r="I619" s="1" t="str">
        <f>CONCATENATE(A619,",",D619)</f>
        <v>MME 292,ED2-MARI</v>
      </c>
      <c r="J619" s="36"/>
    </row>
    <row r="620" spans="1:10" ht="14.5" x14ac:dyDescent="0.35">
      <c r="A620" s="5" t="s">
        <v>81</v>
      </c>
      <c r="B620" s="5" t="str">
        <f>IFERROR(VLOOKUP($I620,'[5]Combined Data'!$D$1:$H$534,2,FALSE),0)</f>
        <v>Computer Programming for Engineers</v>
      </c>
      <c r="C620" s="6" t="str">
        <v>Dzebre Denis Edem Kwame</v>
      </c>
      <c r="D620" s="5" t="s">
        <v>82</v>
      </c>
      <c r="E620" s="5">
        <v>88</v>
      </c>
      <c r="F620" s="8" t="s">
        <v>1497</v>
      </c>
      <c r="G620" s="7">
        <f t="shared" si="64"/>
        <v>96.800000000000011</v>
      </c>
      <c r="H620" s="88" t="s">
        <v>1498</v>
      </c>
      <c r="I620" s="1" t="str">
        <f t="shared" si="63"/>
        <v>ME 168,ED1-IND</v>
      </c>
      <c r="J620" s="36"/>
    </row>
    <row r="621" spans="1:10" ht="14.5" x14ac:dyDescent="0.35">
      <c r="A621" s="5" t="s">
        <v>81</v>
      </c>
      <c r="B621" s="5" t="str">
        <f>IFERROR(VLOOKUP($I621,'[5]Combined Data'!$D$1:$H$534,2,FALSE),0)</f>
        <v>Computer Programming for Engineers</v>
      </c>
      <c r="C621" s="6" t="str">
        <v>Dzebre Denis Edem Kwame</v>
      </c>
      <c r="D621" s="5" t="s">
        <v>43</v>
      </c>
      <c r="E621" s="5">
        <v>37</v>
      </c>
      <c r="F621" s="8" t="s">
        <v>1422</v>
      </c>
      <c r="G621" s="7">
        <f t="shared" si="64"/>
        <v>40.700000000000003</v>
      </c>
      <c r="H621" s="88">
        <v>37</v>
      </c>
      <c r="I621" s="1" t="str">
        <f t="shared" si="63"/>
        <v>ME 168,ED1-MARI</v>
      </c>
      <c r="J621" s="36"/>
    </row>
    <row r="622" spans="1:10" ht="14.5" x14ac:dyDescent="0.35">
      <c r="A622" s="5" t="s">
        <v>81</v>
      </c>
      <c r="B622" s="5" t="str">
        <f>IFERROR(VLOOKUP($I622,'[5]Combined Data'!$D$1:$H$534,2,FALSE),0)</f>
        <v>Computer Programming for Engineers</v>
      </c>
      <c r="C622" s="6" t="str">
        <v>Tay Godwin Fabiola Kwaku</v>
      </c>
      <c r="D622" s="5" t="s">
        <v>157</v>
      </c>
      <c r="E622" s="5">
        <v>75</v>
      </c>
      <c r="F622" s="8" t="s">
        <v>1500</v>
      </c>
      <c r="G622" s="7">
        <f t="shared" si="64"/>
        <v>82.5</v>
      </c>
      <c r="H622" s="88" t="s">
        <v>1501</v>
      </c>
      <c r="I622" s="1" t="str">
        <f t="shared" si="63"/>
        <v>ME 168,ED1-AERO</v>
      </c>
      <c r="J622" s="36"/>
    </row>
    <row r="623" spans="1:10" ht="14.5" x14ac:dyDescent="0.35">
      <c r="A623" s="5" t="s">
        <v>81</v>
      </c>
      <c r="B623" s="5" t="str">
        <f>IFERROR(VLOOKUP($I623,'[5]Combined Data'!$D$1:$H$534,2,FALSE),0)</f>
        <v>Computer Programming for Engineers</v>
      </c>
      <c r="C623" s="6" t="str">
        <v>Tay Godwin Fabiola Kwaku</v>
      </c>
      <c r="D623" s="5" t="s">
        <v>176</v>
      </c>
      <c r="E623" s="5">
        <v>244</v>
      </c>
      <c r="F623" s="14" t="s">
        <v>1463</v>
      </c>
      <c r="G623" s="7">
        <f t="shared" si="64"/>
        <v>268.40000000000003</v>
      </c>
      <c r="H623" s="88" t="s">
        <v>1491</v>
      </c>
      <c r="I623" s="1" t="str">
        <f t="shared" si="63"/>
        <v>ME 168,ED1-ME</v>
      </c>
      <c r="J623" s="36"/>
    </row>
    <row r="624" spans="1:10" ht="14.5" x14ac:dyDescent="0.35">
      <c r="A624" s="5" t="s">
        <v>696</v>
      </c>
      <c r="B624" s="5" t="s">
        <v>695</v>
      </c>
      <c r="C624" s="6" t="str">
        <v>Klogo Griffith Selorm</v>
      </c>
      <c r="D624" s="5" t="s">
        <v>196</v>
      </c>
      <c r="E624" s="5">
        <v>211</v>
      </c>
      <c r="F624" s="14" t="s">
        <v>1493</v>
      </c>
      <c r="G624" s="7">
        <f>E624*1.1</f>
        <v>232.10000000000002</v>
      </c>
      <c r="H624" s="88" t="s">
        <v>1492</v>
      </c>
      <c r="I624" s="1" t="str">
        <f>CONCATENATE(A624,",",D624)</f>
        <v>COE 482,ED4-COE</v>
      </c>
      <c r="J624" s="36"/>
    </row>
    <row r="625" spans="1:10" ht="14.5" x14ac:dyDescent="0.35">
      <c r="A625" s="5" t="s">
        <v>80</v>
      </c>
      <c r="B625" s="5" t="str">
        <f>IFERROR(VLOOKUP($I625,'[5]Combined Data'!$D$1:$H$534,2,FALSE),0)</f>
        <v>Petroleum Production Engineering</v>
      </c>
      <c r="C625" s="6" t="str">
        <v>Ankudey Emmanuel Godwin</v>
      </c>
      <c r="D625" s="5" t="s">
        <v>79</v>
      </c>
      <c r="E625" s="5">
        <v>62</v>
      </c>
      <c r="F625" s="8" t="s">
        <v>1504</v>
      </c>
      <c r="G625" s="7">
        <f t="shared" si="64"/>
        <v>68.2</v>
      </c>
      <c r="H625" s="88" t="s">
        <v>1505</v>
      </c>
      <c r="I625" s="1" t="str">
        <f t="shared" si="63"/>
        <v>PETE 354,ED3-PCE</v>
      </c>
      <c r="J625" s="36"/>
    </row>
    <row r="626" spans="1:10" ht="14.5" x14ac:dyDescent="0.35">
      <c r="A626" s="5" t="s">
        <v>76</v>
      </c>
      <c r="B626" s="5" t="str">
        <f>IFERROR(VLOOKUP($I626,'[5]Combined Data'!$D$1:$H$534,2,FALSE),0)</f>
        <v>Bioinstrumentation I</v>
      </c>
      <c r="C626" s="6" t="str">
        <v>Acquah Isaac</v>
      </c>
      <c r="D626" s="5" t="s">
        <v>75</v>
      </c>
      <c r="E626" s="5">
        <v>85</v>
      </c>
      <c r="F626" s="8" t="s">
        <v>1497</v>
      </c>
      <c r="G626" s="7">
        <f>E626*1.1</f>
        <v>93.500000000000014</v>
      </c>
      <c r="H626" s="88" t="s">
        <v>1499</v>
      </c>
      <c r="I626" s="1" t="str">
        <f>CONCATENATE(A626,",",D626)</f>
        <v>BME 372,ED3-BME</v>
      </c>
      <c r="J626" s="36"/>
    </row>
    <row r="627" spans="1:10" ht="14.5" x14ac:dyDescent="0.35">
      <c r="A627" s="19" t="s">
        <v>694</v>
      </c>
      <c r="B627" s="5" t="s">
        <v>1207</v>
      </c>
      <c r="C627" s="48" t="str">
        <v>C. M. Adrah</v>
      </c>
      <c r="D627" s="5" t="s">
        <v>25</v>
      </c>
      <c r="E627" s="5">
        <v>378</v>
      </c>
      <c r="F627" s="50" t="s">
        <v>1417</v>
      </c>
      <c r="G627" s="7">
        <f>E627*1.1</f>
        <v>415.8</v>
      </c>
      <c r="H627" s="88" t="s">
        <v>1418</v>
      </c>
      <c r="I627" s="1" t="str">
        <f>CONCATENATE(A627,",",D627)</f>
        <v>EE 158,ED1-EE</v>
      </c>
      <c r="J627" s="36"/>
    </row>
    <row r="628" spans="1:10" ht="14.5" x14ac:dyDescent="0.35">
      <c r="A628" s="19"/>
      <c r="B628"/>
      <c r="C628" s="48"/>
      <c r="D628" s="5"/>
      <c r="E628" s="5"/>
      <c r="F628" s="50"/>
      <c r="G628" s="51"/>
      <c r="J628" s="36"/>
    </row>
    <row r="629" spans="1:10" ht="14.5" x14ac:dyDescent="0.35">
      <c r="B629"/>
      <c r="D629" s="6" t="s">
        <v>72</v>
      </c>
      <c r="E629" s="11">
        <f>SUM(E615:E627)</f>
        <v>1491</v>
      </c>
      <c r="I629" s="1" t="str">
        <f t="shared" si="63"/>
        <v>,Total F3</v>
      </c>
      <c r="J629" s="36"/>
    </row>
    <row r="630" spans="1:10" ht="14.5" x14ac:dyDescent="0.35">
      <c r="J630" s="36"/>
    </row>
    <row r="632" spans="1:10" ht="14.5" x14ac:dyDescent="0.35">
      <c r="A632" s="119" t="s">
        <v>1869</v>
      </c>
      <c r="B632" s="119"/>
      <c r="C632" s="119"/>
      <c r="D632" s="119"/>
      <c r="E632" s="119"/>
      <c r="F632" s="119"/>
      <c r="G632" s="119"/>
      <c r="I632" s="1" t="str">
        <f t="shared" ref="I632:I648" si="65">CONCATENATE(A632,",",D632)</f>
        <v>Friday, 11 July 2025,</v>
      </c>
      <c r="J632" s="36"/>
    </row>
    <row r="633" spans="1:10" ht="14.5" x14ac:dyDescent="0.35">
      <c r="A633" s="116" t="str">
        <f>[2]SESSIONS!$K$4</f>
        <v>Session, 4 (1:30 PM - 2:30 PM)</v>
      </c>
      <c r="B633" s="117"/>
      <c r="C633" s="117"/>
      <c r="D633" s="117"/>
      <c r="E633" s="117"/>
      <c r="F633" s="117"/>
      <c r="G633" s="118"/>
      <c r="I633" s="1" t="str">
        <f t="shared" si="65"/>
        <v>Session, 4 (1:30 PM - 2:30 PM),</v>
      </c>
      <c r="J633" s="36"/>
    </row>
    <row r="634" spans="1:10" ht="14.5" x14ac:dyDescent="0.35">
      <c r="A634" s="2" t="s">
        <v>6</v>
      </c>
      <c r="B634" s="2" t="s">
        <v>5</v>
      </c>
      <c r="C634" s="4" t="s">
        <v>4</v>
      </c>
      <c r="D634" s="2" t="s">
        <v>3</v>
      </c>
      <c r="E634" s="2" t="s">
        <v>2</v>
      </c>
      <c r="F634" s="4" t="s">
        <v>1</v>
      </c>
      <c r="G634" s="2" t="s">
        <v>0</v>
      </c>
      <c r="I634" s="1" t="str">
        <f t="shared" si="65"/>
        <v>CODE ,CLASS</v>
      </c>
      <c r="J634" s="36"/>
    </row>
    <row r="635" spans="1:10" ht="14.5" x14ac:dyDescent="0.35">
      <c r="A635" s="5" t="s">
        <v>70</v>
      </c>
      <c r="B635" s="5" t="str">
        <f>IFERROR(VLOOKUP($I635,'[5]Combined Data'!$D$1:$H$534,2,FALSE),0)</f>
        <v>Chemical Engineering Thermodynamics II</v>
      </c>
      <c r="C635" s="6" t="str" cm="1">
        <f t="array" ref="C635:C648">VLOOKUP(I635:I648,'Combined Data'!A6:E602,3,FALSE)</f>
        <v>Bonsu Jude Kwaku</v>
      </c>
      <c r="D635" s="5" t="s">
        <v>71</v>
      </c>
      <c r="E635" s="5" cm="1">
        <f t="array" ref="E635:E648">VLOOKUP(I635:I648,combined_data!A5:D553,4,FALSE)</f>
        <v>119</v>
      </c>
      <c r="F635" s="8" t="s">
        <v>114</v>
      </c>
      <c r="G635" s="7">
        <f t="shared" ref="G635:G648" si="66">E635*1.1</f>
        <v>130.9</v>
      </c>
      <c r="I635" s="1" t="str">
        <f t="shared" si="65"/>
        <v>CHE 254,ED2-CHE</v>
      </c>
      <c r="J635" s="36"/>
    </row>
    <row r="636" spans="1:10" ht="14.5" x14ac:dyDescent="0.35">
      <c r="A636" s="5" t="s">
        <v>61</v>
      </c>
      <c r="B636" s="5" t="str">
        <f>IFERROR(VLOOKUP($I636,'[5]Combined Data'!$D$1:$H$534,2,FALSE),0)</f>
        <v>Introduction to Information Technology</v>
      </c>
      <c r="C636" s="6" t="str">
        <v>Bonsu Jude Kwaku</v>
      </c>
      <c r="D636" s="5" t="s">
        <v>60</v>
      </c>
      <c r="E636" s="5">
        <v>155</v>
      </c>
      <c r="F636" s="14" t="s">
        <v>114</v>
      </c>
      <c r="G636" s="7">
        <f>E636*1.1</f>
        <v>170.5</v>
      </c>
      <c r="I636" s="1" t="str">
        <f>CONCATENATE(A636,",",D636)</f>
        <v>CHE 158,ED1-CHE</v>
      </c>
      <c r="J636" s="36"/>
    </row>
    <row r="637" spans="1:10" ht="14.5" x14ac:dyDescent="0.35">
      <c r="A637" s="5" t="s">
        <v>138</v>
      </c>
      <c r="B637" s="5" t="str">
        <f>IFERROR(VLOOKUP($I637,'[5]Combined Data'!$D$1:$H$534,2,FALSE),0)</f>
        <v>Quality Assurance</v>
      </c>
      <c r="C637" s="6" t="str">
        <v>Sackey Samuel Mensah</v>
      </c>
      <c r="D637" s="5" t="s">
        <v>137</v>
      </c>
      <c r="E637" s="5">
        <v>69</v>
      </c>
      <c r="F637" s="14" t="s">
        <v>1513</v>
      </c>
      <c r="G637" s="7">
        <f>E637*1.1</f>
        <v>75.900000000000006</v>
      </c>
      <c r="H637" s="88" t="s">
        <v>1514</v>
      </c>
      <c r="I637" s="1" t="str">
        <f>CONCATENATE(A637,",",D637)</f>
        <v>IE 360,ED3-IND</v>
      </c>
      <c r="J637" s="36"/>
    </row>
    <row r="638" spans="1:10" ht="14.5" x14ac:dyDescent="0.35">
      <c r="A638" s="5" t="s">
        <v>66</v>
      </c>
      <c r="B638" s="5" t="str">
        <f>IFERROR(VLOOKUP($I638,'[5]Combined Data'!$D$1:$H$534,2,FALSE),0)</f>
        <v>Hydrographic Surveying and Marine Science</v>
      </c>
      <c r="C638" s="6" t="str">
        <v>Asante Cosmas Yaw</v>
      </c>
      <c r="D638" s="5" t="s">
        <v>65</v>
      </c>
      <c r="E638" s="5">
        <v>122</v>
      </c>
      <c r="F638" s="8" t="s">
        <v>1484</v>
      </c>
      <c r="G638" s="7">
        <f t="shared" si="66"/>
        <v>134.20000000000002</v>
      </c>
      <c r="H638" s="88" t="s">
        <v>1833</v>
      </c>
      <c r="I638" s="1" t="str">
        <f t="shared" si="65"/>
        <v>GE 284,ED2-GEOM</v>
      </c>
      <c r="J638" s="36"/>
    </row>
    <row r="639" spans="1:10" ht="14.5" x14ac:dyDescent="0.35">
      <c r="A639" s="5" t="s">
        <v>63</v>
      </c>
      <c r="B639" s="5" t="str">
        <f>IFERROR(VLOOKUP($I639,'[5]Combined Data'!$D$1:$H$534,2,FALSE),0)</f>
        <v>Large Scale Surveying</v>
      </c>
      <c r="C639" s="6" t="str">
        <v>Dadzie Isaac</v>
      </c>
      <c r="D639" s="5" t="s">
        <v>64</v>
      </c>
      <c r="E639" s="5">
        <v>227</v>
      </c>
      <c r="F639" s="14" t="s">
        <v>1506</v>
      </c>
      <c r="G639" s="7">
        <f t="shared" si="66"/>
        <v>249.70000000000002</v>
      </c>
      <c r="H639" s="88" t="s">
        <v>1507</v>
      </c>
      <c r="I639" s="1" t="str">
        <f t="shared" si="65"/>
        <v>GE 282,ED2-CE</v>
      </c>
      <c r="J639" s="36"/>
    </row>
    <row r="640" spans="1:10" ht="14.5" x14ac:dyDescent="0.35">
      <c r="A640" s="5" t="s">
        <v>63</v>
      </c>
      <c r="B640" s="5" t="str">
        <f>IFERROR(VLOOKUP($I640,'[5]Combined Data'!$D$1:$H$534,2,FALSE),0)</f>
        <v>Large Scale Surveying</v>
      </c>
      <c r="C640" s="6" t="str">
        <v>Dadzie Isaac</v>
      </c>
      <c r="D640" s="5" t="s">
        <v>62</v>
      </c>
      <c r="E640" s="5">
        <v>156</v>
      </c>
      <c r="F640" s="14" t="s">
        <v>1466</v>
      </c>
      <c r="G640" s="7">
        <f t="shared" si="66"/>
        <v>171.60000000000002</v>
      </c>
      <c r="H640" s="88" t="s">
        <v>1508</v>
      </c>
      <c r="I640" s="1" t="str">
        <f t="shared" si="65"/>
        <v>GE 282,ED2-GEOL</v>
      </c>
      <c r="J640" s="36"/>
    </row>
    <row r="641" spans="1:10" ht="14.5" x14ac:dyDescent="0.35">
      <c r="A641" s="5" t="s">
        <v>59</v>
      </c>
      <c r="B641" s="5" t="str">
        <f>IFERROR(VLOOKUP($I641,'[5]Combined Data'!$D$1:$H$534,2,FALSE),0)</f>
        <v>Introduction to Information Technology</v>
      </c>
      <c r="C641" s="6" t="str">
        <v>Baidoo Martina Francisca</v>
      </c>
      <c r="D641" s="5" t="s">
        <v>58</v>
      </c>
      <c r="E641" s="5">
        <v>59</v>
      </c>
      <c r="F641" s="14" t="s">
        <v>1511</v>
      </c>
      <c r="G641" s="7">
        <f t="shared" si="66"/>
        <v>64.900000000000006</v>
      </c>
      <c r="H641" s="88" t="s">
        <v>1512</v>
      </c>
      <c r="I641" s="1" t="str">
        <f t="shared" si="65"/>
        <v>PCE 158,ED1-PCE</v>
      </c>
      <c r="J641" s="36"/>
    </row>
    <row r="642" spans="1:10" ht="14.5" x14ac:dyDescent="0.35">
      <c r="A642" s="5" t="s">
        <v>106</v>
      </c>
      <c r="B642" s="5" t="str">
        <f>IFERROR(VLOOKUP($I642,'[5]Combined Data'!$D$1:$H$534,2,FALSE),0)</f>
        <v>Metallurgical Waste Management</v>
      </c>
      <c r="C642" s="6" t="str">
        <v>Koomson Bennetta</v>
      </c>
      <c r="D642" s="16" t="s">
        <v>105</v>
      </c>
      <c r="E642" s="5">
        <v>65</v>
      </c>
      <c r="F642" s="14" t="s">
        <v>1847</v>
      </c>
      <c r="G642" s="7">
        <f>E642*1.1</f>
        <v>71.5</v>
      </c>
      <c r="H642" s="88" t="s">
        <v>1846</v>
      </c>
      <c r="I642" s="1" t="str">
        <f>CONCATENATE(A642,",",D642)</f>
        <v>METE 454,ED4-METE</v>
      </c>
      <c r="J642" s="36"/>
    </row>
    <row r="643" spans="1:10" ht="14.5" x14ac:dyDescent="0.35">
      <c r="A643" s="5" t="s">
        <v>267</v>
      </c>
      <c r="B643" s="5" t="s">
        <v>1039</v>
      </c>
      <c r="C643" s="6" t="str">
        <v>K. O. Amoabeng</v>
      </c>
      <c r="D643" s="5" t="s">
        <v>22</v>
      </c>
      <c r="E643" s="5">
        <v>86</v>
      </c>
      <c r="F643" s="8" t="s">
        <v>1515</v>
      </c>
      <c r="G643" s="7">
        <f>E643*1.1</f>
        <v>94.600000000000009</v>
      </c>
      <c r="H643" s="88" t="s">
        <v>1516</v>
      </c>
      <c r="I643" s="1" t="str">
        <f>CONCATENATE(A643,",",D643)</f>
        <v>ME 166,ED1-BME</v>
      </c>
      <c r="J643" s="36"/>
    </row>
    <row r="644" spans="1:10" ht="14.5" x14ac:dyDescent="0.35">
      <c r="A644" s="5" t="s">
        <v>108</v>
      </c>
      <c r="B644" s="5" t="str">
        <f>IFERROR(VLOOKUP($I644,'[5]Combined Data'!$D$1:$H$534,2,FALSE),0)</f>
        <v>Waste Management</v>
      </c>
      <c r="C644" s="6" t="str">
        <v>Koomson Bennetta</v>
      </c>
      <c r="D644" s="5" t="s">
        <v>107</v>
      </c>
      <c r="E644" s="5">
        <v>115</v>
      </c>
      <c r="F644" s="12" t="s">
        <v>1699</v>
      </c>
      <c r="G644" s="7">
        <f>E644*1.1</f>
        <v>126.50000000000001</v>
      </c>
      <c r="H644" s="88" t="s">
        <v>1594</v>
      </c>
      <c r="I644" s="1" t="str">
        <f>CONCATENATE(A644,",",D644)</f>
        <v>MSE 452,ED4-MSE</v>
      </c>
      <c r="J644" s="36"/>
    </row>
    <row r="645" spans="1:10" ht="14.5" x14ac:dyDescent="0.35">
      <c r="A645" s="52" t="s">
        <v>1372</v>
      </c>
      <c r="B645" s="52" t="s">
        <v>1038</v>
      </c>
      <c r="C645" s="10" t="str">
        <v>Francis Davis</v>
      </c>
      <c r="D645" s="18" t="s">
        <v>77</v>
      </c>
      <c r="E645" s="18">
        <v>147</v>
      </c>
      <c r="F645" s="14" t="s">
        <v>1555</v>
      </c>
      <c r="G645" s="7">
        <f>E645*1.1</f>
        <v>161.70000000000002</v>
      </c>
      <c r="H645" s="88" t="s">
        <v>1832</v>
      </c>
      <c r="I645" s="1" t="str">
        <f>CONCATENATE(A645,",",D645)</f>
        <v>ME 370,ED3-ME</v>
      </c>
      <c r="J645" s="36"/>
    </row>
    <row r="646" spans="1:10" ht="14.5" x14ac:dyDescent="0.35">
      <c r="A646" s="5" t="s">
        <v>56</v>
      </c>
      <c r="B646" s="5" t="str">
        <f>IFERROR(VLOOKUP($I646,'[5]Combined Data'!$D$1:$H$534,2,FALSE),0)</f>
        <v>Mobile and Satellite Communication System</v>
      </c>
      <c r="C646" s="6" t="str">
        <v>Gadze James Dzisi</v>
      </c>
      <c r="D646" s="49" t="s">
        <v>55</v>
      </c>
      <c r="E646" s="5">
        <v>141</v>
      </c>
      <c r="F646" s="8" t="s">
        <v>1481</v>
      </c>
      <c r="G646" s="7">
        <f t="shared" si="66"/>
        <v>155.10000000000002</v>
      </c>
      <c r="H646" s="88" t="s">
        <v>1509</v>
      </c>
      <c r="I646" s="1" t="str">
        <f t="shared" si="65"/>
        <v>TE 472,ED4-TEL</v>
      </c>
      <c r="J646" s="36"/>
    </row>
    <row r="647" spans="1:10" ht="14.5" x14ac:dyDescent="0.35">
      <c r="A647" s="5" t="s">
        <v>56</v>
      </c>
      <c r="B647" s="5" t="s">
        <v>421</v>
      </c>
      <c r="C647" s="6" t="str">
        <v>Gadze James Dzisi</v>
      </c>
      <c r="D647" s="49" t="s">
        <v>57</v>
      </c>
      <c r="E647" s="5">
        <v>4</v>
      </c>
      <c r="F647" s="8" t="s">
        <v>1430</v>
      </c>
      <c r="G647" s="7">
        <f t="shared" si="66"/>
        <v>4.4000000000000004</v>
      </c>
      <c r="H647" s="88">
        <v>4</v>
      </c>
      <c r="I647" s="1" t="str">
        <f t="shared" si="65"/>
        <v>TE 472,ED4-EE</v>
      </c>
      <c r="J647" s="36"/>
    </row>
    <row r="648" spans="1:10" ht="14.5" x14ac:dyDescent="0.35">
      <c r="A648" s="5" t="s">
        <v>54</v>
      </c>
      <c r="B648" s="5" t="str">
        <f>IFERROR(VLOOKUP($I648,'[5]Combined Data'!$D$1:$H$534,2,FALSE),0)</f>
        <v>Well Completion and Stimulation</v>
      </c>
      <c r="C648" s="6" t="str">
        <v>Erzuah Samuel</v>
      </c>
      <c r="D648" s="5" t="s">
        <v>53</v>
      </c>
      <c r="E648" s="5">
        <v>158</v>
      </c>
      <c r="F648" s="12" t="s">
        <v>1732</v>
      </c>
      <c r="G648" s="7">
        <f t="shared" si="66"/>
        <v>173.8</v>
      </c>
      <c r="H648" s="88" t="s">
        <v>1510</v>
      </c>
      <c r="I648" s="1" t="str">
        <f t="shared" si="65"/>
        <v>PE 456,ED4-PETE</v>
      </c>
      <c r="J648" s="36"/>
    </row>
    <row r="649" spans="1:10" ht="14.5" x14ac:dyDescent="0.35">
      <c r="B649" s="5"/>
      <c r="D649" s="6" t="s">
        <v>50</v>
      </c>
      <c r="E649" s="11">
        <f>SUM(E637:E648)</f>
        <v>1349</v>
      </c>
      <c r="J649" s="36"/>
    </row>
    <row r="652" spans="1:10" ht="14.5" x14ac:dyDescent="0.35">
      <c r="A652" s="119" t="s">
        <v>1869</v>
      </c>
      <c r="B652" s="119"/>
      <c r="C652" s="119"/>
      <c r="D652" s="119"/>
      <c r="E652" s="119"/>
      <c r="F652" s="119"/>
      <c r="G652" s="119"/>
      <c r="I652" s="1" t="str">
        <f t="shared" ref="I652:I669" si="67">CONCATENATE(A652,",",D652)</f>
        <v>Friday, 11 July 2025,</v>
      </c>
      <c r="J652" s="36"/>
    </row>
    <row r="653" spans="1:10" ht="14.5" x14ac:dyDescent="0.35">
      <c r="A653" s="116" t="str">
        <f>[2]SESSIONS!$K$5</f>
        <v>Session, 5 (3:15 PM - 4:15 PM)</v>
      </c>
      <c r="B653" s="117"/>
      <c r="C653" s="117"/>
      <c r="D653" s="117"/>
      <c r="E653" s="117"/>
      <c r="F653" s="117"/>
      <c r="G653" s="118"/>
      <c r="I653" s="1" t="str">
        <f t="shared" si="67"/>
        <v>Session, 5 (3:15 PM - 4:15 PM),</v>
      </c>
      <c r="J653" s="36"/>
    </row>
    <row r="654" spans="1:10" ht="14.5" x14ac:dyDescent="0.35">
      <c r="A654" s="2" t="s">
        <v>6</v>
      </c>
      <c r="B654" s="2" t="s">
        <v>5</v>
      </c>
      <c r="C654" s="3" t="s">
        <v>4</v>
      </c>
      <c r="D654" s="2" t="s">
        <v>3</v>
      </c>
      <c r="E654" s="2" t="s">
        <v>2</v>
      </c>
      <c r="F654" s="3" t="s">
        <v>1</v>
      </c>
      <c r="G654" s="2" t="s">
        <v>0</v>
      </c>
      <c r="I654" s="1" t="str">
        <f t="shared" si="67"/>
        <v>CODE ,CLASS</v>
      </c>
      <c r="J654" s="36"/>
    </row>
    <row r="655" spans="1:10" ht="14.5" x14ac:dyDescent="0.35">
      <c r="A655" s="5" t="s">
        <v>41</v>
      </c>
      <c r="B655" s="5" t="str">
        <f>IFERROR(VLOOKUP($I655,'[5]Combined Data'!$D$1:$H$534,2,FALSE),0)</f>
        <v>French for Communication II</v>
      </c>
      <c r="C655" s="6" t="str" cm="1">
        <f t="array" ref="C655:C668">VLOOKUP(I655:I668,'Combined Data'!A1:E597,3,FALSE)</f>
        <v>Boakye-Agyeman Candy</v>
      </c>
      <c r="D655" s="5" t="s">
        <v>49</v>
      </c>
      <c r="E655" s="5" cm="1">
        <f t="array" ref="E655">VLOOKUP(I655:I655,combined_data!A1:D549,4,FALSE)</f>
        <v>101</v>
      </c>
      <c r="F655" s="12" t="s">
        <v>1523</v>
      </c>
      <c r="G655" s="7">
        <f t="shared" ref="G655:G666" si="68">E655*1.1</f>
        <v>111.10000000000001</v>
      </c>
      <c r="H655" s="88" t="s">
        <v>1834</v>
      </c>
      <c r="I655" s="1" t="str">
        <f t="shared" si="67"/>
        <v>FC 182,ED2-TEL</v>
      </c>
      <c r="J655" s="36"/>
    </row>
    <row r="656" spans="1:10" ht="14.5" x14ac:dyDescent="0.35">
      <c r="A656" s="5" t="s">
        <v>41</v>
      </c>
      <c r="B656" s="5" t="str">
        <f>IFERROR(VLOOKUP($I656,'[5]Combined Data'!$D$1:$H$534,2,FALSE),0)</f>
        <v>French for Communication II</v>
      </c>
      <c r="C656" s="6" t="str">
        <v>Boakye-Agyeman Candy</v>
      </c>
      <c r="D656" s="5" t="s">
        <v>48</v>
      </c>
      <c r="E656" s="5" cm="1">
        <f t="array" ref="E656">VLOOKUP(I656:I656,combined_data!A2:D550,4,FALSE)</f>
        <v>45</v>
      </c>
      <c r="F656" s="5" t="s">
        <v>1838</v>
      </c>
      <c r="G656" s="7">
        <f t="shared" si="68"/>
        <v>49.500000000000007</v>
      </c>
      <c r="H656" s="88" t="s">
        <v>1836</v>
      </c>
      <c r="I656" s="1" t="str">
        <f t="shared" si="67"/>
        <v>FC 182,ED3-CHE</v>
      </c>
      <c r="J656" s="36"/>
    </row>
    <row r="657" spans="1:10" ht="14.5" x14ac:dyDescent="0.35">
      <c r="A657" s="5" t="s">
        <v>41</v>
      </c>
      <c r="B657" s="5" t="str">
        <f>IFERROR(VLOOKUP($I657,'[5]Combined Data'!$D$1:$H$534,2,FALSE),0)</f>
        <v>French for Communication II</v>
      </c>
      <c r="C657" s="6" t="str">
        <v>R. Amankwah-Loglo</v>
      </c>
      <c r="D657" s="5" t="s">
        <v>47</v>
      </c>
      <c r="E657" s="5" cm="1">
        <f t="array" ref="E657">VLOOKUP(I657:I657,combined_data!A3:D551,4,FALSE)</f>
        <v>42</v>
      </c>
      <c r="F657" s="5" t="s">
        <v>1524</v>
      </c>
      <c r="G657" s="7">
        <f t="shared" si="68"/>
        <v>46.2</v>
      </c>
      <c r="H657" s="88" t="s">
        <v>1525</v>
      </c>
      <c r="I657" s="1" t="str">
        <f t="shared" si="67"/>
        <v>FC 182,ED3-GEOM</v>
      </c>
      <c r="J657" s="36"/>
    </row>
    <row r="658" spans="1:10" ht="14.5" x14ac:dyDescent="0.35">
      <c r="A658" s="5" t="s">
        <v>41</v>
      </c>
      <c r="B658" s="5" t="str">
        <f>IFERROR(VLOOKUP($I658,'[5]Combined Data'!$D$1:$H$534,2,FALSE),0)</f>
        <v>French for Communication II</v>
      </c>
      <c r="C658" s="6" t="str">
        <v>Boakye-Agyeman Candy</v>
      </c>
      <c r="D658" s="5" t="s">
        <v>46</v>
      </c>
      <c r="E658" s="5" cm="1">
        <f t="array" ref="E658">VLOOKUP(I658:I658,combined_data!A4:D552,4,FALSE)</f>
        <v>154</v>
      </c>
      <c r="F658" s="9" t="s">
        <v>1466</v>
      </c>
      <c r="G658" s="7">
        <f t="shared" si="68"/>
        <v>169.4</v>
      </c>
      <c r="H658" s="88" t="s">
        <v>1517</v>
      </c>
      <c r="I658" s="1" t="str">
        <f t="shared" si="67"/>
        <v>FC 182,ED2-EE</v>
      </c>
      <c r="J658" s="36"/>
    </row>
    <row r="659" spans="1:10" ht="14.5" x14ac:dyDescent="0.35">
      <c r="A659" s="5" t="s">
        <v>41</v>
      </c>
      <c r="B659" s="5" t="str">
        <f>IFERROR(VLOOKUP($I659,'[5]Combined Data'!$D$1:$H$534,2,FALSE),0)</f>
        <v>French for Communication II</v>
      </c>
      <c r="C659" s="6" t="str">
        <v>B. Ampong</v>
      </c>
      <c r="D659" s="5" t="s">
        <v>45</v>
      </c>
      <c r="E659" s="5" cm="1">
        <f t="array" ref="E659">VLOOKUP(I659:I659,combined_data!A5:D553,4,FALSE)</f>
        <v>94</v>
      </c>
      <c r="F659" s="5" t="s">
        <v>1520</v>
      </c>
      <c r="G659" s="7">
        <f t="shared" si="68"/>
        <v>103.4</v>
      </c>
      <c r="H659" s="88" t="s">
        <v>1521</v>
      </c>
      <c r="I659" s="1" t="str">
        <f t="shared" si="67"/>
        <v>FC 182,ED1-GEOL</v>
      </c>
      <c r="J659" s="36"/>
    </row>
    <row r="660" spans="1:10" ht="14.5" x14ac:dyDescent="0.35">
      <c r="A660" s="47" t="s">
        <v>41</v>
      </c>
      <c r="B660" s="5" t="str">
        <f>IFERROR(VLOOKUP($I660,'[5]Combined Data'!$D$1:$H$534,2,FALSE),0)</f>
        <v>French for Communication II</v>
      </c>
      <c r="C660" s="6" t="str">
        <v>Boakye-Agyeman Candy</v>
      </c>
      <c r="D660" s="47" t="s">
        <v>44</v>
      </c>
      <c r="E660" s="5" cm="1">
        <f t="array" ref="E660">VLOOKUP(I660:I660,combined_data!A6:D554,4,FALSE)</f>
        <v>175</v>
      </c>
      <c r="F660" s="5" t="s">
        <v>1519</v>
      </c>
      <c r="G660" s="7">
        <f t="shared" si="68"/>
        <v>192.50000000000003</v>
      </c>
      <c r="H660" s="88" t="s">
        <v>1518</v>
      </c>
      <c r="I660" s="1" t="str">
        <f t="shared" si="67"/>
        <v>FC 182,ED1-CE</v>
      </c>
      <c r="J660" s="36"/>
    </row>
    <row r="661" spans="1:10" ht="14.5" x14ac:dyDescent="0.35">
      <c r="A661" s="5" t="s">
        <v>41</v>
      </c>
      <c r="B661" s="5" t="str">
        <f>IFERROR(VLOOKUP($I661,'[5]Combined Data'!$D$1:$H$534,2,FALSE),0)</f>
        <v>French for Communication II</v>
      </c>
      <c r="C661" s="6" t="str">
        <v>F. M. Newman</v>
      </c>
      <c r="D661" s="5" t="s">
        <v>43</v>
      </c>
      <c r="E661" s="5" cm="1">
        <f t="array" ref="E661">VLOOKUP(I661:I661,combined_data!A7:D555,4,FALSE)</f>
        <v>37</v>
      </c>
      <c r="F661" s="5" t="s">
        <v>1529</v>
      </c>
      <c r="G661" s="7">
        <f t="shared" si="68"/>
        <v>40.700000000000003</v>
      </c>
      <c r="H661" s="88">
        <v>37</v>
      </c>
      <c r="I661" s="1" t="str">
        <f t="shared" si="67"/>
        <v>FC 182,ED1-MARI</v>
      </c>
      <c r="J661" s="36"/>
    </row>
    <row r="662" spans="1:10" ht="14.5" x14ac:dyDescent="0.35">
      <c r="A662" s="5" t="s">
        <v>41</v>
      </c>
      <c r="B662" s="5" t="str">
        <f>IFERROR(VLOOKUP($I662,'[5]Combined Data'!$D$1:$H$534,2,FALSE),0)</f>
        <v>French for Communication II</v>
      </c>
      <c r="C662" s="6" t="str">
        <v>A. Yegblemenawo</v>
      </c>
      <c r="D662" s="5" t="s">
        <v>42</v>
      </c>
      <c r="E662" s="5" cm="1">
        <f t="array" ref="E662">VLOOKUP(I662:I662,combined_data!A8:D556,4,FALSE)</f>
        <v>60</v>
      </c>
      <c r="F662" s="5" t="s">
        <v>1626</v>
      </c>
      <c r="G662" s="7">
        <f t="shared" si="68"/>
        <v>66</v>
      </c>
      <c r="H662" s="88" t="s">
        <v>1830</v>
      </c>
      <c r="I662" s="1" t="str">
        <f t="shared" si="67"/>
        <v>FC 182,ED2-BME</v>
      </c>
      <c r="J662" s="36"/>
    </row>
    <row r="663" spans="1:10" ht="14.5" x14ac:dyDescent="0.35">
      <c r="A663" s="5" t="s">
        <v>41</v>
      </c>
      <c r="B663" s="5" t="str">
        <f>IFERROR(VLOOKUP($I663,'[5]Combined Data'!$D$1:$H$534,2,FALSE),0)</f>
        <v>French for Communication II</v>
      </c>
      <c r="C663" s="6" t="str">
        <v>Osei-Danso Harriet Efua</v>
      </c>
      <c r="D663" s="5" t="s">
        <v>40</v>
      </c>
      <c r="E663" s="5" cm="1">
        <f t="array" ref="E663">VLOOKUP(I663:I663,combined_data!A9:D557,4,FALSE)</f>
        <v>185</v>
      </c>
      <c r="F663" s="5" t="s">
        <v>1837</v>
      </c>
      <c r="G663" s="7">
        <f t="shared" si="68"/>
        <v>203.50000000000003</v>
      </c>
      <c r="H663" s="88" t="s">
        <v>1522</v>
      </c>
      <c r="I663" s="1" t="str">
        <f t="shared" si="67"/>
        <v>FC 182,ED2-COE</v>
      </c>
      <c r="J663" s="36"/>
    </row>
    <row r="664" spans="1:10" ht="14.5" x14ac:dyDescent="0.35">
      <c r="A664" s="5" t="s">
        <v>169</v>
      </c>
      <c r="B664" t="s">
        <v>691</v>
      </c>
      <c r="C664" s="6" t="str">
        <v>N. K. Prah II</v>
      </c>
      <c r="D664" s="5" t="s">
        <v>25</v>
      </c>
      <c r="E664" s="5" cm="1">
        <f t="array" ref="E664">VLOOKUP(I664:I664,combined_data!A10:D558,4,FALSE)</f>
        <v>378</v>
      </c>
      <c r="F664" s="109" t="s">
        <v>1803</v>
      </c>
      <c r="G664" s="7">
        <f t="shared" si="68"/>
        <v>415.8</v>
      </c>
      <c r="H664" s="88" t="s">
        <v>1806</v>
      </c>
      <c r="I664" s="1" t="str">
        <f t="shared" si="67"/>
        <v>EE 188,ED1-EE</v>
      </c>
      <c r="J664" s="36"/>
    </row>
    <row r="665" spans="1:10" ht="14.5" x14ac:dyDescent="0.35">
      <c r="A665" s="5" t="s">
        <v>39</v>
      </c>
      <c r="B665" s="5" t="str">
        <f>IFERROR(VLOOKUP($I665,'[5]Combined Data'!$D$1:$H$534,2,FALSE),0)</f>
        <v>Marine Electrical Technology and Electrical Measurements</v>
      </c>
      <c r="C665" s="6" t="str">
        <v>Frimpong Emmanuel Asuming</v>
      </c>
      <c r="D665" s="5" t="s">
        <v>38</v>
      </c>
      <c r="E665" s="5" cm="1">
        <f t="array" ref="E665">VLOOKUP(I665:I665,combined_data!A10:D558,4,FALSE)</f>
        <v>23</v>
      </c>
      <c r="F665" s="41" t="s">
        <v>1430</v>
      </c>
      <c r="G665" s="7">
        <f t="shared" si="68"/>
        <v>25.3</v>
      </c>
      <c r="H665" s="88">
        <v>23</v>
      </c>
      <c r="I665" s="1" t="str">
        <f t="shared" si="67"/>
        <v>MME 386,ED3-MARI</v>
      </c>
      <c r="J665" s="36"/>
    </row>
    <row r="666" spans="1:10" ht="14.5" x14ac:dyDescent="0.35">
      <c r="A666" s="5" t="s">
        <v>34</v>
      </c>
      <c r="B666" s="5" t="str">
        <f>IFERROR(VLOOKUP($I666,'[5]Combined Data'!$D$1:$H$534,2,FALSE),0)</f>
        <v>Engineering Properties of Polymers</v>
      </c>
      <c r="C666" s="6" t="str">
        <v>Asare Eric Kwame Anokye</v>
      </c>
      <c r="D666" s="5" t="s">
        <v>35</v>
      </c>
      <c r="E666" s="5" cm="1">
        <f t="array" ref="E666">VLOOKUP(I666:I666,combined_data!A12:D560,4,FALSE)</f>
        <v>47</v>
      </c>
      <c r="F666" s="8" t="s">
        <v>1741</v>
      </c>
      <c r="G666" s="7">
        <f t="shared" si="68"/>
        <v>51.7</v>
      </c>
      <c r="H666" s="88" t="s">
        <v>1835</v>
      </c>
      <c r="I666" s="1" t="str">
        <f t="shared" si="67"/>
        <v>MSE 356,ED4-PCE</v>
      </c>
      <c r="J666" s="36"/>
    </row>
    <row r="667" spans="1:10" ht="14.5" x14ac:dyDescent="0.35">
      <c r="A667" s="5" t="s">
        <v>34</v>
      </c>
      <c r="B667" s="5" t="str">
        <f>IFERROR(VLOOKUP($I667,'[5]Combined Data'!$D$1:$H$534,2,FALSE),0)</f>
        <v>Engineering Properties of Polymers</v>
      </c>
      <c r="C667" s="6" t="str">
        <v>Asare Eric Kwame Anokye</v>
      </c>
      <c r="D667" s="5" t="s">
        <v>33</v>
      </c>
      <c r="E667" s="5" cm="1">
        <f t="array" ref="E667">VLOOKUP(I667:I667,combined_data!A13:D561,4,FALSE)</f>
        <v>65</v>
      </c>
      <c r="F667" s="8" t="s">
        <v>1530</v>
      </c>
      <c r="G667" s="7">
        <f>E667*1.1</f>
        <v>71.5</v>
      </c>
      <c r="H667" s="88" t="s">
        <v>1831</v>
      </c>
      <c r="I667" s="1" t="str">
        <f t="shared" si="67"/>
        <v>MSE 356,ED3-MSE</v>
      </c>
      <c r="J667" s="36"/>
    </row>
    <row r="668" spans="1:10" ht="14.5" x14ac:dyDescent="0.35">
      <c r="A668" s="5" t="s">
        <v>30</v>
      </c>
      <c r="B668" s="5" t="str">
        <f>IFERROR(VLOOKUP($I668,'[5]Combined Data'!$D$1:$H$534,2,FALSE),0)</f>
        <v>Numerical Methods for Petroleum Engineers</v>
      </c>
      <c r="C668" s="6" t="str">
        <v>Sokama-Neuyam Yen Adams</v>
      </c>
      <c r="D668" s="5" t="s">
        <v>29</v>
      </c>
      <c r="E668" s="5" cm="1">
        <f t="array" ref="E668">VLOOKUP(I668:I668,combined_data!A14:D562,4,FALSE)</f>
        <v>103</v>
      </c>
      <c r="F668" s="5" t="s">
        <v>1527</v>
      </c>
      <c r="G668" s="7">
        <f>E668*1.1</f>
        <v>113.30000000000001</v>
      </c>
      <c r="H668" s="88" t="s">
        <v>1528</v>
      </c>
      <c r="I668" s="1" t="str">
        <f t="shared" si="67"/>
        <v>PE 350,ED3-PETE</v>
      </c>
      <c r="J668" s="36"/>
    </row>
    <row r="669" spans="1:10" ht="14.5" x14ac:dyDescent="0.35">
      <c r="D669" s="6" t="s">
        <v>26</v>
      </c>
      <c r="E669" s="11">
        <f>SUM(E655:E668)</f>
        <v>1509</v>
      </c>
      <c r="I669" s="1" t="str">
        <f t="shared" si="67"/>
        <v>,Total F5</v>
      </c>
      <c r="J669" s="36"/>
    </row>
    <row r="672" spans="1:10" ht="14.5" x14ac:dyDescent="0.35">
      <c r="A672" s="119" t="s">
        <v>1869</v>
      </c>
      <c r="B672" s="119"/>
      <c r="C672" s="119"/>
      <c r="D672" s="119"/>
      <c r="E672" s="119"/>
      <c r="F672" s="119"/>
      <c r="G672" s="119"/>
      <c r="I672" s="1" t="str">
        <f t="shared" ref="I672:I688" si="69">CONCATENATE(A672,",",D672)</f>
        <v>Friday, 11 July 2025,</v>
      </c>
      <c r="J672" s="36"/>
    </row>
    <row r="673" spans="1:10" ht="14.5" x14ac:dyDescent="0.35">
      <c r="A673" s="116" t="str">
        <f>[2]SESSIONS!$K$6</f>
        <v>Session, 6 (5:00 PM - 6:00 PM)</v>
      </c>
      <c r="B673" s="117"/>
      <c r="C673" s="117"/>
      <c r="D673" s="117"/>
      <c r="E673" s="117"/>
      <c r="F673" s="117"/>
      <c r="G673" s="118"/>
      <c r="I673" s="1" t="str">
        <f t="shared" si="69"/>
        <v>Session, 6 (5:00 PM - 6:00 PM),</v>
      </c>
      <c r="J673" s="36"/>
    </row>
    <row r="674" spans="1:10" ht="14.5" x14ac:dyDescent="0.35">
      <c r="A674" s="2" t="s">
        <v>6</v>
      </c>
      <c r="B674" s="2" t="s">
        <v>5</v>
      </c>
      <c r="C674" s="4" t="s">
        <v>4</v>
      </c>
      <c r="D674" s="2" t="s">
        <v>3</v>
      </c>
      <c r="E674" s="2" t="s">
        <v>2</v>
      </c>
      <c r="F674" s="3" t="s">
        <v>1</v>
      </c>
      <c r="G674" s="2" t="s">
        <v>0</v>
      </c>
      <c r="I674" s="1" t="str">
        <f t="shared" si="69"/>
        <v>CODE ,CLASS</v>
      </c>
      <c r="J674" s="36"/>
    </row>
    <row r="675" spans="1:10" ht="14.5" x14ac:dyDescent="0.35">
      <c r="A675" s="5" t="s">
        <v>24</v>
      </c>
      <c r="B675" s="5" t="str">
        <f>IFERROR(VLOOKUP($I675,'[5]Combined Data'!$D$1:$H$534,2,FALSE),0)</f>
        <v>Introduction to Information Technology</v>
      </c>
      <c r="C675" s="6" t="str" cm="1">
        <f t="array" ref="C675:C687">VLOOKUP(I675:I687,'Combined Data'!A1:E596,3,FALSE)</f>
        <v>T. Tienaah</v>
      </c>
      <c r="D675" s="5" t="s">
        <v>23</v>
      </c>
      <c r="E675" s="5" cm="1">
        <f t="array" ref="E675:E687">VLOOKUP(I675:I687,combined_data!A1:D549,4,FALSE)</f>
        <v>139</v>
      </c>
      <c r="F675" s="14" t="s">
        <v>1481</v>
      </c>
      <c r="G675" s="7">
        <f t="shared" ref="G675:G687" si="70">E675*1.1</f>
        <v>152.9</v>
      </c>
      <c r="H675" s="88" t="s">
        <v>1839</v>
      </c>
      <c r="I675" s="1" t="str">
        <f t="shared" si="69"/>
        <v>GE 158,ED1-GEOM</v>
      </c>
      <c r="J675" s="36"/>
    </row>
    <row r="676" spans="1:10" ht="14.5" x14ac:dyDescent="0.35">
      <c r="A676" s="5" t="s">
        <v>21</v>
      </c>
      <c r="B676" s="5" t="str">
        <f>IFERROR(VLOOKUP($I676,'[5]Combined Data'!$D$1:$H$534,2,FALSE),0)</f>
        <v>Introduction to Information Technology</v>
      </c>
      <c r="C676" s="6" t="str">
        <v>J. Okae</v>
      </c>
      <c r="D676" s="5" t="s">
        <v>20</v>
      </c>
      <c r="E676" s="5">
        <v>255</v>
      </c>
      <c r="F676" s="14" t="s">
        <v>1465</v>
      </c>
      <c r="G676" s="7">
        <f t="shared" si="70"/>
        <v>280.5</v>
      </c>
      <c r="H676" s="88" t="s">
        <v>1462</v>
      </c>
      <c r="I676" s="1" t="str">
        <f t="shared" si="69"/>
        <v>COE 158,ED1-COE</v>
      </c>
      <c r="J676" s="36"/>
    </row>
    <row r="677" spans="1:10" ht="14.5" x14ac:dyDescent="0.35">
      <c r="A677" s="5" t="s">
        <v>70</v>
      </c>
      <c r="B677" s="5" t="str">
        <f>IFERROR(VLOOKUP($I677,'[5]Combined Data'!$D$1:$H$534,2,FALSE),0)</f>
        <v>Chemical Engineering Thermodynamics II</v>
      </c>
      <c r="C677" s="6" t="str">
        <v>E. Dogbe</v>
      </c>
      <c r="D677" s="5" t="s">
        <v>69</v>
      </c>
      <c r="E677" s="5">
        <v>59</v>
      </c>
      <c r="F677" s="45" t="s">
        <v>1844</v>
      </c>
      <c r="G677" s="7">
        <f>E677*1.1</f>
        <v>64.900000000000006</v>
      </c>
      <c r="H677" s="88" t="s">
        <v>1743</v>
      </c>
      <c r="I677" s="1" t="str">
        <f>CONCATENATE(A677,",",D677)</f>
        <v>CHE 254,ED2-PCE</v>
      </c>
      <c r="J677" s="36"/>
    </row>
    <row r="678" spans="1:10" ht="14.5" x14ac:dyDescent="0.35">
      <c r="A678" s="5" t="s">
        <v>343</v>
      </c>
      <c r="B678" s="5" t="str">
        <f>IFERROR(VLOOKUP($I678,'[5]Combined Data'!$D$1:$H$534,2,FALSE),0)</f>
        <v>Principles of Geophysics</v>
      </c>
      <c r="C678" s="6" t="str">
        <v>A. Asare</v>
      </c>
      <c r="D678" s="5" t="s">
        <v>217</v>
      </c>
      <c r="E678" s="5">
        <v>105</v>
      </c>
      <c r="F678" s="8" t="s">
        <v>1840</v>
      </c>
      <c r="G678" s="7">
        <f>E678*1.1</f>
        <v>115.50000000000001</v>
      </c>
      <c r="H678" s="88" t="s">
        <v>1841</v>
      </c>
      <c r="I678" s="1" t="str">
        <f>CONCATENATE(A678,",",D678)</f>
        <v>GED 354,ED3-GEOL</v>
      </c>
      <c r="J678" s="36"/>
    </row>
    <row r="679" spans="1:10" ht="14.5" x14ac:dyDescent="0.35">
      <c r="A679" s="5" t="s">
        <v>374</v>
      </c>
      <c r="B679" s="5" t="str">
        <f>IFERROR(VLOOKUP($I679,'[5]Combined Data'!$D$1:$H$534,2,FALSE),0)</f>
        <v>Natural Gas Engineering</v>
      </c>
      <c r="C679" s="6" t="str">
        <v>Ankudey Emmanuel Godwin</v>
      </c>
      <c r="D679" s="5" t="s">
        <v>79</v>
      </c>
      <c r="E679" s="5">
        <v>62</v>
      </c>
      <c r="F679" s="8" t="s">
        <v>1695</v>
      </c>
      <c r="G679" s="7">
        <f>E679*1.1</f>
        <v>68.2</v>
      </c>
      <c r="H679" s="88" t="s">
        <v>1845</v>
      </c>
      <c r="I679" s="1" t="str">
        <f>CONCATENATE(A679,",",D679)</f>
        <v>PETE 450,ED3-PCE</v>
      </c>
      <c r="J679" s="36"/>
    </row>
    <row r="680" spans="1:10" ht="14.5" x14ac:dyDescent="0.35">
      <c r="A680" s="52" t="s">
        <v>546</v>
      </c>
      <c r="B680" s="5" t="str">
        <f>IFERROR(VLOOKUP($I680,'[5]Combined Data'!$D$1:$H$534,2,FALSE),0)</f>
        <v>Instrumentation</v>
      </c>
      <c r="C680" s="10" t="str">
        <v>Adam Faisal Wahib</v>
      </c>
      <c r="D680" s="18" t="s">
        <v>91</v>
      </c>
      <c r="E680" s="5">
        <v>184</v>
      </c>
      <c r="F680" s="88" t="s">
        <v>1468</v>
      </c>
      <c r="G680" s="7">
        <f>E680*1.1</f>
        <v>202.4</v>
      </c>
      <c r="H680" s="88" t="s">
        <v>1526</v>
      </c>
      <c r="I680" s="1" t="str">
        <f t="shared" ref="I680" si="71">CONCATENATE(A680,",",D680)</f>
        <v>ME 464,ED4-ME</v>
      </c>
      <c r="J680" s="36"/>
    </row>
    <row r="681" spans="1:10" ht="14.5" x14ac:dyDescent="0.35">
      <c r="A681" s="5" t="s">
        <v>127</v>
      </c>
      <c r="B681" s="5" t="str">
        <f>IFERROR(VLOOKUP($I681,'[5]Combined Data'!$D$1:$H$534,2,FALSE),0)</f>
        <v>Aerospace Safety and Air Security</v>
      </c>
      <c r="C681" s="6" t="str">
        <v>Oppong Tawiah Peter</v>
      </c>
      <c r="D681" s="5" t="s">
        <v>93</v>
      </c>
      <c r="E681" s="5">
        <v>75</v>
      </c>
      <c r="F681" s="14" t="s">
        <v>1472</v>
      </c>
      <c r="G681" s="7">
        <f>E681*1.1</f>
        <v>82.5</v>
      </c>
      <c r="H681" s="113" t="s">
        <v>1545</v>
      </c>
      <c r="I681" s="1" t="str">
        <f>CONCATENATE(A681,",",D681)</f>
        <v>AERO 492,ED4-AERO</v>
      </c>
      <c r="J681" s="36"/>
    </row>
    <row r="682" spans="1:10" ht="14.5" x14ac:dyDescent="0.35">
      <c r="A682" s="5" t="s">
        <v>14</v>
      </c>
      <c r="B682" s="5" t="str">
        <f>IFERROR(VLOOKUP($I682,'[5]Combined Data'!$D$1:$H$534,2,FALSE),0)</f>
        <v>Thermodynamics I</v>
      </c>
      <c r="C682" s="6" t="str">
        <v>Amoabeng Kofi Owura</v>
      </c>
      <c r="D682" s="5" t="s">
        <v>17</v>
      </c>
      <c r="E682" s="5">
        <v>72</v>
      </c>
      <c r="F682" s="14" t="s">
        <v>1695</v>
      </c>
      <c r="G682" s="7">
        <f t="shared" si="70"/>
        <v>79.2</v>
      </c>
      <c r="H682" s="88" t="s">
        <v>1843</v>
      </c>
      <c r="I682" s="1" t="str">
        <f t="shared" si="69"/>
        <v>ME 266,ED2-IND</v>
      </c>
      <c r="J682" s="36"/>
    </row>
    <row r="683" spans="1:10" ht="14.5" x14ac:dyDescent="0.35">
      <c r="A683" s="5" t="s">
        <v>14</v>
      </c>
      <c r="B683" s="5" t="str">
        <f>IFERROR(VLOOKUP($I683,'[5]Combined Data'!$D$1:$H$534,2,FALSE),0)</f>
        <v>Thermodynamics I</v>
      </c>
      <c r="C683" s="6" t="str">
        <v>Amoabeng Kofi Owura</v>
      </c>
      <c r="D683" s="5" t="s">
        <v>16</v>
      </c>
      <c r="E683" s="5">
        <v>237</v>
      </c>
      <c r="F683" s="14" t="s">
        <v>1463</v>
      </c>
      <c r="G683" s="7">
        <f t="shared" si="70"/>
        <v>260.70000000000005</v>
      </c>
      <c r="H683" s="88" t="s">
        <v>1531</v>
      </c>
      <c r="I683" s="1" t="str">
        <f t="shared" si="69"/>
        <v>ME 266,ED2-ME</v>
      </c>
      <c r="J683" s="36"/>
    </row>
    <row r="684" spans="1:10" ht="14.5" x14ac:dyDescent="0.35">
      <c r="A684" s="5" t="s">
        <v>1369</v>
      </c>
      <c r="B684" s="5" t="s">
        <v>1371</v>
      </c>
      <c r="C684" s="6" t="str">
        <v>Samuel Boahen</v>
      </c>
      <c r="D684" s="5" t="s">
        <v>15</v>
      </c>
      <c r="E684" s="5">
        <v>78</v>
      </c>
      <c r="F684" s="14" t="s">
        <v>1420</v>
      </c>
      <c r="G684" s="17">
        <f t="shared" si="70"/>
        <v>85.800000000000011</v>
      </c>
      <c r="H684" s="88">
        <v>78</v>
      </c>
      <c r="I684" s="1" t="str">
        <f t="shared" si="69"/>
        <v>AME 156,ED1-AUTO</v>
      </c>
      <c r="J684" s="36"/>
    </row>
    <row r="685" spans="1:10" ht="14.5" x14ac:dyDescent="0.35">
      <c r="A685" s="5" t="s">
        <v>14</v>
      </c>
      <c r="B685" s="5" t="str">
        <f>IFERROR(VLOOKUP($I685,'[5]Combined Data'!$D$1:$H$534,2,FALSE),0)</f>
        <v>Thermodynamics I</v>
      </c>
      <c r="C685" s="6" t="str">
        <v>Boahen Samuel</v>
      </c>
      <c r="D685" s="5" t="s">
        <v>13</v>
      </c>
      <c r="E685" s="5">
        <v>76</v>
      </c>
      <c r="F685" s="14" t="s">
        <v>1414</v>
      </c>
      <c r="G685" s="7">
        <f t="shared" si="70"/>
        <v>83.600000000000009</v>
      </c>
      <c r="H685" s="88">
        <v>76</v>
      </c>
      <c r="I685" s="1" t="str">
        <f t="shared" si="69"/>
        <v>ME 266,ED2-AERO</v>
      </c>
      <c r="J685" s="36"/>
    </row>
    <row r="686" spans="1:10" ht="14.5" x14ac:dyDescent="0.35">
      <c r="A686" s="5" t="s">
        <v>116</v>
      </c>
      <c r="B686" s="5" t="str">
        <f>IFERROR(VLOOKUP($I686,'[5]Combined Data'!$D$1:$H$534,2,FALSE),0)</f>
        <v>Ore Beneficiation</v>
      </c>
      <c r="C686" s="6" t="str">
        <v>Koomson Bennetta</v>
      </c>
      <c r="D686" s="5" t="s">
        <v>111</v>
      </c>
      <c r="E686" s="5">
        <v>86</v>
      </c>
      <c r="F686" s="14" t="s">
        <v>1697</v>
      </c>
      <c r="G686" s="7">
        <f>E686*1.1</f>
        <v>94.600000000000009</v>
      </c>
      <c r="H686" s="88" t="s">
        <v>1842</v>
      </c>
      <c r="I686" s="1" t="str">
        <f>CONCATENATE(A686,",",D686)</f>
        <v>METE 254,ED2-METE</v>
      </c>
      <c r="J686" s="36"/>
    </row>
    <row r="687" spans="1:10" ht="14.5" x14ac:dyDescent="0.35">
      <c r="A687" s="5" t="s">
        <v>9</v>
      </c>
      <c r="B687" s="5" t="str">
        <f>IFERROR(VLOOKUP($I687,'[5]Combined Data'!$D$1:$H$534,2,FALSE),0)</f>
        <v>Engineering Management</v>
      </c>
      <c r="C687" s="6" t="str">
        <v>Takyi Gabriel</v>
      </c>
      <c r="D687" s="5" t="s">
        <v>8</v>
      </c>
      <c r="E687" s="5">
        <v>142</v>
      </c>
      <c r="F687" s="14" t="s">
        <v>1481</v>
      </c>
      <c r="G687" s="7">
        <f t="shared" si="70"/>
        <v>156.20000000000002</v>
      </c>
      <c r="H687" s="88" t="s">
        <v>1482</v>
      </c>
      <c r="I687" s="1" t="str">
        <f t="shared" si="69"/>
        <v>GED 464,ED4-GEOL</v>
      </c>
      <c r="J687" s="36"/>
    </row>
    <row r="688" spans="1:10" ht="14.5" x14ac:dyDescent="0.35">
      <c r="D688" s="6" t="s">
        <v>7</v>
      </c>
      <c r="E688" s="11">
        <f>SUM(E674:E687)</f>
        <v>1570</v>
      </c>
      <c r="I688" s="1" t="str">
        <f t="shared" si="69"/>
        <v>,Total F6</v>
      </c>
      <c r="J688" s="36"/>
    </row>
    <row r="689" spans="1:10" ht="14.5" x14ac:dyDescent="0.35">
      <c r="J689" s="36"/>
    </row>
    <row r="691" spans="1:10" customFormat="1" ht="14.5" x14ac:dyDescent="0.35">
      <c r="A691" s="115"/>
      <c r="B691" s="115"/>
      <c r="C691" s="115"/>
      <c r="D691" s="115"/>
      <c r="E691" s="115"/>
      <c r="F691" s="115"/>
      <c r="G691" s="115"/>
      <c r="H691" s="54"/>
    </row>
    <row r="692" spans="1:10" customFormat="1" ht="14.5" x14ac:dyDescent="0.35">
      <c r="A692" s="115"/>
      <c r="B692" s="115"/>
      <c r="C692" s="115"/>
      <c r="D692" s="115"/>
      <c r="E692" s="115"/>
      <c r="F692" s="115"/>
      <c r="G692" s="115"/>
      <c r="H692" s="54"/>
    </row>
    <row r="693" spans="1:10" customFormat="1" ht="14.5" x14ac:dyDescent="0.35">
      <c r="H693" s="54"/>
    </row>
    <row r="694" spans="1:10" customFormat="1" ht="14.5" x14ac:dyDescent="0.35">
      <c r="H694" s="54"/>
    </row>
    <row r="695" spans="1:10" customFormat="1" ht="14.5" x14ac:dyDescent="0.35">
      <c r="H695" s="54"/>
    </row>
    <row r="696" spans="1:10" customFormat="1" ht="14.5" x14ac:dyDescent="0.35">
      <c r="H696" s="54"/>
    </row>
    <row r="697" spans="1:10" customFormat="1" ht="14.5" x14ac:dyDescent="0.35">
      <c r="H697" s="54"/>
    </row>
    <row r="698" spans="1:10" customFormat="1" ht="14.5" x14ac:dyDescent="0.35">
      <c r="H698" s="54"/>
    </row>
    <row r="699" spans="1:10" customFormat="1" ht="14.5" x14ac:dyDescent="0.35">
      <c r="H699" s="54"/>
    </row>
  </sheetData>
  <mergeCells count="76">
    <mergeCell ref="A380:G380"/>
    <mergeCell ref="A317:G317"/>
    <mergeCell ref="A318:G318"/>
    <mergeCell ref="A268:G268"/>
    <mergeCell ref="A174:G174"/>
    <mergeCell ref="A191:G191"/>
    <mergeCell ref="A175:G175"/>
    <mergeCell ref="A192:G192"/>
    <mergeCell ref="A247:G247"/>
    <mergeCell ref="A212:G212"/>
    <mergeCell ref="A213:G213"/>
    <mergeCell ref="A230:G230"/>
    <mergeCell ref="A231:G231"/>
    <mergeCell ref="A281:G281"/>
    <mergeCell ref="A356:G356"/>
    <mergeCell ref="A1:G1"/>
    <mergeCell ref="A2:G2"/>
    <mergeCell ref="A30:G30"/>
    <mergeCell ref="A31:G31"/>
    <mergeCell ref="A54:G54"/>
    <mergeCell ref="F4:F9"/>
    <mergeCell ref="F33:F37"/>
    <mergeCell ref="A55:G55"/>
    <mergeCell ref="A79:G79"/>
    <mergeCell ref="A80:G80"/>
    <mergeCell ref="A116:G116"/>
    <mergeCell ref="A158:G158"/>
    <mergeCell ref="F57:F63"/>
    <mergeCell ref="A100:G100"/>
    <mergeCell ref="A101:G101"/>
    <mergeCell ref="A135:G135"/>
    <mergeCell ref="A157:G157"/>
    <mergeCell ref="A117:G117"/>
    <mergeCell ref="A134:G134"/>
    <mergeCell ref="A673:G673"/>
    <mergeCell ref="A652:G652"/>
    <mergeCell ref="A653:G653"/>
    <mergeCell ref="A248:G248"/>
    <mergeCell ref="A267:G267"/>
    <mergeCell ref="A339:G339"/>
    <mergeCell ref="A403:G403"/>
    <mergeCell ref="A282:G282"/>
    <mergeCell ref="A340:G340"/>
    <mergeCell ref="A357:G357"/>
    <mergeCell ref="A381:G381"/>
    <mergeCell ref="A297:G297"/>
    <mergeCell ref="A298:G298"/>
    <mergeCell ref="A481:G481"/>
    <mergeCell ref="A447:G447"/>
    <mergeCell ref="F405:F407"/>
    <mergeCell ref="A672:G672"/>
    <mergeCell ref="A504:G504"/>
    <mergeCell ref="A505:G505"/>
    <mergeCell ref="A464:G464"/>
    <mergeCell ref="A402:G402"/>
    <mergeCell ref="A446:G446"/>
    <mergeCell ref="F408:F409"/>
    <mergeCell ref="F582:F595"/>
    <mergeCell ref="A428:G428"/>
    <mergeCell ref="A429:G429"/>
    <mergeCell ref="A692:G692"/>
    <mergeCell ref="A465:G465"/>
    <mergeCell ref="A480:G480"/>
    <mergeCell ref="A613:G613"/>
    <mergeCell ref="A614:G614"/>
    <mergeCell ref="A632:G632"/>
    <mergeCell ref="A633:G633"/>
    <mergeCell ref="A560:G560"/>
    <mergeCell ref="A561:G561"/>
    <mergeCell ref="A579:G579"/>
    <mergeCell ref="A580:G580"/>
    <mergeCell ref="A526:G526"/>
    <mergeCell ref="A527:G527"/>
    <mergeCell ref="A543:G543"/>
    <mergeCell ref="A544:G544"/>
    <mergeCell ref="A691:G691"/>
  </mergeCells>
  <phoneticPr fontId="11" type="noConversion"/>
  <conditionalFormatting sqref="D563">
    <cfRule type="duplicateValues" dxfId="16" priority="15"/>
  </conditionalFormatting>
  <conditionalFormatting sqref="D646:D647 D259">
    <cfRule type="duplicateValues" dxfId="15" priority="19"/>
  </conditionalFormatting>
  <conditionalFormatting sqref="I310">
    <cfRule type="duplicateValues" dxfId="14" priority="7"/>
    <cfRule type="duplicateValues" dxfId="13" priority="8"/>
  </conditionalFormatting>
  <conditionalFormatting sqref="I368">
    <cfRule type="duplicateValues" dxfId="12" priority="9"/>
    <cfRule type="duplicateValues" dxfId="11" priority="10"/>
  </conditionalFormatting>
  <conditionalFormatting sqref="I548:I549 I526:I530 I263 I533:I535 I541:I542 I537:I538">
    <cfRule type="duplicateValues" dxfId="10" priority="69"/>
    <cfRule type="duplicateValues" dxfId="9" priority="70"/>
  </conditionalFormatting>
  <conditionalFormatting sqref="I557:I558 I543:I545">
    <cfRule type="duplicateValues" dxfId="8" priority="65"/>
    <cfRule type="duplicateValues" dxfId="7" priority="66"/>
  </conditionalFormatting>
  <conditionalFormatting sqref="I559:I1048576 I539:I540 I536 I546:I547 I550:I556 I264:I309 I369:I525 I531:I532 I1:I262 I311:I367">
    <cfRule type="duplicateValues" dxfId="6" priority="62"/>
    <cfRule type="duplicateValues" dxfId="5" priority="63"/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Header>&amp;C&amp;"Times New Roman,Bold"&amp;12COLLEGE OF ENGINEERING             
FINAL EXAMINATION TIMETABLE: SECOND SEMESTER MIDSEMESTER, 2024/2025 ACADEMIC YEAR</oddHeader>
    <oddFooter xml:space="preserve">&amp;C&amp;16&amp;KFF0000Kindly take note; CE 164 will be written on Monday, 14th July, 2025 for both Civil and Geological Engineering 1 students at  the Prempeh Library.
Also, AME 376, AME 284 and AME 476 will be written on Thursday, 3rd July, 2025, 8am prompt </oddFooter>
  </headerFooter>
  <rowBreaks count="33" manualBreakCount="33">
    <brk id="28" max="6" man="1"/>
    <brk id="52" max="6" man="1"/>
    <brk id="77" max="6" man="1"/>
    <brk id="98" max="6" man="1"/>
    <brk id="114" max="6" man="1"/>
    <brk id="132" max="6" man="1"/>
    <brk id="155" max="6" man="1"/>
    <brk id="172" max="6" man="1"/>
    <brk id="189" max="6" man="1"/>
    <brk id="210" max="6" man="1"/>
    <brk id="228" max="6" man="1"/>
    <brk id="245" max="6" man="1"/>
    <brk id="265" max="6" man="1"/>
    <brk id="279" max="6" man="1"/>
    <brk id="295" max="6" man="1"/>
    <brk id="315" max="6" man="1"/>
    <brk id="337" max="6" man="1"/>
    <brk id="354" max="6" man="1"/>
    <brk id="378" max="6" man="1"/>
    <brk id="400" max="6" man="1"/>
    <brk id="426" max="6" man="1"/>
    <brk id="444" max="6" man="1"/>
    <brk id="462" max="6" man="1"/>
    <brk id="478" max="6" man="1"/>
    <brk id="502" max="16383" man="1"/>
    <brk id="542" max="6" man="1"/>
    <brk id="559" max="6" man="1"/>
    <brk id="577" max="6" man="1"/>
    <brk id="611" max="6" man="1"/>
    <brk id="630" max="6" man="1"/>
    <brk id="650" max="6" man="1"/>
    <brk id="670" max="6" man="1"/>
    <brk id="689" max="6" man="1"/>
  </rowBreaks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4292-06E7-46F9-8B1C-31A095BC4470}">
  <dimension ref="A1:H688"/>
  <sheetViews>
    <sheetView tabSelected="1" topLeftCell="C650" workbookViewId="0">
      <selection activeCell="F582" sqref="F582:F595"/>
    </sheetView>
  </sheetViews>
  <sheetFormatPr defaultRowHeight="14.5" x14ac:dyDescent="0.35"/>
  <cols>
    <col min="1" max="1" width="28.36328125" bestFit="1" customWidth="1"/>
    <col min="2" max="2" width="53.36328125" bestFit="1" customWidth="1"/>
    <col min="3" max="3" width="40.453125" bestFit="1" customWidth="1"/>
    <col min="4" max="4" width="10.08984375" bestFit="1" customWidth="1"/>
    <col min="5" max="5" width="6.36328125" bestFit="1" customWidth="1"/>
    <col min="6" max="6" width="62.7265625" bestFit="1" customWidth="1"/>
    <col min="7" max="7" width="6.7265625" bestFit="1" customWidth="1"/>
    <col min="8" max="8" width="28.54296875" bestFit="1" customWidth="1"/>
  </cols>
  <sheetData>
    <row r="1" spans="1:8" x14ac:dyDescent="0.35">
      <c r="A1" t="s">
        <v>404</v>
      </c>
    </row>
    <row r="2" spans="1:8" x14ac:dyDescent="0.35">
      <c r="A2" t="s">
        <v>1888</v>
      </c>
    </row>
    <row r="3" spans="1:8" x14ac:dyDescent="0.35">
      <c r="A3" t="s">
        <v>6</v>
      </c>
      <c r="B3" t="s">
        <v>5</v>
      </c>
      <c r="C3" t="s">
        <v>4</v>
      </c>
      <c r="D3" t="s">
        <v>3</v>
      </c>
      <c r="E3" t="s">
        <v>2</v>
      </c>
      <c r="G3" t="s">
        <v>0</v>
      </c>
    </row>
    <row r="4" spans="1:8" x14ac:dyDescent="0.35">
      <c r="A4" t="s">
        <v>376</v>
      </c>
      <c r="B4" t="s">
        <v>1140</v>
      </c>
      <c r="C4" t="s">
        <v>1139</v>
      </c>
      <c r="D4" t="s">
        <v>157</v>
      </c>
      <c r="E4">
        <v>75</v>
      </c>
      <c r="F4" t="s">
        <v>114</v>
      </c>
      <c r="G4">
        <v>82.5</v>
      </c>
    </row>
    <row r="5" spans="1:8" x14ac:dyDescent="0.35">
      <c r="A5" t="s">
        <v>376</v>
      </c>
      <c r="B5" t="s">
        <v>1140</v>
      </c>
      <c r="C5" t="s">
        <v>1139</v>
      </c>
      <c r="D5" t="s">
        <v>101</v>
      </c>
      <c r="E5">
        <v>157</v>
      </c>
      <c r="F5" t="s">
        <v>114</v>
      </c>
      <c r="G5">
        <v>172.70000000000002</v>
      </c>
    </row>
    <row r="6" spans="1:8" x14ac:dyDescent="0.35">
      <c r="A6" t="s">
        <v>376</v>
      </c>
      <c r="B6" t="s">
        <v>1140</v>
      </c>
      <c r="C6" t="s">
        <v>1357</v>
      </c>
      <c r="D6" t="s">
        <v>22</v>
      </c>
      <c r="E6">
        <v>86</v>
      </c>
      <c r="F6" t="s">
        <v>114</v>
      </c>
      <c r="G6">
        <v>94.600000000000009</v>
      </c>
    </row>
    <row r="7" spans="1:8" x14ac:dyDescent="0.35">
      <c r="A7" t="s">
        <v>376</v>
      </c>
      <c r="B7" t="s">
        <v>1140</v>
      </c>
      <c r="C7" t="s">
        <v>1139</v>
      </c>
      <c r="D7" t="s">
        <v>60</v>
      </c>
      <c r="E7">
        <v>155</v>
      </c>
      <c r="F7" t="s">
        <v>114</v>
      </c>
      <c r="G7">
        <v>170.5</v>
      </c>
    </row>
    <row r="8" spans="1:8" x14ac:dyDescent="0.35">
      <c r="A8" t="s">
        <v>376</v>
      </c>
      <c r="B8" t="s">
        <v>1140</v>
      </c>
      <c r="C8" t="s">
        <v>1142</v>
      </c>
      <c r="D8" t="s">
        <v>20</v>
      </c>
      <c r="E8">
        <v>255</v>
      </c>
      <c r="F8" t="s">
        <v>114</v>
      </c>
      <c r="G8">
        <v>280.5</v>
      </c>
    </row>
    <row r="9" spans="1:8" x14ac:dyDescent="0.35">
      <c r="A9" t="s">
        <v>376</v>
      </c>
      <c r="B9" t="s">
        <v>1140</v>
      </c>
      <c r="C9" t="s">
        <v>1139</v>
      </c>
      <c r="D9" t="s">
        <v>82</v>
      </c>
      <c r="E9">
        <v>88</v>
      </c>
      <c r="F9" t="s">
        <v>114</v>
      </c>
      <c r="G9">
        <v>96.800000000000011</v>
      </c>
    </row>
    <row r="10" spans="1:8" x14ac:dyDescent="0.35">
      <c r="A10" t="s">
        <v>402</v>
      </c>
      <c r="B10" t="s">
        <v>1036</v>
      </c>
      <c r="C10" t="s">
        <v>929</v>
      </c>
      <c r="D10" t="s">
        <v>51</v>
      </c>
      <c r="E10">
        <v>111</v>
      </c>
      <c r="F10" t="s">
        <v>1469</v>
      </c>
      <c r="G10">
        <v>122.10000000000001</v>
      </c>
      <c r="H10" t="s">
        <v>1542</v>
      </c>
    </row>
    <row r="11" spans="1:8" x14ac:dyDescent="0.35">
      <c r="A11" t="s">
        <v>123</v>
      </c>
      <c r="B11" t="s">
        <v>1889</v>
      </c>
      <c r="C11" t="s">
        <v>902</v>
      </c>
      <c r="D11" t="s">
        <v>36</v>
      </c>
      <c r="E11">
        <v>82</v>
      </c>
      <c r="F11" t="s">
        <v>1538</v>
      </c>
      <c r="G11">
        <v>90.2</v>
      </c>
      <c r="H11" t="s">
        <v>1499</v>
      </c>
    </row>
    <row r="12" spans="1:8" x14ac:dyDescent="0.35">
      <c r="A12" t="s">
        <v>751</v>
      </c>
      <c r="B12" t="s">
        <v>1890</v>
      </c>
      <c r="C12" t="s">
        <v>1275</v>
      </c>
      <c r="D12" t="s">
        <v>64</v>
      </c>
      <c r="E12">
        <v>227</v>
      </c>
      <c r="F12" t="s">
        <v>1539</v>
      </c>
      <c r="G12">
        <v>249.70000000000002</v>
      </c>
      <c r="H12" t="s">
        <v>1543</v>
      </c>
    </row>
    <row r="13" spans="1:8" x14ac:dyDescent="0.35">
      <c r="A13" t="s">
        <v>386</v>
      </c>
      <c r="B13" t="s">
        <v>1251</v>
      </c>
      <c r="C13" t="s">
        <v>1252</v>
      </c>
      <c r="D13" t="s">
        <v>84</v>
      </c>
      <c r="E13">
        <v>255</v>
      </c>
      <c r="F13" t="s">
        <v>1540</v>
      </c>
      <c r="G13">
        <v>280.5</v>
      </c>
      <c r="H13" t="s">
        <v>1544</v>
      </c>
    </row>
    <row r="14" spans="1:8" x14ac:dyDescent="0.35">
      <c r="A14" t="s">
        <v>198</v>
      </c>
      <c r="B14" t="s">
        <v>1318</v>
      </c>
      <c r="C14" t="s">
        <v>1319</v>
      </c>
      <c r="D14" t="s">
        <v>93</v>
      </c>
      <c r="E14">
        <v>75</v>
      </c>
      <c r="F14" t="s">
        <v>1472</v>
      </c>
      <c r="G14">
        <v>82.5</v>
      </c>
      <c r="H14" t="s">
        <v>1545</v>
      </c>
    </row>
    <row r="15" spans="1:8" x14ac:dyDescent="0.35">
      <c r="A15" t="s">
        <v>399</v>
      </c>
      <c r="B15" t="s">
        <v>1403</v>
      </c>
      <c r="C15" t="s">
        <v>1305</v>
      </c>
      <c r="D15" t="s">
        <v>150</v>
      </c>
      <c r="E15">
        <v>32</v>
      </c>
      <c r="F15" t="s">
        <v>1867</v>
      </c>
      <c r="G15">
        <v>35.200000000000003</v>
      </c>
      <c r="H15" t="s">
        <v>1868</v>
      </c>
    </row>
    <row r="16" spans="1:8" x14ac:dyDescent="0.35">
      <c r="A16" t="s">
        <v>398</v>
      </c>
      <c r="B16" t="s">
        <v>1290</v>
      </c>
      <c r="C16" t="s">
        <v>1291</v>
      </c>
      <c r="D16" t="s">
        <v>75</v>
      </c>
      <c r="E16">
        <v>85</v>
      </c>
      <c r="F16" t="s">
        <v>1538</v>
      </c>
      <c r="G16">
        <v>93.500000000000014</v>
      </c>
      <c r="H16" t="s">
        <v>1499</v>
      </c>
    </row>
    <row r="17" spans="1:8" x14ac:dyDescent="0.35">
      <c r="A17" t="s">
        <v>397</v>
      </c>
      <c r="B17" t="s">
        <v>1199</v>
      </c>
      <c r="C17" t="s">
        <v>1198</v>
      </c>
      <c r="D17" t="s">
        <v>73</v>
      </c>
      <c r="E17">
        <v>170</v>
      </c>
      <c r="F17" t="s">
        <v>1417</v>
      </c>
      <c r="G17">
        <v>187.00000000000003</v>
      </c>
      <c r="H17" t="s">
        <v>1546</v>
      </c>
    </row>
    <row r="18" spans="1:8" x14ac:dyDescent="0.35">
      <c r="A18" t="s">
        <v>396</v>
      </c>
      <c r="B18" t="s">
        <v>1197</v>
      </c>
      <c r="C18" t="s">
        <v>1198</v>
      </c>
      <c r="D18" t="s">
        <v>67</v>
      </c>
      <c r="E18">
        <v>29</v>
      </c>
      <c r="F18" t="s">
        <v>1450</v>
      </c>
      <c r="G18">
        <v>31.900000000000002</v>
      </c>
      <c r="H18">
        <v>29</v>
      </c>
    </row>
    <row r="19" spans="1:8" x14ac:dyDescent="0.35">
      <c r="A19" t="s">
        <v>395</v>
      </c>
      <c r="B19" t="s">
        <v>1219</v>
      </c>
      <c r="C19" t="s">
        <v>1220</v>
      </c>
      <c r="D19" t="s">
        <v>35</v>
      </c>
      <c r="E19">
        <v>50</v>
      </c>
      <c r="F19" t="s">
        <v>1422</v>
      </c>
      <c r="G19">
        <v>55.000000000000007</v>
      </c>
      <c r="H19">
        <v>50</v>
      </c>
    </row>
    <row r="20" spans="1:8" x14ac:dyDescent="0.35">
      <c r="A20" t="s">
        <v>394</v>
      </c>
      <c r="B20" t="s">
        <v>1004</v>
      </c>
      <c r="C20" t="s">
        <v>1005</v>
      </c>
      <c r="D20" t="s">
        <v>91</v>
      </c>
      <c r="E20">
        <v>53</v>
      </c>
      <c r="F20" t="s">
        <v>1511</v>
      </c>
      <c r="G20">
        <v>58.300000000000004</v>
      </c>
      <c r="H20" t="s">
        <v>1503</v>
      </c>
    </row>
    <row r="21" spans="1:8" x14ac:dyDescent="0.35">
      <c r="A21" t="s">
        <v>393</v>
      </c>
      <c r="B21" t="s">
        <v>1891</v>
      </c>
      <c r="C21" t="s">
        <v>1185</v>
      </c>
      <c r="D21" t="s">
        <v>57</v>
      </c>
      <c r="E21">
        <v>7</v>
      </c>
      <c r="F21" t="s">
        <v>1450</v>
      </c>
      <c r="G21">
        <v>7.7000000000000011</v>
      </c>
      <c r="H21">
        <v>7</v>
      </c>
    </row>
    <row r="22" spans="1:8" x14ac:dyDescent="0.35">
      <c r="A22" t="s">
        <v>393</v>
      </c>
      <c r="B22" t="s">
        <v>1891</v>
      </c>
      <c r="C22" t="s">
        <v>1185</v>
      </c>
      <c r="D22" t="s">
        <v>196</v>
      </c>
      <c r="E22">
        <v>14</v>
      </c>
      <c r="F22" t="s">
        <v>1436</v>
      </c>
      <c r="G22">
        <v>15.400000000000002</v>
      </c>
      <c r="H22">
        <v>10</v>
      </c>
    </row>
    <row r="23" spans="1:8" x14ac:dyDescent="0.35">
      <c r="A23" t="s">
        <v>392</v>
      </c>
      <c r="B23" t="s">
        <v>1128</v>
      </c>
      <c r="C23" t="s">
        <v>1116</v>
      </c>
      <c r="D23" t="s">
        <v>65</v>
      </c>
      <c r="E23">
        <v>122</v>
      </c>
      <c r="F23" t="s">
        <v>1469</v>
      </c>
      <c r="G23">
        <v>134.20000000000002</v>
      </c>
      <c r="H23" t="s">
        <v>1547</v>
      </c>
    </row>
    <row r="24" spans="1:8" x14ac:dyDescent="0.35">
      <c r="A24" t="s">
        <v>391</v>
      </c>
      <c r="B24" t="s">
        <v>1213</v>
      </c>
      <c r="C24" t="s">
        <v>1214</v>
      </c>
      <c r="D24" t="s">
        <v>104</v>
      </c>
      <c r="E24">
        <v>71</v>
      </c>
      <c r="F24" t="s">
        <v>1873</v>
      </c>
      <c r="G24">
        <v>78.100000000000009</v>
      </c>
      <c r="H24" t="s">
        <v>1548</v>
      </c>
    </row>
    <row r="25" spans="1:8" x14ac:dyDescent="0.35">
      <c r="A25" t="s">
        <v>436</v>
      </c>
      <c r="B25" t="s">
        <v>844</v>
      </c>
      <c r="C25" t="s">
        <v>845</v>
      </c>
      <c r="D25" t="s">
        <v>10</v>
      </c>
      <c r="E25">
        <v>142</v>
      </c>
      <c r="F25" t="s">
        <v>1541</v>
      </c>
      <c r="G25">
        <v>156.20000000000002</v>
      </c>
      <c r="H25" t="s">
        <v>1532</v>
      </c>
    </row>
    <row r="27" spans="1:8" x14ac:dyDescent="0.35">
      <c r="D27" t="s">
        <v>390</v>
      </c>
      <c r="E27">
        <v>1525</v>
      </c>
    </row>
    <row r="30" spans="1:8" x14ac:dyDescent="0.35">
      <c r="A30" t="s">
        <v>404</v>
      </c>
    </row>
    <row r="31" spans="1:8" x14ac:dyDescent="0.35">
      <c r="A31" t="s">
        <v>1892</v>
      </c>
    </row>
    <row r="32" spans="1:8" x14ac:dyDescent="0.35">
      <c r="A32" t="s">
        <v>6</v>
      </c>
      <c r="B32" t="s">
        <v>5</v>
      </c>
      <c r="C32" t="s">
        <v>4</v>
      </c>
      <c r="D32" t="s">
        <v>3</v>
      </c>
      <c r="E32" t="s">
        <v>2</v>
      </c>
      <c r="F32" t="s">
        <v>1</v>
      </c>
      <c r="G32" t="s">
        <v>0</v>
      </c>
    </row>
    <row r="33" spans="1:8" x14ac:dyDescent="0.35">
      <c r="A33" t="s">
        <v>376</v>
      </c>
      <c r="B33" t="s">
        <v>1140</v>
      </c>
      <c r="C33" t="s">
        <v>1143</v>
      </c>
      <c r="D33" t="s">
        <v>44</v>
      </c>
      <c r="E33">
        <v>260</v>
      </c>
      <c r="F33" t="s">
        <v>114</v>
      </c>
      <c r="G33">
        <v>286</v>
      </c>
    </row>
    <row r="34" spans="1:8" x14ac:dyDescent="0.35">
      <c r="A34" t="s">
        <v>376</v>
      </c>
      <c r="B34" t="s">
        <v>1140</v>
      </c>
      <c r="C34" t="s">
        <v>1139</v>
      </c>
      <c r="D34" t="s">
        <v>25</v>
      </c>
      <c r="E34">
        <v>378</v>
      </c>
      <c r="F34" t="s">
        <v>114</v>
      </c>
      <c r="G34">
        <v>415.8</v>
      </c>
    </row>
    <row r="35" spans="1:8" x14ac:dyDescent="0.35">
      <c r="A35" t="s">
        <v>376</v>
      </c>
      <c r="B35" t="s">
        <v>1140</v>
      </c>
      <c r="C35" t="s">
        <v>1144</v>
      </c>
      <c r="D35" t="s">
        <v>15</v>
      </c>
      <c r="E35">
        <v>78</v>
      </c>
      <c r="F35" t="s">
        <v>114</v>
      </c>
      <c r="G35">
        <v>85.800000000000011</v>
      </c>
    </row>
    <row r="36" spans="1:8" x14ac:dyDescent="0.35">
      <c r="A36" t="s">
        <v>376</v>
      </c>
      <c r="B36" t="s">
        <v>1140</v>
      </c>
      <c r="C36" t="s">
        <v>1139</v>
      </c>
      <c r="D36" t="s">
        <v>45</v>
      </c>
      <c r="E36">
        <v>156</v>
      </c>
      <c r="F36" t="s">
        <v>114</v>
      </c>
      <c r="G36">
        <v>171.60000000000002</v>
      </c>
    </row>
    <row r="37" spans="1:8" x14ac:dyDescent="0.35">
      <c r="A37" t="s">
        <v>376</v>
      </c>
      <c r="B37" t="s">
        <v>1140</v>
      </c>
      <c r="C37" t="s">
        <v>1139</v>
      </c>
      <c r="D37" t="s">
        <v>58</v>
      </c>
      <c r="E37">
        <v>59</v>
      </c>
      <c r="F37" t="s">
        <v>114</v>
      </c>
      <c r="G37">
        <v>64.900000000000006</v>
      </c>
    </row>
    <row r="38" spans="1:8" x14ac:dyDescent="0.35">
      <c r="A38" t="s">
        <v>118</v>
      </c>
      <c r="B38" t="s">
        <v>1893</v>
      </c>
      <c r="C38" t="s">
        <v>1322</v>
      </c>
      <c r="D38" t="s">
        <v>117</v>
      </c>
      <c r="E38">
        <v>63</v>
      </c>
      <c r="F38" t="s">
        <v>1549</v>
      </c>
      <c r="G38">
        <v>69.300000000000011</v>
      </c>
      <c r="H38" t="s">
        <v>1476</v>
      </c>
    </row>
    <row r="39" spans="1:8" x14ac:dyDescent="0.35">
      <c r="A39" t="s">
        <v>1416</v>
      </c>
      <c r="B39" t="s">
        <v>1894</v>
      </c>
      <c r="C39" t="s">
        <v>1087</v>
      </c>
      <c r="D39" t="s">
        <v>217</v>
      </c>
      <c r="E39">
        <v>105</v>
      </c>
      <c r="F39" t="s">
        <v>1550</v>
      </c>
      <c r="G39">
        <v>115.50000000000001</v>
      </c>
      <c r="H39" t="s">
        <v>1556</v>
      </c>
    </row>
    <row r="40" spans="1:8" x14ac:dyDescent="0.35">
      <c r="A40" t="s">
        <v>182</v>
      </c>
      <c r="B40" t="s">
        <v>991</v>
      </c>
      <c r="C40" t="s">
        <v>938</v>
      </c>
      <c r="D40" t="s">
        <v>111</v>
      </c>
      <c r="E40">
        <v>86</v>
      </c>
      <c r="F40" t="s">
        <v>1822</v>
      </c>
      <c r="G40">
        <v>94.600000000000009</v>
      </c>
      <c r="H40" t="s">
        <v>1557</v>
      </c>
    </row>
    <row r="41" spans="1:8" x14ac:dyDescent="0.35">
      <c r="A41" t="s">
        <v>389</v>
      </c>
      <c r="B41" t="s">
        <v>1080</v>
      </c>
      <c r="C41" t="s">
        <v>1081</v>
      </c>
      <c r="D41" t="s">
        <v>8</v>
      </c>
      <c r="E41">
        <v>142</v>
      </c>
      <c r="F41" t="s">
        <v>1552</v>
      </c>
      <c r="G41">
        <v>156.20000000000002</v>
      </c>
      <c r="H41" t="s">
        <v>1820</v>
      </c>
    </row>
    <row r="42" spans="1:8" x14ac:dyDescent="0.35">
      <c r="A42" t="s">
        <v>388</v>
      </c>
      <c r="B42" t="s">
        <v>1287</v>
      </c>
      <c r="C42" t="s">
        <v>1209</v>
      </c>
      <c r="D42" t="s">
        <v>242</v>
      </c>
      <c r="E42">
        <v>62</v>
      </c>
      <c r="F42" t="s">
        <v>1475</v>
      </c>
      <c r="G42">
        <v>68.2</v>
      </c>
      <c r="H42" t="s">
        <v>1558</v>
      </c>
    </row>
    <row r="43" spans="1:8" x14ac:dyDescent="0.35">
      <c r="A43" t="s">
        <v>400</v>
      </c>
      <c r="B43" t="s">
        <v>1352</v>
      </c>
      <c r="C43" t="s">
        <v>852</v>
      </c>
      <c r="D43" t="s">
        <v>49</v>
      </c>
      <c r="E43">
        <v>147</v>
      </c>
      <c r="F43" t="s">
        <v>1420</v>
      </c>
      <c r="G43">
        <v>161.70000000000002</v>
      </c>
      <c r="H43">
        <v>147</v>
      </c>
    </row>
    <row r="44" spans="1:8" x14ac:dyDescent="0.35">
      <c r="A44" t="s">
        <v>385</v>
      </c>
      <c r="B44" t="s">
        <v>1895</v>
      </c>
      <c r="C44" t="s">
        <v>1233</v>
      </c>
      <c r="D44" t="s">
        <v>71</v>
      </c>
      <c r="E44">
        <v>119</v>
      </c>
      <c r="F44" t="s">
        <v>1469</v>
      </c>
      <c r="G44">
        <v>130.9</v>
      </c>
      <c r="H44" t="s">
        <v>1559</v>
      </c>
    </row>
    <row r="45" spans="1:8" x14ac:dyDescent="0.35">
      <c r="A45" t="s">
        <v>385</v>
      </c>
      <c r="B45" t="s">
        <v>1895</v>
      </c>
      <c r="C45" t="s">
        <v>1233</v>
      </c>
      <c r="D45" t="s">
        <v>69</v>
      </c>
      <c r="E45">
        <v>59</v>
      </c>
      <c r="F45" t="s">
        <v>1823</v>
      </c>
      <c r="G45">
        <v>64.900000000000006</v>
      </c>
      <c r="H45" t="s">
        <v>1824</v>
      </c>
    </row>
    <row r="46" spans="1:8" x14ac:dyDescent="0.35">
      <c r="A46" t="s">
        <v>387</v>
      </c>
      <c r="B46" t="s">
        <v>1896</v>
      </c>
      <c r="C46" t="s">
        <v>302</v>
      </c>
      <c r="D46" t="s">
        <v>13</v>
      </c>
      <c r="E46">
        <v>76</v>
      </c>
      <c r="F46" t="s">
        <v>1553</v>
      </c>
      <c r="G46">
        <v>83.600000000000009</v>
      </c>
      <c r="H46" t="s">
        <v>1560</v>
      </c>
    </row>
    <row r="47" spans="1:8" x14ac:dyDescent="0.35">
      <c r="A47" t="s">
        <v>375</v>
      </c>
      <c r="B47" t="s">
        <v>1897</v>
      </c>
      <c r="C47" t="s">
        <v>1343</v>
      </c>
      <c r="D47" t="s">
        <v>88</v>
      </c>
      <c r="E47">
        <v>108</v>
      </c>
      <c r="F47" t="s">
        <v>1469</v>
      </c>
      <c r="G47">
        <v>118.80000000000001</v>
      </c>
      <c r="H47" t="s">
        <v>1561</v>
      </c>
    </row>
    <row r="48" spans="1:8" x14ac:dyDescent="0.35">
      <c r="A48" t="s">
        <v>384</v>
      </c>
      <c r="B48" t="s">
        <v>1106</v>
      </c>
      <c r="C48" t="s">
        <v>1107</v>
      </c>
      <c r="D48" t="s">
        <v>62</v>
      </c>
      <c r="E48">
        <v>156</v>
      </c>
      <c r="F48" t="s">
        <v>1555</v>
      </c>
      <c r="G48">
        <v>171.60000000000002</v>
      </c>
      <c r="H48" t="s">
        <v>1562</v>
      </c>
    </row>
    <row r="49" spans="1:8" x14ac:dyDescent="0.35">
      <c r="A49" t="s">
        <v>382</v>
      </c>
      <c r="B49" t="s">
        <v>381</v>
      </c>
      <c r="C49" t="s">
        <v>380</v>
      </c>
      <c r="D49" t="s">
        <v>55</v>
      </c>
      <c r="E49">
        <v>141</v>
      </c>
      <c r="F49" t="s">
        <v>1552</v>
      </c>
      <c r="G49">
        <v>155.10000000000002</v>
      </c>
      <c r="H49" t="s">
        <v>1821</v>
      </c>
    </row>
    <row r="50" spans="1:8" x14ac:dyDescent="0.35">
      <c r="A50" t="s">
        <v>379</v>
      </c>
      <c r="B50" t="s">
        <v>877</v>
      </c>
      <c r="C50" t="s">
        <v>878</v>
      </c>
      <c r="D50" t="s">
        <v>53</v>
      </c>
      <c r="E50">
        <v>158</v>
      </c>
      <c r="F50" t="s">
        <v>1555</v>
      </c>
      <c r="G50">
        <v>173.8</v>
      </c>
      <c r="H50" t="s">
        <v>1563</v>
      </c>
    </row>
    <row r="51" spans="1:8" x14ac:dyDescent="0.35">
      <c r="D51" t="s">
        <v>378</v>
      </c>
      <c r="E51">
        <v>1422</v>
      </c>
    </row>
    <row r="54" spans="1:8" x14ac:dyDescent="0.35">
      <c r="A54" t="s">
        <v>404</v>
      </c>
    </row>
    <row r="55" spans="1:8" x14ac:dyDescent="0.35">
      <c r="A55" t="s">
        <v>1898</v>
      </c>
    </row>
    <row r="56" spans="1:8" x14ac:dyDescent="0.35">
      <c r="A56" t="s">
        <v>6</v>
      </c>
      <c r="B56" t="s">
        <v>5</v>
      </c>
      <c r="C56" t="s">
        <v>4</v>
      </c>
      <c r="D56" t="s">
        <v>3</v>
      </c>
      <c r="E56" t="s">
        <v>2</v>
      </c>
      <c r="F56" t="s">
        <v>1</v>
      </c>
      <c r="G56" t="s">
        <v>0</v>
      </c>
    </row>
    <row r="57" spans="1:8" x14ac:dyDescent="0.35">
      <c r="A57" t="s">
        <v>376</v>
      </c>
      <c r="B57" t="s">
        <v>1140</v>
      </c>
      <c r="C57" t="s">
        <v>1139</v>
      </c>
      <c r="D57" t="s">
        <v>23</v>
      </c>
      <c r="E57">
        <v>139</v>
      </c>
      <c r="F57" t="s">
        <v>377</v>
      </c>
      <c r="G57">
        <v>152.9</v>
      </c>
    </row>
    <row r="58" spans="1:8" x14ac:dyDescent="0.35">
      <c r="A58" t="s">
        <v>376</v>
      </c>
      <c r="B58" t="s">
        <v>1140</v>
      </c>
      <c r="C58" t="s">
        <v>1139</v>
      </c>
      <c r="D58" t="s">
        <v>43</v>
      </c>
      <c r="E58">
        <v>37</v>
      </c>
      <c r="F58" t="s">
        <v>377</v>
      </c>
      <c r="G58">
        <v>40.700000000000003</v>
      </c>
    </row>
    <row r="59" spans="1:8" x14ac:dyDescent="0.35">
      <c r="A59" t="s">
        <v>376</v>
      </c>
      <c r="B59" t="s">
        <v>1140</v>
      </c>
      <c r="C59" t="s">
        <v>1141</v>
      </c>
      <c r="D59" t="s">
        <v>18</v>
      </c>
      <c r="E59">
        <v>61</v>
      </c>
      <c r="F59" t="s">
        <v>377</v>
      </c>
      <c r="G59">
        <v>67.100000000000009</v>
      </c>
    </row>
    <row r="60" spans="1:8" x14ac:dyDescent="0.35">
      <c r="A60" t="s">
        <v>376</v>
      </c>
      <c r="B60" t="s">
        <v>1140</v>
      </c>
      <c r="C60" t="s">
        <v>1141</v>
      </c>
      <c r="D60" t="s">
        <v>177</v>
      </c>
      <c r="E60">
        <v>84</v>
      </c>
      <c r="F60" t="s">
        <v>377</v>
      </c>
      <c r="G60">
        <v>92.4</v>
      </c>
    </row>
    <row r="61" spans="1:8" x14ac:dyDescent="0.35">
      <c r="A61" t="s">
        <v>376</v>
      </c>
      <c r="B61" t="s">
        <v>1140</v>
      </c>
      <c r="C61" t="s">
        <v>1139</v>
      </c>
      <c r="D61" t="s">
        <v>176</v>
      </c>
      <c r="E61">
        <v>244</v>
      </c>
      <c r="F61" t="s">
        <v>377</v>
      </c>
      <c r="G61">
        <v>268.40000000000003</v>
      </c>
    </row>
    <row r="62" spans="1:8" x14ac:dyDescent="0.35">
      <c r="A62" t="s">
        <v>376</v>
      </c>
      <c r="B62" t="s">
        <v>1140</v>
      </c>
      <c r="C62" t="s">
        <v>1141</v>
      </c>
      <c r="D62" t="s">
        <v>98</v>
      </c>
      <c r="E62">
        <v>97</v>
      </c>
      <c r="F62" t="s">
        <v>377</v>
      </c>
      <c r="G62">
        <v>106.7</v>
      </c>
    </row>
    <row r="63" spans="1:8" x14ac:dyDescent="0.35">
      <c r="A63" t="s">
        <v>376</v>
      </c>
      <c r="B63" t="s">
        <v>1140</v>
      </c>
      <c r="C63" t="s">
        <v>1141</v>
      </c>
      <c r="D63" t="s">
        <v>168</v>
      </c>
      <c r="E63">
        <v>180</v>
      </c>
      <c r="F63" t="s">
        <v>377</v>
      </c>
      <c r="G63">
        <v>198.00000000000003</v>
      </c>
    </row>
    <row r="64" spans="1:8" x14ac:dyDescent="0.35">
      <c r="A64" t="s">
        <v>373</v>
      </c>
      <c r="B64" t="s">
        <v>1899</v>
      </c>
      <c r="C64" t="s">
        <v>1116</v>
      </c>
      <c r="D64" t="s">
        <v>94</v>
      </c>
      <c r="E64">
        <v>107</v>
      </c>
      <c r="F64" t="s">
        <v>1564</v>
      </c>
      <c r="G64">
        <v>117.7</v>
      </c>
      <c r="H64" t="s">
        <v>1568</v>
      </c>
    </row>
    <row r="65" spans="1:8" x14ac:dyDescent="0.35">
      <c r="A65" t="s">
        <v>372</v>
      </c>
      <c r="B65" t="s">
        <v>1070</v>
      </c>
      <c r="C65" t="s">
        <v>1071</v>
      </c>
      <c r="D65" t="s">
        <v>137</v>
      </c>
      <c r="E65">
        <v>69</v>
      </c>
      <c r="F65" t="s">
        <v>1549</v>
      </c>
      <c r="G65">
        <v>75.900000000000006</v>
      </c>
      <c r="H65" t="s">
        <v>1569</v>
      </c>
    </row>
    <row r="66" spans="1:8" x14ac:dyDescent="0.35">
      <c r="A66" t="s">
        <v>371</v>
      </c>
      <c r="B66" t="s">
        <v>1900</v>
      </c>
      <c r="C66" t="s">
        <v>929</v>
      </c>
      <c r="D66" t="s">
        <v>113</v>
      </c>
      <c r="E66">
        <v>89</v>
      </c>
      <c r="F66" t="s">
        <v>1565</v>
      </c>
      <c r="G66">
        <v>97.9</v>
      </c>
      <c r="H66" t="s">
        <v>1570</v>
      </c>
    </row>
    <row r="67" spans="1:8" x14ac:dyDescent="0.35">
      <c r="A67" t="s">
        <v>370</v>
      </c>
      <c r="B67" t="s">
        <v>1900</v>
      </c>
      <c r="C67" t="s">
        <v>1366</v>
      </c>
      <c r="D67" t="s">
        <v>120</v>
      </c>
      <c r="E67">
        <v>55</v>
      </c>
      <c r="F67" t="s">
        <v>1422</v>
      </c>
      <c r="G67">
        <v>60.500000000000007</v>
      </c>
      <c r="H67">
        <v>55</v>
      </c>
    </row>
    <row r="68" spans="1:8" x14ac:dyDescent="0.35">
      <c r="A68" t="s">
        <v>128</v>
      </c>
      <c r="B68" t="s">
        <v>1901</v>
      </c>
      <c r="C68" t="s">
        <v>1270</v>
      </c>
      <c r="D68" t="s">
        <v>27</v>
      </c>
      <c r="E68">
        <v>254</v>
      </c>
      <c r="F68" t="s">
        <v>1540</v>
      </c>
      <c r="G68">
        <v>279.40000000000003</v>
      </c>
      <c r="H68" t="s">
        <v>1544</v>
      </c>
    </row>
    <row r="69" spans="1:8" x14ac:dyDescent="0.35">
      <c r="A69" t="s">
        <v>1393</v>
      </c>
      <c r="B69" t="s">
        <v>856</v>
      </c>
      <c r="C69" t="s">
        <v>857</v>
      </c>
      <c r="D69" t="s">
        <v>22</v>
      </c>
      <c r="E69">
        <v>86</v>
      </c>
      <c r="F69" t="s">
        <v>1551</v>
      </c>
      <c r="G69">
        <v>94.600000000000009</v>
      </c>
      <c r="H69" t="s">
        <v>1557</v>
      </c>
    </row>
    <row r="70" spans="1:8" x14ac:dyDescent="0.35">
      <c r="A70" t="s">
        <v>368</v>
      </c>
      <c r="B70" t="s">
        <v>1091</v>
      </c>
      <c r="C70" t="s">
        <v>1092</v>
      </c>
      <c r="D70" t="s">
        <v>217</v>
      </c>
      <c r="E70">
        <v>105</v>
      </c>
      <c r="F70" t="s">
        <v>1469</v>
      </c>
      <c r="G70">
        <v>115.50000000000001</v>
      </c>
      <c r="H70" t="s">
        <v>1571</v>
      </c>
    </row>
    <row r="71" spans="1:8" x14ac:dyDescent="0.35">
      <c r="A71" t="s">
        <v>367</v>
      </c>
      <c r="B71" t="s">
        <v>1902</v>
      </c>
      <c r="C71" t="s">
        <v>969</v>
      </c>
      <c r="D71" t="s">
        <v>38</v>
      </c>
      <c r="E71">
        <v>23</v>
      </c>
      <c r="F71" t="s">
        <v>1436</v>
      </c>
      <c r="G71">
        <v>25.3</v>
      </c>
      <c r="H71">
        <v>23</v>
      </c>
    </row>
    <row r="72" spans="1:8" x14ac:dyDescent="0.35">
      <c r="A72" t="s">
        <v>122</v>
      </c>
      <c r="B72" t="s">
        <v>1903</v>
      </c>
      <c r="C72" t="s">
        <v>969</v>
      </c>
      <c r="D72" t="s">
        <v>77</v>
      </c>
      <c r="E72">
        <v>147</v>
      </c>
      <c r="F72" t="s">
        <v>1555</v>
      </c>
      <c r="G72">
        <v>161.70000000000002</v>
      </c>
      <c r="H72" t="s">
        <v>1572</v>
      </c>
    </row>
    <row r="73" spans="1:8" x14ac:dyDescent="0.35">
      <c r="A73" t="s">
        <v>364</v>
      </c>
      <c r="B73" t="s">
        <v>366</v>
      </c>
      <c r="C73" t="s">
        <v>365</v>
      </c>
      <c r="D73" t="s">
        <v>42</v>
      </c>
      <c r="E73">
        <v>94</v>
      </c>
      <c r="F73" t="s">
        <v>1566</v>
      </c>
      <c r="G73">
        <v>103.4</v>
      </c>
      <c r="H73" t="s">
        <v>1573</v>
      </c>
    </row>
    <row r="74" spans="1:8" x14ac:dyDescent="0.35">
      <c r="A74" t="s">
        <v>364</v>
      </c>
      <c r="B74" t="s">
        <v>366</v>
      </c>
      <c r="C74" t="s">
        <v>365</v>
      </c>
      <c r="D74" t="s">
        <v>40</v>
      </c>
      <c r="E74">
        <v>277</v>
      </c>
      <c r="F74" t="s">
        <v>1825</v>
      </c>
      <c r="G74">
        <v>304.70000000000005</v>
      </c>
      <c r="H74" t="s">
        <v>1574</v>
      </c>
    </row>
    <row r="75" spans="1:8" x14ac:dyDescent="0.35">
      <c r="A75" t="s">
        <v>363</v>
      </c>
      <c r="B75" t="s">
        <v>898</v>
      </c>
      <c r="C75" t="s">
        <v>899</v>
      </c>
      <c r="D75" t="s">
        <v>29</v>
      </c>
      <c r="E75">
        <v>103</v>
      </c>
      <c r="F75" t="s">
        <v>1469</v>
      </c>
      <c r="G75">
        <v>113.30000000000001</v>
      </c>
      <c r="H75" t="s">
        <v>1575</v>
      </c>
    </row>
    <row r="76" spans="1:8" x14ac:dyDescent="0.35">
      <c r="D76" t="s">
        <v>362</v>
      </c>
      <c r="E76">
        <v>1409</v>
      </c>
    </row>
    <row r="79" spans="1:8" x14ac:dyDescent="0.35">
      <c r="A79" t="s">
        <v>404</v>
      </c>
    </row>
    <row r="80" spans="1:8" x14ac:dyDescent="0.35">
      <c r="A80" t="s">
        <v>1904</v>
      </c>
    </row>
    <row r="81" spans="1:8" x14ac:dyDescent="0.35">
      <c r="A81" t="s">
        <v>6</v>
      </c>
      <c r="B81" t="s">
        <v>5</v>
      </c>
      <c r="C81" t="s">
        <v>4</v>
      </c>
      <c r="D81" t="s">
        <v>3</v>
      </c>
      <c r="E81" t="s">
        <v>2</v>
      </c>
      <c r="F81" t="s">
        <v>1</v>
      </c>
      <c r="G81" t="s">
        <v>0</v>
      </c>
    </row>
    <row r="82" spans="1:8" x14ac:dyDescent="0.35">
      <c r="A82" t="s">
        <v>361</v>
      </c>
      <c r="B82" t="s">
        <v>1905</v>
      </c>
      <c r="C82" t="s">
        <v>994</v>
      </c>
      <c r="D82" t="s">
        <v>93</v>
      </c>
      <c r="E82">
        <v>14</v>
      </c>
      <c r="F82" t="s">
        <v>1435</v>
      </c>
      <c r="G82">
        <v>15.400000000000002</v>
      </c>
      <c r="H82">
        <v>14</v>
      </c>
    </row>
    <row r="83" spans="1:8" x14ac:dyDescent="0.35">
      <c r="A83" t="s">
        <v>361</v>
      </c>
      <c r="B83" t="s">
        <v>1905</v>
      </c>
      <c r="C83" t="s">
        <v>994</v>
      </c>
      <c r="D83" t="s">
        <v>91</v>
      </c>
      <c r="E83">
        <v>4</v>
      </c>
      <c r="F83" t="s">
        <v>1454</v>
      </c>
      <c r="G83">
        <v>4.4000000000000004</v>
      </c>
      <c r="H83">
        <v>4</v>
      </c>
    </row>
    <row r="84" spans="1:8" x14ac:dyDescent="0.35">
      <c r="A84" t="s">
        <v>360</v>
      </c>
      <c r="B84" t="s">
        <v>1905</v>
      </c>
      <c r="C84" t="s">
        <v>994</v>
      </c>
      <c r="D84" t="s">
        <v>130</v>
      </c>
      <c r="E84">
        <v>121</v>
      </c>
      <c r="F84" t="s">
        <v>1469</v>
      </c>
      <c r="G84">
        <v>133.10000000000002</v>
      </c>
      <c r="H84" t="s">
        <v>1576</v>
      </c>
    </row>
    <row r="85" spans="1:8" x14ac:dyDescent="0.35">
      <c r="A85" t="s">
        <v>359</v>
      </c>
      <c r="B85" t="s">
        <v>1906</v>
      </c>
      <c r="C85" t="s">
        <v>1278</v>
      </c>
      <c r="D85" t="s">
        <v>64</v>
      </c>
      <c r="E85">
        <v>227</v>
      </c>
      <c r="F85" t="s">
        <v>1539</v>
      </c>
      <c r="G85">
        <v>249.70000000000002</v>
      </c>
      <c r="H85" t="s">
        <v>1577</v>
      </c>
    </row>
    <row r="86" spans="1:8" x14ac:dyDescent="0.35">
      <c r="A86" t="s">
        <v>359</v>
      </c>
      <c r="B86" t="s">
        <v>1906</v>
      </c>
      <c r="C86" t="s">
        <v>1277</v>
      </c>
      <c r="D86" t="s">
        <v>65</v>
      </c>
      <c r="E86">
        <v>122</v>
      </c>
      <c r="F86" t="s">
        <v>1587</v>
      </c>
      <c r="G86">
        <v>134.20000000000002</v>
      </c>
      <c r="H86" t="s">
        <v>1578</v>
      </c>
    </row>
    <row r="87" spans="1:8" x14ac:dyDescent="0.35">
      <c r="A87" t="s">
        <v>136</v>
      </c>
      <c r="B87" t="s">
        <v>1907</v>
      </c>
      <c r="C87" t="s">
        <v>931</v>
      </c>
      <c r="D87" t="s">
        <v>33</v>
      </c>
      <c r="E87">
        <v>65</v>
      </c>
      <c r="F87" t="s">
        <v>1549</v>
      </c>
      <c r="G87">
        <v>71.5</v>
      </c>
      <c r="H87" t="s">
        <v>1579</v>
      </c>
    </row>
    <row r="88" spans="1:8" x14ac:dyDescent="0.35">
      <c r="A88" t="s">
        <v>358</v>
      </c>
      <c r="B88" t="s">
        <v>1908</v>
      </c>
      <c r="C88" t="s">
        <v>1305</v>
      </c>
      <c r="D88" t="s">
        <v>126</v>
      </c>
      <c r="E88">
        <v>78</v>
      </c>
      <c r="F88" t="s">
        <v>1472</v>
      </c>
      <c r="G88">
        <v>85.800000000000011</v>
      </c>
      <c r="H88" t="s">
        <v>1580</v>
      </c>
    </row>
    <row r="89" spans="1:8" x14ac:dyDescent="0.35">
      <c r="A89" t="s">
        <v>231</v>
      </c>
      <c r="B89" t="s">
        <v>1909</v>
      </c>
      <c r="C89" t="s">
        <v>1216</v>
      </c>
      <c r="D89" t="s">
        <v>60</v>
      </c>
      <c r="E89">
        <v>155</v>
      </c>
      <c r="F89" t="s">
        <v>1541</v>
      </c>
      <c r="G89">
        <v>170.5</v>
      </c>
      <c r="H89" t="s">
        <v>1581</v>
      </c>
    </row>
    <row r="90" spans="1:8" x14ac:dyDescent="0.35">
      <c r="A90" t="s">
        <v>273</v>
      </c>
      <c r="B90" t="s">
        <v>1346</v>
      </c>
      <c r="C90" t="s">
        <v>1347</v>
      </c>
      <c r="D90" t="s">
        <v>101</v>
      </c>
      <c r="E90">
        <v>157</v>
      </c>
      <c r="F90" t="s">
        <v>1466</v>
      </c>
      <c r="G90">
        <v>172.70000000000002</v>
      </c>
      <c r="H90" t="s">
        <v>1583</v>
      </c>
    </row>
    <row r="91" spans="1:8" x14ac:dyDescent="0.35">
      <c r="A91" t="s">
        <v>298</v>
      </c>
      <c r="B91" t="s">
        <v>1295</v>
      </c>
      <c r="C91" t="s">
        <v>1291</v>
      </c>
      <c r="D91" t="s">
        <v>75</v>
      </c>
      <c r="E91">
        <v>85</v>
      </c>
      <c r="F91" t="s">
        <v>1566</v>
      </c>
      <c r="G91">
        <v>93.500000000000014</v>
      </c>
      <c r="H91" t="s">
        <v>1582</v>
      </c>
    </row>
    <row r="92" spans="1:8" x14ac:dyDescent="0.35">
      <c r="A92" t="s">
        <v>725</v>
      </c>
      <c r="B92" t="s">
        <v>1910</v>
      </c>
      <c r="C92" t="s">
        <v>1218</v>
      </c>
      <c r="D92" t="s">
        <v>104</v>
      </c>
      <c r="E92">
        <v>50</v>
      </c>
      <c r="F92" t="s">
        <v>1422</v>
      </c>
      <c r="G92">
        <v>55.000000000000007</v>
      </c>
      <c r="H92">
        <v>50</v>
      </c>
    </row>
    <row r="93" spans="1:8" x14ac:dyDescent="0.35">
      <c r="A93" t="s">
        <v>304</v>
      </c>
      <c r="B93" t="s">
        <v>303</v>
      </c>
      <c r="C93" t="s">
        <v>994</v>
      </c>
      <c r="D93" t="s">
        <v>150</v>
      </c>
      <c r="E93">
        <v>26</v>
      </c>
      <c r="F93" t="s">
        <v>1424</v>
      </c>
      <c r="G93">
        <v>28.6</v>
      </c>
      <c r="H93">
        <v>26</v>
      </c>
    </row>
    <row r="94" spans="1:8" x14ac:dyDescent="0.35">
      <c r="A94" t="s">
        <v>357</v>
      </c>
      <c r="B94" t="s">
        <v>1329</v>
      </c>
      <c r="C94" t="s">
        <v>1053</v>
      </c>
      <c r="D94" t="s">
        <v>109</v>
      </c>
      <c r="E94">
        <v>125</v>
      </c>
      <c r="F94" t="s">
        <v>1471</v>
      </c>
      <c r="G94">
        <v>137.5</v>
      </c>
      <c r="H94" t="s">
        <v>1584</v>
      </c>
    </row>
    <row r="95" spans="1:8" x14ac:dyDescent="0.35">
      <c r="A95" t="s">
        <v>1377</v>
      </c>
      <c r="B95" t="s">
        <v>1378</v>
      </c>
      <c r="C95" t="s">
        <v>1379</v>
      </c>
      <c r="D95" t="s">
        <v>84</v>
      </c>
      <c r="E95">
        <v>254</v>
      </c>
      <c r="F95" t="s">
        <v>1540</v>
      </c>
      <c r="G95">
        <v>279.40000000000003</v>
      </c>
      <c r="H95" t="s">
        <v>1544</v>
      </c>
    </row>
    <row r="97" spans="1:8" x14ac:dyDescent="0.35">
      <c r="D97" t="s">
        <v>355</v>
      </c>
      <c r="E97">
        <v>1483</v>
      </c>
    </row>
    <row r="100" spans="1:8" x14ac:dyDescent="0.35">
      <c r="A100" t="s">
        <v>404</v>
      </c>
    </row>
    <row r="101" spans="1:8" x14ac:dyDescent="0.35">
      <c r="A101" t="s">
        <v>1911</v>
      </c>
    </row>
    <row r="102" spans="1:8" x14ac:dyDescent="0.35">
      <c r="A102" t="s">
        <v>6</v>
      </c>
      <c r="B102" t="s">
        <v>5</v>
      </c>
      <c r="C102" t="s">
        <v>4</v>
      </c>
      <c r="D102" t="s">
        <v>3</v>
      </c>
      <c r="E102" t="s">
        <v>2</v>
      </c>
      <c r="F102" t="s">
        <v>1</v>
      </c>
      <c r="G102" t="s">
        <v>0</v>
      </c>
    </row>
    <row r="103" spans="1:8" x14ac:dyDescent="0.35">
      <c r="A103" t="s">
        <v>353</v>
      </c>
      <c r="B103" t="s">
        <v>1912</v>
      </c>
      <c r="C103" t="s">
        <v>1092</v>
      </c>
      <c r="D103" t="s">
        <v>62</v>
      </c>
      <c r="E103">
        <v>156</v>
      </c>
      <c r="F103" t="s">
        <v>1585</v>
      </c>
      <c r="G103">
        <v>171.60000000000002</v>
      </c>
      <c r="H103" t="s">
        <v>1589</v>
      </c>
    </row>
    <row r="104" spans="1:8" x14ac:dyDescent="0.35">
      <c r="A104" t="s">
        <v>352</v>
      </c>
      <c r="B104" t="s">
        <v>1148</v>
      </c>
      <c r="C104" t="s">
        <v>973</v>
      </c>
      <c r="D104" t="s">
        <v>57</v>
      </c>
      <c r="E104">
        <v>200</v>
      </c>
      <c r="F104" t="s">
        <v>1586</v>
      </c>
      <c r="G104">
        <v>220.00000000000003</v>
      </c>
      <c r="H104" t="s">
        <v>1590</v>
      </c>
    </row>
    <row r="105" spans="1:8" x14ac:dyDescent="0.35">
      <c r="A105" t="s">
        <v>349</v>
      </c>
      <c r="B105" t="s">
        <v>1108</v>
      </c>
      <c r="C105" t="s">
        <v>1109</v>
      </c>
      <c r="D105" t="s">
        <v>45</v>
      </c>
      <c r="E105">
        <v>156</v>
      </c>
      <c r="F105" t="s">
        <v>1541</v>
      </c>
      <c r="G105">
        <v>171.60000000000002</v>
      </c>
      <c r="H105" t="s">
        <v>1591</v>
      </c>
    </row>
    <row r="106" spans="1:8" x14ac:dyDescent="0.35">
      <c r="A106" t="s">
        <v>348</v>
      </c>
      <c r="B106" t="s">
        <v>1913</v>
      </c>
      <c r="C106" t="s">
        <v>874</v>
      </c>
      <c r="D106" t="s">
        <v>36</v>
      </c>
      <c r="E106">
        <v>82</v>
      </c>
      <c r="F106" t="s">
        <v>1472</v>
      </c>
      <c r="G106">
        <v>90.2</v>
      </c>
      <c r="H106" t="s">
        <v>1592</v>
      </c>
    </row>
    <row r="107" spans="1:8" x14ac:dyDescent="0.35">
      <c r="A107" t="s">
        <v>247</v>
      </c>
      <c r="B107" t="s">
        <v>1914</v>
      </c>
      <c r="C107" t="s">
        <v>1286</v>
      </c>
      <c r="D107" t="s">
        <v>44</v>
      </c>
      <c r="E107">
        <v>260</v>
      </c>
      <c r="F107" t="s">
        <v>1567</v>
      </c>
      <c r="G107">
        <v>286</v>
      </c>
      <c r="H107" t="s">
        <v>1593</v>
      </c>
    </row>
    <row r="108" spans="1:8" x14ac:dyDescent="0.35">
      <c r="A108" t="s">
        <v>52</v>
      </c>
      <c r="B108" t="s">
        <v>1915</v>
      </c>
      <c r="C108" t="s">
        <v>1125</v>
      </c>
      <c r="D108" t="s">
        <v>51</v>
      </c>
      <c r="E108">
        <v>111</v>
      </c>
      <c r="F108" t="s">
        <v>1587</v>
      </c>
      <c r="G108">
        <v>122.10000000000001</v>
      </c>
      <c r="H108" t="s">
        <v>1594</v>
      </c>
    </row>
    <row r="109" spans="1:8" x14ac:dyDescent="0.35">
      <c r="A109" t="s">
        <v>701</v>
      </c>
      <c r="B109" t="s">
        <v>1916</v>
      </c>
      <c r="C109" t="s">
        <v>1164</v>
      </c>
      <c r="D109" t="s">
        <v>196</v>
      </c>
      <c r="E109">
        <v>211</v>
      </c>
      <c r="F109" t="s">
        <v>1540</v>
      </c>
      <c r="G109">
        <v>232.10000000000002</v>
      </c>
      <c r="H109" t="s">
        <v>1595</v>
      </c>
    </row>
    <row r="110" spans="1:8" x14ac:dyDescent="0.35">
      <c r="A110" t="s">
        <v>347</v>
      </c>
      <c r="B110" t="s">
        <v>1236</v>
      </c>
      <c r="C110" t="s">
        <v>923</v>
      </c>
      <c r="D110" t="s">
        <v>48</v>
      </c>
      <c r="E110">
        <v>114</v>
      </c>
      <c r="F110" t="s">
        <v>1469</v>
      </c>
      <c r="G110">
        <v>125.4</v>
      </c>
      <c r="H110" t="s">
        <v>1596</v>
      </c>
    </row>
    <row r="111" spans="1:8" x14ac:dyDescent="0.35">
      <c r="A111" t="s">
        <v>347</v>
      </c>
      <c r="B111" t="s">
        <v>1236</v>
      </c>
      <c r="C111" t="s">
        <v>1227</v>
      </c>
      <c r="D111" t="s">
        <v>79</v>
      </c>
      <c r="E111">
        <v>62</v>
      </c>
      <c r="F111" t="s">
        <v>1588</v>
      </c>
      <c r="G111">
        <v>68.2</v>
      </c>
      <c r="H111" t="s">
        <v>1505</v>
      </c>
    </row>
    <row r="112" spans="1:8" x14ac:dyDescent="0.35">
      <c r="A112" t="s">
        <v>346</v>
      </c>
      <c r="B112" t="s">
        <v>1089</v>
      </c>
      <c r="C112" t="s">
        <v>1090</v>
      </c>
      <c r="D112" t="s">
        <v>8</v>
      </c>
      <c r="E112">
        <v>142</v>
      </c>
      <c r="F112" t="s">
        <v>1471</v>
      </c>
      <c r="G112">
        <v>156.20000000000002</v>
      </c>
      <c r="H112" t="s">
        <v>1597</v>
      </c>
    </row>
    <row r="113" spans="1:8" x14ac:dyDescent="0.35">
      <c r="D113" t="s">
        <v>344</v>
      </c>
      <c r="E113">
        <v>1494</v>
      </c>
    </row>
    <row r="116" spans="1:8" x14ac:dyDescent="0.35">
      <c r="A116" t="s">
        <v>404</v>
      </c>
    </row>
    <row r="117" spans="1:8" x14ac:dyDescent="0.35">
      <c r="A117" t="s">
        <v>1367</v>
      </c>
    </row>
    <row r="118" spans="1:8" x14ac:dyDescent="0.35">
      <c r="A118" t="s">
        <v>6</v>
      </c>
      <c r="B118" t="s">
        <v>5</v>
      </c>
      <c r="C118" t="s">
        <v>4</v>
      </c>
      <c r="D118" t="s">
        <v>3</v>
      </c>
      <c r="E118" t="s">
        <v>2</v>
      </c>
      <c r="F118" t="s">
        <v>1</v>
      </c>
      <c r="G118" t="s">
        <v>0</v>
      </c>
    </row>
    <row r="119" spans="1:8" x14ac:dyDescent="0.35">
      <c r="A119" t="s">
        <v>342</v>
      </c>
      <c r="B119" t="s">
        <v>1245</v>
      </c>
      <c r="C119" t="s">
        <v>1246</v>
      </c>
      <c r="D119" t="s">
        <v>84</v>
      </c>
      <c r="E119">
        <v>39</v>
      </c>
      <c r="F119" t="s">
        <v>1534</v>
      </c>
      <c r="G119">
        <v>42.900000000000006</v>
      </c>
      <c r="H119" t="s">
        <v>1602</v>
      </c>
    </row>
    <row r="120" spans="1:8" x14ac:dyDescent="0.35">
      <c r="A120" t="s">
        <v>119</v>
      </c>
      <c r="B120" t="s">
        <v>846</v>
      </c>
      <c r="C120" t="s">
        <v>849</v>
      </c>
      <c r="D120" t="s">
        <v>46</v>
      </c>
      <c r="E120">
        <v>256</v>
      </c>
      <c r="F120" t="s">
        <v>1598</v>
      </c>
      <c r="G120">
        <v>281.60000000000002</v>
      </c>
      <c r="H120" t="s">
        <v>1603</v>
      </c>
    </row>
    <row r="121" spans="1:8" x14ac:dyDescent="0.35">
      <c r="A121" t="s">
        <v>340</v>
      </c>
      <c r="B121" t="s">
        <v>846</v>
      </c>
      <c r="C121" t="s">
        <v>849</v>
      </c>
      <c r="D121" t="s">
        <v>49</v>
      </c>
      <c r="E121">
        <v>147</v>
      </c>
      <c r="F121" t="s">
        <v>1541</v>
      </c>
      <c r="G121">
        <v>161.70000000000002</v>
      </c>
      <c r="H121" t="s">
        <v>1604</v>
      </c>
    </row>
    <row r="122" spans="1:8" x14ac:dyDescent="0.35">
      <c r="A122" t="s">
        <v>339</v>
      </c>
      <c r="B122" t="s">
        <v>1043</v>
      </c>
      <c r="C122" t="s">
        <v>1020</v>
      </c>
      <c r="D122" t="s">
        <v>17</v>
      </c>
      <c r="E122">
        <v>72</v>
      </c>
      <c r="F122" t="s">
        <v>1599</v>
      </c>
      <c r="G122">
        <v>79.2</v>
      </c>
      <c r="H122" t="s">
        <v>1536</v>
      </c>
    </row>
    <row r="123" spans="1:8" x14ac:dyDescent="0.35">
      <c r="A123" t="s">
        <v>339</v>
      </c>
      <c r="B123" t="s">
        <v>1043</v>
      </c>
      <c r="C123" t="s">
        <v>1020</v>
      </c>
      <c r="D123" t="s">
        <v>31</v>
      </c>
      <c r="E123">
        <v>41</v>
      </c>
      <c r="F123" t="s">
        <v>1428</v>
      </c>
      <c r="G123">
        <v>45.1</v>
      </c>
      <c r="H123">
        <v>41</v>
      </c>
    </row>
    <row r="124" spans="1:8" x14ac:dyDescent="0.35">
      <c r="A124" t="s">
        <v>339</v>
      </c>
      <c r="B124" t="s">
        <v>1043</v>
      </c>
      <c r="C124" t="s">
        <v>1020</v>
      </c>
      <c r="D124" t="s">
        <v>16</v>
      </c>
      <c r="E124">
        <v>237</v>
      </c>
      <c r="F124" t="s">
        <v>1600</v>
      </c>
      <c r="G124">
        <v>260.70000000000005</v>
      </c>
      <c r="H124" t="s">
        <v>1605</v>
      </c>
    </row>
    <row r="125" spans="1:8" x14ac:dyDescent="0.35">
      <c r="A125" t="s">
        <v>339</v>
      </c>
      <c r="B125" t="s">
        <v>1043</v>
      </c>
      <c r="C125" t="s">
        <v>1020</v>
      </c>
      <c r="D125" t="s">
        <v>11</v>
      </c>
      <c r="E125">
        <v>48</v>
      </c>
      <c r="F125" t="s">
        <v>1422</v>
      </c>
      <c r="G125">
        <v>52.800000000000004</v>
      </c>
      <c r="H125">
        <v>41</v>
      </c>
    </row>
    <row r="126" spans="1:8" x14ac:dyDescent="0.35">
      <c r="A126" t="s">
        <v>119</v>
      </c>
      <c r="B126" t="s">
        <v>846</v>
      </c>
      <c r="C126" t="s">
        <v>847</v>
      </c>
      <c r="D126" t="s">
        <v>40</v>
      </c>
      <c r="E126">
        <v>277</v>
      </c>
      <c r="F126" t="s">
        <v>1567</v>
      </c>
      <c r="G126">
        <v>304.70000000000005</v>
      </c>
      <c r="H126" t="s">
        <v>1574</v>
      </c>
    </row>
    <row r="127" spans="1:8" x14ac:dyDescent="0.35">
      <c r="A127" t="s">
        <v>452</v>
      </c>
      <c r="B127" t="s">
        <v>1917</v>
      </c>
      <c r="C127" t="s">
        <v>862</v>
      </c>
      <c r="D127" t="s">
        <v>168</v>
      </c>
      <c r="E127">
        <v>180</v>
      </c>
      <c r="F127" t="s">
        <v>1601</v>
      </c>
      <c r="G127">
        <v>198.00000000000003</v>
      </c>
      <c r="H127" t="s">
        <v>1606</v>
      </c>
    </row>
    <row r="128" spans="1:8" x14ac:dyDescent="0.35">
      <c r="A128" t="s">
        <v>338</v>
      </c>
      <c r="B128" t="s">
        <v>1126</v>
      </c>
      <c r="C128" t="s">
        <v>1118</v>
      </c>
      <c r="D128" t="s">
        <v>23</v>
      </c>
      <c r="E128">
        <v>139</v>
      </c>
      <c r="F128" t="s">
        <v>1471</v>
      </c>
      <c r="G128">
        <v>152.9</v>
      </c>
      <c r="H128" t="s">
        <v>1607</v>
      </c>
    </row>
    <row r="129" spans="1:8" x14ac:dyDescent="0.35">
      <c r="A129" t="s">
        <v>337</v>
      </c>
      <c r="B129" t="s">
        <v>875</v>
      </c>
      <c r="C129" t="s">
        <v>876</v>
      </c>
      <c r="D129" t="s">
        <v>53</v>
      </c>
      <c r="E129">
        <v>4</v>
      </c>
      <c r="F129" t="s">
        <v>1437</v>
      </c>
      <c r="G129">
        <v>4.4000000000000004</v>
      </c>
      <c r="H129">
        <v>4</v>
      </c>
    </row>
    <row r="130" spans="1:8" x14ac:dyDescent="0.35">
      <c r="A130" t="s">
        <v>336</v>
      </c>
      <c r="B130" t="s">
        <v>863</v>
      </c>
      <c r="C130" t="s">
        <v>864</v>
      </c>
      <c r="D130" t="s">
        <v>47</v>
      </c>
      <c r="E130">
        <v>96</v>
      </c>
      <c r="F130" t="s">
        <v>1566</v>
      </c>
      <c r="G130">
        <v>105.60000000000001</v>
      </c>
      <c r="H130" t="s">
        <v>1608</v>
      </c>
    </row>
    <row r="131" spans="1:8" x14ac:dyDescent="0.35">
      <c r="D131" t="s">
        <v>335</v>
      </c>
      <c r="E131">
        <v>1536</v>
      </c>
    </row>
    <row r="134" spans="1:8" x14ac:dyDescent="0.35">
      <c r="A134" t="s">
        <v>404</v>
      </c>
    </row>
    <row r="135" spans="1:8" x14ac:dyDescent="0.35">
      <c r="A135" t="s">
        <v>1368</v>
      </c>
    </row>
    <row r="136" spans="1:8" x14ac:dyDescent="0.35">
      <c r="A136" t="s">
        <v>6</v>
      </c>
      <c r="B136" t="s">
        <v>5</v>
      </c>
      <c r="C136" t="s">
        <v>4</v>
      </c>
      <c r="D136" t="s">
        <v>3</v>
      </c>
      <c r="E136" t="s">
        <v>2</v>
      </c>
      <c r="F136" t="s">
        <v>1</v>
      </c>
      <c r="G136" t="s">
        <v>0</v>
      </c>
    </row>
    <row r="137" spans="1:8" x14ac:dyDescent="0.35">
      <c r="A137" t="s">
        <v>356</v>
      </c>
      <c r="B137" t="s">
        <v>1918</v>
      </c>
      <c r="C137" t="s">
        <v>876</v>
      </c>
      <c r="D137" t="s">
        <v>29</v>
      </c>
      <c r="E137">
        <v>103</v>
      </c>
      <c r="F137" t="s">
        <v>1394</v>
      </c>
      <c r="G137">
        <v>113.30000000000001</v>
      </c>
      <c r="H137">
        <v>103</v>
      </c>
    </row>
    <row r="138" spans="1:8" x14ac:dyDescent="0.35">
      <c r="A138" t="s">
        <v>334</v>
      </c>
      <c r="B138" t="s">
        <v>1919</v>
      </c>
      <c r="C138" t="s">
        <v>941</v>
      </c>
      <c r="D138" t="s">
        <v>111</v>
      </c>
      <c r="E138">
        <v>86</v>
      </c>
      <c r="F138" t="s">
        <v>1566</v>
      </c>
      <c r="G138">
        <v>94.600000000000009</v>
      </c>
      <c r="H138" t="s">
        <v>1610</v>
      </c>
    </row>
    <row r="139" spans="1:8" x14ac:dyDescent="0.35">
      <c r="A139" t="s">
        <v>333</v>
      </c>
      <c r="B139" t="s">
        <v>1920</v>
      </c>
      <c r="C139" t="s">
        <v>941</v>
      </c>
      <c r="D139" t="s">
        <v>113</v>
      </c>
      <c r="E139">
        <v>89</v>
      </c>
      <c r="F139" t="s">
        <v>1599</v>
      </c>
      <c r="G139">
        <v>97.9</v>
      </c>
      <c r="H139" t="s">
        <v>1570</v>
      </c>
    </row>
    <row r="140" spans="1:8" x14ac:dyDescent="0.35">
      <c r="A140" t="s">
        <v>332</v>
      </c>
      <c r="B140" t="s">
        <v>839</v>
      </c>
      <c r="C140" t="s">
        <v>827</v>
      </c>
      <c r="D140" t="s">
        <v>67</v>
      </c>
      <c r="E140">
        <v>14</v>
      </c>
      <c r="F140" t="s">
        <v>1441</v>
      </c>
      <c r="G140">
        <v>15.400000000000002</v>
      </c>
      <c r="H140">
        <v>14</v>
      </c>
    </row>
    <row r="141" spans="1:8" x14ac:dyDescent="0.35">
      <c r="A141" t="s">
        <v>1381</v>
      </c>
      <c r="B141" t="s">
        <v>839</v>
      </c>
      <c r="C141" t="s">
        <v>835</v>
      </c>
      <c r="D141" t="s">
        <v>10</v>
      </c>
      <c r="E141">
        <v>103</v>
      </c>
      <c r="F141" t="s">
        <v>1609</v>
      </c>
      <c r="G141">
        <v>113.30000000000001</v>
      </c>
      <c r="H141" t="s">
        <v>1611</v>
      </c>
    </row>
    <row r="142" spans="1:8" x14ac:dyDescent="0.35">
      <c r="A142" t="s">
        <v>315</v>
      </c>
      <c r="B142" t="s">
        <v>1921</v>
      </c>
      <c r="C142" t="s">
        <v>162</v>
      </c>
      <c r="D142" t="s">
        <v>107</v>
      </c>
      <c r="E142">
        <v>115</v>
      </c>
      <c r="F142" t="s">
        <v>1469</v>
      </c>
      <c r="G142">
        <v>126.50000000000001</v>
      </c>
      <c r="H142" t="s">
        <v>1612</v>
      </c>
    </row>
    <row r="143" spans="1:8" x14ac:dyDescent="0.35">
      <c r="A143" t="s">
        <v>315</v>
      </c>
      <c r="B143" t="s">
        <v>1922</v>
      </c>
      <c r="C143" t="s">
        <v>162</v>
      </c>
      <c r="D143" t="s">
        <v>105</v>
      </c>
      <c r="E143">
        <v>65</v>
      </c>
      <c r="F143" t="s">
        <v>1414</v>
      </c>
      <c r="G143">
        <v>71.5</v>
      </c>
      <c r="H143">
        <v>65</v>
      </c>
    </row>
    <row r="144" spans="1:8" x14ac:dyDescent="0.35">
      <c r="A144" t="s">
        <v>331</v>
      </c>
      <c r="B144" t="s">
        <v>1028</v>
      </c>
      <c r="C144" t="s">
        <v>1010</v>
      </c>
      <c r="D144" t="s">
        <v>77</v>
      </c>
      <c r="E144">
        <v>147</v>
      </c>
      <c r="F144" t="s">
        <v>1541</v>
      </c>
      <c r="G144">
        <v>161.70000000000002</v>
      </c>
      <c r="H144" t="s">
        <v>1604</v>
      </c>
    </row>
    <row r="145" spans="1:8" x14ac:dyDescent="0.35">
      <c r="A145" t="s">
        <v>331</v>
      </c>
      <c r="B145" t="s">
        <v>1028</v>
      </c>
      <c r="C145" t="s">
        <v>1010</v>
      </c>
      <c r="D145" t="s">
        <v>117</v>
      </c>
      <c r="E145">
        <v>63</v>
      </c>
      <c r="F145" t="s">
        <v>1420</v>
      </c>
      <c r="G145">
        <v>69.300000000000011</v>
      </c>
      <c r="H145">
        <v>63</v>
      </c>
    </row>
    <row r="146" spans="1:8" x14ac:dyDescent="0.35">
      <c r="A146" t="s">
        <v>331</v>
      </c>
      <c r="B146" t="s">
        <v>1028</v>
      </c>
      <c r="C146" t="s">
        <v>1010</v>
      </c>
      <c r="D146" t="s">
        <v>88</v>
      </c>
      <c r="E146">
        <v>108</v>
      </c>
      <c r="F146" t="s">
        <v>1469</v>
      </c>
      <c r="G146">
        <v>118.80000000000001</v>
      </c>
      <c r="H146" t="s">
        <v>1613</v>
      </c>
    </row>
    <row r="147" spans="1:8" x14ac:dyDescent="0.35">
      <c r="A147" t="s">
        <v>331</v>
      </c>
      <c r="B147" t="s">
        <v>1028</v>
      </c>
      <c r="C147" t="s">
        <v>1010</v>
      </c>
      <c r="D147" t="s">
        <v>38</v>
      </c>
      <c r="E147">
        <v>23</v>
      </c>
      <c r="F147" t="s">
        <v>1436</v>
      </c>
      <c r="G147">
        <v>25.3</v>
      </c>
      <c r="H147">
        <v>23</v>
      </c>
    </row>
    <row r="148" spans="1:8" x14ac:dyDescent="0.35">
      <c r="A148" t="s">
        <v>369</v>
      </c>
      <c r="B148" t="s">
        <v>1091</v>
      </c>
      <c r="C148" t="s">
        <v>1266</v>
      </c>
      <c r="D148" t="s">
        <v>27</v>
      </c>
      <c r="E148">
        <v>254</v>
      </c>
      <c r="F148" t="s">
        <v>1598</v>
      </c>
      <c r="G148">
        <v>279.40000000000003</v>
      </c>
      <c r="H148" t="s">
        <v>1614</v>
      </c>
    </row>
    <row r="149" spans="1:8" x14ac:dyDescent="0.35">
      <c r="A149" t="s">
        <v>319</v>
      </c>
      <c r="B149" t="s">
        <v>1923</v>
      </c>
      <c r="C149" t="s">
        <v>302</v>
      </c>
      <c r="D149" t="s">
        <v>96</v>
      </c>
      <c r="E149">
        <v>68</v>
      </c>
      <c r="F149" t="s">
        <v>1599</v>
      </c>
      <c r="G149">
        <v>74.800000000000011</v>
      </c>
      <c r="H149" t="s">
        <v>1615</v>
      </c>
    </row>
    <row r="150" spans="1:8" x14ac:dyDescent="0.35">
      <c r="A150" t="s">
        <v>330</v>
      </c>
      <c r="B150" t="s">
        <v>1211</v>
      </c>
      <c r="C150" t="s">
        <v>1212</v>
      </c>
      <c r="D150" t="s">
        <v>71</v>
      </c>
      <c r="E150">
        <v>119</v>
      </c>
      <c r="F150" t="s">
        <v>1469</v>
      </c>
      <c r="G150">
        <v>130.9</v>
      </c>
      <c r="H150" t="s">
        <v>1559</v>
      </c>
    </row>
    <row r="151" spans="1:8" x14ac:dyDescent="0.35">
      <c r="A151" t="s">
        <v>330</v>
      </c>
      <c r="B151" t="s">
        <v>1211</v>
      </c>
      <c r="C151" t="s">
        <v>1212</v>
      </c>
      <c r="D151" t="s">
        <v>69</v>
      </c>
      <c r="E151">
        <v>59</v>
      </c>
      <c r="F151" t="s">
        <v>1472</v>
      </c>
      <c r="G151">
        <v>64.900000000000006</v>
      </c>
      <c r="H151" t="s">
        <v>1616</v>
      </c>
    </row>
    <row r="152" spans="1:8" x14ac:dyDescent="0.35">
      <c r="A152" t="s">
        <v>328</v>
      </c>
      <c r="B152" t="s">
        <v>1365</v>
      </c>
      <c r="C152" t="s">
        <v>943</v>
      </c>
      <c r="D152" t="s">
        <v>18</v>
      </c>
      <c r="E152">
        <v>61</v>
      </c>
      <c r="F152" t="s">
        <v>1472</v>
      </c>
      <c r="G152">
        <v>67.100000000000009</v>
      </c>
      <c r="H152" t="s">
        <v>1490</v>
      </c>
    </row>
    <row r="153" spans="1:8" x14ac:dyDescent="0.35">
      <c r="A153" t="s">
        <v>328</v>
      </c>
      <c r="B153" t="s">
        <v>1365</v>
      </c>
      <c r="C153" t="s">
        <v>943</v>
      </c>
      <c r="D153" t="s">
        <v>177</v>
      </c>
      <c r="E153">
        <v>84</v>
      </c>
      <c r="F153" t="s">
        <v>1566</v>
      </c>
      <c r="G153">
        <v>92.4</v>
      </c>
      <c r="H153" t="s">
        <v>1617</v>
      </c>
    </row>
    <row r="154" spans="1:8" x14ac:dyDescent="0.35">
      <c r="D154" t="s">
        <v>327</v>
      </c>
      <c r="E154">
        <v>1458</v>
      </c>
    </row>
    <row r="157" spans="1:8" x14ac:dyDescent="0.35">
      <c r="A157" t="s">
        <v>405</v>
      </c>
    </row>
    <row r="158" spans="1:8" x14ac:dyDescent="0.35">
      <c r="A158" t="s">
        <v>1888</v>
      </c>
    </row>
    <row r="159" spans="1:8" x14ac:dyDescent="0.35">
      <c r="A159" t="s">
        <v>6</v>
      </c>
      <c r="B159" t="s">
        <v>5</v>
      </c>
      <c r="C159" t="s">
        <v>4</v>
      </c>
      <c r="D159" t="s">
        <v>3</v>
      </c>
      <c r="E159" t="s">
        <v>2</v>
      </c>
      <c r="F159" t="s">
        <v>1</v>
      </c>
      <c r="G159" t="s">
        <v>0</v>
      </c>
    </row>
    <row r="160" spans="1:8" x14ac:dyDescent="0.35">
      <c r="A160" t="s">
        <v>321</v>
      </c>
      <c r="B160" t="s">
        <v>1173</v>
      </c>
      <c r="C160" t="s">
        <v>1171</v>
      </c>
      <c r="D160" t="s">
        <v>44</v>
      </c>
      <c r="E160">
        <v>260</v>
      </c>
      <c r="F160" t="s">
        <v>1683</v>
      </c>
      <c r="G160">
        <v>286</v>
      </c>
      <c r="H160" t="s">
        <v>1689</v>
      </c>
    </row>
    <row r="161" spans="1:8" x14ac:dyDescent="0.35">
      <c r="A161" t="s">
        <v>326</v>
      </c>
      <c r="B161" t="s">
        <v>1173</v>
      </c>
      <c r="C161" t="s">
        <v>1210</v>
      </c>
      <c r="D161" t="s">
        <v>22</v>
      </c>
      <c r="E161">
        <v>86</v>
      </c>
      <c r="F161" t="s">
        <v>1485</v>
      </c>
      <c r="G161">
        <v>94.600000000000009</v>
      </c>
      <c r="H161" t="s">
        <v>1557</v>
      </c>
    </row>
    <row r="162" spans="1:8" x14ac:dyDescent="0.35">
      <c r="A162" t="s">
        <v>321</v>
      </c>
      <c r="B162" t="s">
        <v>1173</v>
      </c>
      <c r="C162" t="s">
        <v>1171</v>
      </c>
      <c r="D162" t="s">
        <v>60</v>
      </c>
      <c r="E162">
        <v>155</v>
      </c>
      <c r="F162" t="s">
        <v>1684</v>
      </c>
      <c r="G162">
        <v>170.5</v>
      </c>
      <c r="H162" t="s">
        <v>1690</v>
      </c>
    </row>
    <row r="163" spans="1:8" x14ac:dyDescent="0.35">
      <c r="A163" t="s">
        <v>321</v>
      </c>
      <c r="B163" t="s">
        <v>1173</v>
      </c>
      <c r="C163" t="s">
        <v>1171</v>
      </c>
      <c r="D163" t="s">
        <v>176</v>
      </c>
      <c r="E163">
        <v>244</v>
      </c>
      <c r="F163" t="s">
        <v>1600</v>
      </c>
      <c r="G163">
        <v>268.40000000000003</v>
      </c>
      <c r="H163" t="s">
        <v>1666</v>
      </c>
    </row>
    <row r="164" spans="1:8" x14ac:dyDescent="0.35">
      <c r="A164" t="s">
        <v>321</v>
      </c>
      <c r="B164" t="s">
        <v>1173</v>
      </c>
      <c r="C164" t="s">
        <v>1171</v>
      </c>
      <c r="D164" t="s">
        <v>43</v>
      </c>
      <c r="E164">
        <v>37</v>
      </c>
      <c r="F164" t="s">
        <v>1428</v>
      </c>
      <c r="G164">
        <v>40.700000000000003</v>
      </c>
      <c r="H164">
        <v>37</v>
      </c>
    </row>
    <row r="165" spans="1:8" x14ac:dyDescent="0.35">
      <c r="A165" t="s">
        <v>321</v>
      </c>
      <c r="B165" t="s">
        <v>1173</v>
      </c>
      <c r="C165" t="s">
        <v>1171</v>
      </c>
      <c r="D165" t="s">
        <v>15</v>
      </c>
      <c r="E165">
        <v>78</v>
      </c>
      <c r="F165" t="s">
        <v>1685</v>
      </c>
      <c r="G165">
        <v>85.800000000000011</v>
      </c>
      <c r="H165" t="s">
        <v>1691</v>
      </c>
    </row>
    <row r="166" spans="1:8" x14ac:dyDescent="0.35">
      <c r="A166" t="s">
        <v>326</v>
      </c>
      <c r="B166" t="s">
        <v>1173</v>
      </c>
      <c r="C166" t="s">
        <v>1029</v>
      </c>
      <c r="D166" t="s">
        <v>20</v>
      </c>
      <c r="E166">
        <v>255</v>
      </c>
      <c r="F166" t="s">
        <v>1686</v>
      </c>
      <c r="G166">
        <v>280.5</v>
      </c>
      <c r="H166" t="s">
        <v>1462</v>
      </c>
    </row>
    <row r="167" spans="1:8" x14ac:dyDescent="0.35">
      <c r="A167" t="s">
        <v>323</v>
      </c>
      <c r="B167" t="s">
        <v>1924</v>
      </c>
      <c r="C167" t="s">
        <v>982</v>
      </c>
      <c r="D167" t="s">
        <v>16</v>
      </c>
      <c r="E167">
        <v>237</v>
      </c>
      <c r="F167" t="s">
        <v>1600</v>
      </c>
      <c r="G167">
        <v>260.70000000000005</v>
      </c>
      <c r="H167" t="s">
        <v>1692</v>
      </c>
    </row>
    <row r="168" spans="1:8" x14ac:dyDescent="0.35">
      <c r="A168" t="s">
        <v>323</v>
      </c>
      <c r="B168" t="s">
        <v>1924</v>
      </c>
      <c r="C168" t="s">
        <v>982</v>
      </c>
      <c r="D168" t="s">
        <v>13</v>
      </c>
      <c r="E168">
        <v>76</v>
      </c>
      <c r="F168" t="s">
        <v>1687</v>
      </c>
      <c r="G168">
        <v>83.600000000000009</v>
      </c>
      <c r="H168" t="s">
        <v>1693</v>
      </c>
    </row>
    <row r="169" spans="1:8" x14ac:dyDescent="0.35">
      <c r="A169" t="s">
        <v>323</v>
      </c>
      <c r="B169" t="s">
        <v>1924</v>
      </c>
      <c r="C169" t="s">
        <v>982</v>
      </c>
      <c r="D169" t="s">
        <v>17</v>
      </c>
      <c r="E169">
        <v>72</v>
      </c>
      <c r="F169" t="s">
        <v>1688</v>
      </c>
      <c r="G169">
        <v>79.2</v>
      </c>
      <c r="H169" t="s">
        <v>1694</v>
      </c>
    </row>
    <row r="170" spans="1:8" x14ac:dyDescent="0.35">
      <c r="A170" t="s">
        <v>323</v>
      </c>
      <c r="B170" t="s">
        <v>1924</v>
      </c>
      <c r="C170" t="s">
        <v>982</v>
      </c>
      <c r="D170" t="s">
        <v>11</v>
      </c>
      <c r="E170">
        <v>48</v>
      </c>
      <c r="F170" t="s">
        <v>1511</v>
      </c>
      <c r="G170">
        <v>52.800000000000004</v>
      </c>
      <c r="H170" t="s">
        <v>1672</v>
      </c>
    </row>
    <row r="171" spans="1:8" x14ac:dyDescent="0.35">
      <c r="D171" t="s">
        <v>322</v>
      </c>
      <c r="E171">
        <v>1548</v>
      </c>
    </row>
    <row r="174" spans="1:8" x14ac:dyDescent="0.35">
      <c r="A174" t="s">
        <v>405</v>
      </c>
    </row>
    <row r="175" spans="1:8" x14ac:dyDescent="0.35">
      <c r="A175" t="s">
        <v>1892</v>
      </c>
    </row>
    <row r="176" spans="1:8" x14ac:dyDescent="0.35">
      <c r="A176" t="s">
        <v>6</v>
      </c>
      <c r="B176" t="s">
        <v>5</v>
      </c>
      <c r="C176" t="s">
        <v>4</v>
      </c>
      <c r="D176" t="s">
        <v>3</v>
      </c>
      <c r="E176" t="s">
        <v>2</v>
      </c>
      <c r="F176" t="s">
        <v>1</v>
      </c>
      <c r="G176" t="s">
        <v>0</v>
      </c>
    </row>
    <row r="177" spans="1:8" x14ac:dyDescent="0.35">
      <c r="A177" t="s">
        <v>321</v>
      </c>
      <c r="B177" t="s">
        <v>1173</v>
      </c>
      <c r="C177" t="s">
        <v>1405</v>
      </c>
      <c r="D177" t="s">
        <v>82</v>
      </c>
      <c r="E177">
        <v>88</v>
      </c>
      <c r="F177" t="s">
        <v>1485</v>
      </c>
      <c r="G177">
        <v>96.800000000000011</v>
      </c>
      <c r="H177" t="s">
        <v>1702</v>
      </c>
    </row>
    <row r="178" spans="1:8" x14ac:dyDescent="0.35">
      <c r="A178" t="s">
        <v>321</v>
      </c>
      <c r="B178" t="s">
        <v>1173</v>
      </c>
      <c r="C178" t="s">
        <v>1405</v>
      </c>
      <c r="D178" t="s">
        <v>58</v>
      </c>
      <c r="E178">
        <v>59</v>
      </c>
      <c r="F178" t="s">
        <v>1695</v>
      </c>
      <c r="G178">
        <v>64.900000000000006</v>
      </c>
      <c r="H178" t="s">
        <v>1703</v>
      </c>
    </row>
    <row r="179" spans="1:8" x14ac:dyDescent="0.35">
      <c r="A179" t="s">
        <v>321</v>
      </c>
      <c r="B179" t="s">
        <v>1173</v>
      </c>
      <c r="C179" t="s">
        <v>1405</v>
      </c>
      <c r="D179" t="s">
        <v>98</v>
      </c>
      <c r="E179">
        <v>97</v>
      </c>
      <c r="F179" t="s">
        <v>1696</v>
      </c>
      <c r="G179">
        <v>106.7</v>
      </c>
      <c r="H179" t="s">
        <v>1704</v>
      </c>
    </row>
    <row r="180" spans="1:8" x14ac:dyDescent="0.35">
      <c r="A180" t="s">
        <v>321</v>
      </c>
      <c r="B180" t="s">
        <v>1173</v>
      </c>
      <c r="C180" t="s">
        <v>1405</v>
      </c>
      <c r="D180" t="s">
        <v>157</v>
      </c>
      <c r="E180">
        <v>75</v>
      </c>
      <c r="F180" t="s">
        <v>1697</v>
      </c>
      <c r="G180">
        <v>82.5</v>
      </c>
      <c r="H180" t="s">
        <v>1705</v>
      </c>
    </row>
    <row r="181" spans="1:8" x14ac:dyDescent="0.35">
      <c r="A181" t="s">
        <v>321</v>
      </c>
      <c r="B181" t="s">
        <v>1173</v>
      </c>
      <c r="C181" t="s">
        <v>1175</v>
      </c>
      <c r="D181" t="s">
        <v>25</v>
      </c>
      <c r="E181">
        <v>378</v>
      </c>
      <c r="F181" t="s">
        <v>1698</v>
      </c>
      <c r="G181">
        <v>415.8</v>
      </c>
      <c r="H181" t="s">
        <v>1706</v>
      </c>
    </row>
    <row r="182" spans="1:8" x14ac:dyDescent="0.35">
      <c r="A182" t="s">
        <v>321</v>
      </c>
      <c r="B182" t="s">
        <v>1173</v>
      </c>
      <c r="C182" t="s">
        <v>1170</v>
      </c>
      <c r="D182" t="s">
        <v>45</v>
      </c>
      <c r="E182">
        <v>156</v>
      </c>
      <c r="F182" t="s">
        <v>1651</v>
      </c>
      <c r="G182">
        <v>171.60000000000002</v>
      </c>
      <c r="H182" t="s">
        <v>1707</v>
      </c>
    </row>
    <row r="183" spans="1:8" x14ac:dyDescent="0.35">
      <c r="A183" t="s">
        <v>321</v>
      </c>
      <c r="B183" t="s">
        <v>1173</v>
      </c>
      <c r="C183" t="s">
        <v>1170</v>
      </c>
      <c r="D183" t="s">
        <v>23</v>
      </c>
      <c r="E183">
        <v>139</v>
      </c>
      <c r="F183" t="s">
        <v>1699</v>
      </c>
      <c r="G183">
        <v>152.9</v>
      </c>
      <c r="H183" t="s">
        <v>1708</v>
      </c>
    </row>
    <row r="184" spans="1:8" x14ac:dyDescent="0.35">
      <c r="A184" t="s">
        <v>321</v>
      </c>
      <c r="B184" t="s">
        <v>1173</v>
      </c>
      <c r="C184" t="s">
        <v>837</v>
      </c>
      <c r="D184" t="s">
        <v>168</v>
      </c>
      <c r="E184">
        <v>180</v>
      </c>
      <c r="F184" t="s">
        <v>1700</v>
      </c>
      <c r="G184">
        <v>198.00000000000003</v>
      </c>
      <c r="H184" t="s">
        <v>1709</v>
      </c>
    </row>
    <row r="185" spans="1:8" x14ac:dyDescent="0.35">
      <c r="A185" t="s">
        <v>321</v>
      </c>
      <c r="B185" t="s">
        <v>1173</v>
      </c>
      <c r="C185" t="s">
        <v>1405</v>
      </c>
      <c r="D185" t="s">
        <v>101</v>
      </c>
      <c r="E185">
        <v>157</v>
      </c>
      <c r="F185" t="s">
        <v>1541</v>
      </c>
      <c r="G185">
        <v>172.70000000000002</v>
      </c>
      <c r="H185" t="s">
        <v>1583</v>
      </c>
    </row>
    <row r="186" spans="1:8" x14ac:dyDescent="0.35">
      <c r="A186" t="s">
        <v>32</v>
      </c>
      <c r="B186" t="s">
        <v>1925</v>
      </c>
      <c r="C186" t="s">
        <v>860</v>
      </c>
      <c r="D186" t="s">
        <v>31</v>
      </c>
      <c r="E186">
        <v>41</v>
      </c>
      <c r="F186" t="s">
        <v>1701</v>
      </c>
      <c r="G186">
        <v>45.1</v>
      </c>
      <c r="H186" t="s">
        <v>1643</v>
      </c>
    </row>
    <row r="187" spans="1:8" x14ac:dyDescent="0.35">
      <c r="A187" t="s">
        <v>318</v>
      </c>
      <c r="B187" t="s">
        <v>1234</v>
      </c>
      <c r="C187" t="s">
        <v>921</v>
      </c>
      <c r="D187" t="s">
        <v>48</v>
      </c>
      <c r="E187">
        <v>114</v>
      </c>
      <c r="F187" t="s">
        <v>1495</v>
      </c>
      <c r="G187">
        <v>125.4</v>
      </c>
      <c r="H187" t="s">
        <v>1710</v>
      </c>
    </row>
    <row r="188" spans="1:8" x14ac:dyDescent="0.35">
      <c r="D188" t="s">
        <v>317</v>
      </c>
      <c r="E188">
        <v>1484</v>
      </c>
    </row>
    <row r="191" spans="1:8" x14ac:dyDescent="0.35">
      <c r="A191" t="s">
        <v>405</v>
      </c>
    </row>
    <row r="192" spans="1:8" x14ac:dyDescent="0.35">
      <c r="A192" t="s">
        <v>1898</v>
      </c>
    </row>
    <row r="193" spans="1:8" x14ac:dyDescent="0.35">
      <c r="A193" t="s">
        <v>6</v>
      </c>
      <c r="B193" t="s">
        <v>5</v>
      </c>
      <c r="C193" t="s">
        <v>4</v>
      </c>
      <c r="D193" t="s">
        <v>3</v>
      </c>
      <c r="E193" t="s">
        <v>2</v>
      </c>
      <c r="F193" t="s">
        <v>1</v>
      </c>
      <c r="G193" t="s">
        <v>0</v>
      </c>
    </row>
    <row r="194" spans="1:8" x14ac:dyDescent="0.35">
      <c r="A194" t="s">
        <v>316</v>
      </c>
      <c r="B194" t="s">
        <v>1926</v>
      </c>
      <c r="C194" t="s">
        <v>1152</v>
      </c>
      <c r="D194" t="s">
        <v>57</v>
      </c>
      <c r="E194">
        <v>137</v>
      </c>
      <c r="F194" t="s">
        <v>1711</v>
      </c>
      <c r="G194">
        <v>150.70000000000002</v>
      </c>
      <c r="H194" t="s">
        <v>1719</v>
      </c>
    </row>
    <row r="195" spans="1:8" x14ac:dyDescent="0.35">
      <c r="A195" t="s">
        <v>314</v>
      </c>
      <c r="B195" t="s">
        <v>1297</v>
      </c>
      <c r="C195" t="s">
        <v>1298</v>
      </c>
      <c r="D195" t="s">
        <v>42</v>
      </c>
      <c r="E195">
        <v>94</v>
      </c>
      <c r="F195" t="s">
        <v>1712</v>
      </c>
      <c r="G195">
        <v>103.4</v>
      </c>
      <c r="H195" t="s">
        <v>1720</v>
      </c>
    </row>
    <row r="196" spans="1:8" x14ac:dyDescent="0.35">
      <c r="A196" t="s">
        <v>313</v>
      </c>
      <c r="B196" t="s">
        <v>1927</v>
      </c>
      <c r="C196" t="s">
        <v>1100</v>
      </c>
      <c r="D196" t="s">
        <v>217</v>
      </c>
      <c r="E196">
        <v>105</v>
      </c>
      <c r="F196" t="s">
        <v>1713</v>
      </c>
      <c r="G196">
        <v>115.50000000000001</v>
      </c>
      <c r="H196" t="s">
        <v>1721</v>
      </c>
    </row>
    <row r="197" spans="1:8" x14ac:dyDescent="0.35">
      <c r="A197" t="s">
        <v>312</v>
      </c>
      <c r="B197" t="s">
        <v>1928</v>
      </c>
      <c r="C197" t="s">
        <v>1333</v>
      </c>
      <c r="D197" t="s">
        <v>109</v>
      </c>
      <c r="E197">
        <v>125</v>
      </c>
      <c r="F197" t="s">
        <v>1714</v>
      </c>
      <c r="G197">
        <v>137.5</v>
      </c>
      <c r="H197" t="s">
        <v>1722</v>
      </c>
    </row>
    <row r="198" spans="1:8" x14ac:dyDescent="0.35">
      <c r="A198" t="s">
        <v>311</v>
      </c>
      <c r="B198" t="s">
        <v>1215</v>
      </c>
      <c r="C198" t="s">
        <v>1216</v>
      </c>
      <c r="D198" t="s">
        <v>104</v>
      </c>
      <c r="E198">
        <v>50</v>
      </c>
      <c r="F198" t="s">
        <v>1511</v>
      </c>
      <c r="G198">
        <v>55.000000000000007</v>
      </c>
      <c r="H198" t="s">
        <v>1723</v>
      </c>
    </row>
    <row r="199" spans="1:8" x14ac:dyDescent="0.35">
      <c r="A199" t="s">
        <v>211</v>
      </c>
      <c r="B199" t="s">
        <v>1253</v>
      </c>
      <c r="C199" t="s">
        <v>1254</v>
      </c>
      <c r="D199" t="s">
        <v>84</v>
      </c>
      <c r="E199">
        <v>255</v>
      </c>
      <c r="F199" t="s">
        <v>1686</v>
      </c>
      <c r="G199">
        <v>280.5</v>
      </c>
      <c r="H199" t="s">
        <v>1462</v>
      </c>
    </row>
    <row r="200" spans="1:8" x14ac:dyDescent="0.35">
      <c r="A200" t="s">
        <v>309</v>
      </c>
      <c r="B200" t="s">
        <v>906</v>
      </c>
      <c r="C200" t="s">
        <v>880</v>
      </c>
      <c r="D200" t="s">
        <v>36</v>
      </c>
      <c r="E200">
        <v>82</v>
      </c>
      <c r="F200" t="s">
        <v>1697</v>
      </c>
      <c r="G200">
        <v>90.2</v>
      </c>
      <c r="H200" t="s">
        <v>1724</v>
      </c>
    </row>
    <row r="201" spans="1:8" x14ac:dyDescent="0.35">
      <c r="A201" t="s">
        <v>281</v>
      </c>
      <c r="B201" t="s">
        <v>1929</v>
      </c>
      <c r="C201" t="s">
        <v>994</v>
      </c>
      <c r="D201" t="s">
        <v>130</v>
      </c>
      <c r="E201">
        <v>121</v>
      </c>
      <c r="F201" t="s">
        <v>1715</v>
      </c>
      <c r="G201">
        <v>133.10000000000002</v>
      </c>
      <c r="H201" t="s">
        <v>1725</v>
      </c>
    </row>
    <row r="202" spans="1:8" x14ac:dyDescent="0.35">
      <c r="A202" t="s">
        <v>275</v>
      </c>
      <c r="B202" t="s">
        <v>920</v>
      </c>
      <c r="C202" t="s">
        <v>921</v>
      </c>
      <c r="D202" t="s">
        <v>79</v>
      </c>
      <c r="E202">
        <v>62</v>
      </c>
      <c r="F202" t="s">
        <v>1716</v>
      </c>
      <c r="G202">
        <v>68.2</v>
      </c>
      <c r="H202" t="s">
        <v>1726</v>
      </c>
    </row>
    <row r="203" spans="1:8" x14ac:dyDescent="0.35">
      <c r="A203" t="s">
        <v>300</v>
      </c>
      <c r="B203" t="s">
        <v>1930</v>
      </c>
      <c r="C203" t="s">
        <v>941</v>
      </c>
      <c r="D203" t="s">
        <v>33</v>
      </c>
      <c r="E203">
        <v>65</v>
      </c>
      <c r="F203" t="s">
        <v>1420</v>
      </c>
      <c r="G203">
        <v>71.5</v>
      </c>
      <c r="H203">
        <v>65</v>
      </c>
    </row>
    <row r="204" spans="1:8" x14ac:dyDescent="0.35">
      <c r="A204" t="s">
        <v>308</v>
      </c>
      <c r="B204" t="s">
        <v>1159</v>
      </c>
      <c r="C204" t="s">
        <v>1160</v>
      </c>
      <c r="D204" t="s">
        <v>67</v>
      </c>
      <c r="E204">
        <v>126</v>
      </c>
      <c r="F204" t="s">
        <v>1714</v>
      </c>
      <c r="G204">
        <v>138.60000000000002</v>
      </c>
      <c r="H204" t="s">
        <v>1727</v>
      </c>
    </row>
    <row r="205" spans="1:8" x14ac:dyDescent="0.35">
      <c r="A205" t="s">
        <v>305</v>
      </c>
      <c r="B205" t="s">
        <v>949</v>
      </c>
      <c r="C205" t="s">
        <v>938</v>
      </c>
      <c r="D205" t="s">
        <v>113</v>
      </c>
      <c r="E205">
        <v>89</v>
      </c>
      <c r="F205" t="s">
        <v>1717</v>
      </c>
      <c r="G205">
        <v>97.9</v>
      </c>
      <c r="H205" t="s">
        <v>1728</v>
      </c>
    </row>
    <row r="206" spans="1:8" x14ac:dyDescent="0.35">
      <c r="A206" t="s">
        <v>305</v>
      </c>
      <c r="B206" t="s">
        <v>949</v>
      </c>
      <c r="C206" t="s">
        <v>938</v>
      </c>
      <c r="D206" t="s">
        <v>111</v>
      </c>
      <c r="E206">
        <v>86</v>
      </c>
      <c r="F206" t="s">
        <v>1718</v>
      </c>
      <c r="G206">
        <v>94.600000000000009</v>
      </c>
      <c r="H206" t="s">
        <v>1729</v>
      </c>
    </row>
    <row r="209" spans="1:8" x14ac:dyDescent="0.35">
      <c r="D209" t="s">
        <v>306</v>
      </c>
      <c r="E209">
        <v>1397</v>
      </c>
    </row>
    <row r="212" spans="1:8" x14ac:dyDescent="0.35">
      <c r="A212" t="s">
        <v>405</v>
      </c>
    </row>
    <row r="213" spans="1:8" x14ac:dyDescent="0.35">
      <c r="A213" t="s">
        <v>1904</v>
      </c>
    </row>
    <row r="214" spans="1:8" x14ac:dyDescent="0.35">
      <c r="A214" t="s">
        <v>6</v>
      </c>
      <c r="B214" t="s">
        <v>5</v>
      </c>
      <c r="C214" t="s">
        <v>4</v>
      </c>
      <c r="D214" t="s">
        <v>3</v>
      </c>
      <c r="E214" t="s">
        <v>2</v>
      </c>
      <c r="F214" t="s">
        <v>1</v>
      </c>
      <c r="G214" t="s">
        <v>0</v>
      </c>
    </row>
    <row r="215" spans="1:8" x14ac:dyDescent="0.35">
      <c r="A215" t="s">
        <v>434</v>
      </c>
      <c r="B215" t="s">
        <v>842</v>
      </c>
      <c r="C215" t="s">
        <v>841</v>
      </c>
      <c r="D215" t="s">
        <v>10</v>
      </c>
      <c r="E215">
        <v>142</v>
      </c>
      <c r="F215" t="s">
        <v>1471</v>
      </c>
      <c r="G215">
        <v>156.20000000000002</v>
      </c>
      <c r="H215" t="s">
        <v>1876</v>
      </c>
    </row>
    <row r="216" spans="1:8" x14ac:dyDescent="0.35">
      <c r="A216" t="s">
        <v>290</v>
      </c>
      <c r="B216" t="s">
        <v>1050</v>
      </c>
      <c r="C216" t="s">
        <v>1049</v>
      </c>
      <c r="D216" t="s">
        <v>60</v>
      </c>
      <c r="E216">
        <v>155</v>
      </c>
      <c r="F216" t="s">
        <v>1471</v>
      </c>
      <c r="G216">
        <v>170.5</v>
      </c>
      <c r="H216" t="s">
        <v>1875</v>
      </c>
    </row>
    <row r="217" spans="1:8" x14ac:dyDescent="0.35">
      <c r="A217" t="s">
        <v>239</v>
      </c>
      <c r="B217" t="s">
        <v>1931</v>
      </c>
      <c r="C217" t="s">
        <v>1049</v>
      </c>
      <c r="D217" t="s">
        <v>15</v>
      </c>
      <c r="E217">
        <v>78</v>
      </c>
      <c r="F217" t="s">
        <v>1472</v>
      </c>
      <c r="G217">
        <v>85.800000000000011</v>
      </c>
      <c r="H217" t="s">
        <v>1874</v>
      </c>
    </row>
    <row r="218" spans="1:8" x14ac:dyDescent="0.35">
      <c r="A218" t="s">
        <v>290</v>
      </c>
      <c r="B218" t="s">
        <v>1050</v>
      </c>
      <c r="C218" t="s">
        <v>1049</v>
      </c>
      <c r="D218" t="s">
        <v>101</v>
      </c>
      <c r="E218">
        <v>157</v>
      </c>
      <c r="F218" t="s">
        <v>1466</v>
      </c>
      <c r="G218">
        <v>172.70000000000002</v>
      </c>
      <c r="H218" t="s">
        <v>1583</v>
      </c>
    </row>
    <row r="219" spans="1:8" x14ac:dyDescent="0.35">
      <c r="A219" t="s">
        <v>320</v>
      </c>
      <c r="B219" t="s">
        <v>1281</v>
      </c>
      <c r="C219" t="s">
        <v>1254</v>
      </c>
      <c r="D219" t="s">
        <v>64</v>
      </c>
      <c r="E219">
        <v>227</v>
      </c>
      <c r="F219" t="s">
        <v>1730</v>
      </c>
      <c r="G219">
        <v>249.70000000000002</v>
      </c>
      <c r="H219" t="s">
        <v>1507</v>
      </c>
    </row>
    <row r="220" spans="1:8" x14ac:dyDescent="0.35">
      <c r="A220" t="s">
        <v>320</v>
      </c>
      <c r="B220" t="s">
        <v>1281</v>
      </c>
      <c r="C220" t="s">
        <v>1254</v>
      </c>
      <c r="D220" t="s">
        <v>62</v>
      </c>
      <c r="E220">
        <v>156</v>
      </c>
      <c r="F220" t="s">
        <v>1877</v>
      </c>
      <c r="G220">
        <v>171.60000000000002</v>
      </c>
      <c r="H220" t="s">
        <v>1878</v>
      </c>
    </row>
    <row r="221" spans="1:8" x14ac:dyDescent="0.35">
      <c r="A221" t="s">
        <v>251</v>
      </c>
      <c r="B221" t="s">
        <v>958</v>
      </c>
      <c r="C221" t="s">
        <v>959</v>
      </c>
      <c r="D221" t="s">
        <v>96</v>
      </c>
      <c r="E221">
        <v>68</v>
      </c>
      <c r="F221" t="s">
        <v>1549</v>
      </c>
      <c r="G221">
        <v>74.800000000000011</v>
      </c>
      <c r="H221" t="s">
        <v>1881</v>
      </c>
    </row>
    <row r="222" spans="1:8" x14ac:dyDescent="0.35">
      <c r="A222" t="s">
        <v>289</v>
      </c>
      <c r="B222" t="s">
        <v>987</v>
      </c>
      <c r="C222" t="s">
        <v>985</v>
      </c>
      <c r="D222" t="s">
        <v>120</v>
      </c>
      <c r="E222">
        <v>55</v>
      </c>
      <c r="F222" t="s">
        <v>1511</v>
      </c>
      <c r="G222">
        <v>60.500000000000007</v>
      </c>
      <c r="H222" t="s">
        <v>1503</v>
      </c>
    </row>
    <row r="223" spans="1:8" x14ac:dyDescent="0.35">
      <c r="A223" t="s">
        <v>301</v>
      </c>
      <c r="B223" t="s">
        <v>889</v>
      </c>
      <c r="C223" t="s">
        <v>885</v>
      </c>
      <c r="D223" t="s">
        <v>53</v>
      </c>
      <c r="E223">
        <v>158</v>
      </c>
      <c r="F223" t="s">
        <v>1466</v>
      </c>
      <c r="G223">
        <v>173.8</v>
      </c>
      <c r="H223" t="s">
        <v>1467</v>
      </c>
    </row>
    <row r="224" spans="1:8" x14ac:dyDescent="0.35">
      <c r="A224" t="s">
        <v>274</v>
      </c>
      <c r="B224" t="s">
        <v>856</v>
      </c>
      <c r="C224" t="s">
        <v>857</v>
      </c>
      <c r="D224" t="s">
        <v>22</v>
      </c>
      <c r="E224">
        <v>86</v>
      </c>
      <c r="F224" t="s">
        <v>1880</v>
      </c>
      <c r="G224">
        <v>94.600000000000009</v>
      </c>
      <c r="H224" t="s">
        <v>1879</v>
      </c>
    </row>
    <row r="225" spans="1:8" x14ac:dyDescent="0.35">
      <c r="A225" t="s">
        <v>299</v>
      </c>
      <c r="B225" t="s">
        <v>1054</v>
      </c>
      <c r="C225" t="s">
        <v>302</v>
      </c>
      <c r="D225" t="s">
        <v>157</v>
      </c>
      <c r="E225">
        <v>75</v>
      </c>
      <c r="F225" t="s">
        <v>1472</v>
      </c>
      <c r="G225">
        <v>82.5</v>
      </c>
      <c r="H225" t="s">
        <v>1882</v>
      </c>
    </row>
    <row r="226" spans="1:8" x14ac:dyDescent="0.35">
      <c r="A226" t="s">
        <v>297</v>
      </c>
      <c r="B226" t="s">
        <v>1267</v>
      </c>
      <c r="C226" t="s">
        <v>1268</v>
      </c>
      <c r="D226" t="s">
        <v>27</v>
      </c>
      <c r="E226">
        <v>254</v>
      </c>
      <c r="F226" t="s">
        <v>1686</v>
      </c>
      <c r="G226">
        <v>279.40000000000003</v>
      </c>
      <c r="H226" t="s">
        <v>1731</v>
      </c>
    </row>
    <row r="227" spans="1:8" x14ac:dyDescent="0.35">
      <c r="D227" t="s">
        <v>296</v>
      </c>
      <c r="E227">
        <v>1611</v>
      </c>
    </row>
    <row r="230" spans="1:8" x14ac:dyDescent="0.35">
      <c r="A230" t="s">
        <v>405</v>
      </c>
    </row>
    <row r="231" spans="1:8" x14ac:dyDescent="0.35">
      <c r="A231" t="s">
        <v>1911</v>
      </c>
    </row>
    <row r="232" spans="1:8" x14ac:dyDescent="0.35">
      <c r="A232" t="s">
        <v>6</v>
      </c>
      <c r="B232" t="s">
        <v>5</v>
      </c>
      <c r="C232" t="s">
        <v>4</v>
      </c>
      <c r="D232" t="s">
        <v>3</v>
      </c>
      <c r="E232" t="s">
        <v>2</v>
      </c>
      <c r="F232" t="s">
        <v>1</v>
      </c>
      <c r="G232" t="s">
        <v>0</v>
      </c>
    </row>
    <row r="233" spans="1:8" x14ac:dyDescent="0.35">
      <c r="A233" t="s">
        <v>83</v>
      </c>
      <c r="B233" t="s">
        <v>1932</v>
      </c>
      <c r="C233" t="s">
        <v>1145</v>
      </c>
      <c r="D233" t="s">
        <v>46</v>
      </c>
      <c r="E233">
        <v>256</v>
      </c>
      <c r="F233" t="s">
        <v>114</v>
      </c>
      <c r="G233">
        <v>281.60000000000002</v>
      </c>
    </row>
    <row r="234" spans="1:8" x14ac:dyDescent="0.35">
      <c r="A234" t="s">
        <v>112</v>
      </c>
      <c r="B234" t="s">
        <v>1933</v>
      </c>
      <c r="C234" t="s">
        <v>1056</v>
      </c>
      <c r="D234" t="s">
        <v>31</v>
      </c>
      <c r="E234">
        <v>41</v>
      </c>
      <c r="F234" t="s">
        <v>1428</v>
      </c>
      <c r="G234">
        <v>45.1</v>
      </c>
      <c r="H234">
        <v>41</v>
      </c>
    </row>
    <row r="235" spans="1:8" x14ac:dyDescent="0.35">
      <c r="A235" t="s">
        <v>112</v>
      </c>
      <c r="B235" t="s">
        <v>1933</v>
      </c>
      <c r="C235" t="s">
        <v>1056</v>
      </c>
      <c r="D235" t="s">
        <v>16</v>
      </c>
      <c r="E235">
        <v>237</v>
      </c>
      <c r="F235" t="s">
        <v>1600</v>
      </c>
      <c r="G235">
        <v>260.70000000000005</v>
      </c>
      <c r="H235" t="s">
        <v>1692</v>
      </c>
    </row>
    <row r="236" spans="1:8" x14ac:dyDescent="0.35">
      <c r="A236" t="s">
        <v>112</v>
      </c>
      <c r="B236" t="s">
        <v>1933</v>
      </c>
      <c r="C236" t="s">
        <v>1399</v>
      </c>
      <c r="D236" t="s">
        <v>71</v>
      </c>
      <c r="E236">
        <v>119</v>
      </c>
      <c r="F236" t="s">
        <v>1696</v>
      </c>
      <c r="G236">
        <v>130.9</v>
      </c>
      <c r="H236" t="s">
        <v>1734</v>
      </c>
    </row>
    <row r="237" spans="1:8" x14ac:dyDescent="0.35">
      <c r="A237" t="s">
        <v>190</v>
      </c>
      <c r="B237" t="s">
        <v>1934</v>
      </c>
      <c r="C237" t="s">
        <v>1398</v>
      </c>
      <c r="D237" t="s">
        <v>168</v>
      </c>
      <c r="E237">
        <v>180</v>
      </c>
      <c r="F237" t="s">
        <v>1700</v>
      </c>
      <c r="G237">
        <v>198.00000000000003</v>
      </c>
      <c r="H237" t="s">
        <v>1709</v>
      </c>
    </row>
    <row r="238" spans="1:8" x14ac:dyDescent="0.35">
      <c r="A238" t="s">
        <v>383</v>
      </c>
      <c r="B238" t="s">
        <v>984</v>
      </c>
      <c r="C238" t="s">
        <v>985</v>
      </c>
      <c r="D238" t="s">
        <v>105</v>
      </c>
      <c r="E238">
        <v>65</v>
      </c>
      <c r="F238" t="s">
        <v>1472</v>
      </c>
      <c r="G238">
        <v>71.5</v>
      </c>
      <c r="H238" t="s">
        <v>1735</v>
      </c>
    </row>
    <row r="239" spans="1:8" x14ac:dyDescent="0.35">
      <c r="A239" t="s">
        <v>286</v>
      </c>
      <c r="B239" t="s">
        <v>832</v>
      </c>
      <c r="C239" t="s">
        <v>833</v>
      </c>
      <c r="D239" t="s">
        <v>55</v>
      </c>
      <c r="E239">
        <v>141</v>
      </c>
      <c r="F239" t="s">
        <v>1732</v>
      </c>
      <c r="G239">
        <v>155.10000000000002</v>
      </c>
      <c r="H239" t="s">
        <v>1736</v>
      </c>
    </row>
    <row r="240" spans="1:8" x14ac:dyDescent="0.35">
      <c r="A240" t="s">
        <v>220</v>
      </c>
      <c r="B240" t="s">
        <v>1202</v>
      </c>
      <c r="C240" t="s">
        <v>1196</v>
      </c>
      <c r="D240" t="s">
        <v>73</v>
      </c>
      <c r="E240">
        <v>170</v>
      </c>
      <c r="F240" t="s">
        <v>1733</v>
      </c>
      <c r="G240">
        <v>187.00000000000003</v>
      </c>
      <c r="H240" t="s">
        <v>1737</v>
      </c>
    </row>
    <row r="241" spans="1:8" x14ac:dyDescent="0.35">
      <c r="A241" t="s">
        <v>295</v>
      </c>
      <c r="B241" t="s">
        <v>1283</v>
      </c>
      <c r="C241" t="s">
        <v>1284</v>
      </c>
      <c r="D241" t="s">
        <v>44</v>
      </c>
      <c r="E241">
        <v>260</v>
      </c>
      <c r="F241" t="s">
        <v>1683</v>
      </c>
      <c r="G241">
        <v>286</v>
      </c>
      <c r="H241" t="s">
        <v>1689</v>
      </c>
    </row>
    <row r="242" spans="1:8" x14ac:dyDescent="0.35">
      <c r="A242" t="s">
        <v>295</v>
      </c>
      <c r="B242" t="s">
        <v>1283</v>
      </c>
      <c r="C242" t="s">
        <v>1284</v>
      </c>
      <c r="D242" t="s">
        <v>45</v>
      </c>
      <c r="E242">
        <v>156</v>
      </c>
      <c r="F242" t="s">
        <v>1541</v>
      </c>
      <c r="G242">
        <v>171.60000000000002</v>
      </c>
      <c r="H242" t="s">
        <v>1508</v>
      </c>
    </row>
    <row r="243" spans="1:8" x14ac:dyDescent="0.35">
      <c r="A243" t="s">
        <v>294</v>
      </c>
      <c r="B243" t="s">
        <v>1340</v>
      </c>
      <c r="C243" t="s">
        <v>1341</v>
      </c>
      <c r="D243" t="s">
        <v>88</v>
      </c>
      <c r="E243">
        <v>108</v>
      </c>
      <c r="F243" t="s">
        <v>1495</v>
      </c>
      <c r="G243">
        <v>118.80000000000001</v>
      </c>
      <c r="H243" t="s">
        <v>1613</v>
      </c>
    </row>
    <row r="244" spans="1:8" x14ac:dyDescent="0.35">
      <c r="D244" t="s">
        <v>293</v>
      </c>
      <c r="E244">
        <v>1477</v>
      </c>
    </row>
    <row r="247" spans="1:8" x14ac:dyDescent="0.35">
      <c r="A247" t="s">
        <v>405</v>
      </c>
    </row>
    <row r="248" spans="1:8" x14ac:dyDescent="0.35">
      <c r="A248" t="s">
        <v>1367</v>
      </c>
    </row>
    <row r="249" spans="1:8" x14ac:dyDescent="0.35">
      <c r="A249" t="s">
        <v>6</v>
      </c>
      <c r="B249" t="s">
        <v>5</v>
      </c>
      <c r="C249" t="s">
        <v>4</v>
      </c>
      <c r="D249" t="s">
        <v>3</v>
      </c>
      <c r="E249" t="s">
        <v>2</v>
      </c>
      <c r="F249" t="s">
        <v>1</v>
      </c>
      <c r="G249" t="s">
        <v>0</v>
      </c>
    </row>
    <row r="250" spans="1:8" x14ac:dyDescent="0.35">
      <c r="A250" t="s">
        <v>292</v>
      </c>
      <c r="B250" t="s">
        <v>1935</v>
      </c>
      <c r="C250" t="s">
        <v>1411</v>
      </c>
      <c r="D250" t="s">
        <v>93</v>
      </c>
      <c r="E250">
        <v>17</v>
      </c>
      <c r="F250" t="s">
        <v>1424</v>
      </c>
      <c r="G250">
        <v>18.700000000000003</v>
      </c>
      <c r="H250">
        <v>17</v>
      </c>
    </row>
    <row r="251" spans="1:8" x14ac:dyDescent="0.35">
      <c r="A251" t="s">
        <v>292</v>
      </c>
      <c r="B251" t="s">
        <v>1935</v>
      </c>
      <c r="C251" t="s">
        <v>1411</v>
      </c>
      <c r="D251" t="s">
        <v>91</v>
      </c>
      <c r="E251">
        <v>4</v>
      </c>
      <c r="F251">
        <v>206</v>
      </c>
      <c r="G251">
        <v>4.4000000000000004</v>
      </c>
      <c r="H251">
        <v>4</v>
      </c>
    </row>
    <row r="252" spans="1:8" x14ac:dyDescent="0.35">
      <c r="A252" t="s">
        <v>291</v>
      </c>
      <c r="B252" t="s">
        <v>1088</v>
      </c>
      <c r="C252" t="s">
        <v>1083</v>
      </c>
      <c r="D252" t="s">
        <v>8</v>
      </c>
      <c r="E252">
        <v>142</v>
      </c>
      <c r="F252" t="s">
        <v>1541</v>
      </c>
      <c r="G252">
        <v>156.20000000000002</v>
      </c>
      <c r="H252" t="s">
        <v>1532</v>
      </c>
    </row>
    <row r="253" spans="1:8" x14ac:dyDescent="0.35">
      <c r="A253" t="s">
        <v>290</v>
      </c>
      <c r="B253" t="s">
        <v>1050</v>
      </c>
      <c r="C253" t="s">
        <v>1389</v>
      </c>
      <c r="D253" t="s">
        <v>18</v>
      </c>
      <c r="E253">
        <v>61</v>
      </c>
      <c r="F253" t="s">
        <v>1738</v>
      </c>
      <c r="G253">
        <v>67.100000000000009</v>
      </c>
      <c r="H253" t="s">
        <v>1742</v>
      </c>
    </row>
    <row r="254" spans="1:8" x14ac:dyDescent="0.35">
      <c r="A254" t="s">
        <v>290</v>
      </c>
      <c r="B254" t="s">
        <v>1050</v>
      </c>
      <c r="C254" t="s">
        <v>977</v>
      </c>
      <c r="D254" t="s">
        <v>58</v>
      </c>
      <c r="E254">
        <v>59</v>
      </c>
      <c r="F254" t="s">
        <v>1549</v>
      </c>
      <c r="G254">
        <v>64.900000000000006</v>
      </c>
      <c r="H254" t="s">
        <v>1743</v>
      </c>
    </row>
    <row r="255" spans="1:8" x14ac:dyDescent="0.35">
      <c r="A255" t="s">
        <v>239</v>
      </c>
      <c r="B255" t="s">
        <v>1931</v>
      </c>
      <c r="C255" t="s">
        <v>1035</v>
      </c>
      <c r="D255" t="s">
        <v>82</v>
      </c>
      <c r="E255">
        <v>88</v>
      </c>
      <c r="F255" t="s">
        <v>1538</v>
      </c>
      <c r="G255">
        <v>96.800000000000011</v>
      </c>
      <c r="H255" t="s">
        <v>1498</v>
      </c>
    </row>
    <row r="256" spans="1:8" x14ac:dyDescent="0.35">
      <c r="A256" t="s">
        <v>239</v>
      </c>
      <c r="B256" t="s">
        <v>1931</v>
      </c>
      <c r="C256" t="s">
        <v>1035</v>
      </c>
      <c r="D256" t="s">
        <v>43</v>
      </c>
      <c r="E256">
        <v>37</v>
      </c>
      <c r="F256" t="s">
        <v>1701</v>
      </c>
      <c r="G256">
        <v>40.700000000000003</v>
      </c>
      <c r="H256" t="s">
        <v>1744</v>
      </c>
    </row>
    <row r="257" spans="1:8" x14ac:dyDescent="0.35">
      <c r="A257" t="s">
        <v>103</v>
      </c>
      <c r="B257" t="s">
        <v>1936</v>
      </c>
      <c r="C257" t="s">
        <v>1224</v>
      </c>
      <c r="D257" t="s">
        <v>104</v>
      </c>
      <c r="E257">
        <v>126</v>
      </c>
      <c r="F257" t="s">
        <v>1739</v>
      </c>
      <c r="G257">
        <v>138.60000000000002</v>
      </c>
      <c r="H257" t="s">
        <v>1746</v>
      </c>
    </row>
    <row r="258" spans="1:8" x14ac:dyDescent="0.35">
      <c r="A258" t="s">
        <v>103</v>
      </c>
      <c r="B258" t="s">
        <v>1936</v>
      </c>
      <c r="C258" t="s">
        <v>915</v>
      </c>
      <c r="D258" t="s">
        <v>35</v>
      </c>
      <c r="E258">
        <v>104</v>
      </c>
      <c r="F258" t="s">
        <v>1827</v>
      </c>
      <c r="G258">
        <v>114.4</v>
      </c>
      <c r="H258" t="s">
        <v>1826</v>
      </c>
    </row>
    <row r="259" spans="1:8" x14ac:dyDescent="0.35">
      <c r="A259" t="s">
        <v>287</v>
      </c>
      <c r="B259" t="s">
        <v>1235</v>
      </c>
      <c r="C259" t="s">
        <v>919</v>
      </c>
      <c r="D259" t="s">
        <v>48</v>
      </c>
      <c r="E259">
        <v>114</v>
      </c>
      <c r="F259" t="s">
        <v>1740</v>
      </c>
      <c r="G259">
        <v>125.4</v>
      </c>
      <c r="H259" t="s">
        <v>1748</v>
      </c>
    </row>
    <row r="260" spans="1:8" x14ac:dyDescent="0.35">
      <c r="A260" t="s">
        <v>28</v>
      </c>
      <c r="B260" t="s">
        <v>1937</v>
      </c>
      <c r="C260" t="s">
        <v>1246</v>
      </c>
      <c r="D260" t="s">
        <v>27</v>
      </c>
      <c r="E260">
        <v>254</v>
      </c>
      <c r="F260" t="s">
        <v>1683</v>
      </c>
      <c r="G260">
        <v>279.40000000000003</v>
      </c>
      <c r="H260" t="s">
        <v>1731</v>
      </c>
    </row>
    <row r="261" spans="1:8" x14ac:dyDescent="0.35">
      <c r="A261" t="s">
        <v>285</v>
      </c>
      <c r="B261" t="s">
        <v>1938</v>
      </c>
      <c r="C261" t="s">
        <v>1300</v>
      </c>
      <c r="D261" t="s">
        <v>42</v>
      </c>
      <c r="E261">
        <v>94</v>
      </c>
      <c r="F261" t="s">
        <v>1485</v>
      </c>
      <c r="G261">
        <v>103.4</v>
      </c>
      <c r="H261" t="s">
        <v>1749</v>
      </c>
    </row>
    <row r="262" spans="1:8" x14ac:dyDescent="0.35">
      <c r="A262" t="s">
        <v>283</v>
      </c>
      <c r="B262" t="s">
        <v>1186</v>
      </c>
      <c r="C262" t="s">
        <v>1145</v>
      </c>
      <c r="D262" t="s">
        <v>57</v>
      </c>
      <c r="E262">
        <v>200</v>
      </c>
      <c r="F262" t="s">
        <v>1586</v>
      </c>
      <c r="G262">
        <v>220.00000000000003</v>
      </c>
      <c r="H262" t="s">
        <v>1590</v>
      </c>
    </row>
    <row r="263" spans="1:8" x14ac:dyDescent="0.35">
      <c r="A263" t="s">
        <v>799</v>
      </c>
      <c r="B263" t="s">
        <v>1939</v>
      </c>
      <c r="C263" t="s">
        <v>1402</v>
      </c>
      <c r="D263" t="s">
        <v>117</v>
      </c>
      <c r="E263">
        <v>63</v>
      </c>
      <c r="F263" t="s">
        <v>1741</v>
      </c>
      <c r="G263">
        <v>69.300000000000011</v>
      </c>
      <c r="H263" t="s">
        <v>1750</v>
      </c>
    </row>
    <row r="264" spans="1:8" x14ac:dyDescent="0.35">
      <c r="D264" t="s">
        <v>282</v>
      </c>
      <c r="E264">
        <v>1300</v>
      </c>
    </row>
    <row r="267" spans="1:8" x14ac:dyDescent="0.35">
      <c r="A267" t="s">
        <v>405</v>
      </c>
    </row>
    <row r="268" spans="1:8" x14ac:dyDescent="0.35">
      <c r="A268" t="s">
        <v>1368</v>
      </c>
    </row>
    <row r="269" spans="1:8" x14ac:dyDescent="0.35">
      <c r="A269" t="s">
        <v>6</v>
      </c>
      <c r="B269" t="s">
        <v>5</v>
      </c>
      <c r="C269" t="s">
        <v>4</v>
      </c>
      <c r="D269" t="s">
        <v>3</v>
      </c>
      <c r="E269" t="s">
        <v>2</v>
      </c>
      <c r="F269" t="s">
        <v>1</v>
      </c>
      <c r="G269" t="s">
        <v>0</v>
      </c>
    </row>
    <row r="270" spans="1:8" x14ac:dyDescent="0.35">
      <c r="A270" t="s">
        <v>279</v>
      </c>
      <c r="B270" t="s">
        <v>1940</v>
      </c>
      <c r="C270" t="s">
        <v>1125</v>
      </c>
      <c r="D270" t="s">
        <v>47</v>
      </c>
      <c r="E270">
        <v>96</v>
      </c>
      <c r="F270" t="s">
        <v>1751</v>
      </c>
      <c r="G270">
        <v>105.60000000000001</v>
      </c>
      <c r="H270" t="s">
        <v>1752</v>
      </c>
    </row>
    <row r="271" spans="1:8" x14ac:dyDescent="0.35">
      <c r="A271" t="s">
        <v>703</v>
      </c>
      <c r="B271" t="s">
        <v>1191</v>
      </c>
      <c r="C271" t="s">
        <v>1192</v>
      </c>
      <c r="D271" t="s">
        <v>196</v>
      </c>
      <c r="E271">
        <v>78</v>
      </c>
      <c r="F271" t="s">
        <v>1697</v>
      </c>
      <c r="G271">
        <v>85.800000000000011</v>
      </c>
      <c r="H271" t="s">
        <v>1885</v>
      </c>
    </row>
    <row r="272" spans="1:8" x14ac:dyDescent="0.35">
      <c r="A272" t="s">
        <v>277</v>
      </c>
      <c r="B272" t="s">
        <v>1941</v>
      </c>
      <c r="C272" t="s">
        <v>1069</v>
      </c>
      <c r="D272" t="s">
        <v>137</v>
      </c>
      <c r="E272">
        <v>69</v>
      </c>
      <c r="F272" t="s">
        <v>1472</v>
      </c>
      <c r="G272">
        <v>75.900000000000006</v>
      </c>
      <c r="H272" t="s">
        <v>1887</v>
      </c>
    </row>
    <row r="273" spans="1:8" x14ac:dyDescent="0.35">
      <c r="A273" t="s">
        <v>276</v>
      </c>
      <c r="B273" t="s">
        <v>1095</v>
      </c>
      <c r="C273" t="s">
        <v>1096</v>
      </c>
      <c r="D273" t="s">
        <v>217</v>
      </c>
      <c r="E273">
        <v>105</v>
      </c>
      <c r="F273" t="s">
        <v>1886</v>
      </c>
      <c r="G273">
        <v>115.50000000000001</v>
      </c>
      <c r="H273" t="s">
        <v>1753</v>
      </c>
    </row>
    <row r="274" spans="1:8" x14ac:dyDescent="0.35">
      <c r="A274" t="s">
        <v>288</v>
      </c>
      <c r="B274" t="s">
        <v>1249</v>
      </c>
      <c r="C274" t="s">
        <v>1250</v>
      </c>
      <c r="D274" t="s">
        <v>84</v>
      </c>
      <c r="E274">
        <v>255</v>
      </c>
      <c r="F274" t="s">
        <v>1683</v>
      </c>
      <c r="G274">
        <v>280.5</v>
      </c>
      <c r="H274" t="s">
        <v>1689</v>
      </c>
    </row>
    <row r="275" spans="1:8" x14ac:dyDescent="0.35">
      <c r="A275" t="s">
        <v>693</v>
      </c>
      <c r="B275" t="s">
        <v>692</v>
      </c>
      <c r="C275" t="s">
        <v>1156</v>
      </c>
      <c r="D275" t="s">
        <v>25</v>
      </c>
      <c r="E275">
        <v>378</v>
      </c>
      <c r="F275" t="s">
        <v>1883</v>
      </c>
      <c r="G275">
        <v>415.8</v>
      </c>
      <c r="H275" t="s">
        <v>1884</v>
      </c>
    </row>
    <row r="276" spans="1:8" x14ac:dyDescent="0.35">
      <c r="A276" t="s">
        <v>325</v>
      </c>
      <c r="B276" t="s">
        <v>1942</v>
      </c>
      <c r="C276" t="s">
        <v>882</v>
      </c>
      <c r="D276" t="s">
        <v>53</v>
      </c>
      <c r="E276">
        <v>158</v>
      </c>
      <c r="F276" t="s">
        <v>1541</v>
      </c>
      <c r="G276">
        <v>173.8</v>
      </c>
      <c r="H276" t="s">
        <v>1467</v>
      </c>
    </row>
    <row r="277" spans="1:8" x14ac:dyDescent="0.35">
      <c r="A277" t="s">
        <v>272</v>
      </c>
      <c r="B277" t="s">
        <v>836</v>
      </c>
      <c r="C277" t="s">
        <v>838</v>
      </c>
      <c r="D277" t="s">
        <v>67</v>
      </c>
      <c r="E277">
        <v>230</v>
      </c>
      <c r="F277" t="s">
        <v>1730</v>
      </c>
      <c r="G277">
        <v>253.00000000000003</v>
      </c>
      <c r="H277" t="s">
        <v>1754</v>
      </c>
    </row>
    <row r="278" spans="1:8" x14ac:dyDescent="0.35">
      <c r="D278" t="s">
        <v>271</v>
      </c>
      <c r="E278">
        <v>1369</v>
      </c>
    </row>
    <row r="281" spans="1:8" x14ac:dyDescent="0.35">
      <c r="A281" t="s">
        <v>1854</v>
      </c>
    </row>
    <row r="282" spans="1:8" x14ac:dyDescent="0.35">
      <c r="A282" t="s">
        <v>1888</v>
      </c>
    </row>
    <row r="283" spans="1:8" x14ac:dyDescent="0.35">
      <c r="A283" t="s">
        <v>6</v>
      </c>
      <c r="B283" t="s">
        <v>5</v>
      </c>
      <c r="C283" t="s">
        <v>4</v>
      </c>
      <c r="D283" t="s">
        <v>3</v>
      </c>
      <c r="E283" t="s">
        <v>2</v>
      </c>
      <c r="F283" t="s">
        <v>1</v>
      </c>
      <c r="G283" t="s">
        <v>0</v>
      </c>
    </row>
    <row r="284" spans="1:8" x14ac:dyDescent="0.35">
      <c r="A284" t="s">
        <v>1395</v>
      </c>
      <c r="B284" t="s">
        <v>1376</v>
      </c>
      <c r="C284" t="s">
        <v>1374</v>
      </c>
      <c r="D284" t="s">
        <v>18</v>
      </c>
      <c r="E284">
        <v>61</v>
      </c>
      <c r="F284" t="s">
        <v>1422</v>
      </c>
      <c r="G284">
        <v>67.100000000000009</v>
      </c>
      <c r="H284">
        <v>61</v>
      </c>
    </row>
    <row r="285" spans="1:8" x14ac:dyDescent="0.35">
      <c r="A285" t="s">
        <v>284</v>
      </c>
      <c r="B285" t="s">
        <v>1204</v>
      </c>
      <c r="C285" t="s">
        <v>847</v>
      </c>
      <c r="D285" t="s">
        <v>40</v>
      </c>
      <c r="E285">
        <v>277</v>
      </c>
      <c r="F285" t="s">
        <v>1567</v>
      </c>
      <c r="G285">
        <v>304.70000000000005</v>
      </c>
      <c r="H285" t="s">
        <v>1574</v>
      </c>
    </row>
    <row r="286" spans="1:8" x14ac:dyDescent="0.35">
      <c r="A286" t="s">
        <v>266</v>
      </c>
      <c r="B286" t="s">
        <v>1165</v>
      </c>
      <c r="C286" t="s">
        <v>1145</v>
      </c>
      <c r="D286" t="s">
        <v>46</v>
      </c>
      <c r="E286">
        <v>256</v>
      </c>
      <c r="F286" t="s">
        <v>1598</v>
      </c>
      <c r="G286">
        <v>281.60000000000002</v>
      </c>
      <c r="H286" t="s">
        <v>1603</v>
      </c>
    </row>
    <row r="287" spans="1:8" x14ac:dyDescent="0.35">
      <c r="A287" t="s">
        <v>345</v>
      </c>
      <c r="B287" t="s">
        <v>1943</v>
      </c>
      <c r="C287" t="s">
        <v>851</v>
      </c>
      <c r="D287" t="s">
        <v>168</v>
      </c>
      <c r="E287">
        <v>180</v>
      </c>
      <c r="F287" t="s">
        <v>1417</v>
      </c>
      <c r="G287">
        <v>198.00000000000003</v>
      </c>
      <c r="H287" t="s">
        <v>1618</v>
      </c>
    </row>
    <row r="288" spans="1:8" x14ac:dyDescent="0.35">
      <c r="A288" t="s">
        <v>265</v>
      </c>
      <c r="B288" t="s">
        <v>1944</v>
      </c>
      <c r="C288" t="s">
        <v>851</v>
      </c>
      <c r="D288" t="s">
        <v>49</v>
      </c>
      <c r="E288">
        <v>147</v>
      </c>
      <c r="F288" t="s">
        <v>1585</v>
      </c>
      <c r="G288">
        <v>161.70000000000002</v>
      </c>
      <c r="H288" t="s">
        <v>1619</v>
      </c>
    </row>
    <row r="289" spans="1:8" x14ac:dyDescent="0.35">
      <c r="A289" t="s">
        <v>222</v>
      </c>
      <c r="B289" t="s">
        <v>888</v>
      </c>
      <c r="C289" t="s">
        <v>878</v>
      </c>
      <c r="D289" t="s">
        <v>53</v>
      </c>
      <c r="E289">
        <v>158</v>
      </c>
      <c r="F289" t="s">
        <v>1585</v>
      </c>
      <c r="G289">
        <v>173.8</v>
      </c>
      <c r="H289" t="s">
        <v>1620</v>
      </c>
    </row>
    <row r="290" spans="1:8" x14ac:dyDescent="0.35">
      <c r="A290" t="s">
        <v>264</v>
      </c>
      <c r="B290" t="s">
        <v>895</v>
      </c>
      <c r="C290" t="s">
        <v>878</v>
      </c>
      <c r="D290" t="s">
        <v>29</v>
      </c>
      <c r="E290">
        <v>103</v>
      </c>
      <c r="F290" t="s">
        <v>1469</v>
      </c>
      <c r="G290">
        <v>113.30000000000001</v>
      </c>
      <c r="H290" t="s">
        <v>1621</v>
      </c>
    </row>
    <row r="291" spans="1:8" x14ac:dyDescent="0.35">
      <c r="A291" t="s">
        <v>263</v>
      </c>
      <c r="B291" t="s">
        <v>1226</v>
      </c>
      <c r="C291" t="s">
        <v>1227</v>
      </c>
      <c r="D291" t="s">
        <v>48</v>
      </c>
      <c r="E291">
        <v>40</v>
      </c>
      <c r="F291" t="s">
        <v>1422</v>
      </c>
      <c r="G291">
        <v>44</v>
      </c>
      <c r="H291">
        <v>40</v>
      </c>
    </row>
    <row r="292" spans="1:8" x14ac:dyDescent="0.35">
      <c r="A292" t="s">
        <v>261</v>
      </c>
      <c r="B292" t="s">
        <v>1201</v>
      </c>
      <c r="C292" t="s">
        <v>1196</v>
      </c>
      <c r="D292" t="s">
        <v>73</v>
      </c>
      <c r="E292">
        <v>170</v>
      </c>
      <c r="F292" t="s">
        <v>1417</v>
      </c>
      <c r="G292">
        <v>187.00000000000003</v>
      </c>
      <c r="H292" t="s">
        <v>1546</v>
      </c>
    </row>
    <row r="293" spans="1:8" x14ac:dyDescent="0.35">
      <c r="A293" t="s">
        <v>261</v>
      </c>
      <c r="B293" t="s">
        <v>1201</v>
      </c>
      <c r="C293" t="s">
        <v>1196</v>
      </c>
      <c r="D293" t="s">
        <v>75</v>
      </c>
      <c r="E293">
        <v>85</v>
      </c>
      <c r="F293" t="s">
        <v>1469</v>
      </c>
      <c r="G293">
        <v>93.500000000000014</v>
      </c>
      <c r="H293" t="s">
        <v>1622</v>
      </c>
    </row>
    <row r="294" spans="1:8" x14ac:dyDescent="0.35">
      <c r="D294" t="s">
        <v>260</v>
      </c>
      <c r="E294">
        <v>1477</v>
      </c>
    </row>
    <row r="297" spans="1:8" x14ac:dyDescent="0.35">
      <c r="A297" t="s">
        <v>1854</v>
      </c>
    </row>
    <row r="298" spans="1:8" x14ac:dyDescent="0.35">
      <c r="A298" t="s">
        <v>1892</v>
      </c>
    </row>
    <row r="299" spans="1:8" x14ac:dyDescent="0.35">
      <c r="A299" t="s">
        <v>6</v>
      </c>
      <c r="B299" t="s">
        <v>5</v>
      </c>
      <c r="C299" t="s">
        <v>4</v>
      </c>
      <c r="D299" t="s">
        <v>3</v>
      </c>
      <c r="E299" t="s">
        <v>2</v>
      </c>
      <c r="F299" t="s">
        <v>1</v>
      </c>
      <c r="G299" t="s">
        <v>0</v>
      </c>
    </row>
    <row r="300" spans="1:8" x14ac:dyDescent="0.35">
      <c r="A300" t="s">
        <v>259</v>
      </c>
      <c r="B300" t="s">
        <v>1945</v>
      </c>
      <c r="C300" t="s">
        <v>1139</v>
      </c>
      <c r="D300" t="s">
        <v>51</v>
      </c>
      <c r="E300">
        <v>111</v>
      </c>
      <c r="F300" t="s">
        <v>1469</v>
      </c>
      <c r="G300">
        <v>122.10000000000001</v>
      </c>
      <c r="H300" t="s">
        <v>1627</v>
      </c>
    </row>
    <row r="301" spans="1:8" x14ac:dyDescent="0.35">
      <c r="A301" t="s">
        <v>259</v>
      </c>
      <c r="B301" t="s">
        <v>1945</v>
      </c>
      <c r="C301" t="s">
        <v>1139</v>
      </c>
      <c r="D301" t="s">
        <v>13</v>
      </c>
      <c r="E301">
        <v>76</v>
      </c>
      <c r="F301" t="s">
        <v>1472</v>
      </c>
      <c r="G301">
        <v>83.600000000000009</v>
      </c>
      <c r="H301" t="s">
        <v>1628</v>
      </c>
    </row>
    <row r="302" spans="1:8" x14ac:dyDescent="0.35">
      <c r="A302" t="s">
        <v>259</v>
      </c>
      <c r="B302" t="s">
        <v>1945</v>
      </c>
      <c r="C302" t="s">
        <v>1139</v>
      </c>
      <c r="D302" t="s">
        <v>65</v>
      </c>
      <c r="E302">
        <v>122</v>
      </c>
      <c r="F302" t="s">
        <v>1469</v>
      </c>
      <c r="G302">
        <v>134.20000000000002</v>
      </c>
      <c r="H302" t="s">
        <v>1629</v>
      </c>
    </row>
    <row r="303" spans="1:8" x14ac:dyDescent="0.35">
      <c r="A303" t="s">
        <v>259</v>
      </c>
      <c r="B303" t="s">
        <v>1945</v>
      </c>
      <c r="C303" t="s">
        <v>1139</v>
      </c>
      <c r="D303" t="s">
        <v>17</v>
      </c>
      <c r="E303">
        <v>72</v>
      </c>
      <c r="F303" t="s">
        <v>1822</v>
      </c>
      <c r="G303">
        <v>79.2</v>
      </c>
      <c r="H303" t="s">
        <v>1855</v>
      </c>
    </row>
    <row r="304" spans="1:8" x14ac:dyDescent="0.35">
      <c r="A304" t="s">
        <v>262</v>
      </c>
      <c r="B304" t="s">
        <v>954</v>
      </c>
      <c r="C304" t="s">
        <v>945</v>
      </c>
      <c r="D304" t="s">
        <v>113</v>
      </c>
      <c r="E304">
        <v>89</v>
      </c>
      <c r="F304" t="s">
        <v>1623</v>
      </c>
      <c r="G304">
        <v>97.9</v>
      </c>
      <c r="H304" t="s">
        <v>1631</v>
      </c>
    </row>
    <row r="305" spans="1:8" x14ac:dyDescent="0.35">
      <c r="A305" t="s">
        <v>225</v>
      </c>
      <c r="B305" t="s">
        <v>1946</v>
      </c>
      <c r="C305" t="s">
        <v>1262</v>
      </c>
      <c r="D305" t="s">
        <v>47</v>
      </c>
      <c r="E305">
        <v>96</v>
      </c>
      <c r="F305" t="s">
        <v>1609</v>
      </c>
      <c r="G305">
        <v>105.60000000000001</v>
      </c>
      <c r="H305" t="s">
        <v>1632</v>
      </c>
    </row>
    <row r="306" spans="1:8" x14ac:dyDescent="0.35">
      <c r="A306" t="s">
        <v>256</v>
      </c>
      <c r="B306" t="s">
        <v>1241</v>
      </c>
      <c r="C306" t="s">
        <v>1244</v>
      </c>
      <c r="D306" t="s">
        <v>84</v>
      </c>
      <c r="E306">
        <v>40</v>
      </c>
      <c r="F306" t="s">
        <v>1554</v>
      </c>
      <c r="G306">
        <v>44</v>
      </c>
      <c r="H306" t="s">
        <v>1856</v>
      </c>
    </row>
    <row r="307" spans="1:8" x14ac:dyDescent="0.35">
      <c r="A307" t="s">
        <v>256</v>
      </c>
      <c r="B307" t="s">
        <v>1241</v>
      </c>
      <c r="C307" t="s">
        <v>1244</v>
      </c>
      <c r="D307" t="s">
        <v>8</v>
      </c>
      <c r="E307">
        <v>2</v>
      </c>
      <c r="F307" t="s">
        <v>1424</v>
      </c>
      <c r="G307">
        <v>2.2000000000000002</v>
      </c>
      <c r="H307">
        <v>2</v>
      </c>
    </row>
    <row r="308" spans="1:8" x14ac:dyDescent="0.35">
      <c r="A308" t="s">
        <v>172</v>
      </c>
      <c r="B308" t="s">
        <v>1317</v>
      </c>
      <c r="C308" t="s">
        <v>1401</v>
      </c>
      <c r="D308" t="s">
        <v>93</v>
      </c>
      <c r="E308">
        <v>75</v>
      </c>
      <c r="F308" t="s">
        <v>1420</v>
      </c>
      <c r="G308">
        <v>82.5</v>
      </c>
      <c r="H308">
        <v>75</v>
      </c>
    </row>
    <row r="309" spans="1:8" x14ac:dyDescent="0.35">
      <c r="A309" t="s">
        <v>194</v>
      </c>
      <c r="B309" t="s">
        <v>1947</v>
      </c>
      <c r="C309" t="s">
        <v>1349</v>
      </c>
      <c r="D309" t="s">
        <v>101</v>
      </c>
      <c r="E309">
        <v>157</v>
      </c>
      <c r="F309" t="s">
        <v>1585</v>
      </c>
      <c r="G309">
        <v>172.70000000000002</v>
      </c>
      <c r="H309" t="s">
        <v>1633</v>
      </c>
    </row>
    <row r="310" spans="1:8" x14ac:dyDescent="0.35">
      <c r="A310" t="s">
        <v>190</v>
      </c>
      <c r="B310" t="s">
        <v>1934</v>
      </c>
      <c r="C310" t="s">
        <v>1065</v>
      </c>
      <c r="D310" t="s">
        <v>25</v>
      </c>
      <c r="E310">
        <v>378</v>
      </c>
      <c r="F310" t="s">
        <v>1624</v>
      </c>
      <c r="G310">
        <v>415.8</v>
      </c>
      <c r="H310" t="s">
        <v>1634</v>
      </c>
    </row>
    <row r="311" spans="1:8" x14ac:dyDescent="0.35">
      <c r="A311" t="s">
        <v>190</v>
      </c>
      <c r="B311" t="s">
        <v>1934</v>
      </c>
      <c r="C311" t="s">
        <v>1063</v>
      </c>
      <c r="D311" t="s">
        <v>98</v>
      </c>
      <c r="E311">
        <v>97</v>
      </c>
      <c r="F311" t="s">
        <v>1625</v>
      </c>
      <c r="G311">
        <v>106.7</v>
      </c>
      <c r="H311" t="s">
        <v>1635</v>
      </c>
    </row>
    <row r="312" spans="1:8" x14ac:dyDescent="0.35">
      <c r="A312" t="s">
        <v>190</v>
      </c>
      <c r="B312" t="s">
        <v>1934</v>
      </c>
      <c r="C312" t="s">
        <v>1063</v>
      </c>
      <c r="D312" t="s">
        <v>45</v>
      </c>
      <c r="E312">
        <v>156</v>
      </c>
      <c r="F312" t="s">
        <v>1541</v>
      </c>
      <c r="G312">
        <v>171.60000000000002</v>
      </c>
      <c r="H312" t="s">
        <v>1591</v>
      </c>
    </row>
    <row r="313" spans="1:8" x14ac:dyDescent="0.35">
      <c r="A313" t="s">
        <v>255</v>
      </c>
      <c r="B313" t="s">
        <v>1948</v>
      </c>
      <c r="C313" t="s">
        <v>919</v>
      </c>
      <c r="D313" t="s">
        <v>79</v>
      </c>
      <c r="E313">
        <v>62</v>
      </c>
      <c r="F313" t="s">
        <v>1626</v>
      </c>
      <c r="G313">
        <v>68.2</v>
      </c>
      <c r="H313" t="s">
        <v>1636</v>
      </c>
    </row>
    <row r="314" spans="1:8" x14ac:dyDescent="0.35">
      <c r="D314" t="s">
        <v>254</v>
      </c>
      <c r="E314">
        <v>1533</v>
      </c>
    </row>
    <row r="317" spans="1:8" x14ac:dyDescent="0.35">
      <c r="A317" t="s">
        <v>1854</v>
      </c>
    </row>
    <row r="318" spans="1:8" x14ac:dyDescent="0.35">
      <c r="A318" t="s">
        <v>1898</v>
      </c>
    </row>
    <row r="319" spans="1:8" x14ac:dyDescent="0.35">
      <c r="A319" t="s">
        <v>6</v>
      </c>
      <c r="B319" t="s">
        <v>5</v>
      </c>
      <c r="C319" t="s">
        <v>4</v>
      </c>
      <c r="D319" t="s">
        <v>3</v>
      </c>
      <c r="E319" t="s">
        <v>2</v>
      </c>
      <c r="F319" t="s">
        <v>1</v>
      </c>
      <c r="G319" t="s">
        <v>0</v>
      </c>
    </row>
    <row r="320" spans="1:8" x14ac:dyDescent="0.35">
      <c r="A320" t="s">
        <v>253</v>
      </c>
      <c r="B320" t="s">
        <v>1030</v>
      </c>
      <c r="C320" t="s">
        <v>976</v>
      </c>
      <c r="D320" t="s">
        <v>117</v>
      </c>
      <c r="E320">
        <v>63</v>
      </c>
      <c r="F320" t="s">
        <v>1637</v>
      </c>
      <c r="G320">
        <v>69.300000000000011</v>
      </c>
      <c r="H320" t="s">
        <v>1640</v>
      </c>
    </row>
    <row r="321" spans="1:8" x14ac:dyDescent="0.35">
      <c r="A321" t="s">
        <v>253</v>
      </c>
      <c r="B321" t="s">
        <v>1030</v>
      </c>
      <c r="C321" t="s">
        <v>976</v>
      </c>
      <c r="D321" t="s">
        <v>77</v>
      </c>
      <c r="E321">
        <v>147</v>
      </c>
      <c r="F321" t="s">
        <v>1585</v>
      </c>
      <c r="G321">
        <v>161.70000000000002</v>
      </c>
      <c r="H321" t="s">
        <v>1619</v>
      </c>
    </row>
    <row r="322" spans="1:8" x14ac:dyDescent="0.35">
      <c r="A322" t="s">
        <v>253</v>
      </c>
      <c r="B322" t="s">
        <v>1030</v>
      </c>
      <c r="C322" t="s">
        <v>976</v>
      </c>
      <c r="D322" t="s">
        <v>38</v>
      </c>
      <c r="E322">
        <v>23</v>
      </c>
      <c r="F322" t="s">
        <v>1424</v>
      </c>
      <c r="G322">
        <v>25.3</v>
      </c>
      <c r="H322">
        <v>23</v>
      </c>
    </row>
    <row r="323" spans="1:8" x14ac:dyDescent="0.35">
      <c r="A323" t="s">
        <v>252</v>
      </c>
      <c r="B323" t="s">
        <v>1949</v>
      </c>
      <c r="C323" t="s">
        <v>976</v>
      </c>
      <c r="D323" t="s">
        <v>150</v>
      </c>
      <c r="E323">
        <v>32</v>
      </c>
      <c r="F323" t="s">
        <v>1450</v>
      </c>
      <c r="G323">
        <v>35.200000000000003</v>
      </c>
      <c r="H323">
        <v>32</v>
      </c>
    </row>
    <row r="324" spans="1:8" x14ac:dyDescent="0.35">
      <c r="A324" t="s">
        <v>250</v>
      </c>
      <c r="B324" t="s">
        <v>995</v>
      </c>
      <c r="C324" t="s">
        <v>959</v>
      </c>
      <c r="D324" t="s">
        <v>91</v>
      </c>
      <c r="E324">
        <v>184</v>
      </c>
      <c r="F324" t="s">
        <v>1417</v>
      </c>
      <c r="G324">
        <v>202.4</v>
      </c>
      <c r="H324" t="s">
        <v>1641</v>
      </c>
    </row>
    <row r="325" spans="1:8" x14ac:dyDescent="0.35">
      <c r="A325" t="s">
        <v>250</v>
      </c>
      <c r="B325" t="s">
        <v>996</v>
      </c>
      <c r="C325" t="s">
        <v>959</v>
      </c>
      <c r="D325" t="s">
        <v>130</v>
      </c>
      <c r="E325">
        <v>121</v>
      </c>
      <c r="F325" t="s">
        <v>1469</v>
      </c>
      <c r="G325">
        <v>133.10000000000002</v>
      </c>
      <c r="H325" t="s">
        <v>1642</v>
      </c>
    </row>
    <row r="326" spans="1:8" x14ac:dyDescent="0.35">
      <c r="A326" t="s">
        <v>324</v>
      </c>
      <c r="B326" t="s">
        <v>1950</v>
      </c>
      <c r="C326" t="s">
        <v>982</v>
      </c>
      <c r="D326" t="s">
        <v>31</v>
      </c>
      <c r="E326">
        <v>41</v>
      </c>
      <c r="F326" t="s">
        <v>1638</v>
      </c>
      <c r="G326">
        <v>45.1</v>
      </c>
      <c r="H326" t="s">
        <v>1643</v>
      </c>
    </row>
    <row r="327" spans="1:8" x14ac:dyDescent="0.35">
      <c r="A327" t="s">
        <v>671</v>
      </c>
      <c r="B327" t="s">
        <v>1951</v>
      </c>
      <c r="C327" t="s">
        <v>1150</v>
      </c>
      <c r="D327" t="s">
        <v>57</v>
      </c>
      <c r="E327">
        <v>200</v>
      </c>
      <c r="F327" t="s">
        <v>1857</v>
      </c>
      <c r="G327">
        <v>220.00000000000003</v>
      </c>
      <c r="H327" t="s">
        <v>1858</v>
      </c>
    </row>
    <row r="328" spans="1:8" x14ac:dyDescent="0.35">
      <c r="A328" t="s">
        <v>128</v>
      </c>
      <c r="B328" t="s">
        <v>1901</v>
      </c>
      <c r="C328" t="s">
        <v>1270</v>
      </c>
      <c r="D328" t="s">
        <v>27</v>
      </c>
      <c r="E328">
        <v>254</v>
      </c>
      <c r="F328" t="s">
        <v>1598</v>
      </c>
      <c r="G328">
        <v>279.40000000000003</v>
      </c>
      <c r="H328" t="s">
        <v>1614</v>
      </c>
    </row>
    <row r="329" spans="1:8" x14ac:dyDescent="0.35">
      <c r="A329" t="s">
        <v>351</v>
      </c>
      <c r="B329" t="s">
        <v>1952</v>
      </c>
      <c r="C329" t="s">
        <v>925</v>
      </c>
      <c r="D329" t="s">
        <v>33</v>
      </c>
      <c r="E329">
        <v>65</v>
      </c>
      <c r="F329" t="s">
        <v>1639</v>
      </c>
      <c r="G329">
        <v>71.5</v>
      </c>
      <c r="H329" t="s">
        <v>1644</v>
      </c>
    </row>
    <row r="330" spans="1:8" x14ac:dyDescent="0.35">
      <c r="A330" t="s">
        <v>350</v>
      </c>
      <c r="B330" t="s">
        <v>1952</v>
      </c>
      <c r="C330" t="s">
        <v>925</v>
      </c>
      <c r="D330" t="s">
        <v>120</v>
      </c>
      <c r="E330">
        <v>55</v>
      </c>
      <c r="F330" t="s">
        <v>1422</v>
      </c>
      <c r="G330">
        <v>60.500000000000007</v>
      </c>
      <c r="H330">
        <v>55</v>
      </c>
    </row>
    <row r="331" spans="1:8" x14ac:dyDescent="0.35">
      <c r="A331" t="s">
        <v>174</v>
      </c>
      <c r="B331" t="s">
        <v>1075</v>
      </c>
      <c r="C331" t="s">
        <v>1071</v>
      </c>
      <c r="D331" t="s">
        <v>137</v>
      </c>
      <c r="E331">
        <v>69</v>
      </c>
      <c r="F331" t="s">
        <v>1513</v>
      </c>
      <c r="G331">
        <v>75.900000000000006</v>
      </c>
      <c r="H331" t="s">
        <v>1646</v>
      </c>
    </row>
    <row r="332" spans="1:8" x14ac:dyDescent="0.35">
      <c r="A332" t="s">
        <v>248</v>
      </c>
      <c r="B332" t="s">
        <v>905</v>
      </c>
      <c r="C332" t="s">
        <v>874</v>
      </c>
      <c r="D332" t="s">
        <v>36</v>
      </c>
      <c r="E332">
        <v>82</v>
      </c>
      <c r="F332" t="s">
        <v>1485</v>
      </c>
      <c r="G332">
        <v>90.2</v>
      </c>
      <c r="H332" t="s">
        <v>1499</v>
      </c>
    </row>
    <row r="333" spans="1:8" x14ac:dyDescent="0.35">
      <c r="A333" t="s">
        <v>234</v>
      </c>
      <c r="B333" t="s">
        <v>1239</v>
      </c>
      <c r="C333" t="s">
        <v>1220</v>
      </c>
      <c r="D333" t="s">
        <v>69</v>
      </c>
      <c r="E333">
        <v>59</v>
      </c>
      <c r="F333" t="s">
        <v>1524</v>
      </c>
      <c r="G333">
        <v>64.900000000000006</v>
      </c>
      <c r="H333" t="s">
        <v>1647</v>
      </c>
    </row>
    <row r="336" spans="1:8" x14ac:dyDescent="0.35">
      <c r="D336" t="s">
        <v>246</v>
      </c>
      <c r="E336">
        <v>1336</v>
      </c>
    </row>
    <row r="339" spans="1:8" x14ac:dyDescent="0.35">
      <c r="A339" t="s">
        <v>1854</v>
      </c>
    </row>
    <row r="340" spans="1:8" x14ac:dyDescent="0.35">
      <c r="A340" t="s">
        <v>1904</v>
      </c>
    </row>
    <row r="341" spans="1:8" x14ac:dyDescent="0.35">
      <c r="A341" t="s">
        <v>6</v>
      </c>
      <c r="B341" t="s">
        <v>5</v>
      </c>
      <c r="C341" t="s">
        <v>4</v>
      </c>
      <c r="D341" t="s">
        <v>3</v>
      </c>
      <c r="E341" t="s">
        <v>2</v>
      </c>
      <c r="F341" t="s">
        <v>245</v>
      </c>
      <c r="G341" t="s">
        <v>0</v>
      </c>
    </row>
    <row r="342" spans="1:8" x14ac:dyDescent="0.35">
      <c r="A342" t="s">
        <v>244</v>
      </c>
      <c r="B342" t="s">
        <v>1953</v>
      </c>
      <c r="C342" t="s">
        <v>931</v>
      </c>
      <c r="D342" t="s">
        <v>107</v>
      </c>
      <c r="E342">
        <v>115</v>
      </c>
      <c r="F342" t="s">
        <v>1471</v>
      </c>
      <c r="G342">
        <v>126.50000000000001</v>
      </c>
      <c r="H342" t="s">
        <v>1652</v>
      </c>
    </row>
    <row r="343" spans="1:8" x14ac:dyDescent="0.35">
      <c r="A343" t="s">
        <v>243</v>
      </c>
      <c r="B343" t="s">
        <v>1288</v>
      </c>
      <c r="C343" t="s">
        <v>1289</v>
      </c>
      <c r="D343" t="s">
        <v>242</v>
      </c>
      <c r="E343">
        <v>62</v>
      </c>
      <c r="F343" t="s">
        <v>1648</v>
      </c>
      <c r="G343">
        <v>68.2</v>
      </c>
      <c r="H343" t="s">
        <v>1653</v>
      </c>
    </row>
    <row r="344" spans="1:8" x14ac:dyDescent="0.35">
      <c r="A344" t="s">
        <v>241</v>
      </c>
      <c r="B344" t="s">
        <v>1131</v>
      </c>
      <c r="C344" t="s">
        <v>1132</v>
      </c>
      <c r="D344" t="s">
        <v>23</v>
      </c>
      <c r="E344">
        <v>139</v>
      </c>
      <c r="F344" t="s">
        <v>1649</v>
      </c>
      <c r="G344">
        <v>152.9</v>
      </c>
      <c r="H344" t="s">
        <v>1654</v>
      </c>
    </row>
    <row r="345" spans="1:8" x14ac:dyDescent="0.35">
      <c r="A345" t="s">
        <v>239</v>
      </c>
      <c r="B345" t="s">
        <v>1931</v>
      </c>
      <c r="C345" t="s">
        <v>1007</v>
      </c>
      <c r="D345" t="s">
        <v>157</v>
      </c>
      <c r="E345">
        <v>75</v>
      </c>
      <c r="F345" t="s">
        <v>1420</v>
      </c>
      <c r="G345">
        <v>82.5</v>
      </c>
      <c r="H345">
        <v>75</v>
      </c>
    </row>
    <row r="346" spans="1:8" x14ac:dyDescent="0.35">
      <c r="A346" t="s">
        <v>238</v>
      </c>
      <c r="B346" t="s">
        <v>1954</v>
      </c>
      <c r="C346" t="s">
        <v>852</v>
      </c>
      <c r="D346" t="s">
        <v>168</v>
      </c>
      <c r="E346">
        <v>180</v>
      </c>
      <c r="F346" t="s">
        <v>1414</v>
      </c>
      <c r="G346">
        <v>198.00000000000003</v>
      </c>
      <c r="H346">
        <v>180</v>
      </c>
    </row>
    <row r="347" spans="1:8" x14ac:dyDescent="0.35">
      <c r="A347" t="s">
        <v>237</v>
      </c>
      <c r="B347" t="s">
        <v>1955</v>
      </c>
      <c r="C347" t="s">
        <v>1328</v>
      </c>
      <c r="D347" t="s">
        <v>88</v>
      </c>
      <c r="E347">
        <v>108</v>
      </c>
      <c r="F347" t="s">
        <v>1859</v>
      </c>
      <c r="G347">
        <v>118.80000000000001</v>
      </c>
      <c r="H347" t="s">
        <v>1860</v>
      </c>
    </row>
    <row r="348" spans="1:8" x14ac:dyDescent="0.35">
      <c r="A348" t="s">
        <v>772</v>
      </c>
      <c r="B348" t="s">
        <v>1306</v>
      </c>
      <c r="C348" t="s">
        <v>1307</v>
      </c>
      <c r="D348" t="s">
        <v>126</v>
      </c>
      <c r="E348">
        <v>78</v>
      </c>
      <c r="F348" t="s">
        <v>1472</v>
      </c>
      <c r="G348">
        <v>85.800000000000011</v>
      </c>
      <c r="H348" t="s">
        <v>1580</v>
      </c>
    </row>
    <row r="349" spans="1:8" x14ac:dyDescent="0.35">
      <c r="A349" t="s">
        <v>705</v>
      </c>
      <c r="B349" t="s">
        <v>1193</v>
      </c>
      <c r="C349" t="s">
        <v>1194</v>
      </c>
      <c r="D349" t="s">
        <v>196</v>
      </c>
      <c r="E349">
        <v>76</v>
      </c>
      <c r="F349" t="s">
        <v>1650</v>
      </c>
      <c r="G349">
        <v>83.600000000000009</v>
      </c>
      <c r="H349" t="s">
        <v>1655</v>
      </c>
    </row>
    <row r="350" spans="1:8" x14ac:dyDescent="0.35">
      <c r="A350" t="s">
        <v>235</v>
      </c>
      <c r="B350" t="s">
        <v>1157</v>
      </c>
      <c r="C350" t="s">
        <v>1152</v>
      </c>
      <c r="D350" t="s">
        <v>67</v>
      </c>
      <c r="E350">
        <v>226</v>
      </c>
      <c r="F350" t="s">
        <v>1539</v>
      </c>
      <c r="G350">
        <v>248.60000000000002</v>
      </c>
      <c r="H350" t="s">
        <v>1656</v>
      </c>
    </row>
    <row r="351" spans="1:8" x14ac:dyDescent="0.35">
      <c r="A351" t="s">
        <v>234</v>
      </c>
      <c r="B351" t="s">
        <v>1239</v>
      </c>
      <c r="C351" t="s">
        <v>1218</v>
      </c>
      <c r="D351" t="s">
        <v>71</v>
      </c>
      <c r="E351">
        <v>119</v>
      </c>
      <c r="F351" t="s">
        <v>1471</v>
      </c>
      <c r="G351">
        <v>130.9</v>
      </c>
      <c r="H351" t="s">
        <v>1657</v>
      </c>
    </row>
    <row r="352" spans="1:8" x14ac:dyDescent="0.35">
      <c r="A352" t="s">
        <v>232</v>
      </c>
      <c r="B352" t="s">
        <v>1105</v>
      </c>
      <c r="C352" t="s">
        <v>1090</v>
      </c>
      <c r="D352" t="s">
        <v>62</v>
      </c>
      <c r="E352">
        <v>156</v>
      </c>
      <c r="F352" t="s">
        <v>1651</v>
      </c>
      <c r="G352">
        <v>171.60000000000002</v>
      </c>
      <c r="H352" t="s">
        <v>1562</v>
      </c>
    </row>
    <row r="353" spans="1:8" x14ac:dyDescent="0.35">
      <c r="D353" t="s">
        <v>230</v>
      </c>
      <c r="E353">
        <v>1334</v>
      </c>
    </row>
    <row r="356" spans="1:8" x14ac:dyDescent="0.35">
      <c r="A356" t="s">
        <v>1854</v>
      </c>
    </row>
    <row r="357" spans="1:8" x14ac:dyDescent="0.35">
      <c r="A357" t="s">
        <v>1911</v>
      </c>
    </row>
    <row r="358" spans="1:8" x14ac:dyDescent="0.35">
      <c r="A358" t="s">
        <v>6</v>
      </c>
      <c r="B358" t="s">
        <v>5</v>
      </c>
      <c r="C358" t="s">
        <v>4</v>
      </c>
      <c r="D358" t="s">
        <v>3</v>
      </c>
      <c r="E358" t="s">
        <v>2</v>
      </c>
      <c r="F358" t="s">
        <v>1</v>
      </c>
      <c r="G358" t="s">
        <v>0</v>
      </c>
    </row>
    <row r="359" spans="1:8" x14ac:dyDescent="0.35">
      <c r="A359" t="s">
        <v>229</v>
      </c>
      <c r="B359" t="s">
        <v>1956</v>
      </c>
      <c r="C359" t="s">
        <v>1177</v>
      </c>
      <c r="D359" t="s">
        <v>46</v>
      </c>
      <c r="E359">
        <v>60</v>
      </c>
      <c r="F359" t="s">
        <v>1420</v>
      </c>
      <c r="G359">
        <v>66</v>
      </c>
      <c r="H359">
        <v>60</v>
      </c>
    </row>
    <row r="360" spans="1:8" x14ac:dyDescent="0.35">
      <c r="A360" t="s">
        <v>229</v>
      </c>
      <c r="B360" t="s">
        <v>1956</v>
      </c>
      <c r="C360" t="s">
        <v>1361</v>
      </c>
      <c r="D360" t="s">
        <v>47</v>
      </c>
      <c r="E360">
        <v>12</v>
      </c>
      <c r="F360">
        <v>303</v>
      </c>
      <c r="G360">
        <v>13.200000000000001</v>
      </c>
      <c r="H360">
        <v>12</v>
      </c>
    </row>
    <row r="361" spans="1:8" x14ac:dyDescent="0.35">
      <c r="A361" t="s">
        <v>229</v>
      </c>
      <c r="B361" t="s">
        <v>1956</v>
      </c>
      <c r="C361" t="s">
        <v>1177</v>
      </c>
      <c r="D361" t="s">
        <v>44</v>
      </c>
      <c r="E361">
        <v>32</v>
      </c>
      <c r="F361" t="s">
        <v>1452</v>
      </c>
      <c r="G361">
        <v>35.200000000000003</v>
      </c>
      <c r="H361">
        <v>32</v>
      </c>
    </row>
    <row r="362" spans="1:8" x14ac:dyDescent="0.35">
      <c r="A362" t="s">
        <v>229</v>
      </c>
      <c r="B362" t="s">
        <v>1956</v>
      </c>
      <c r="C362" t="s">
        <v>1364</v>
      </c>
      <c r="D362" t="s">
        <v>45</v>
      </c>
      <c r="E362">
        <v>27</v>
      </c>
      <c r="F362" t="s">
        <v>1424</v>
      </c>
      <c r="G362">
        <v>29.700000000000003</v>
      </c>
      <c r="H362">
        <v>27</v>
      </c>
    </row>
    <row r="363" spans="1:8" x14ac:dyDescent="0.35">
      <c r="A363" t="s">
        <v>229</v>
      </c>
      <c r="B363" t="s">
        <v>1956</v>
      </c>
      <c r="C363" t="s">
        <v>1180</v>
      </c>
      <c r="D363" t="s">
        <v>42</v>
      </c>
      <c r="E363">
        <v>9</v>
      </c>
      <c r="F363" t="s">
        <v>1432</v>
      </c>
      <c r="G363">
        <v>9.9</v>
      </c>
      <c r="H363">
        <v>9</v>
      </c>
    </row>
    <row r="364" spans="1:8" x14ac:dyDescent="0.35">
      <c r="A364" t="s">
        <v>229</v>
      </c>
      <c r="B364" t="s">
        <v>1956</v>
      </c>
      <c r="C364" t="s">
        <v>1177</v>
      </c>
      <c r="D364" t="s">
        <v>40</v>
      </c>
      <c r="E364">
        <v>20</v>
      </c>
      <c r="F364" t="s">
        <v>1436</v>
      </c>
      <c r="G364">
        <v>22</v>
      </c>
      <c r="H364">
        <v>20</v>
      </c>
    </row>
    <row r="365" spans="1:8" x14ac:dyDescent="0.35">
      <c r="A365" t="s">
        <v>229</v>
      </c>
      <c r="B365" t="s">
        <v>1956</v>
      </c>
      <c r="C365" t="s">
        <v>1177</v>
      </c>
      <c r="D365" t="s">
        <v>49</v>
      </c>
      <c r="E365">
        <v>7</v>
      </c>
      <c r="F365" t="s">
        <v>1435</v>
      </c>
      <c r="G365">
        <v>7.7000000000000011</v>
      </c>
      <c r="H365">
        <v>7</v>
      </c>
    </row>
    <row r="366" spans="1:8" x14ac:dyDescent="0.35">
      <c r="A366" t="s">
        <v>229</v>
      </c>
      <c r="B366" t="s">
        <v>1956</v>
      </c>
      <c r="C366" t="s">
        <v>1177</v>
      </c>
      <c r="D366" t="s">
        <v>48</v>
      </c>
      <c r="E366">
        <v>37</v>
      </c>
      <c r="F366" t="s">
        <v>1554</v>
      </c>
      <c r="G366">
        <v>40.700000000000003</v>
      </c>
      <c r="H366" t="s">
        <v>1658</v>
      </c>
    </row>
    <row r="367" spans="1:8" x14ac:dyDescent="0.35">
      <c r="A367" t="s">
        <v>228</v>
      </c>
      <c r="B367" t="s">
        <v>952</v>
      </c>
      <c r="C367" t="s">
        <v>953</v>
      </c>
      <c r="D367" t="s">
        <v>18</v>
      </c>
      <c r="E367">
        <v>61</v>
      </c>
      <c r="F367" t="s">
        <v>1549</v>
      </c>
      <c r="G367">
        <v>67.100000000000009</v>
      </c>
      <c r="H367" t="s">
        <v>1659</v>
      </c>
    </row>
    <row r="368" spans="1:8" x14ac:dyDescent="0.35">
      <c r="A368" t="s">
        <v>228</v>
      </c>
      <c r="B368" t="s">
        <v>952</v>
      </c>
      <c r="C368" t="s">
        <v>1174</v>
      </c>
      <c r="D368" t="s">
        <v>177</v>
      </c>
      <c r="E368">
        <v>84</v>
      </c>
      <c r="F368" t="s">
        <v>1485</v>
      </c>
      <c r="G368">
        <v>92.4</v>
      </c>
      <c r="H368" t="s">
        <v>1487</v>
      </c>
    </row>
    <row r="369" spans="1:8" x14ac:dyDescent="0.35">
      <c r="A369" t="s">
        <v>227</v>
      </c>
      <c r="B369" t="s">
        <v>952</v>
      </c>
      <c r="C369" t="s">
        <v>953</v>
      </c>
      <c r="D369" t="s">
        <v>113</v>
      </c>
      <c r="E369">
        <v>89</v>
      </c>
      <c r="F369" t="s">
        <v>1566</v>
      </c>
      <c r="G369">
        <v>97.9</v>
      </c>
      <c r="H369" t="s">
        <v>1660</v>
      </c>
    </row>
    <row r="370" spans="1:8" x14ac:dyDescent="0.35">
      <c r="A370" t="s">
        <v>226</v>
      </c>
      <c r="B370" t="s">
        <v>1957</v>
      </c>
      <c r="C370" t="s">
        <v>1171</v>
      </c>
      <c r="D370" t="s">
        <v>20</v>
      </c>
      <c r="E370">
        <v>255</v>
      </c>
      <c r="F370" t="s">
        <v>1540</v>
      </c>
      <c r="G370">
        <v>280.5</v>
      </c>
      <c r="H370" t="s">
        <v>1544</v>
      </c>
    </row>
    <row r="371" spans="1:8" x14ac:dyDescent="0.35">
      <c r="A371" t="s">
        <v>226</v>
      </c>
      <c r="B371" t="s">
        <v>1957</v>
      </c>
      <c r="C371" t="s">
        <v>1171</v>
      </c>
      <c r="D371" t="s">
        <v>25</v>
      </c>
      <c r="E371">
        <v>378</v>
      </c>
      <c r="F371" t="s">
        <v>1624</v>
      </c>
      <c r="G371">
        <v>415.8</v>
      </c>
      <c r="H371" t="s">
        <v>1634</v>
      </c>
    </row>
    <row r="372" spans="1:8" x14ac:dyDescent="0.35">
      <c r="A372" t="s">
        <v>224</v>
      </c>
      <c r="B372" t="s">
        <v>1958</v>
      </c>
      <c r="C372" t="s">
        <v>1273</v>
      </c>
      <c r="D372" t="s">
        <v>64</v>
      </c>
      <c r="E372">
        <v>227</v>
      </c>
      <c r="F372" t="s">
        <v>1600</v>
      </c>
      <c r="G372">
        <v>249.70000000000002</v>
      </c>
      <c r="H372" t="s">
        <v>1661</v>
      </c>
    </row>
    <row r="373" spans="1:8" x14ac:dyDescent="0.35">
      <c r="A373" t="s">
        <v>733</v>
      </c>
      <c r="B373" t="s">
        <v>1242</v>
      </c>
      <c r="C373" t="s">
        <v>1243</v>
      </c>
      <c r="D373" t="s">
        <v>84</v>
      </c>
      <c r="E373">
        <v>9</v>
      </c>
      <c r="F373">
        <v>206</v>
      </c>
      <c r="G373">
        <v>9.9</v>
      </c>
      <c r="H373">
        <v>9</v>
      </c>
    </row>
    <row r="374" spans="1:8" x14ac:dyDescent="0.35">
      <c r="A374" t="s">
        <v>218</v>
      </c>
      <c r="B374" t="s">
        <v>1959</v>
      </c>
      <c r="C374" t="s">
        <v>1083</v>
      </c>
      <c r="D374" t="s">
        <v>217</v>
      </c>
      <c r="E374">
        <v>105</v>
      </c>
      <c r="F374" t="s">
        <v>1471</v>
      </c>
      <c r="G374">
        <v>115.50000000000001</v>
      </c>
      <c r="H374" t="s">
        <v>1662</v>
      </c>
    </row>
    <row r="375" spans="1:8" x14ac:dyDescent="0.35">
      <c r="A375" t="s">
        <v>589</v>
      </c>
      <c r="B375" t="s">
        <v>1960</v>
      </c>
      <c r="C375" t="s">
        <v>967</v>
      </c>
      <c r="D375" t="s">
        <v>96</v>
      </c>
      <c r="E375">
        <v>68</v>
      </c>
      <c r="F375" t="s">
        <v>1549</v>
      </c>
      <c r="G375">
        <v>74.800000000000011</v>
      </c>
      <c r="H375" t="s">
        <v>1663</v>
      </c>
    </row>
    <row r="376" spans="1:8" x14ac:dyDescent="0.35">
      <c r="A376" t="s">
        <v>223</v>
      </c>
      <c r="B376" t="s">
        <v>1003</v>
      </c>
      <c r="C376" t="s">
        <v>994</v>
      </c>
      <c r="D376" t="s">
        <v>91</v>
      </c>
      <c r="E376">
        <v>4</v>
      </c>
      <c r="F376">
        <v>304</v>
      </c>
      <c r="G376">
        <v>4.4000000000000004</v>
      </c>
      <c r="H376">
        <v>4</v>
      </c>
    </row>
    <row r="377" spans="1:8" x14ac:dyDescent="0.35">
      <c r="D377" t="s">
        <v>221</v>
      </c>
      <c r="E377">
        <v>1484</v>
      </c>
    </row>
    <row r="380" spans="1:8" x14ac:dyDescent="0.35">
      <c r="A380" t="s">
        <v>1854</v>
      </c>
    </row>
    <row r="381" spans="1:8" x14ac:dyDescent="0.35">
      <c r="A381" t="s">
        <v>1367</v>
      </c>
    </row>
    <row r="382" spans="1:8" x14ac:dyDescent="0.35">
      <c r="A382" t="s">
        <v>6</v>
      </c>
      <c r="B382" t="s">
        <v>5</v>
      </c>
      <c r="C382" t="s">
        <v>4</v>
      </c>
      <c r="D382" t="s">
        <v>3</v>
      </c>
      <c r="E382" t="s">
        <v>2</v>
      </c>
      <c r="F382" t="s">
        <v>1</v>
      </c>
      <c r="G382" t="s">
        <v>0</v>
      </c>
    </row>
    <row r="383" spans="1:8" x14ac:dyDescent="0.35">
      <c r="A383" t="s">
        <v>219</v>
      </c>
      <c r="B383" t="s">
        <v>1068</v>
      </c>
      <c r="C383" t="s">
        <v>1069</v>
      </c>
      <c r="D383" t="s">
        <v>137</v>
      </c>
      <c r="E383">
        <v>69</v>
      </c>
      <c r="F383" t="s">
        <v>1648</v>
      </c>
      <c r="G383">
        <v>75.900000000000006</v>
      </c>
      <c r="H383" t="s">
        <v>1646</v>
      </c>
    </row>
    <row r="384" spans="1:8" x14ac:dyDescent="0.35">
      <c r="A384" t="s">
        <v>216</v>
      </c>
      <c r="B384" t="s">
        <v>1225</v>
      </c>
      <c r="C384" t="s">
        <v>1216</v>
      </c>
      <c r="D384" t="s">
        <v>79</v>
      </c>
      <c r="E384">
        <v>42</v>
      </c>
      <c r="F384" t="s">
        <v>1664</v>
      </c>
      <c r="G384">
        <v>46.2</v>
      </c>
      <c r="H384" t="s">
        <v>1525</v>
      </c>
    </row>
    <row r="385" spans="1:8" x14ac:dyDescent="0.35">
      <c r="A385" t="s">
        <v>215</v>
      </c>
      <c r="B385" t="s">
        <v>1961</v>
      </c>
      <c r="C385" t="s">
        <v>1005</v>
      </c>
      <c r="D385" t="s">
        <v>91</v>
      </c>
      <c r="E385">
        <v>54</v>
      </c>
      <c r="F385" t="s">
        <v>1422</v>
      </c>
      <c r="G385">
        <v>59.400000000000006</v>
      </c>
      <c r="H385">
        <v>54</v>
      </c>
    </row>
    <row r="386" spans="1:8" x14ac:dyDescent="0.35">
      <c r="A386" t="s">
        <v>215</v>
      </c>
      <c r="B386" t="s">
        <v>1961</v>
      </c>
      <c r="C386" t="s">
        <v>1005</v>
      </c>
      <c r="D386" t="s">
        <v>93</v>
      </c>
      <c r="E386">
        <v>2</v>
      </c>
      <c r="F386" t="s">
        <v>1424</v>
      </c>
      <c r="G386">
        <v>2.2000000000000002</v>
      </c>
      <c r="H386">
        <v>2</v>
      </c>
    </row>
    <row r="387" spans="1:8" x14ac:dyDescent="0.35">
      <c r="A387" t="s">
        <v>239</v>
      </c>
      <c r="B387" t="s">
        <v>1931</v>
      </c>
      <c r="C387" t="s">
        <v>1007</v>
      </c>
      <c r="D387" t="s">
        <v>176</v>
      </c>
      <c r="E387">
        <v>244</v>
      </c>
      <c r="F387" t="s">
        <v>1600</v>
      </c>
      <c r="G387">
        <v>268.40000000000003</v>
      </c>
      <c r="H387" t="s">
        <v>1666</v>
      </c>
    </row>
    <row r="388" spans="1:8" x14ac:dyDescent="0.35">
      <c r="A388" t="s">
        <v>310</v>
      </c>
      <c r="B388" t="s">
        <v>1117</v>
      </c>
      <c r="C388" t="s">
        <v>1409</v>
      </c>
      <c r="D388" t="s">
        <v>94</v>
      </c>
      <c r="E388">
        <v>107</v>
      </c>
      <c r="F388" t="s">
        <v>1471</v>
      </c>
      <c r="G388">
        <v>117.7</v>
      </c>
      <c r="H388" t="s">
        <v>1667</v>
      </c>
    </row>
    <row r="389" spans="1:8" x14ac:dyDescent="0.35">
      <c r="A389" t="s">
        <v>270</v>
      </c>
      <c r="B389" t="s">
        <v>917</v>
      </c>
      <c r="C389" t="s">
        <v>914</v>
      </c>
      <c r="D389" t="s">
        <v>35</v>
      </c>
      <c r="E389">
        <v>104</v>
      </c>
      <c r="F389" t="s">
        <v>1471</v>
      </c>
      <c r="G389">
        <v>114.4</v>
      </c>
      <c r="H389" t="s">
        <v>1668</v>
      </c>
    </row>
    <row r="390" spans="1:8" x14ac:dyDescent="0.35">
      <c r="A390" t="s">
        <v>269</v>
      </c>
      <c r="B390" t="s">
        <v>913</v>
      </c>
      <c r="C390" t="s">
        <v>914</v>
      </c>
      <c r="D390" t="s">
        <v>104</v>
      </c>
      <c r="E390">
        <v>70</v>
      </c>
      <c r="F390" t="s">
        <v>1414</v>
      </c>
      <c r="G390">
        <v>77</v>
      </c>
      <c r="H390">
        <v>70</v>
      </c>
    </row>
    <row r="391" spans="1:8" x14ac:dyDescent="0.35">
      <c r="A391" t="s">
        <v>268</v>
      </c>
      <c r="B391" t="s">
        <v>883</v>
      </c>
      <c r="C391" t="s">
        <v>914</v>
      </c>
      <c r="D391" t="s">
        <v>53</v>
      </c>
      <c r="E391">
        <v>117</v>
      </c>
      <c r="F391" t="s">
        <v>1587</v>
      </c>
      <c r="G391">
        <v>128.70000000000002</v>
      </c>
      <c r="H391" t="s">
        <v>1669</v>
      </c>
    </row>
    <row r="392" spans="1:8" x14ac:dyDescent="0.35">
      <c r="A392" t="s">
        <v>1382</v>
      </c>
      <c r="B392" t="s">
        <v>836</v>
      </c>
      <c r="C392" t="s">
        <v>837</v>
      </c>
      <c r="D392" t="s">
        <v>10</v>
      </c>
      <c r="E392">
        <v>142</v>
      </c>
      <c r="F392" t="s">
        <v>1585</v>
      </c>
      <c r="G392">
        <v>156.20000000000002</v>
      </c>
      <c r="H392" t="s">
        <v>1645</v>
      </c>
    </row>
    <row r="393" spans="1:8" x14ac:dyDescent="0.35">
      <c r="A393" t="s">
        <v>214</v>
      </c>
      <c r="B393" t="s">
        <v>989</v>
      </c>
      <c r="C393" t="s">
        <v>933</v>
      </c>
      <c r="D393" t="s">
        <v>111</v>
      </c>
      <c r="E393">
        <v>86</v>
      </c>
      <c r="F393" t="s">
        <v>1650</v>
      </c>
      <c r="G393">
        <v>94.600000000000009</v>
      </c>
      <c r="H393" t="s">
        <v>1670</v>
      </c>
    </row>
    <row r="394" spans="1:8" x14ac:dyDescent="0.35">
      <c r="A394" t="s">
        <v>213</v>
      </c>
      <c r="B394" t="s">
        <v>892</v>
      </c>
      <c r="C394" t="s">
        <v>1082</v>
      </c>
      <c r="D394" t="s">
        <v>8</v>
      </c>
      <c r="E394">
        <v>79</v>
      </c>
      <c r="F394" t="s">
        <v>1553</v>
      </c>
      <c r="G394">
        <v>86.9</v>
      </c>
      <c r="H394" t="s">
        <v>1861</v>
      </c>
    </row>
    <row r="395" spans="1:8" x14ac:dyDescent="0.35">
      <c r="A395" t="s">
        <v>207</v>
      </c>
      <c r="B395" t="s">
        <v>979</v>
      </c>
      <c r="C395" t="s">
        <v>980</v>
      </c>
      <c r="D395" t="s">
        <v>31</v>
      </c>
      <c r="E395">
        <v>41</v>
      </c>
      <c r="F395" t="s">
        <v>1862</v>
      </c>
      <c r="G395">
        <v>45.1</v>
      </c>
      <c r="H395" t="s">
        <v>1643</v>
      </c>
    </row>
    <row r="396" spans="1:8" x14ac:dyDescent="0.35">
      <c r="A396" t="s">
        <v>208</v>
      </c>
      <c r="B396" t="s">
        <v>1078</v>
      </c>
      <c r="C396" t="s">
        <v>980</v>
      </c>
      <c r="D396" t="s">
        <v>17</v>
      </c>
      <c r="E396">
        <v>72</v>
      </c>
      <c r="F396" t="s">
        <v>1420</v>
      </c>
      <c r="G396">
        <v>79.2</v>
      </c>
      <c r="H396">
        <v>72</v>
      </c>
    </row>
    <row r="397" spans="1:8" x14ac:dyDescent="0.35">
      <c r="A397" t="s">
        <v>193</v>
      </c>
      <c r="B397" t="s">
        <v>909</v>
      </c>
      <c r="C397" t="s">
        <v>876</v>
      </c>
      <c r="D397" t="s">
        <v>36</v>
      </c>
      <c r="E397">
        <v>82</v>
      </c>
      <c r="F397" t="s">
        <v>1650</v>
      </c>
      <c r="G397">
        <v>90.2</v>
      </c>
      <c r="H397" t="s">
        <v>1671</v>
      </c>
    </row>
    <row r="398" spans="1:8" x14ac:dyDescent="0.35">
      <c r="A398" t="s">
        <v>209</v>
      </c>
      <c r="B398" t="s">
        <v>1962</v>
      </c>
      <c r="C398" t="s">
        <v>980</v>
      </c>
      <c r="D398" t="s">
        <v>11</v>
      </c>
      <c r="E398">
        <v>48</v>
      </c>
      <c r="F398" t="s">
        <v>1665</v>
      </c>
      <c r="G398">
        <v>52.800000000000004</v>
      </c>
      <c r="H398" t="s">
        <v>1672</v>
      </c>
    </row>
    <row r="399" spans="1:8" x14ac:dyDescent="0.35">
      <c r="D399" t="s">
        <v>206</v>
      </c>
      <c r="E399">
        <v>1359</v>
      </c>
    </row>
    <row r="402" spans="1:8" x14ac:dyDescent="0.35">
      <c r="A402" t="s">
        <v>1854</v>
      </c>
    </row>
    <row r="403" spans="1:8" x14ac:dyDescent="0.35">
      <c r="A403" t="s">
        <v>1368</v>
      </c>
    </row>
    <row r="404" spans="1:8" x14ac:dyDescent="0.35">
      <c r="A404" t="s">
        <v>6</v>
      </c>
      <c r="B404" t="s">
        <v>5</v>
      </c>
      <c r="C404" t="s">
        <v>4</v>
      </c>
      <c r="D404" t="s">
        <v>3</v>
      </c>
      <c r="E404" t="s">
        <v>2</v>
      </c>
      <c r="F404" t="s">
        <v>1</v>
      </c>
      <c r="G404" t="s">
        <v>0</v>
      </c>
    </row>
    <row r="405" spans="1:8" x14ac:dyDescent="0.35">
      <c r="A405" t="s">
        <v>205</v>
      </c>
      <c r="B405" t="s">
        <v>865</v>
      </c>
      <c r="C405" t="s">
        <v>867</v>
      </c>
      <c r="D405" t="s">
        <v>60</v>
      </c>
      <c r="E405">
        <v>155</v>
      </c>
      <c r="F405" t="s">
        <v>114</v>
      </c>
      <c r="G405">
        <v>170.5</v>
      </c>
    </row>
    <row r="406" spans="1:8" x14ac:dyDescent="0.35">
      <c r="A406" t="s">
        <v>205</v>
      </c>
      <c r="B406" t="s">
        <v>865</v>
      </c>
      <c r="C406" t="s">
        <v>867</v>
      </c>
      <c r="D406" t="s">
        <v>58</v>
      </c>
      <c r="E406">
        <v>59</v>
      </c>
      <c r="F406" t="s">
        <v>114</v>
      </c>
      <c r="G406">
        <v>64.900000000000006</v>
      </c>
    </row>
    <row r="407" spans="1:8" x14ac:dyDescent="0.35">
      <c r="A407" t="s">
        <v>205</v>
      </c>
      <c r="B407" t="s">
        <v>865</v>
      </c>
      <c r="C407" t="s">
        <v>866</v>
      </c>
      <c r="D407" t="s">
        <v>98</v>
      </c>
      <c r="E407">
        <v>97</v>
      </c>
      <c r="F407" t="s">
        <v>114</v>
      </c>
      <c r="G407">
        <v>106.7</v>
      </c>
    </row>
    <row r="408" spans="1:8" x14ac:dyDescent="0.35">
      <c r="A408" t="s">
        <v>190</v>
      </c>
      <c r="B408" t="s">
        <v>1934</v>
      </c>
      <c r="C408" t="s">
        <v>1059</v>
      </c>
      <c r="D408" t="s">
        <v>101</v>
      </c>
      <c r="E408">
        <v>157</v>
      </c>
      <c r="F408" t="s">
        <v>114</v>
      </c>
      <c r="G408">
        <v>172.70000000000002</v>
      </c>
    </row>
    <row r="409" spans="1:8" x14ac:dyDescent="0.35">
      <c r="A409" t="s">
        <v>190</v>
      </c>
      <c r="B409" t="s">
        <v>1934</v>
      </c>
      <c r="C409" t="s">
        <v>1059</v>
      </c>
      <c r="D409" t="s">
        <v>22</v>
      </c>
      <c r="E409">
        <v>86</v>
      </c>
      <c r="F409" t="s">
        <v>114</v>
      </c>
      <c r="G409">
        <v>94.600000000000009</v>
      </c>
    </row>
    <row r="410" spans="1:8" x14ac:dyDescent="0.35">
      <c r="A410" t="s">
        <v>204</v>
      </c>
      <c r="B410" t="s">
        <v>894</v>
      </c>
      <c r="C410" t="s">
        <v>885</v>
      </c>
      <c r="D410" t="s">
        <v>29</v>
      </c>
      <c r="E410">
        <v>103</v>
      </c>
      <c r="F410" t="s">
        <v>1609</v>
      </c>
      <c r="G410">
        <v>113.30000000000001</v>
      </c>
      <c r="H410" t="s">
        <v>1863</v>
      </c>
    </row>
    <row r="411" spans="1:8" x14ac:dyDescent="0.35">
      <c r="A411" t="s">
        <v>78</v>
      </c>
      <c r="B411" t="s">
        <v>1027</v>
      </c>
      <c r="C411" t="s">
        <v>980</v>
      </c>
      <c r="D411" t="s">
        <v>88</v>
      </c>
      <c r="E411">
        <v>108</v>
      </c>
      <c r="F411" t="s">
        <v>1609</v>
      </c>
      <c r="G411">
        <v>118.80000000000001</v>
      </c>
      <c r="H411" t="s">
        <v>1611</v>
      </c>
    </row>
    <row r="412" spans="1:8" x14ac:dyDescent="0.35">
      <c r="A412" t="s">
        <v>203</v>
      </c>
      <c r="B412" t="s">
        <v>939</v>
      </c>
      <c r="C412" t="s">
        <v>925</v>
      </c>
      <c r="D412" t="s">
        <v>120</v>
      </c>
      <c r="E412">
        <v>55</v>
      </c>
      <c r="F412" t="s">
        <v>1422</v>
      </c>
      <c r="G412">
        <v>60.500000000000007</v>
      </c>
      <c r="H412">
        <v>55</v>
      </c>
    </row>
    <row r="413" spans="1:8" x14ac:dyDescent="0.35">
      <c r="A413" t="s">
        <v>203</v>
      </c>
      <c r="B413" t="s">
        <v>939</v>
      </c>
      <c r="C413" t="s">
        <v>925</v>
      </c>
      <c r="D413" t="s">
        <v>33</v>
      </c>
      <c r="E413">
        <v>65</v>
      </c>
      <c r="F413" t="s">
        <v>1420</v>
      </c>
      <c r="G413">
        <v>71.5</v>
      </c>
      <c r="H413">
        <v>65</v>
      </c>
    </row>
    <row r="414" spans="1:8" x14ac:dyDescent="0.35">
      <c r="A414" t="s">
        <v>202</v>
      </c>
      <c r="B414" t="s">
        <v>1963</v>
      </c>
      <c r="C414" t="s">
        <v>971</v>
      </c>
      <c r="D414" t="s">
        <v>117</v>
      </c>
      <c r="E414">
        <v>63</v>
      </c>
      <c r="F414" t="s">
        <v>1414</v>
      </c>
      <c r="G414">
        <v>69.300000000000011</v>
      </c>
      <c r="H414">
        <v>63</v>
      </c>
    </row>
    <row r="415" spans="1:8" x14ac:dyDescent="0.35">
      <c r="A415" t="s">
        <v>202</v>
      </c>
      <c r="B415" t="s">
        <v>1963</v>
      </c>
      <c r="C415" t="s">
        <v>971</v>
      </c>
      <c r="D415" t="s">
        <v>77</v>
      </c>
      <c r="E415">
        <v>147</v>
      </c>
      <c r="F415" t="s">
        <v>1585</v>
      </c>
      <c r="G415">
        <v>161.70000000000002</v>
      </c>
      <c r="H415" t="s">
        <v>1675</v>
      </c>
    </row>
    <row r="416" spans="1:8" x14ac:dyDescent="0.35">
      <c r="A416" t="s">
        <v>201</v>
      </c>
      <c r="B416" t="s">
        <v>1022</v>
      </c>
      <c r="C416" t="s">
        <v>971</v>
      </c>
      <c r="D416" t="s">
        <v>16</v>
      </c>
      <c r="E416">
        <v>237</v>
      </c>
      <c r="F416" t="s">
        <v>1600</v>
      </c>
      <c r="G416">
        <v>260.70000000000005</v>
      </c>
      <c r="H416" t="s">
        <v>1605</v>
      </c>
    </row>
    <row r="417" spans="1:8" x14ac:dyDescent="0.35">
      <c r="A417" t="s">
        <v>200</v>
      </c>
      <c r="B417" t="s">
        <v>1963</v>
      </c>
      <c r="C417" t="s">
        <v>971</v>
      </c>
      <c r="D417" t="s">
        <v>150</v>
      </c>
      <c r="E417">
        <v>32</v>
      </c>
      <c r="F417" t="s">
        <v>1438</v>
      </c>
      <c r="G417">
        <v>35.200000000000003</v>
      </c>
      <c r="H417">
        <v>32</v>
      </c>
    </row>
    <row r="418" spans="1:8" x14ac:dyDescent="0.35">
      <c r="A418" t="s">
        <v>199</v>
      </c>
      <c r="B418" t="s">
        <v>1964</v>
      </c>
      <c r="C418" t="s">
        <v>971</v>
      </c>
      <c r="D418" t="s">
        <v>38</v>
      </c>
      <c r="E418">
        <v>23</v>
      </c>
      <c r="F418" t="s">
        <v>1424</v>
      </c>
      <c r="G418">
        <v>25.3</v>
      </c>
      <c r="H418">
        <v>23</v>
      </c>
    </row>
    <row r="419" spans="1:8" x14ac:dyDescent="0.35">
      <c r="A419" t="s">
        <v>197</v>
      </c>
      <c r="B419" t="s">
        <v>1965</v>
      </c>
      <c r="C419" t="s">
        <v>1185</v>
      </c>
      <c r="D419" t="s">
        <v>196</v>
      </c>
      <c r="E419">
        <v>60</v>
      </c>
      <c r="F419" t="s">
        <v>1681</v>
      </c>
      <c r="G419">
        <v>66</v>
      </c>
      <c r="H419" t="s">
        <v>1676</v>
      </c>
    </row>
    <row r="420" spans="1:8" x14ac:dyDescent="0.35">
      <c r="A420" t="s">
        <v>195</v>
      </c>
      <c r="B420" t="s">
        <v>1296</v>
      </c>
      <c r="C420" t="s">
        <v>1209</v>
      </c>
      <c r="D420" t="s">
        <v>75</v>
      </c>
      <c r="E420">
        <v>85</v>
      </c>
      <c r="F420" t="s">
        <v>1682</v>
      </c>
      <c r="G420">
        <v>93.500000000000014</v>
      </c>
      <c r="H420" t="s">
        <v>1677</v>
      </c>
    </row>
    <row r="421" spans="1:8" x14ac:dyDescent="0.35">
      <c r="A421" t="s">
        <v>257</v>
      </c>
      <c r="B421" t="s">
        <v>1966</v>
      </c>
      <c r="C421" t="s">
        <v>1335</v>
      </c>
      <c r="D421" t="s">
        <v>109</v>
      </c>
      <c r="E421">
        <v>125</v>
      </c>
      <c r="F421" t="s">
        <v>1471</v>
      </c>
      <c r="G421">
        <v>137.5</v>
      </c>
      <c r="H421" t="s">
        <v>1678</v>
      </c>
    </row>
    <row r="422" spans="1:8" x14ac:dyDescent="0.35">
      <c r="A422" t="s">
        <v>192</v>
      </c>
      <c r="B422" t="s">
        <v>828</v>
      </c>
      <c r="C422" t="s">
        <v>829</v>
      </c>
      <c r="D422" t="s">
        <v>55</v>
      </c>
      <c r="E422">
        <v>141</v>
      </c>
      <c r="F422" t="s">
        <v>1585</v>
      </c>
      <c r="G422">
        <v>155.10000000000002</v>
      </c>
      <c r="H422" t="s">
        <v>1679</v>
      </c>
    </row>
    <row r="423" spans="1:8" x14ac:dyDescent="0.35">
      <c r="A423" t="s">
        <v>124</v>
      </c>
      <c r="B423" t="s">
        <v>1967</v>
      </c>
      <c r="C423" t="s">
        <v>1227</v>
      </c>
      <c r="D423" t="s">
        <v>71</v>
      </c>
      <c r="E423">
        <v>119</v>
      </c>
      <c r="F423" t="s">
        <v>1471</v>
      </c>
      <c r="G423">
        <v>130.9</v>
      </c>
      <c r="H423" t="s">
        <v>1680</v>
      </c>
    </row>
    <row r="424" spans="1:8" x14ac:dyDescent="0.35">
      <c r="A424" t="s">
        <v>124</v>
      </c>
      <c r="B424" t="s">
        <v>1967</v>
      </c>
      <c r="C424" t="s">
        <v>915</v>
      </c>
      <c r="D424" t="s">
        <v>69</v>
      </c>
      <c r="E424">
        <v>59</v>
      </c>
      <c r="F424" t="s">
        <v>1511</v>
      </c>
      <c r="G424">
        <v>64.900000000000006</v>
      </c>
      <c r="H424" t="s">
        <v>1864</v>
      </c>
    </row>
    <row r="425" spans="1:8" x14ac:dyDescent="0.35">
      <c r="D425" t="s">
        <v>191</v>
      </c>
      <c r="E425">
        <v>1422</v>
      </c>
    </row>
    <row r="428" spans="1:8" x14ac:dyDescent="0.35">
      <c r="A428" t="s">
        <v>406</v>
      </c>
    </row>
    <row r="429" spans="1:8" x14ac:dyDescent="0.35">
      <c r="A429" t="s">
        <v>1888</v>
      </c>
    </row>
    <row r="430" spans="1:8" x14ac:dyDescent="0.35">
      <c r="A430" t="s">
        <v>6</v>
      </c>
      <c r="B430" t="s">
        <v>5</v>
      </c>
      <c r="C430" t="s">
        <v>4</v>
      </c>
      <c r="D430" t="s">
        <v>3</v>
      </c>
      <c r="E430" t="s">
        <v>2</v>
      </c>
      <c r="F430" t="s">
        <v>1</v>
      </c>
      <c r="G430" t="s">
        <v>0</v>
      </c>
    </row>
    <row r="431" spans="1:8" x14ac:dyDescent="0.35">
      <c r="A431" t="s">
        <v>190</v>
      </c>
      <c r="B431" t="s">
        <v>1934</v>
      </c>
      <c r="C431" t="s">
        <v>1397</v>
      </c>
      <c r="D431" t="s">
        <v>23</v>
      </c>
      <c r="E431">
        <v>139</v>
      </c>
      <c r="F431" t="s">
        <v>1699</v>
      </c>
      <c r="G431">
        <v>152.9</v>
      </c>
      <c r="H431" t="s">
        <v>1759</v>
      </c>
    </row>
    <row r="432" spans="1:8" x14ac:dyDescent="0.35">
      <c r="A432" t="s">
        <v>190</v>
      </c>
      <c r="B432" t="s">
        <v>1934</v>
      </c>
      <c r="C432" t="s">
        <v>1397</v>
      </c>
      <c r="D432" t="s">
        <v>15</v>
      </c>
      <c r="E432">
        <v>78</v>
      </c>
      <c r="F432" t="s">
        <v>1755</v>
      </c>
      <c r="G432">
        <v>85.800000000000011</v>
      </c>
      <c r="H432" t="s">
        <v>1760</v>
      </c>
    </row>
    <row r="433" spans="1:8" x14ac:dyDescent="0.35">
      <c r="A433" t="s">
        <v>190</v>
      </c>
      <c r="B433" t="s">
        <v>1934</v>
      </c>
      <c r="C433" t="s">
        <v>1397</v>
      </c>
      <c r="D433" t="s">
        <v>60</v>
      </c>
      <c r="E433">
        <v>155</v>
      </c>
      <c r="F433" t="s">
        <v>1541</v>
      </c>
      <c r="G433">
        <v>170.5</v>
      </c>
      <c r="H433" t="s">
        <v>1761</v>
      </c>
    </row>
    <row r="434" spans="1:8" x14ac:dyDescent="0.35">
      <c r="A434" t="s">
        <v>190</v>
      </c>
      <c r="B434" t="s">
        <v>1934</v>
      </c>
      <c r="C434" t="s">
        <v>1397</v>
      </c>
      <c r="D434" t="s">
        <v>176</v>
      </c>
      <c r="E434">
        <v>244</v>
      </c>
      <c r="F434" t="s">
        <v>1686</v>
      </c>
      <c r="G434">
        <v>268.40000000000003</v>
      </c>
      <c r="H434" t="s">
        <v>1762</v>
      </c>
    </row>
    <row r="435" spans="1:8" x14ac:dyDescent="0.35">
      <c r="A435" t="s">
        <v>190</v>
      </c>
      <c r="B435" t="s">
        <v>1934</v>
      </c>
      <c r="C435" t="s">
        <v>1397</v>
      </c>
      <c r="D435" t="s">
        <v>58</v>
      </c>
      <c r="E435">
        <v>59</v>
      </c>
      <c r="F435" t="s">
        <v>1756</v>
      </c>
      <c r="G435">
        <v>64.900000000000006</v>
      </c>
      <c r="H435" t="s">
        <v>1535</v>
      </c>
    </row>
    <row r="436" spans="1:8" x14ac:dyDescent="0.35">
      <c r="A436" t="s">
        <v>190</v>
      </c>
      <c r="B436" t="s">
        <v>1934</v>
      </c>
      <c r="C436" t="s">
        <v>1064</v>
      </c>
      <c r="D436" t="s">
        <v>157</v>
      </c>
      <c r="E436">
        <v>75</v>
      </c>
      <c r="F436" t="s">
        <v>1757</v>
      </c>
      <c r="G436">
        <v>82.5</v>
      </c>
      <c r="H436" t="s">
        <v>1501</v>
      </c>
    </row>
    <row r="437" spans="1:8" x14ac:dyDescent="0.35">
      <c r="A437" t="s">
        <v>190</v>
      </c>
      <c r="B437" t="s">
        <v>1934</v>
      </c>
      <c r="C437" t="s">
        <v>1064</v>
      </c>
      <c r="D437" t="s">
        <v>82</v>
      </c>
      <c r="E437">
        <v>88</v>
      </c>
      <c r="F437" t="s">
        <v>1538</v>
      </c>
      <c r="G437">
        <v>96.800000000000011</v>
      </c>
      <c r="H437" t="s">
        <v>1498</v>
      </c>
    </row>
    <row r="438" spans="1:8" x14ac:dyDescent="0.35">
      <c r="A438" t="s">
        <v>190</v>
      </c>
      <c r="B438" t="s">
        <v>1934</v>
      </c>
      <c r="C438" t="s">
        <v>1064</v>
      </c>
      <c r="D438" t="s">
        <v>43</v>
      </c>
      <c r="E438">
        <v>37</v>
      </c>
      <c r="F438" t="s">
        <v>1511</v>
      </c>
      <c r="G438">
        <v>40.700000000000003</v>
      </c>
      <c r="H438" t="s">
        <v>1744</v>
      </c>
    </row>
    <row r="439" spans="1:8" x14ac:dyDescent="0.35">
      <c r="A439" t="s">
        <v>190</v>
      </c>
      <c r="B439" t="s">
        <v>1934</v>
      </c>
      <c r="C439" t="s">
        <v>1064</v>
      </c>
      <c r="D439" t="s">
        <v>44</v>
      </c>
      <c r="E439">
        <v>260</v>
      </c>
      <c r="F439" t="s">
        <v>1683</v>
      </c>
      <c r="G439">
        <v>286</v>
      </c>
      <c r="H439" t="s">
        <v>1689</v>
      </c>
    </row>
    <row r="440" spans="1:8" x14ac:dyDescent="0.35">
      <c r="A440" t="s">
        <v>190</v>
      </c>
      <c r="B440" t="s">
        <v>1934</v>
      </c>
      <c r="C440" t="s">
        <v>1064</v>
      </c>
      <c r="D440" t="s">
        <v>20</v>
      </c>
      <c r="E440">
        <v>255</v>
      </c>
      <c r="F440" t="s">
        <v>1758</v>
      </c>
      <c r="G440">
        <v>280.5</v>
      </c>
      <c r="H440" t="s">
        <v>1763</v>
      </c>
    </row>
    <row r="441" spans="1:8" x14ac:dyDescent="0.35">
      <c r="A441" t="s">
        <v>190</v>
      </c>
      <c r="B441" t="s">
        <v>1934</v>
      </c>
      <c r="C441" t="s">
        <v>1397</v>
      </c>
      <c r="D441" t="s">
        <v>18</v>
      </c>
      <c r="E441">
        <v>61</v>
      </c>
      <c r="F441" t="s">
        <v>1537</v>
      </c>
      <c r="G441">
        <v>67.100000000000009</v>
      </c>
      <c r="H441" t="s">
        <v>1490</v>
      </c>
    </row>
    <row r="442" spans="1:8" x14ac:dyDescent="0.35">
      <c r="A442" t="s">
        <v>190</v>
      </c>
      <c r="B442" t="s">
        <v>1934</v>
      </c>
      <c r="C442" t="s">
        <v>1397</v>
      </c>
      <c r="D442" t="s">
        <v>177</v>
      </c>
      <c r="E442">
        <v>84</v>
      </c>
      <c r="F442" t="s">
        <v>1472</v>
      </c>
      <c r="G442">
        <v>92.4</v>
      </c>
      <c r="H442" t="s">
        <v>1745</v>
      </c>
    </row>
    <row r="443" spans="1:8" x14ac:dyDescent="0.35">
      <c r="D443" t="s">
        <v>189</v>
      </c>
      <c r="E443">
        <v>1535</v>
      </c>
    </row>
    <row r="446" spans="1:8" x14ac:dyDescent="0.35">
      <c r="A446" t="s">
        <v>406</v>
      </c>
    </row>
    <row r="447" spans="1:8" x14ac:dyDescent="0.35">
      <c r="A447" t="s">
        <v>1892</v>
      </c>
    </row>
    <row r="448" spans="1:8" x14ac:dyDescent="0.35">
      <c r="A448" t="s">
        <v>6</v>
      </c>
      <c r="B448" t="s">
        <v>5</v>
      </c>
      <c r="C448" t="s">
        <v>4</v>
      </c>
      <c r="D448" t="s">
        <v>3</v>
      </c>
      <c r="E448" t="s">
        <v>2</v>
      </c>
      <c r="F448" t="s">
        <v>1</v>
      </c>
      <c r="G448" t="s">
        <v>0</v>
      </c>
    </row>
    <row r="449" spans="1:8" x14ac:dyDescent="0.35">
      <c r="A449" t="s">
        <v>188</v>
      </c>
      <c r="B449" t="s">
        <v>1205</v>
      </c>
      <c r="C449" t="s">
        <v>1206</v>
      </c>
      <c r="D449" t="s">
        <v>40</v>
      </c>
      <c r="E449">
        <v>277</v>
      </c>
      <c r="F449" t="s">
        <v>1764</v>
      </c>
      <c r="G449">
        <v>304.70000000000005</v>
      </c>
      <c r="H449" t="s">
        <v>1765</v>
      </c>
    </row>
    <row r="450" spans="1:8" x14ac:dyDescent="0.35">
      <c r="A450" t="s">
        <v>188</v>
      </c>
      <c r="B450" t="s">
        <v>1205</v>
      </c>
      <c r="C450" t="s">
        <v>1206</v>
      </c>
      <c r="D450" t="s">
        <v>42</v>
      </c>
      <c r="E450">
        <v>94</v>
      </c>
      <c r="F450" t="s">
        <v>1538</v>
      </c>
      <c r="G450">
        <v>103.4</v>
      </c>
      <c r="H450" t="s">
        <v>1766</v>
      </c>
    </row>
    <row r="451" spans="1:8" x14ac:dyDescent="0.35">
      <c r="A451" t="s">
        <v>187</v>
      </c>
      <c r="B451" t="s">
        <v>1968</v>
      </c>
      <c r="C451" t="s">
        <v>916</v>
      </c>
      <c r="D451" t="s">
        <v>79</v>
      </c>
      <c r="E451">
        <v>62</v>
      </c>
      <c r="F451" t="s">
        <v>1420</v>
      </c>
      <c r="G451">
        <v>68.2</v>
      </c>
      <c r="H451">
        <v>62</v>
      </c>
    </row>
    <row r="452" spans="1:8" x14ac:dyDescent="0.35">
      <c r="A452" t="s">
        <v>187</v>
      </c>
      <c r="B452" t="s">
        <v>1968</v>
      </c>
      <c r="C452" t="s">
        <v>916</v>
      </c>
      <c r="D452" t="s">
        <v>48</v>
      </c>
      <c r="E452">
        <v>114</v>
      </c>
      <c r="F452" t="s">
        <v>1696</v>
      </c>
      <c r="G452">
        <v>125.4</v>
      </c>
      <c r="H452" t="s">
        <v>1767</v>
      </c>
    </row>
    <row r="453" spans="1:8" x14ac:dyDescent="0.35">
      <c r="A453" t="s">
        <v>186</v>
      </c>
      <c r="B453" t="s">
        <v>1017</v>
      </c>
      <c r="C453" t="s">
        <v>1018</v>
      </c>
      <c r="D453" t="s">
        <v>91</v>
      </c>
      <c r="E453">
        <v>184</v>
      </c>
      <c r="F453" t="s">
        <v>1417</v>
      </c>
      <c r="G453">
        <v>202.4</v>
      </c>
      <c r="H453" t="s">
        <v>1768</v>
      </c>
    </row>
    <row r="454" spans="1:8" x14ac:dyDescent="0.35">
      <c r="A454" t="s">
        <v>471</v>
      </c>
      <c r="B454" t="s">
        <v>892</v>
      </c>
      <c r="C454" t="s">
        <v>893</v>
      </c>
      <c r="D454" t="s">
        <v>29</v>
      </c>
      <c r="E454">
        <v>103</v>
      </c>
      <c r="F454" t="s">
        <v>1564</v>
      </c>
      <c r="G454">
        <v>113.30000000000001</v>
      </c>
      <c r="H454" t="s">
        <v>1770</v>
      </c>
    </row>
    <row r="455" spans="1:8" x14ac:dyDescent="0.35">
      <c r="A455" t="s">
        <v>37</v>
      </c>
      <c r="B455" t="s">
        <v>904</v>
      </c>
      <c r="C455" t="s">
        <v>887</v>
      </c>
      <c r="D455" t="s">
        <v>36</v>
      </c>
      <c r="E455">
        <v>82</v>
      </c>
      <c r="F455" t="s">
        <v>1718</v>
      </c>
      <c r="G455">
        <v>90.2</v>
      </c>
      <c r="H455" t="s">
        <v>1853</v>
      </c>
    </row>
    <row r="456" spans="1:8" x14ac:dyDescent="0.35">
      <c r="A456" t="s">
        <v>78</v>
      </c>
      <c r="B456" t="s">
        <v>1969</v>
      </c>
      <c r="C456" t="s">
        <v>1014</v>
      </c>
      <c r="D456" t="s">
        <v>77</v>
      </c>
      <c r="E456">
        <v>147</v>
      </c>
      <c r="F456" t="s">
        <v>1684</v>
      </c>
      <c r="G456">
        <v>161.70000000000002</v>
      </c>
      <c r="H456" t="s">
        <v>1771</v>
      </c>
    </row>
    <row r="457" spans="1:8" x14ac:dyDescent="0.35">
      <c r="A457" t="s">
        <v>184</v>
      </c>
      <c r="B457" t="s">
        <v>884</v>
      </c>
      <c r="C457" t="s">
        <v>885</v>
      </c>
      <c r="D457" t="s">
        <v>53</v>
      </c>
      <c r="E457">
        <v>158</v>
      </c>
      <c r="F457" t="s">
        <v>1769</v>
      </c>
      <c r="G457">
        <v>173.8</v>
      </c>
      <c r="H457" t="s">
        <v>1772</v>
      </c>
    </row>
    <row r="458" spans="1:8" x14ac:dyDescent="0.35">
      <c r="A458" t="s">
        <v>183</v>
      </c>
      <c r="B458" t="s">
        <v>909</v>
      </c>
      <c r="C458" t="s">
        <v>1220</v>
      </c>
      <c r="D458" t="s">
        <v>69</v>
      </c>
      <c r="E458">
        <v>59</v>
      </c>
      <c r="F458" t="s">
        <v>1422</v>
      </c>
      <c r="G458">
        <v>64.900000000000006</v>
      </c>
      <c r="H458">
        <v>59</v>
      </c>
    </row>
    <row r="459" spans="1:8" x14ac:dyDescent="0.35">
      <c r="A459" t="s">
        <v>181</v>
      </c>
      <c r="B459" t="s">
        <v>1970</v>
      </c>
      <c r="C459" t="s">
        <v>1294</v>
      </c>
      <c r="D459" t="s">
        <v>75</v>
      </c>
      <c r="E459">
        <v>85</v>
      </c>
      <c r="F459" t="s">
        <v>1757</v>
      </c>
      <c r="G459">
        <v>93.500000000000014</v>
      </c>
      <c r="H459" t="s">
        <v>1773</v>
      </c>
    </row>
    <row r="460" spans="1:8" x14ac:dyDescent="0.35">
      <c r="A460" t="s">
        <v>142</v>
      </c>
      <c r="B460" t="s">
        <v>1971</v>
      </c>
      <c r="C460" t="s">
        <v>1001</v>
      </c>
      <c r="D460" t="s">
        <v>88</v>
      </c>
      <c r="E460">
        <v>108</v>
      </c>
      <c r="F460" t="s">
        <v>1495</v>
      </c>
      <c r="G460">
        <v>118.80000000000001</v>
      </c>
      <c r="H460" t="s">
        <v>1613</v>
      </c>
    </row>
    <row r="461" spans="1:8" x14ac:dyDescent="0.35">
      <c r="D461" t="s">
        <v>178</v>
      </c>
      <c r="E461">
        <v>1473</v>
      </c>
    </row>
    <row r="464" spans="1:8" x14ac:dyDescent="0.35">
      <c r="A464" t="s">
        <v>406</v>
      </c>
    </row>
    <row r="465" spans="1:8" x14ac:dyDescent="0.35">
      <c r="A465" t="s">
        <v>1898</v>
      </c>
    </row>
    <row r="466" spans="1:8" x14ac:dyDescent="0.35">
      <c r="A466" t="s">
        <v>6</v>
      </c>
      <c r="B466" t="s">
        <v>5</v>
      </c>
      <c r="C466" t="s">
        <v>4</v>
      </c>
      <c r="D466" t="s">
        <v>3</v>
      </c>
      <c r="E466" t="s">
        <v>2</v>
      </c>
      <c r="F466" t="s">
        <v>1</v>
      </c>
      <c r="G466" t="s">
        <v>0</v>
      </c>
    </row>
    <row r="467" spans="1:8" x14ac:dyDescent="0.35">
      <c r="A467" t="s">
        <v>175</v>
      </c>
      <c r="B467" t="s">
        <v>1051</v>
      </c>
      <c r="C467" t="s">
        <v>1053</v>
      </c>
      <c r="D467" t="s">
        <v>101</v>
      </c>
      <c r="E467">
        <v>157</v>
      </c>
      <c r="F467" t="s">
        <v>1769</v>
      </c>
      <c r="G467">
        <v>172.70000000000002</v>
      </c>
      <c r="H467" t="s">
        <v>1778</v>
      </c>
    </row>
    <row r="468" spans="1:8" x14ac:dyDescent="0.35">
      <c r="A468" t="s">
        <v>175</v>
      </c>
      <c r="B468" t="s">
        <v>1051</v>
      </c>
      <c r="C468" t="s">
        <v>1053</v>
      </c>
      <c r="D468" t="s">
        <v>18</v>
      </c>
      <c r="E468">
        <v>61</v>
      </c>
      <c r="F468" t="s">
        <v>1774</v>
      </c>
      <c r="G468">
        <v>67.100000000000009</v>
      </c>
      <c r="H468" t="s">
        <v>1490</v>
      </c>
    </row>
    <row r="469" spans="1:8" x14ac:dyDescent="0.35">
      <c r="A469" t="s">
        <v>440</v>
      </c>
      <c r="B469" t="s">
        <v>843</v>
      </c>
      <c r="C469" t="s">
        <v>380</v>
      </c>
      <c r="D469" t="s">
        <v>49</v>
      </c>
      <c r="E469">
        <v>147</v>
      </c>
      <c r="F469" t="s">
        <v>1684</v>
      </c>
      <c r="G469">
        <v>161.70000000000002</v>
      </c>
      <c r="H469" t="s">
        <v>1779</v>
      </c>
    </row>
    <row r="470" spans="1:8" x14ac:dyDescent="0.35">
      <c r="A470" t="s">
        <v>173</v>
      </c>
      <c r="B470" t="s">
        <v>1279</v>
      </c>
      <c r="C470" t="s">
        <v>1280</v>
      </c>
      <c r="D470" t="s">
        <v>64</v>
      </c>
      <c r="E470">
        <v>227</v>
      </c>
      <c r="F470" t="s">
        <v>1600</v>
      </c>
      <c r="G470">
        <v>249.70000000000002</v>
      </c>
      <c r="H470" t="s">
        <v>1780</v>
      </c>
    </row>
    <row r="471" spans="1:8" x14ac:dyDescent="0.35">
      <c r="A471" t="s">
        <v>112</v>
      </c>
      <c r="B471" t="s">
        <v>1933</v>
      </c>
      <c r="C471" t="s">
        <v>1400</v>
      </c>
      <c r="D471" t="s">
        <v>46</v>
      </c>
      <c r="E471">
        <v>256</v>
      </c>
      <c r="F471" t="s">
        <v>1683</v>
      </c>
      <c r="G471">
        <v>281.60000000000002</v>
      </c>
      <c r="H471" t="s">
        <v>1781</v>
      </c>
    </row>
    <row r="472" spans="1:8" x14ac:dyDescent="0.35">
      <c r="A472" t="s">
        <v>133</v>
      </c>
      <c r="B472" t="s">
        <v>1972</v>
      </c>
      <c r="C472" t="s">
        <v>1150</v>
      </c>
      <c r="D472" t="s">
        <v>67</v>
      </c>
      <c r="E472">
        <v>226</v>
      </c>
      <c r="F472" t="s">
        <v>1775</v>
      </c>
      <c r="G472">
        <v>248.60000000000002</v>
      </c>
      <c r="H472" t="s">
        <v>1782</v>
      </c>
    </row>
    <row r="473" spans="1:8" x14ac:dyDescent="0.35">
      <c r="A473" t="s">
        <v>183</v>
      </c>
      <c r="B473" t="s">
        <v>909</v>
      </c>
      <c r="C473" t="s">
        <v>1231</v>
      </c>
      <c r="D473" t="s">
        <v>71</v>
      </c>
      <c r="E473">
        <v>119</v>
      </c>
      <c r="F473" t="s">
        <v>1696</v>
      </c>
      <c r="G473">
        <v>130.9</v>
      </c>
      <c r="H473" t="s">
        <v>1783</v>
      </c>
    </row>
    <row r="474" spans="1:8" x14ac:dyDescent="0.35">
      <c r="A474" t="s">
        <v>171</v>
      </c>
      <c r="B474" t="s">
        <v>1326</v>
      </c>
      <c r="C474" t="s">
        <v>1322</v>
      </c>
      <c r="D474" t="s">
        <v>13</v>
      </c>
      <c r="E474">
        <v>76</v>
      </c>
      <c r="F474" t="s">
        <v>1776</v>
      </c>
      <c r="G474">
        <v>83.600000000000009</v>
      </c>
      <c r="H474" t="s">
        <v>1784</v>
      </c>
    </row>
    <row r="475" spans="1:8" x14ac:dyDescent="0.35">
      <c r="A475" t="s">
        <v>170</v>
      </c>
      <c r="B475" t="s">
        <v>1973</v>
      </c>
      <c r="C475" t="s">
        <v>976</v>
      </c>
      <c r="D475" t="s">
        <v>51</v>
      </c>
      <c r="E475">
        <v>111</v>
      </c>
      <c r="F475" t="s">
        <v>1777</v>
      </c>
      <c r="G475">
        <v>122.10000000000001</v>
      </c>
      <c r="H475" t="s">
        <v>1785</v>
      </c>
    </row>
    <row r="476" spans="1:8" x14ac:dyDescent="0.35">
      <c r="A476" t="s">
        <v>167</v>
      </c>
      <c r="B476" t="s">
        <v>1085</v>
      </c>
      <c r="C476" t="s">
        <v>1086</v>
      </c>
      <c r="D476" t="s">
        <v>8</v>
      </c>
      <c r="E476">
        <v>142</v>
      </c>
      <c r="F476" t="s">
        <v>1481</v>
      </c>
      <c r="G476">
        <v>156.20000000000002</v>
      </c>
      <c r="H476" t="s">
        <v>1786</v>
      </c>
    </row>
    <row r="477" spans="1:8" x14ac:dyDescent="0.35">
      <c r="D477" t="s">
        <v>166</v>
      </c>
      <c r="E477">
        <v>1522</v>
      </c>
    </row>
    <row r="480" spans="1:8" x14ac:dyDescent="0.35">
      <c r="A480" t="s">
        <v>406</v>
      </c>
    </row>
    <row r="481" spans="1:8" x14ac:dyDescent="0.35">
      <c r="A481" t="s">
        <v>1904</v>
      </c>
    </row>
    <row r="482" spans="1:8" x14ac:dyDescent="0.35">
      <c r="A482" t="s">
        <v>6</v>
      </c>
      <c r="B482" t="s">
        <v>5</v>
      </c>
      <c r="C482" t="s">
        <v>4</v>
      </c>
      <c r="D482" t="s">
        <v>3</v>
      </c>
      <c r="E482" t="s">
        <v>2</v>
      </c>
      <c r="F482" t="s">
        <v>1</v>
      </c>
      <c r="G482" t="s">
        <v>0</v>
      </c>
    </row>
    <row r="483" spans="1:8" x14ac:dyDescent="0.35">
      <c r="A483" t="s">
        <v>165</v>
      </c>
      <c r="B483" t="s">
        <v>1974</v>
      </c>
      <c r="C483" t="s">
        <v>1222</v>
      </c>
      <c r="D483" t="s">
        <v>104</v>
      </c>
      <c r="E483">
        <v>126</v>
      </c>
      <c r="F483" t="s">
        <v>1469</v>
      </c>
      <c r="G483">
        <v>138.60000000000002</v>
      </c>
      <c r="H483" t="s">
        <v>1828</v>
      </c>
    </row>
    <row r="484" spans="1:8" x14ac:dyDescent="0.35">
      <c r="A484" t="s">
        <v>165</v>
      </c>
      <c r="B484" t="s">
        <v>1974</v>
      </c>
      <c r="C484" t="s">
        <v>1222</v>
      </c>
      <c r="D484" t="s">
        <v>35</v>
      </c>
      <c r="E484">
        <v>104</v>
      </c>
      <c r="F484" t="s">
        <v>1713</v>
      </c>
      <c r="G484">
        <v>114.4</v>
      </c>
      <c r="H484" t="s">
        <v>1747</v>
      </c>
    </row>
    <row r="485" spans="1:8" x14ac:dyDescent="0.35">
      <c r="A485" t="s">
        <v>164</v>
      </c>
      <c r="B485" t="s">
        <v>1975</v>
      </c>
      <c r="C485" t="s">
        <v>1337</v>
      </c>
      <c r="D485" t="s">
        <v>109</v>
      </c>
      <c r="E485">
        <v>125</v>
      </c>
      <c r="F485" t="s">
        <v>1714</v>
      </c>
      <c r="G485">
        <v>137.5</v>
      </c>
      <c r="H485" t="s">
        <v>1722</v>
      </c>
    </row>
    <row r="486" spans="1:8" x14ac:dyDescent="0.35">
      <c r="A486" t="s">
        <v>431</v>
      </c>
      <c r="B486" t="s">
        <v>1351</v>
      </c>
      <c r="C486" t="s">
        <v>831</v>
      </c>
      <c r="D486" t="s">
        <v>10</v>
      </c>
      <c r="E486">
        <v>142</v>
      </c>
      <c r="F486" t="s">
        <v>1484</v>
      </c>
      <c r="G486">
        <v>156.20000000000002</v>
      </c>
      <c r="H486" t="s">
        <v>1829</v>
      </c>
    </row>
    <row r="487" spans="1:8" x14ac:dyDescent="0.35">
      <c r="A487" t="s">
        <v>161</v>
      </c>
      <c r="B487" t="s">
        <v>1976</v>
      </c>
      <c r="C487" t="s">
        <v>1121</v>
      </c>
      <c r="D487" t="s">
        <v>47</v>
      </c>
      <c r="E487">
        <v>96</v>
      </c>
      <c r="F487" t="s">
        <v>1787</v>
      </c>
      <c r="G487">
        <v>105.60000000000001</v>
      </c>
      <c r="H487" t="s">
        <v>1789</v>
      </c>
    </row>
    <row r="488" spans="1:8" x14ac:dyDescent="0.35">
      <c r="A488" t="s">
        <v>160</v>
      </c>
      <c r="B488" t="s">
        <v>1255</v>
      </c>
      <c r="C488" t="s">
        <v>1270</v>
      </c>
      <c r="D488" t="s">
        <v>84</v>
      </c>
      <c r="E488">
        <v>59</v>
      </c>
      <c r="F488" t="s">
        <v>1788</v>
      </c>
      <c r="G488">
        <v>64.900000000000006</v>
      </c>
      <c r="H488" t="s">
        <v>1790</v>
      </c>
    </row>
    <row r="489" spans="1:8" x14ac:dyDescent="0.35">
      <c r="A489" t="s">
        <v>155</v>
      </c>
      <c r="B489" t="s">
        <v>1977</v>
      </c>
      <c r="C489" t="s">
        <v>1007</v>
      </c>
      <c r="D489" t="s">
        <v>130</v>
      </c>
      <c r="E489">
        <v>121</v>
      </c>
      <c r="F489" t="s">
        <v>1739</v>
      </c>
      <c r="G489">
        <v>133.10000000000002</v>
      </c>
      <c r="H489" t="s">
        <v>1791</v>
      </c>
    </row>
    <row r="490" spans="1:8" x14ac:dyDescent="0.35">
      <c r="A490" t="s">
        <v>542</v>
      </c>
      <c r="B490" t="s">
        <v>1977</v>
      </c>
      <c r="C490" t="s">
        <v>1007</v>
      </c>
      <c r="D490" t="s">
        <v>93</v>
      </c>
      <c r="E490">
        <v>14</v>
      </c>
      <c r="F490" t="s">
        <v>1435</v>
      </c>
      <c r="G490">
        <v>15.400000000000002</v>
      </c>
      <c r="H490">
        <v>14</v>
      </c>
    </row>
    <row r="491" spans="1:8" x14ac:dyDescent="0.35">
      <c r="A491" t="s">
        <v>542</v>
      </c>
      <c r="B491" t="s">
        <v>1977</v>
      </c>
      <c r="C491" t="s">
        <v>1007</v>
      </c>
      <c r="D491" t="s">
        <v>91</v>
      </c>
      <c r="E491">
        <v>7</v>
      </c>
      <c r="F491" t="s">
        <v>1441</v>
      </c>
      <c r="G491">
        <v>7.7000000000000011</v>
      </c>
      <c r="H491">
        <v>7</v>
      </c>
    </row>
    <row r="492" spans="1:8" x14ac:dyDescent="0.35">
      <c r="A492" t="s">
        <v>169</v>
      </c>
      <c r="B492" t="s">
        <v>1978</v>
      </c>
      <c r="C492" t="s">
        <v>1168</v>
      </c>
      <c r="D492" t="s">
        <v>168</v>
      </c>
      <c r="E492">
        <v>180</v>
      </c>
      <c r="F492" t="s">
        <v>1700</v>
      </c>
      <c r="G492">
        <v>198.00000000000003</v>
      </c>
      <c r="H492" t="s">
        <v>1709</v>
      </c>
    </row>
    <row r="493" spans="1:8" x14ac:dyDescent="0.35">
      <c r="A493" t="s">
        <v>154</v>
      </c>
      <c r="B493" t="s">
        <v>1323</v>
      </c>
      <c r="C493" t="s">
        <v>1319</v>
      </c>
      <c r="D493" t="s">
        <v>117</v>
      </c>
      <c r="E493">
        <v>63</v>
      </c>
      <c r="F493" t="s">
        <v>1716</v>
      </c>
      <c r="G493">
        <v>69.300000000000011</v>
      </c>
      <c r="H493" t="s">
        <v>1792</v>
      </c>
    </row>
    <row r="494" spans="1:8" x14ac:dyDescent="0.35">
      <c r="A494" t="s">
        <v>152</v>
      </c>
      <c r="B494" t="s">
        <v>1909</v>
      </c>
      <c r="C494" t="s">
        <v>911</v>
      </c>
      <c r="D494" t="s">
        <v>98</v>
      </c>
      <c r="E494">
        <v>97</v>
      </c>
      <c r="F494" t="s">
        <v>1564</v>
      </c>
      <c r="G494">
        <v>106.7</v>
      </c>
      <c r="H494" t="s">
        <v>1793</v>
      </c>
    </row>
    <row r="495" spans="1:8" x14ac:dyDescent="0.35">
      <c r="A495" t="s">
        <v>231</v>
      </c>
      <c r="B495" t="s">
        <v>1909</v>
      </c>
      <c r="C495" t="s">
        <v>911</v>
      </c>
      <c r="D495" t="s">
        <v>58</v>
      </c>
      <c r="E495">
        <v>59</v>
      </c>
      <c r="F495" t="s">
        <v>1534</v>
      </c>
      <c r="G495">
        <v>64.900000000000006</v>
      </c>
      <c r="H495" t="s">
        <v>1535</v>
      </c>
    </row>
    <row r="496" spans="1:8" x14ac:dyDescent="0.35">
      <c r="A496" t="s">
        <v>151</v>
      </c>
      <c r="B496" t="s">
        <v>1310</v>
      </c>
      <c r="C496" t="s">
        <v>1305</v>
      </c>
      <c r="D496" t="s">
        <v>150</v>
      </c>
      <c r="E496">
        <v>32</v>
      </c>
      <c r="F496" t="s">
        <v>1424</v>
      </c>
      <c r="G496">
        <v>35.200000000000003</v>
      </c>
      <c r="H496">
        <v>32</v>
      </c>
    </row>
    <row r="497" spans="1:8" x14ac:dyDescent="0.35">
      <c r="A497" t="s">
        <v>148</v>
      </c>
      <c r="B497" t="s">
        <v>1038</v>
      </c>
      <c r="C497" t="s">
        <v>977</v>
      </c>
      <c r="D497" t="s">
        <v>17</v>
      </c>
      <c r="E497">
        <v>72</v>
      </c>
      <c r="F497" t="s">
        <v>1420</v>
      </c>
      <c r="G497">
        <v>79.2</v>
      </c>
      <c r="H497">
        <v>72</v>
      </c>
    </row>
    <row r="498" spans="1:8" x14ac:dyDescent="0.35">
      <c r="A498" t="s">
        <v>148</v>
      </c>
      <c r="B498" t="s">
        <v>1038</v>
      </c>
      <c r="C498" t="s">
        <v>977</v>
      </c>
      <c r="D498" t="s">
        <v>31</v>
      </c>
      <c r="E498">
        <v>41</v>
      </c>
      <c r="F498" t="s">
        <v>1428</v>
      </c>
      <c r="G498">
        <v>45.1</v>
      </c>
      <c r="H498">
        <v>41</v>
      </c>
    </row>
    <row r="499" spans="1:8" x14ac:dyDescent="0.35">
      <c r="A499" t="s">
        <v>148</v>
      </c>
      <c r="B499" t="s">
        <v>1038</v>
      </c>
      <c r="C499" t="s">
        <v>977</v>
      </c>
      <c r="D499" t="s">
        <v>11</v>
      </c>
      <c r="E499">
        <v>48</v>
      </c>
      <c r="F499" t="s">
        <v>1738</v>
      </c>
      <c r="G499">
        <v>52.800000000000004</v>
      </c>
      <c r="H499" t="s">
        <v>1672</v>
      </c>
    </row>
    <row r="500" spans="1:8" x14ac:dyDescent="0.35">
      <c r="A500" t="s">
        <v>147</v>
      </c>
      <c r="B500" t="s">
        <v>1979</v>
      </c>
      <c r="C500" t="s">
        <v>1130</v>
      </c>
      <c r="D500" t="s">
        <v>65</v>
      </c>
      <c r="E500">
        <v>122</v>
      </c>
      <c r="F500" t="s">
        <v>1699</v>
      </c>
      <c r="G500">
        <v>134.20000000000002</v>
      </c>
      <c r="H500" t="s">
        <v>1794</v>
      </c>
    </row>
    <row r="501" spans="1:8" x14ac:dyDescent="0.35">
      <c r="D501" t="s">
        <v>146</v>
      </c>
      <c r="E501">
        <v>1508</v>
      </c>
    </row>
    <row r="504" spans="1:8" x14ac:dyDescent="0.35">
      <c r="A504" t="s">
        <v>406</v>
      </c>
    </row>
    <row r="505" spans="1:8" x14ac:dyDescent="0.35">
      <c r="A505" t="s">
        <v>1911</v>
      </c>
    </row>
    <row r="506" spans="1:8" x14ac:dyDescent="0.35">
      <c r="A506" t="s">
        <v>6</v>
      </c>
      <c r="B506" t="s">
        <v>5</v>
      </c>
      <c r="C506" t="s">
        <v>4</v>
      </c>
      <c r="D506" t="s">
        <v>3</v>
      </c>
      <c r="E506" t="s">
        <v>2</v>
      </c>
      <c r="F506" t="s">
        <v>1</v>
      </c>
      <c r="G506" t="s">
        <v>0</v>
      </c>
    </row>
    <row r="507" spans="1:8" x14ac:dyDescent="0.35">
      <c r="A507" t="s">
        <v>145</v>
      </c>
      <c r="B507" t="s">
        <v>1980</v>
      </c>
      <c r="C507" t="s">
        <v>1112</v>
      </c>
      <c r="D507" t="s">
        <v>94</v>
      </c>
      <c r="E507">
        <v>107</v>
      </c>
      <c r="F507" t="s">
        <v>1795</v>
      </c>
      <c r="G507">
        <v>117.7</v>
      </c>
      <c r="H507" t="s">
        <v>1796</v>
      </c>
    </row>
    <row r="508" spans="1:8" x14ac:dyDescent="0.35">
      <c r="A508" t="s">
        <v>144</v>
      </c>
      <c r="B508" t="s">
        <v>1146</v>
      </c>
      <c r="C508" t="s">
        <v>1147</v>
      </c>
      <c r="D508" t="s">
        <v>55</v>
      </c>
      <c r="E508">
        <v>141</v>
      </c>
      <c r="F508" t="s">
        <v>1481</v>
      </c>
      <c r="G508">
        <v>155.10000000000002</v>
      </c>
      <c r="H508" t="s">
        <v>1797</v>
      </c>
    </row>
    <row r="509" spans="1:8" x14ac:dyDescent="0.35">
      <c r="A509" t="s">
        <v>144</v>
      </c>
      <c r="B509" t="s">
        <v>1146</v>
      </c>
      <c r="C509" t="s">
        <v>1147</v>
      </c>
      <c r="D509" t="s">
        <v>57</v>
      </c>
      <c r="E509">
        <v>17</v>
      </c>
      <c r="F509" t="s">
        <v>1438</v>
      </c>
      <c r="G509">
        <v>18.700000000000003</v>
      </c>
      <c r="H509">
        <v>17</v>
      </c>
    </row>
    <row r="510" spans="1:8" x14ac:dyDescent="0.35">
      <c r="A510" t="s">
        <v>141</v>
      </c>
      <c r="B510" t="s">
        <v>1228</v>
      </c>
      <c r="C510" t="s">
        <v>1224</v>
      </c>
      <c r="D510" t="s">
        <v>79</v>
      </c>
      <c r="E510">
        <v>15</v>
      </c>
      <c r="F510" t="s">
        <v>1437</v>
      </c>
      <c r="G510">
        <v>16.5</v>
      </c>
      <c r="H510">
        <v>15</v>
      </c>
    </row>
    <row r="511" spans="1:8" x14ac:dyDescent="0.35">
      <c r="A511" t="s">
        <v>140</v>
      </c>
      <c r="B511" t="s">
        <v>1104</v>
      </c>
      <c r="C511" t="s">
        <v>1096</v>
      </c>
      <c r="D511" t="s">
        <v>62</v>
      </c>
      <c r="E511">
        <v>156</v>
      </c>
      <c r="F511" t="s">
        <v>1555</v>
      </c>
      <c r="G511">
        <v>171.60000000000002</v>
      </c>
      <c r="H511" t="s">
        <v>1798</v>
      </c>
    </row>
    <row r="512" spans="1:8" x14ac:dyDescent="0.35">
      <c r="A512" t="s">
        <v>225</v>
      </c>
      <c r="B512" t="s">
        <v>1263</v>
      </c>
      <c r="C512" t="s">
        <v>1257</v>
      </c>
      <c r="D512" t="s">
        <v>27</v>
      </c>
      <c r="E512">
        <v>254</v>
      </c>
      <c r="F512" t="s">
        <v>1683</v>
      </c>
      <c r="G512">
        <v>279.40000000000003</v>
      </c>
      <c r="H512" t="s">
        <v>1731</v>
      </c>
    </row>
    <row r="513" spans="1:8" x14ac:dyDescent="0.35">
      <c r="A513" t="s">
        <v>139</v>
      </c>
      <c r="B513" t="s">
        <v>1981</v>
      </c>
      <c r="C513" t="s">
        <v>869</v>
      </c>
      <c r="D513" t="s">
        <v>22</v>
      </c>
      <c r="E513">
        <v>86</v>
      </c>
      <c r="F513" t="s">
        <v>1865</v>
      </c>
      <c r="G513">
        <v>94.600000000000009</v>
      </c>
      <c r="H513" t="s">
        <v>1799</v>
      </c>
    </row>
    <row r="514" spans="1:8" x14ac:dyDescent="0.35">
      <c r="A514" t="s">
        <v>163</v>
      </c>
      <c r="B514" t="s">
        <v>1982</v>
      </c>
      <c r="C514" t="s">
        <v>951</v>
      </c>
      <c r="D514" t="s">
        <v>113</v>
      </c>
      <c r="E514">
        <v>89</v>
      </c>
      <c r="F514" t="s">
        <v>1497</v>
      </c>
      <c r="G514">
        <v>97.9</v>
      </c>
      <c r="H514" t="s">
        <v>1800</v>
      </c>
    </row>
    <row r="515" spans="1:8" x14ac:dyDescent="0.35">
      <c r="A515" t="s">
        <v>163</v>
      </c>
      <c r="B515" t="s">
        <v>1982</v>
      </c>
      <c r="C515" t="s">
        <v>951</v>
      </c>
      <c r="D515" t="s">
        <v>111</v>
      </c>
      <c r="E515">
        <v>86</v>
      </c>
      <c r="F515" t="s">
        <v>1523</v>
      </c>
      <c r="G515">
        <v>94.600000000000009</v>
      </c>
      <c r="H515" t="s">
        <v>1801</v>
      </c>
    </row>
    <row r="516" spans="1:8" x14ac:dyDescent="0.35">
      <c r="A516" t="s">
        <v>153</v>
      </c>
      <c r="B516" t="s">
        <v>891</v>
      </c>
      <c r="C516" t="s">
        <v>880</v>
      </c>
      <c r="D516" t="s">
        <v>29</v>
      </c>
      <c r="E516">
        <v>103</v>
      </c>
      <c r="F516" t="s">
        <v>1740</v>
      </c>
      <c r="G516">
        <v>113.30000000000001</v>
      </c>
      <c r="H516" t="s">
        <v>1802</v>
      </c>
    </row>
    <row r="517" spans="1:8" x14ac:dyDescent="0.35">
      <c r="A517" t="s">
        <v>135</v>
      </c>
      <c r="B517" t="s">
        <v>1229</v>
      </c>
      <c r="C517" t="s">
        <v>1224</v>
      </c>
      <c r="D517" t="s">
        <v>48</v>
      </c>
      <c r="E517">
        <v>40</v>
      </c>
      <c r="F517" t="s">
        <v>1422</v>
      </c>
      <c r="G517">
        <v>44</v>
      </c>
      <c r="H517">
        <v>40</v>
      </c>
    </row>
    <row r="518" spans="1:8" x14ac:dyDescent="0.35">
      <c r="A518" t="s">
        <v>134</v>
      </c>
      <c r="B518" t="s">
        <v>1983</v>
      </c>
      <c r="C518" t="s">
        <v>365</v>
      </c>
      <c r="D518" t="s">
        <v>73</v>
      </c>
      <c r="E518">
        <v>170</v>
      </c>
      <c r="F518" t="s">
        <v>1417</v>
      </c>
      <c r="G518">
        <v>187.00000000000003</v>
      </c>
      <c r="H518" t="s">
        <v>1546</v>
      </c>
    </row>
    <row r="519" spans="1:8" x14ac:dyDescent="0.35">
      <c r="A519" t="s">
        <v>574</v>
      </c>
      <c r="B519" t="s">
        <v>935</v>
      </c>
      <c r="C519" t="s">
        <v>936</v>
      </c>
      <c r="D519" t="s">
        <v>33</v>
      </c>
      <c r="E519">
        <v>65</v>
      </c>
      <c r="F519" t="s">
        <v>1819</v>
      </c>
      <c r="G519">
        <v>71.5</v>
      </c>
      <c r="H519" t="s">
        <v>1503</v>
      </c>
    </row>
    <row r="520" spans="1:8" x14ac:dyDescent="0.35">
      <c r="A520" t="s">
        <v>125</v>
      </c>
      <c r="B520" t="s">
        <v>1984</v>
      </c>
      <c r="C520" t="s">
        <v>1014</v>
      </c>
      <c r="D520" t="s">
        <v>93</v>
      </c>
      <c r="E520">
        <v>2</v>
      </c>
      <c r="F520" t="s">
        <v>1441</v>
      </c>
      <c r="G520">
        <v>2.2000000000000002</v>
      </c>
      <c r="H520">
        <v>2</v>
      </c>
    </row>
    <row r="521" spans="1:8" x14ac:dyDescent="0.35">
      <c r="A521" t="s">
        <v>125</v>
      </c>
      <c r="B521" t="s">
        <v>1984</v>
      </c>
      <c r="C521" t="s">
        <v>1014</v>
      </c>
      <c r="D521" t="s">
        <v>126</v>
      </c>
      <c r="E521">
        <v>78</v>
      </c>
      <c r="F521" t="s">
        <v>1420</v>
      </c>
      <c r="G521">
        <v>85.800000000000011</v>
      </c>
      <c r="H521">
        <v>78</v>
      </c>
    </row>
    <row r="522" spans="1:8" x14ac:dyDescent="0.35">
      <c r="A522" t="s">
        <v>125</v>
      </c>
      <c r="B522" t="s">
        <v>1984</v>
      </c>
      <c r="C522" t="s">
        <v>1014</v>
      </c>
      <c r="D522" t="s">
        <v>91</v>
      </c>
      <c r="E522">
        <v>5</v>
      </c>
      <c r="F522" t="s">
        <v>1441</v>
      </c>
      <c r="G522">
        <v>5.5</v>
      </c>
      <c r="H522">
        <v>5</v>
      </c>
    </row>
    <row r="523" spans="1:8" x14ac:dyDescent="0.35">
      <c r="D523" t="s">
        <v>132</v>
      </c>
      <c r="E523">
        <v>1414</v>
      </c>
    </row>
    <row r="524" spans="1:8" x14ac:dyDescent="0.35">
      <c r="F524" t="s">
        <v>1866</v>
      </c>
    </row>
    <row r="526" spans="1:8" x14ac:dyDescent="0.35">
      <c r="A526" t="s">
        <v>406</v>
      </c>
    </row>
    <row r="527" spans="1:8" x14ac:dyDescent="0.35">
      <c r="A527" t="s">
        <v>1367</v>
      </c>
    </row>
    <row r="528" spans="1:8" x14ac:dyDescent="0.35">
      <c r="A528" t="s">
        <v>6</v>
      </c>
      <c r="B528" t="s">
        <v>5</v>
      </c>
      <c r="C528" t="s">
        <v>4</v>
      </c>
      <c r="D528" t="s">
        <v>3</v>
      </c>
      <c r="E528" t="s">
        <v>2</v>
      </c>
      <c r="F528" t="s">
        <v>1</v>
      </c>
      <c r="G528" t="s">
        <v>0</v>
      </c>
    </row>
    <row r="529" spans="1:8" x14ac:dyDescent="0.35">
      <c r="A529" t="s">
        <v>699</v>
      </c>
      <c r="B529" t="s">
        <v>1146</v>
      </c>
      <c r="C529" t="s">
        <v>1188</v>
      </c>
      <c r="D529" t="s">
        <v>196</v>
      </c>
      <c r="E529">
        <v>133</v>
      </c>
      <c r="F529" t="s">
        <v>1484</v>
      </c>
      <c r="G529">
        <v>146.30000000000001</v>
      </c>
      <c r="H529" t="s">
        <v>1805</v>
      </c>
    </row>
    <row r="530" spans="1:8" x14ac:dyDescent="0.35">
      <c r="A530" t="s">
        <v>699</v>
      </c>
      <c r="B530" t="s">
        <v>1146</v>
      </c>
      <c r="C530" t="s">
        <v>1189</v>
      </c>
      <c r="D530" t="s">
        <v>242</v>
      </c>
      <c r="E530">
        <v>62</v>
      </c>
      <c r="F530" t="s">
        <v>1537</v>
      </c>
      <c r="G530">
        <v>68.2</v>
      </c>
      <c r="H530" t="s">
        <v>1726</v>
      </c>
    </row>
    <row r="531" spans="1:8" x14ac:dyDescent="0.35">
      <c r="A531" t="s">
        <v>158</v>
      </c>
      <c r="B531" t="s">
        <v>1327</v>
      </c>
      <c r="C531" t="s">
        <v>980</v>
      </c>
      <c r="D531" t="s">
        <v>157</v>
      </c>
      <c r="E531">
        <v>75</v>
      </c>
      <c r="F531" t="s">
        <v>1648</v>
      </c>
      <c r="G531">
        <v>82.5</v>
      </c>
      <c r="H531" t="s">
        <v>1807</v>
      </c>
    </row>
    <row r="532" spans="1:8" x14ac:dyDescent="0.35">
      <c r="A532" t="s">
        <v>159</v>
      </c>
      <c r="B532" t="s">
        <v>1985</v>
      </c>
      <c r="C532" t="s">
        <v>1303</v>
      </c>
      <c r="D532" t="s">
        <v>44</v>
      </c>
      <c r="E532">
        <v>51</v>
      </c>
      <c r="F532" t="s">
        <v>1511</v>
      </c>
      <c r="G532">
        <v>56.1</v>
      </c>
      <c r="H532" t="s">
        <v>1808</v>
      </c>
    </row>
    <row r="533" spans="1:8" x14ac:dyDescent="0.35">
      <c r="A533" t="s">
        <v>558</v>
      </c>
      <c r="B533" t="s">
        <v>1986</v>
      </c>
      <c r="C533" t="s">
        <v>969</v>
      </c>
      <c r="D533" t="s">
        <v>77</v>
      </c>
      <c r="E533">
        <v>147</v>
      </c>
      <c r="F533" t="s">
        <v>1684</v>
      </c>
      <c r="G533">
        <v>161.70000000000002</v>
      </c>
      <c r="H533" t="s">
        <v>1779</v>
      </c>
    </row>
    <row r="534" spans="1:8" x14ac:dyDescent="0.35">
      <c r="A534" t="s">
        <v>558</v>
      </c>
      <c r="B534" t="s">
        <v>1033</v>
      </c>
      <c r="C534" t="s">
        <v>969</v>
      </c>
      <c r="D534" t="s">
        <v>38</v>
      </c>
      <c r="E534">
        <v>23</v>
      </c>
      <c r="F534" t="s">
        <v>1435</v>
      </c>
      <c r="G534">
        <v>25.3</v>
      </c>
      <c r="H534">
        <v>23</v>
      </c>
    </row>
    <row r="535" spans="1:8" x14ac:dyDescent="0.35">
      <c r="A535" t="s">
        <v>485</v>
      </c>
      <c r="B535" t="s">
        <v>1895</v>
      </c>
      <c r="C535" t="s">
        <v>908</v>
      </c>
      <c r="D535" t="s">
        <v>36</v>
      </c>
      <c r="E535">
        <v>82</v>
      </c>
      <c r="F535" t="s">
        <v>1804</v>
      </c>
      <c r="G535">
        <v>90.2</v>
      </c>
      <c r="H535" t="s">
        <v>1809</v>
      </c>
    </row>
    <row r="536" spans="1:8" x14ac:dyDescent="0.35">
      <c r="A536" t="s">
        <v>83</v>
      </c>
      <c r="B536" t="s">
        <v>1978</v>
      </c>
      <c r="C536" t="s">
        <v>1164</v>
      </c>
      <c r="D536" t="s">
        <v>40</v>
      </c>
      <c r="E536">
        <v>277</v>
      </c>
      <c r="F536" t="s">
        <v>1764</v>
      </c>
      <c r="G536">
        <v>304.70000000000005</v>
      </c>
      <c r="H536" t="s">
        <v>1765</v>
      </c>
    </row>
    <row r="537" spans="1:8" x14ac:dyDescent="0.35">
      <c r="A537" t="s">
        <v>179</v>
      </c>
      <c r="B537" t="s">
        <v>1987</v>
      </c>
      <c r="C537" t="s">
        <v>980</v>
      </c>
      <c r="D537" t="s">
        <v>88</v>
      </c>
      <c r="E537">
        <v>108</v>
      </c>
      <c r="F537" t="s">
        <v>1564</v>
      </c>
      <c r="G537">
        <v>118.80000000000001</v>
      </c>
      <c r="H537" t="s">
        <v>1812</v>
      </c>
    </row>
    <row r="538" spans="1:8" x14ac:dyDescent="0.35">
      <c r="A538" t="s">
        <v>249</v>
      </c>
      <c r="B538" t="s">
        <v>1988</v>
      </c>
      <c r="C538" t="s">
        <v>980</v>
      </c>
      <c r="D538" t="s">
        <v>137</v>
      </c>
      <c r="E538">
        <v>69</v>
      </c>
      <c r="F538" t="s">
        <v>1533</v>
      </c>
      <c r="G538">
        <v>75.900000000000006</v>
      </c>
      <c r="H538" t="s">
        <v>1813</v>
      </c>
    </row>
    <row r="539" spans="1:8" x14ac:dyDescent="0.35">
      <c r="A539" t="s">
        <v>180</v>
      </c>
      <c r="B539" t="s">
        <v>1989</v>
      </c>
      <c r="C539" t="s">
        <v>929</v>
      </c>
      <c r="D539" t="s">
        <v>107</v>
      </c>
      <c r="E539">
        <v>115</v>
      </c>
      <c r="F539" t="s">
        <v>1495</v>
      </c>
      <c r="G539">
        <v>126.50000000000001</v>
      </c>
      <c r="H539" t="s">
        <v>1810</v>
      </c>
    </row>
    <row r="540" spans="1:8" x14ac:dyDescent="0.35">
      <c r="A540" t="s">
        <v>180</v>
      </c>
      <c r="B540" t="s">
        <v>1989</v>
      </c>
      <c r="C540" t="s">
        <v>929</v>
      </c>
      <c r="D540" t="s">
        <v>105</v>
      </c>
      <c r="E540">
        <v>65</v>
      </c>
      <c r="F540" t="s">
        <v>1695</v>
      </c>
      <c r="G540">
        <v>71.5</v>
      </c>
      <c r="H540" t="s">
        <v>1811</v>
      </c>
    </row>
    <row r="541" spans="1:8" x14ac:dyDescent="0.35">
      <c r="D541" t="s">
        <v>132</v>
      </c>
      <c r="E541">
        <v>1207</v>
      </c>
    </row>
    <row r="543" spans="1:8" x14ac:dyDescent="0.35">
      <c r="A543" t="s">
        <v>406</v>
      </c>
    </row>
    <row r="544" spans="1:8" x14ac:dyDescent="0.35">
      <c r="A544" t="s">
        <v>1368</v>
      </c>
    </row>
    <row r="545" spans="1:8" x14ac:dyDescent="0.35">
      <c r="A545" t="s">
        <v>6</v>
      </c>
      <c r="B545" t="s">
        <v>5</v>
      </c>
      <c r="C545" t="s">
        <v>4</v>
      </c>
      <c r="D545" t="s">
        <v>3</v>
      </c>
      <c r="E545" t="s">
        <v>2</v>
      </c>
      <c r="F545" t="s">
        <v>1</v>
      </c>
      <c r="G545" t="s">
        <v>0</v>
      </c>
    </row>
    <row r="546" spans="1:8" x14ac:dyDescent="0.35">
      <c r="A546" t="s">
        <v>329</v>
      </c>
      <c r="B546" t="s">
        <v>1990</v>
      </c>
      <c r="C546" t="s">
        <v>1259</v>
      </c>
      <c r="D546" t="s">
        <v>64</v>
      </c>
      <c r="E546">
        <v>227</v>
      </c>
      <c r="F546" t="s">
        <v>1600</v>
      </c>
      <c r="G546">
        <v>249.70000000000002</v>
      </c>
      <c r="H546" t="s">
        <v>1780</v>
      </c>
    </row>
    <row r="547" spans="1:8" x14ac:dyDescent="0.35">
      <c r="A547" t="s">
        <v>210</v>
      </c>
      <c r="B547" t="s">
        <v>1110</v>
      </c>
      <c r="C547" t="s">
        <v>1087</v>
      </c>
      <c r="D547" t="s">
        <v>45</v>
      </c>
      <c r="E547">
        <v>156</v>
      </c>
      <c r="F547" t="s">
        <v>1814</v>
      </c>
      <c r="G547">
        <v>171.60000000000002</v>
      </c>
      <c r="H547" t="s">
        <v>1815</v>
      </c>
    </row>
    <row r="548" spans="1:8" x14ac:dyDescent="0.35">
      <c r="A548" t="s">
        <v>458</v>
      </c>
      <c r="B548" t="s">
        <v>1991</v>
      </c>
      <c r="C548" t="s">
        <v>874</v>
      </c>
      <c r="D548" t="s">
        <v>53</v>
      </c>
      <c r="E548">
        <v>158</v>
      </c>
      <c r="F548" t="s">
        <v>1814</v>
      </c>
      <c r="G548">
        <v>173.8</v>
      </c>
      <c r="H548" t="s">
        <v>1816</v>
      </c>
    </row>
    <row r="549" spans="1:8" x14ac:dyDescent="0.35">
      <c r="A549" t="s">
        <v>784</v>
      </c>
      <c r="B549" t="s">
        <v>1312</v>
      </c>
      <c r="C549" t="s">
        <v>1307</v>
      </c>
      <c r="D549" t="s">
        <v>150</v>
      </c>
      <c r="E549">
        <v>32</v>
      </c>
      <c r="F549" t="s">
        <v>1437</v>
      </c>
      <c r="G549">
        <v>35.200000000000003</v>
      </c>
      <c r="H549">
        <v>32</v>
      </c>
    </row>
    <row r="550" spans="1:8" x14ac:dyDescent="0.35">
      <c r="A550" t="s">
        <v>175</v>
      </c>
      <c r="B550" t="s">
        <v>1051</v>
      </c>
      <c r="C550" t="s">
        <v>1410</v>
      </c>
      <c r="D550" t="s">
        <v>177</v>
      </c>
      <c r="E550">
        <v>84</v>
      </c>
      <c r="F550" t="s">
        <v>1523</v>
      </c>
      <c r="G550">
        <v>92.4</v>
      </c>
      <c r="H550" t="s">
        <v>1487</v>
      </c>
    </row>
    <row r="551" spans="1:8" x14ac:dyDescent="0.35">
      <c r="A551" t="s">
        <v>175</v>
      </c>
      <c r="B551" t="s">
        <v>1051</v>
      </c>
      <c r="C551" t="s">
        <v>1052</v>
      </c>
      <c r="D551" t="s">
        <v>176</v>
      </c>
      <c r="E551">
        <v>244</v>
      </c>
      <c r="F551" t="s">
        <v>1683</v>
      </c>
      <c r="G551">
        <v>268.40000000000003</v>
      </c>
      <c r="H551" t="s">
        <v>1817</v>
      </c>
    </row>
    <row r="552" spans="1:8" x14ac:dyDescent="0.35">
      <c r="A552" t="s">
        <v>175</v>
      </c>
      <c r="B552" t="s">
        <v>1051</v>
      </c>
      <c r="C552" t="s">
        <v>1052</v>
      </c>
      <c r="D552" t="s">
        <v>15</v>
      </c>
      <c r="E552">
        <v>78</v>
      </c>
      <c r="F552" t="s">
        <v>1420</v>
      </c>
      <c r="G552">
        <v>85.800000000000011</v>
      </c>
      <c r="H552">
        <v>78</v>
      </c>
    </row>
    <row r="553" spans="1:8" x14ac:dyDescent="0.35">
      <c r="A553" t="s">
        <v>175</v>
      </c>
      <c r="B553" t="s">
        <v>1051</v>
      </c>
      <c r="C553" t="s">
        <v>1052</v>
      </c>
      <c r="D553" t="s">
        <v>82</v>
      </c>
      <c r="E553">
        <v>88</v>
      </c>
      <c r="F553" t="s">
        <v>1718</v>
      </c>
      <c r="G553">
        <v>96.800000000000011</v>
      </c>
      <c r="H553" t="s">
        <v>1498</v>
      </c>
    </row>
    <row r="554" spans="1:8" x14ac:dyDescent="0.35">
      <c r="A554" t="s">
        <v>175</v>
      </c>
      <c r="B554" t="s">
        <v>1051</v>
      </c>
      <c r="C554" t="s">
        <v>1052</v>
      </c>
      <c r="D554" t="s">
        <v>43</v>
      </c>
      <c r="E554">
        <v>37</v>
      </c>
      <c r="F554" t="s">
        <v>1422</v>
      </c>
      <c r="G554">
        <v>40.700000000000003</v>
      </c>
      <c r="H554">
        <v>37</v>
      </c>
    </row>
    <row r="555" spans="1:8" x14ac:dyDescent="0.35">
      <c r="A555" t="s">
        <v>341</v>
      </c>
      <c r="B555" t="s">
        <v>1264</v>
      </c>
      <c r="C555" t="s">
        <v>1265</v>
      </c>
      <c r="D555" t="s">
        <v>27</v>
      </c>
      <c r="E555">
        <v>254</v>
      </c>
      <c r="F555" t="s">
        <v>1683</v>
      </c>
      <c r="G555">
        <v>279.40000000000003</v>
      </c>
      <c r="H555" t="s">
        <v>1731</v>
      </c>
    </row>
    <row r="556" spans="1:8" x14ac:dyDescent="0.35">
      <c r="A556" t="s">
        <v>236</v>
      </c>
      <c r="B556" t="s">
        <v>1301</v>
      </c>
      <c r="C556" t="s">
        <v>1210</v>
      </c>
      <c r="D556" t="s">
        <v>42</v>
      </c>
      <c r="E556">
        <v>94</v>
      </c>
      <c r="F556" t="s">
        <v>1564</v>
      </c>
      <c r="G556">
        <v>103.4</v>
      </c>
      <c r="H556" t="s">
        <v>1818</v>
      </c>
    </row>
    <row r="558" spans="1:8" x14ac:dyDescent="0.35">
      <c r="D558" t="s">
        <v>132</v>
      </c>
      <c r="E558">
        <v>1452</v>
      </c>
    </row>
    <row r="560" spans="1:8" x14ac:dyDescent="0.35">
      <c r="A560" t="s">
        <v>1869</v>
      </c>
    </row>
    <row r="561" spans="1:8" x14ac:dyDescent="0.35">
      <c r="A561" t="s">
        <v>1888</v>
      </c>
    </row>
    <row r="562" spans="1:8" x14ac:dyDescent="0.35">
      <c r="A562" t="s">
        <v>6</v>
      </c>
      <c r="B562" t="s">
        <v>5</v>
      </c>
      <c r="C562" t="s">
        <v>4</v>
      </c>
      <c r="D562" t="s">
        <v>3</v>
      </c>
      <c r="E562" t="s">
        <v>2</v>
      </c>
      <c r="F562" t="s">
        <v>1</v>
      </c>
      <c r="G562" t="s">
        <v>0</v>
      </c>
    </row>
    <row r="563" spans="1:8" x14ac:dyDescent="0.35">
      <c r="A563" t="s">
        <v>129</v>
      </c>
      <c r="B563" t="s">
        <v>1122</v>
      </c>
      <c r="C563" t="s">
        <v>1123</v>
      </c>
      <c r="D563" t="s">
        <v>47</v>
      </c>
      <c r="E563">
        <v>96</v>
      </c>
      <c r="F563" t="s">
        <v>114</v>
      </c>
      <c r="G563">
        <v>105.60000000000001</v>
      </c>
    </row>
    <row r="564" spans="1:8" x14ac:dyDescent="0.35">
      <c r="A564" t="s">
        <v>403</v>
      </c>
      <c r="B564" t="s">
        <v>1166</v>
      </c>
      <c r="C564" t="s">
        <v>1160</v>
      </c>
      <c r="D564" t="s">
        <v>46</v>
      </c>
      <c r="E564">
        <v>256</v>
      </c>
      <c r="F564" t="s">
        <v>1465</v>
      </c>
      <c r="G564">
        <v>281.60000000000002</v>
      </c>
      <c r="H564" t="s">
        <v>1464</v>
      </c>
    </row>
    <row r="565" spans="1:8" x14ac:dyDescent="0.35">
      <c r="A565" t="s">
        <v>143</v>
      </c>
      <c r="B565" t="s">
        <v>879</v>
      </c>
      <c r="C565" t="s">
        <v>880</v>
      </c>
      <c r="D565" t="s">
        <v>53</v>
      </c>
      <c r="E565">
        <v>158</v>
      </c>
      <c r="F565" t="s">
        <v>1541</v>
      </c>
      <c r="G565">
        <v>173.8</v>
      </c>
      <c r="H565" t="s">
        <v>1467</v>
      </c>
    </row>
    <row r="566" spans="1:8" x14ac:dyDescent="0.35">
      <c r="A566" t="s">
        <v>354</v>
      </c>
      <c r="B566" t="s">
        <v>1167</v>
      </c>
      <c r="C566" t="s">
        <v>1170</v>
      </c>
      <c r="D566" t="s">
        <v>51</v>
      </c>
      <c r="E566">
        <v>111</v>
      </c>
      <c r="F566" t="s">
        <v>1473</v>
      </c>
      <c r="G566">
        <v>122.10000000000001</v>
      </c>
      <c r="H566" t="s">
        <v>1474</v>
      </c>
    </row>
    <row r="567" spans="1:8" x14ac:dyDescent="0.35">
      <c r="A567" t="s">
        <v>354</v>
      </c>
      <c r="B567" t="s">
        <v>1167</v>
      </c>
      <c r="C567" t="s">
        <v>1170</v>
      </c>
      <c r="D567" t="s">
        <v>77</v>
      </c>
      <c r="E567">
        <v>147</v>
      </c>
      <c r="F567" t="s">
        <v>1471</v>
      </c>
      <c r="G567">
        <v>161.70000000000002</v>
      </c>
      <c r="H567" t="s">
        <v>1470</v>
      </c>
    </row>
    <row r="568" spans="1:8" x14ac:dyDescent="0.35">
      <c r="A568" t="s">
        <v>280</v>
      </c>
      <c r="B568" t="s">
        <v>1169</v>
      </c>
      <c r="C568" t="s">
        <v>1170</v>
      </c>
      <c r="D568" t="s">
        <v>20</v>
      </c>
      <c r="E568">
        <v>255</v>
      </c>
      <c r="F568" t="s">
        <v>1465</v>
      </c>
      <c r="G568">
        <v>280.5</v>
      </c>
      <c r="H568" t="s">
        <v>1462</v>
      </c>
    </row>
    <row r="569" spans="1:8" x14ac:dyDescent="0.35">
      <c r="A569" t="s">
        <v>307</v>
      </c>
      <c r="B569" t="s">
        <v>1992</v>
      </c>
      <c r="C569" t="s">
        <v>851</v>
      </c>
      <c r="D569" t="s">
        <v>168</v>
      </c>
      <c r="E569">
        <v>180</v>
      </c>
      <c r="F569" t="s">
        <v>1468</v>
      </c>
      <c r="G569">
        <v>198.00000000000003</v>
      </c>
      <c r="H569" t="s">
        <v>1851</v>
      </c>
    </row>
    <row r="570" spans="1:8" x14ac:dyDescent="0.35">
      <c r="A570" t="s">
        <v>99</v>
      </c>
      <c r="B570" t="s">
        <v>1993</v>
      </c>
      <c r="C570" t="s">
        <v>887</v>
      </c>
      <c r="D570" t="s">
        <v>98</v>
      </c>
      <c r="E570">
        <v>97</v>
      </c>
      <c r="F570" t="s">
        <v>1473</v>
      </c>
      <c r="G570">
        <v>106.7</v>
      </c>
      <c r="H570" t="s">
        <v>1852</v>
      </c>
    </row>
    <row r="571" spans="1:8" x14ac:dyDescent="0.35">
      <c r="A571" t="s">
        <v>121</v>
      </c>
      <c r="B571" t="s">
        <v>1994</v>
      </c>
      <c r="C571" t="s">
        <v>943</v>
      </c>
      <c r="D571" t="s">
        <v>33</v>
      </c>
      <c r="E571">
        <v>65</v>
      </c>
      <c r="F571" t="s">
        <v>1472</v>
      </c>
      <c r="G571">
        <v>71.5</v>
      </c>
      <c r="H571" t="s">
        <v>1846</v>
      </c>
    </row>
    <row r="572" spans="1:8" x14ac:dyDescent="0.35">
      <c r="A572" t="s">
        <v>121</v>
      </c>
      <c r="B572" t="s">
        <v>1994</v>
      </c>
      <c r="C572" t="s">
        <v>943</v>
      </c>
      <c r="D572" t="s">
        <v>120</v>
      </c>
      <c r="E572">
        <v>55</v>
      </c>
      <c r="F572" t="s">
        <v>1422</v>
      </c>
      <c r="G572">
        <v>60.500000000000007</v>
      </c>
      <c r="H572">
        <v>55</v>
      </c>
    </row>
    <row r="573" spans="1:8" x14ac:dyDescent="0.35">
      <c r="A573" t="s">
        <v>118</v>
      </c>
      <c r="B573" t="s">
        <v>1893</v>
      </c>
      <c r="C573" t="s">
        <v>1322</v>
      </c>
      <c r="D573" t="s">
        <v>117</v>
      </c>
      <c r="E573">
        <v>63</v>
      </c>
      <c r="F573" t="s">
        <v>1475</v>
      </c>
      <c r="G573">
        <v>69.300000000000011</v>
      </c>
      <c r="H573" t="s">
        <v>1476</v>
      </c>
    </row>
    <row r="576" spans="1:8" x14ac:dyDescent="0.35">
      <c r="D576" t="s">
        <v>115</v>
      </c>
      <c r="E576">
        <v>1387</v>
      </c>
    </row>
    <row r="579" spans="1:7" x14ac:dyDescent="0.35">
      <c r="A579" t="s">
        <v>1869</v>
      </c>
    </row>
    <row r="580" spans="1:7" x14ac:dyDescent="0.35">
      <c r="A580" t="s">
        <v>1892</v>
      </c>
    </row>
    <row r="581" spans="1:7" x14ac:dyDescent="0.35">
      <c r="A581" t="s">
        <v>6</v>
      </c>
      <c r="B581" t="s">
        <v>5</v>
      </c>
      <c r="C581" t="s">
        <v>4</v>
      </c>
      <c r="D581" t="s">
        <v>3</v>
      </c>
      <c r="E581" t="s">
        <v>2</v>
      </c>
      <c r="F581" t="s">
        <v>1</v>
      </c>
      <c r="G581" t="s">
        <v>0</v>
      </c>
    </row>
    <row r="582" spans="1:7" x14ac:dyDescent="0.35">
      <c r="A582" t="s">
        <v>112</v>
      </c>
      <c r="B582" t="s">
        <v>1933</v>
      </c>
      <c r="C582" t="s">
        <v>1058</v>
      </c>
      <c r="D582" t="s">
        <v>42</v>
      </c>
      <c r="E582">
        <v>94</v>
      </c>
      <c r="F582" t="s">
        <v>114</v>
      </c>
      <c r="G582">
        <v>103.4</v>
      </c>
    </row>
    <row r="583" spans="1:7" x14ac:dyDescent="0.35">
      <c r="A583" t="s">
        <v>112</v>
      </c>
      <c r="B583" t="s">
        <v>1933</v>
      </c>
      <c r="C583" t="s">
        <v>1058</v>
      </c>
      <c r="D583" t="s">
        <v>11</v>
      </c>
      <c r="E583">
        <v>48</v>
      </c>
      <c r="F583" t="s">
        <v>114</v>
      </c>
      <c r="G583">
        <v>52.800000000000004</v>
      </c>
    </row>
    <row r="584" spans="1:7" x14ac:dyDescent="0.35">
      <c r="A584" t="s">
        <v>112</v>
      </c>
      <c r="B584" t="s">
        <v>1933</v>
      </c>
      <c r="C584" t="s">
        <v>1058</v>
      </c>
      <c r="D584" t="s">
        <v>69</v>
      </c>
      <c r="E584">
        <v>59</v>
      </c>
      <c r="F584" t="s">
        <v>114</v>
      </c>
      <c r="G584">
        <v>64.900000000000006</v>
      </c>
    </row>
    <row r="585" spans="1:7" x14ac:dyDescent="0.35">
      <c r="A585" t="s">
        <v>112</v>
      </c>
      <c r="B585" t="s">
        <v>1933</v>
      </c>
      <c r="C585" t="s">
        <v>1058</v>
      </c>
      <c r="D585" t="s">
        <v>36</v>
      </c>
      <c r="E585">
        <v>82</v>
      </c>
      <c r="F585" t="s">
        <v>114</v>
      </c>
      <c r="G585">
        <v>90.2</v>
      </c>
    </row>
    <row r="586" spans="1:7" x14ac:dyDescent="0.35">
      <c r="A586" t="s">
        <v>112</v>
      </c>
      <c r="B586" t="s">
        <v>1933</v>
      </c>
      <c r="C586" t="s">
        <v>1059</v>
      </c>
      <c r="D586" t="s">
        <v>113</v>
      </c>
      <c r="E586">
        <v>89</v>
      </c>
      <c r="F586" t="s">
        <v>114</v>
      </c>
      <c r="G586">
        <v>97.9</v>
      </c>
    </row>
    <row r="587" spans="1:7" x14ac:dyDescent="0.35">
      <c r="A587" t="s">
        <v>112</v>
      </c>
      <c r="B587" t="s">
        <v>1933</v>
      </c>
      <c r="C587" t="s">
        <v>1059</v>
      </c>
      <c r="D587" t="s">
        <v>111</v>
      </c>
      <c r="E587">
        <v>86</v>
      </c>
      <c r="F587" t="s">
        <v>114</v>
      </c>
      <c r="G587">
        <v>94.600000000000009</v>
      </c>
    </row>
    <row r="588" spans="1:7" x14ac:dyDescent="0.35">
      <c r="A588" t="s">
        <v>112</v>
      </c>
      <c r="B588" t="s">
        <v>1933</v>
      </c>
      <c r="C588" t="s">
        <v>1060</v>
      </c>
      <c r="D588" t="s">
        <v>13</v>
      </c>
      <c r="E588">
        <v>76</v>
      </c>
      <c r="F588" t="s">
        <v>114</v>
      </c>
      <c r="G588">
        <v>83.600000000000009</v>
      </c>
    </row>
    <row r="589" spans="1:7" x14ac:dyDescent="0.35">
      <c r="A589" t="s">
        <v>112</v>
      </c>
      <c r="B589" t="s">
        <v>1933</v>
      </c>
      <c r="C589" t="s">
        <v>1060</v>
      </c>
      <c r="D589" t="s">
        <v>17</v>
      </c>
      <c r="E589">
        <v>72</v>
      </c>
      <c r="F589" t="s">
        <v>114</v>
      </c>
      <c r="G589">
        <v>79.2</v>
      </c>
    </row>
    <row r="590" spans="1:7" x14ac:dyDescent="0.35">
      <c r="A590" t="s">
        <v>112</v>
      </c>
      <c r="B590" t="s">
        <v>1933</v>
      </c>
      <c r="C590" t="s">
        <v>1060</v>
      </c>
      <c r="D590" t="s">
        <v>49</v>
      </c>
      <c r="E590">
        <v>147</v>
      </c>
      <c r="F590" t="s">
        <v>114</v>
      </c>
      <c r="G590">
        <v>161.70000000000002</v>
      </c>
    </row>
    <row r="591" spans="1:7" x14ac:dyDescent="0.35">
      <c r="A591" t="s">
        <v>112</v>
      </c>
      <c r="B591" t="s">
        <v>1933</v>
      </c>
      <c r="C591" t="s">
        <v>1060</v>
      </c>
      <c r="D591" t="s">
        <v>62</v>
      </c>
      <c r="E591">
        <v>156</v>
      </c>
      <c r="F591" t="s">
        <v>114</v>
      </c>
      <c r="G591">
        <v>171.60000000000002</v>
      </c>
    </row>
    <row r="592" spans="1:7" x14ac:dyDescent="0.35">
      <c r="A592" t="s">
        <v>112</v>
      </c>
      <c r="B592" t="s">
        <v>1933</v>
      </c>
      <c r="C592" t="s">
        <v>1415</v>
      </c>
      <c r="D592" t="s">
        <v>65</v>
      </c>
      <c r="E592">
        <v>122</v>
      </c>
      <c r="F592" t="s">
        <v>114</v>
      </c>
      <c r="G592">
        <v>134.20000000000002</v>
      </c>
    </row>
    <row r="593" spans="1:8" x14ac:dyDescent="0.35">
      <c r="A593" t="s">
        <v>112</v>
      </c>
      <c r="B593" t="s">
        <v>1933</v>
      </c>
      <c r="C593" t="s">
        <v>1396</v>
      </c>
      <c r="D593" t="s">
        <v>64</v>
      </c>
      <c r="E593">
        <v>227</v>
      </c>
      <c r="F593" t="s">
        <v>114</v>
      </c>
      <c r="G593">
        <v>249.70000000000002</v>
      </c>
    </row>
    <row r="594" spans="1:8" x14ac:dyDescent="0.35">
      <c r="A594" t="s">
        <v>112</v>
      </c>
      <c r="B594" t="s">
        <v>1933</v>
      </c>
      <c r="C594" t="s">
        <v>1060</v>
      </c>
      <c r="D594" t="s">
        <v>51</v>
      </c>
      <c r="E594">
        <v>111</v>
      </c>
      <c r="F594" t="s">
        <v>114</v>
      </c>
      <c r="G594">
        <v>122.10000000000001</v>
      </c>
    </row>
    <row r="595" spans="1:8" x14ac:dyDescent="0.35">
      <c r="A595" t="s">
        <v>112</v>
      </c>
      <c r="B595" t="s">
        <v>1933</v>
      </c>
      <c r="C595" t="s">
        <v>1060</v>
      </c>
      <c r="D595" t="s">
        <v>40</v>
      </c>
      <c r="E595">
        <v>277</v>
      </c>
      <c r="F595" t="s">
        <v>114</v>
      </c>
      <c r="G595">
        <v>304.70000000000005</v>
      </c>
    </row>
    <row r="596" spans="1:8" x14ac:dyDescent="0.35">
      <c r="A596" t="s">
        <v>110</v>
      </c>
      <c r="B596" t="s">
        <v>1995</v>
      </c>
      <c r="C596" t="s">
        <v>1331</v>
      </c>
      <c r="D596" t="s">
        <v>109</v>
      </c>
      <c r="E596">
        <v>125</v>
      </c>
      <c r="F596" t="s">
        <v>1484</v>
      </c>
      <c r="G596">
        <v>137.5</v>
      </c>
      <c r="H596" t="s">
        <v>1722</v>
      </c>
    </row>
    <row r="597" spans="1:8" x14ac:dyDescent="0.35">
      <c r="A597" t="s">
        <v>233</v>
      </c>
      <c r="B597" t="s">
        <v>1230</v>
      </c>
      <c r="C597" t="s">
        <v>1231</v>
      </c>
      <c r="D597" t="s">
        <v>48</v>
      </c>
      <c r="E597">
        <v>33</v>
      </c>
      <c r="F597" t="s">
        <v>1438</v>
      </c>
      <c r="G597">
        <v>36.300000000000004</v>
      </c>
      <c r="H597">
        <v>33</v>
      </c>
    </row>
    <row r="598" spans="1:8" x14ac:dyDescent="0.35">
      <c r="A598" t="s">
        <v>68</v>
      </c>
      <c r="B598" t="s">
        <v>1155</v>
      </c>
      <c r="C598" t="s">
        <v>1156</v>
      </c>
      <c r="D598" t="s">
        <v>67</v>
      </c>
      <c r="E598">
        <v>226</v>
      </c>
      <c r="F598" t="s">
        <v>1478</v>
      </c>
      <c r="G598">
        <v>248.60000000000002</v>
      </c>
      <c r="H598" t="s">
        <v>1477</v>
      </c>
    </row>
    <row r="599" spans="1:8" x14ac:dyDescent="0.35">
      <c r="A599" t="s">
        <v>102</v>
      </c>
      <c r="B599" t="s">
        <v>1348</v>
      </c>
      <c r="C599" t="s">
        <v>1349</v>
      </c>
      <c r="D599" t="s">
        <v>101</v>
      </c>
      <c r="E599">
        <v>157</v>
      </c>
      <c r="F599" t="s">
        <v>1479</v>
      </c>
      <c r="G599">
        <v>172.70000000000002</v>
      </c>
      <c r="H599" t="s">
        <v>1480</v>
      </c>
    </row>
    <row r="600" spans="1:8" x14ac:dyDescent="0.35">
      <c r="A600" t="s">
        <v>240</v>
      </c>
      <c r="B600" t="s">
        <v>1996</v>
      </c>
      <c r="C600" t="s">
        <v>951</v>
      </c>
      <c r="D600" t="s">
        <v>177</v>
      </c>
      <c r="E600">
        <v>84</v>
      </c>
      <c r="F600" t="s">
        <v>1848</v>
      </c>
      <c r="G600">
        <v>92.4</v>
      </c>
      <c r="H600" t="s">
        <v>1487</v>
      </c>
    </row>
    <row r="601" spans="1:8" x14ac:dyDescent="0.35">
      <c r="A601" t="s">
        <v>19</v>
      </c>
      <c r="B601" t="s">
        <v>1997</v>
      </c>
      <c r="C601" t="s">
        <v>951</v>
      </c>
      <c r="D601" t="s">
        <v>18</v>
      </c>
      <c r="E601">
        <v>61</v>
      </c>
      <c r="F601" t="s">
        <v>1472</v>
      </c>
      <c r="G601">
        <v>67.100000000000009</v>
      </c>
      <c r="H601" t="s">
        <v>1490</v>
      </c>
    </row>
    <row r="602" spans="1:8" x14ac:dyDescent="0.35">
      <c r="A602" t="s">
        <v>74</v>
      </c>
      <c r="B602" t="s">
        <v>1998</v>
      </c>
      <c r="C602" t="s">
        <v>1194</v>
      </c>
      <c r="D602" t="s">
        <v>73</v>
      </c>
      <c r="E602">
        <v>170</v>
      </c>
      <c r="F602" t="s">
        <v>1468</v>
      </c>
      <c r="G602">
        <v>187.00000000000003</v>
      </c>
      <c r="H602" t="s">
        <v>1850</v>
      </c>
    </row>
    <row r="603" spans="1:8" x14ac:dyDescent="0.35">
      <c r="A603" t="s">
        <v>278</v>
      </c>
      <c r="B603" t="s">
        <v>897</v>
      </c>
      <c r="C603" t="s">
        <v>887</v>
      </c>
      <c r="D603" t="s">
        <v>29</v>
      </c>
      <c r="E603">
        <v>103</v>
      </c>
      <c r="F603" t="s">
        <v>1488</v>
      </c>
      <c r="G603">
        <v>113.30000000000001</v>
      </c>
      <c r="H603" t="s">
        <v>1489</v>
      </c>
    </row>
    <row r="604" spans="1:8" x14ac:dyDescent="0.35">
      <c r="A604" t="s">
        <v>258</v>
      </c>
      <c r="B604" t="s">
        <v>1101</v>
      </c>
      <c r="C604" t="s">
        <v>1102</v>
      </c>
      <c r="D604" t="s">
        <v>217</v>
      </c>
      <c r="E604">
        <v>105</v>
      </c>
      <c r="F604" t="s">
        <v>1485</v>
      </c>
      <c r="G604">
        <v>115.50000000000001</v>
      </c>
      <c r="H604" t="s">
        <v>1486</v>
      </c>
    </row>
    <row r="605" spans="1:8" x14ac:dyDescent="0.35">
      <c r="A605" t="s">
        <v>401</v>
      </c>
      <c r="B605" t="s">
        <v>1870</v>
      </c>
      <c r="C605" t="s">
        <v>835</v>
      </c>
      <c r="D605" t="s">
        <v>10</v>
      </c>
      <c r="E605">
        <v>142</v>
      </c>
      <c r="F605" t="s">
        <v>1481</v>
      </c>
      <c r="G605">
        <v>156.20000000000002</v>
      </c>
      <c r="H605" t="s">
        <v>1482</v>
      </c>
    </row>
    <row r="606" spans="1:8" x14ac:dyDescent="0.35">
      <c r="A606" t="s">
        <v>100</v>
      </c>
      <c r="B606" t="s">
        <v>898</v>
      </c>
      <c r="C606" t="s">
        <v>1083</v>
      </c>
      <c r="D606" t="s">
        <v>8</v>
      </c>
      <c r="E606">
        <v>52</v>
      </c>
      <c r="F606" t="s">
        <v>1639</v>
      </c>
      <c r="G606">
        <v>57.2</v>
      </c>
      <c r="H606" t="s">
        <v>1849</v>
      </c>
    </row>
    <row r="607" spans="1:8" x14ac:dyDescent="0.35">
      <c r="A607" t="s">
        <v>97</v>
      </c>
      <c r="B607" t="s">
        <v>1999</v>
      </c>
      <c r="C607" t="s">
        <v>962</v>
      </c>
      <c r="D607" t="s">
        <v>96</v>
      </c>
      <c r="E607">
        <v>68</v>
      </c>
      <c r="F607" t="s">
        <v>1483</v>
      </c>
      <c r="G607">
        <v>74.800000000000011</v>
      </c>
      <c r="H607">
        <v>68</v>
      </c>
    </row>
    <row r="608" spans="1:8" x14ac:dyDescent="0.35">
      <c r="A608" t="s">
        <v>92</v>
      </c>
      <c r="B608" t="s">
        <v>2000</v>
      </c>
      <c r="C608" t="s">
        <v>1010</v>
      </c>
      <c r="D608" t="s">
        <v>93</v>
      </c>
      <c r="E608">
        <v>8</v>
      </c>
      <c r="F608" t="s">
        <v>1441</v>
      </c>
      <c r="G608">
        <v>8.8000000000000007</v>
      </c>
      <c r="H608">
        <v>8</v>
      </c>
    </row>
    <row r="609" spans="1:8" x14ac:dyDescent="0.35">
      <c r="A609" t="s">
        <v>92</v>
      </c>
      <c r="B609" t="s">
        <v>1009</v>
      </c>
      <c r="C609" t="s">
        <v>1010</v>
      </c>
      <c r="D609" t="s">
        <v>91</v>
      </c>
      <c r="E609">
        <v>72</v>
      </c>
      <c r="F609" t="s">
        <v>1513</v>
      </c>
      <c r="G609">
        <v>79.2</v>
      </c>
      <c r="H609" t="s">
        <v>1630</v>
      </c>
    </row>
    <row r="610" spans="1:8" x14ac:dyDescent="0.35">
      <c r="D610" t="s">
        <v>90</v>
      </c>
      <c r="E610">
        <v>1406</v>
      </c>
    </row>
    <row r="613" spans="1:8" x14ac:dyDescent="0.35">
      <c r="A613" t="s">
        <v>1869</v>
      </c>
    </row>
    <row r="614" spans="1:8" x14ac:dyDescent="0.35">
      <c r="A614" t="s">
        <v>1898</v>
      </c>
    </row>
    <row r="615" spans="1:8" x14ac:dyDescent="0.35">
      <c r="A615" t="s">
        <v>6</v>
      </c>
      <c r="B615" t="s">
        <v>5</v>
      </c>
      <c r="C615" t="s">
        <v>4</v>
      </c>
      <c r="D615" t="s">
        <v>3</v>
      </c>
      <c r="E615" t="s">
        <v>2</v>
      </c>
      <c r="F615" t="s">
        <v>1</v>
      </c>
      <c r="G615" t="s">
        <v>0</v>
      </c>
    </row>
    <row r="616" spans="1:8" x14ac:dyDescent="0.35">
      <c r="A616" t="s">
        <v>89</v>
      </c>
      <c r="B616" t="s">
        <v>2001</v>
      </c>
      <c r="C616" t="s">
        <v>1339</v>
      </c>
      <c r="D616" t="s">
        <v>88</v>
      </c>
      <c r="E616">
        <v>108</v>
      </c>
      <c r="F616" t="s">
        <v>1495</v>
      </c>
      <c r="G616">
        <v>118.80000000000001</v>
      </c>
      <c r="H616" t="s">
        <v>1494</v>
      </c>
    </row>
    <row r="617" spans="1:8" x14ac:dyDescent="0.35">
      <c r="A617" t="s">
        <v>85</v>
      </c>
      <c r="B617" t="s">
        <v>1247</v>
      </c>
      <c r="C617" t="s">
        <v>1248</v>
      </c>
      <c r="D617" t="s">
        <v>84</v>
      </c>
      <c r="E617">
        <v>55</v>
      </c>
      <c r="F617" t="s">
        <v>1502</v>
      </c>
      <c r="G617">
        <v>60.500000000000007</v>
      </c>
      <c r="H617" t="s">
        <v>1503</v>
      </c>
    </row>
    <row r="618" spans="1:8" x14ac:dyDescent="0.35">
      <c r="A618" t="s">
        <v>95</v>
      </c>
      <c r="B618" t="s">
        <v>2002</v>
      </c>
      <c r="C618" t="s">
        <v>1114</v>
      </c>
      <c r="D618" t="s">
        <v>94</v>
      </c>
      <c r="E618">
        <v>107</v>
      </c>
      <c r="F618" t="s">
        <v>1469</v>
      </c>
      <c r="G618">
        <v>117.7</v>
      </c>
      <c r="H618" t="s">
        <v>1496</v>
      </c>
    </row>
    <row r="619" spans="1:8" x14ac:dyDescent="0.35">
      <c r="A619" t="s">
        <v>602</v>
      </c>
      <c r="B619" t="s">
        <v>978</v>
      </c>
      <c r="C619" t="s">
        <v>962</v>
      </c>
      <c r="D619" t="s">
        <v>31</v>
      </c>
      <c r="E619">
        <v>41</v>
      </c>
      <c r="F619" t="s">
        <v>1422</v>
      </c>
      <c r="G619">
        <v>45.1</v>
      </c>
      <c r="H619">
        <v>41</v>
      </c>
    </row>
    <row r="620" spans="1:8" x14ac:dyDescent="0.35">
      <c r="A620" t="s">
        <v>81</v>
      </c>
      <c r="B620" t="s">
        <v>2003</v>
      </c>
      <c r="C620" t="s">
        <v>1007</v>
      </c>
      <c r="D620" t="s">
        <v>82</v>
      </c>
      <c r="E620">
        <v>88</v>
      </c>
      <c r="F620" t="s">
        <v>1497</v>
      </c>
      <c r="G620">
        <v>96.800000000000011</v>
      </c>
      <c r="H620" t="s">
        <v>1498</v>
      </c>
    </row>
    <row r="621" spans="1:8" x14ac:dyDescent="0.35">
      <c r="A621" t="s">
        <v>81</v>
      </c>
      <c r="B621" t="s">
        <v>2003</v>
      </c>
      <c r="C621" t="s">
        <v>1007</v>
      </c>
      <c r="D621" t="s">
        <v>43</v>
      </c>
      <c r="E621">
        <v>37</v>
      </c>
      <c r="F621" t="s">
        <v>1422</v>
      </c>
      <c r="G621">
        <v>40.700000000000003</v>
      </c>
      <c r="H621">
        <v>37</v>
      </c>
    </row>
    <row r="622" spans="1:8" x14ac:dyDescent="0.35">
      <c r="A622" t="s">
        <v>81</v>
      </c>
      <c r="B622" t="s">
        <v>2003</v>
      </c>
      <c r="C622" t="s">
        <v>969</v>
      </c>
      <c r="D622" t="s">
        <v>157</v>
      </c>
      <c r="E622">
        <v>75</v>
      </c>
      <c r="F622" t="s">
        <v>1500</v>
      </c>
      <c r="G622">
        <v>82.5</v>
      </c>
      <c r="H622" t="s">
        <v>1501</v>
      </c>
    </row>
    <row r="623" spans="1:8" x14ac:dyDescent="0.35">
      <c r="A623" t="s">
        <v>81</v>
      </c>
      <c r="B623" t="s">
        <v>2003</v>
      </c>
      <c r="C623" t="s">
        <v>969</v>
      </c>
      <c r="D623" t="s">
        <v>176</v>
      </c>
      <c r="E623">
        <v>244</v>
      </c>
      <c r="F623" t="s">
        <v>1463</v>
      </c>
      <c r="G623">
        <v>268.40000000000003</v>
      </c>
      <c r="H623" t="s">
        <v>1491</v>
      </c>
    </row>
    <row r="624" spans="1:8" x14ac:dyDescent="0.35">
      <c r="A624" t="s">
        <v>696</v>
      </c>
      <c r="B624" t="s">
        <v>695</v>
      </c>
      <c r="C624" t="s">
        <v>1029</v>
      </c>
      <c r="D624" t="s">
        <v>196</v>
      </c>
      <c r="E624">
        <v>211</v>
      </c>
      <c r="F624" t="s">
        <v>1493</v>
      </c>
      <c r="G624">
        <v>232.10000000000002</v>
      </c>
      <c r="H624" t="s">
        <v>1492</v>
      </c>
    </row>
    <row r="625" spans="1:8" x14ac:dyDescent="0.35">
      <c r="A625" t="s">
        <v>80</v>
      </c>
      <c r="B625" t="s">
        <v>872</v>
      </c>
      <c r="C625" t="s">
        <v>871</v>
      </c>
      <c r="D625" t="s">
        <v>79</v>
      </c>
      <c r="E625">
        <v>62</v>
      </c>
      <c r="F625" t="s">
        <v>1504</v>
      </c>
      <c r="G625">
        <v>68.2</v>
      </c>
      <c r="H625" t="s">
        <v>1505</v>
      </c>
    </row>
    <row r="626" spans="1:8" x14ac:dyDescent="0.35">
      <c r="A626" t="s">
        <v>76</v>
      </c>
      <c r="B626" t="s">
        <v>1292</v>
      </c>
      <c r="C626" t="s">
        <v>1289</v>
      </c>
      <c r="D626" t="s">
        <v>75</v>
      </c>
      <c r="E626">
        <v>85</v>
      </c>
      <c r="F626" t="s">
        <v>1497</v>
      </c>
      <c r="G626">
        <v>93.500000000000014</v>
      </c>
      <c r="H626" t="s">
        <v>1499</v>
      </c>
    </row>
    <row r="627" spans="1:8" x14ac:dyDescent="0.35">
      <c r="A627" t="s">
        <v>694</v>
      </c>
      <c r="B627" t="s">
        <v>1207</v>
      </c>
      <c r="C627" t="s">
        <v>1208</v>
      </c>
      <c r="D627" t="s">
        <v>25</v>
      </c>
      <c r="E627">
        <v>378</v>
      </c>
      <c r="F627" t="s">
        <v>1417</v>
      </c>
      <c r="G627">
        <v>415.8</v>
      </c>
      <c r="H627" t="s">
        <v>1418</v>
      </c>
    </row>
    <row r="629" spans="1:8" x14ac:dyDescent="0.35">
      <c r="D629" t="s">
        <v>72</v>
      </c>
      <c r="E629">
        <v>1491</v>
      </c>
    </row>
    <row r="632" spans="1:8" x14ac:dyDescent="0.35">
      <c r="A632" t="s">
        <v>1869</v>
      </c>
    </row>
    <row r="633" spans="1:8" x14ac:dyDescent="0.35">
      <c r="A633" t="s">
        <v>1904</v>
      </c>
    </row>
    <row r="634" spans="1:8" x14ac:dyDescent="0.35">
      <c r="A634" t="s">
        <v>6</v>
      </c>
      <c r="B634" t="s">
        <v>5</v>
      </c>
      <c r="C634" t="s">
        <v>4</v>
      </c>
      <c r="D634" t="s">
        <v>3</v>
      </c>
      <c r="E634" t="s">
        <v>2</v>
      </c>
      <c r="F634" t="s">
        <v>1</v>
      </c>
      <c r="G634" t="s">
        <v>0</v>
      </c>
    </row>
    <row r="635" spans="1:8" x14ac:dyDescent="0.35">
      <c r="A635" t="s">
        <v>70</v>
      </c>
      <c r="B635" t="s">
        <v>1237</v>
      </c>
      <c r="C635" t="s">
        <v>919</v>
      </c>
      <c r="D635" t="s">
        <v>71</v>
      </c>
      <c r="E635">
        <v>119</v>
      </c>
      <c r="F635" t="s">
        <v>114</v>
      </c>
      <c r="G635">
        <v>130.9</v>
      </c>
    </row>
    <row r="636" spans="1:8" x14ac:dyDescent="0.35">
      <c r="A636" t="s">
        <v>61</v>
      </c>
      <c r="B636" t="s">
        <v>1947</v>
      </c>
      <c r="C636" t="s">
        <v>919</v>
      </c>
      <c r="D636" t="s">
        <v>60</v>
      </c>
      <c r="E636">
        <v>155</v>
      </c>
      <c r="F636" t="s">
        <v>114</v>
      </c>
      <c r="G636">
        <v>170.5</v>
      </c>
    </row>
    <row r="637" spans="1:8" x14ac:dyDescent="0.35">
      <c r="A637" t="s">
        <v>138</v>
      </c>
      <c r="B637" t="s">
        <v>1073</v>
      </c>
      <c r="C637" t="s">
        <v>994</v>
      </c>
      <c r="D637" t="s">
        <v>137</v>
      </c>
      <c r="E637">
        <v>69</v>
      </c>
      <c r="F637" t="s">
        <v>1513</v>
      </c>
      <c r="G637">
        <v>75.900000000000006</v>
      </c>
      <c r="H637" t="s">
        <v>1514</v>
      </c>
    </row>
    <row r="638" spans="1:8" x14ac:dyDescent="0.35">
      <c r="A638" t="s">
        <v>66</v>
      </c>
      <c r="B638" t="s">
        <v>2004</v>
      </c>
      <c r="C638" t="s">
        <v>902</v>
      </c>
      <c r="D638" t="s">
        <v>65</v>
      </c>
      <c r="E638">
        <v>122</v>
      </c>
      <c r="F638" t="s">
        <v>1484</v>
      </c>
      <c r="G638">
        <v>134.20000000000002</v>
      </c>
      <c r="H638" t="s">
        <v>1833</v>
      </c>
    </row>
    <row r="639" spans="1:8" x14ac:dyDescent="0.35">
      <c r="A639" t="s">
        <v>63</v>
      </c>
      <c r="B639" t="s">
        <v>1126</v>
      </c>
      <c r="C639" t="s">
        <v>1127</v>
      </c>
      <c r="D639" t="s">
        <v>64</v>
      </c>
      <c r="E639">
        <v>227</v>
      </c>
      <c r="F639" t="s">
        <v>1506</v>
      </c>
      <c r="G639">
        <v>249.70000000000002</v>
      </c>
      <c r="H639" t="s">
        <v>1507</v>
      </c>
    </row>
    <row r="640" spans="1:8" x14ac:dyDescent="0.35">
      <c r="A640" t="s">
        <v>63</v>
      </c>
      <c r="B640" t="s">
        <v>1126</v>
      </c>
      <c r="C640" t="s">
        <v>1127</v>
      </c>
      <c r="D640" t="s">
        <v>62</v>
      </c>
      <c r="E640">
        <v>156</v>
      </c>
      <c r="F640" t="s">
        <v>1466</v>
      </c>
      <c r="G640">
        <v>171.60000000000002</v>
      </c>
      <c r="H640" t="s">
        <v>1508</v>
      </c>
    </row>
    <row r="641" spans="1:8" x14ac:dyDescent="0.35">
      <c r="A641" t="s">
        <v>59</v>
      </c>
      <c r="B641" t="s">
        <v>1947</v>
      </c>
      <c r="C641" t="s">
        <v>915</v>
      </c>
      <c r="D641" t="s">
        <v>58</v>
      </c>
      <c r="E641">
        <v>59</v>
      </c>
      <c r="F641" t="s">
        <v>1511</v>
      </c>
      <c r="G641">
        <v>64.900000000000006</v>
      </c>
      <c r="H641" t="s">
        <v>1512</v>
      </c>
    </row>
    <row r="642" spans="1:8" x14ac:dyDescent="0.35">
      <c r="A642" t="s">
        <v>106</v>
      </c>
      <c r="B642" t="s">
        <v>2005</v>
      </c>
      <c r="C642" t="s">
        <v>933</v>
      </c>
      <c r="D642" t="s">
        <v>105</v>
      </c>
      <c r="E642">
        <v>65</v>
      </c>
      <c r="F642" t="s">
        <v>1847</v>
      </c>
      <c r="G642">
        <v>71.5</v>
      </c>
      <c r="H642" t="s">
        <v>1846</v>
      </c>
    </row>
    <row r="643" spans="1:8" x14ac:dyDescent="0.35">
      <c r="A643" t="s">
        <v>267</v>
      </c>
      <c r="B643" t="s">
        <v>1039</v>
      </c>
      <c r="C643" t="s">
        <v>1389</v>
      </c>
      <c r="D643" t="s">
        <v>22</v>
      </c>
      <c r="E643">
        <v>86</v>
      </c>
      <c r="F643" t="s">
        <v>1515</v>
      </c>
      <c r="G643">
        <v>94.600000000000009</v>
      </c>
      <c r="H643" t="s">
        <v>1516</v>
      </c>
    </row>
    <row r="644" spans="1:8" x14ac:dyDescent="0.35">
      <c r="A644" t="s">
        <v>108</v>
      </c>
      <c r="B644" t="s">
        <v>934</v>
      </c>
      <c r="C644" t="s">
        <v>933</v>
      </c>
      <c r="D644" t="s">
        <v>107</v>
      </c>
      <c r="E644">
        <v>115</v>
      </c>
      <c r="F644" t="s">
        <v>1699</v>
      </c>
      <c r="G644">
        <v>126.50000000000001</v>
      </c>
      <c r="H644" t="s">
        <v>1594</v>
      </c>
    </row>
    <row r="645" spans="1:8" x14ac:dyDescent="0.35">
      <c r="A645" t="s">
        <v>1372</v>
      </c>
      <c r="B645" t="s">
        <v>1038</v>
      </c>
      <c r="C645" t="s">
        <v>1373</v>
      </c>
      <c r="D645" t="s">
        <v>77</v>
      </c>
      <c r="E645">
        <v>147</v>
      </c>
      <c r="F645" t="s">
        <v>1555</v>
      </c>
      <c r="G645">
        <v>161.70000000000002</v>
      </c>
      <c r="H645" t="s">
        <v>1832</v>
      </c>
    </row>
    <row r="646" spans="1:8" x14ac:dyDescent="0.35">
      <c r="A646" t="s">
        <v>56</v>
      </c>
      <c r="B646" t="s">
        <v>2006</v>
      </c>
      <c r="C646" t="s">
        <v>831</v>
      </c>
      <c r="D646" t="s">
        <v>55</v>
      </c>
      <c r="E646">
        <v>141</v>
      </c>
      <c r="F646" t="s">
        <v>1481</v>
      </c>
      <c r="G646">
        <v>155.10000000000002</v>
      </c>
      <c r="H646" t="s">
        <v>1509</v>
      </c>
    </row>
    <row r="647" spans="1:8" x14ac:dyDescent="0.35">
      <c r="A647" t="s">
        <v>56</v>
      </c>
      <c r="B647" t="s">
        <v>421</v>
      </c>
      <c r="C647" t="s">
        <v>831</v>
      </c>
      <c r="D647" t="s">
        <v>57</v>
      </c>
      <c r="E647">
        <v>4</v>
      </c>
      <c r="F647" t="s">
        <v>1430</v>
      </c>
      <c r="G647">
        <v>4.4000000000000004</v>
      </c>
      <c r="H647">
        <v>4</v>
      </c>
    </row>
    <row r="648" spans="1:8" x14ac:dyDescent="0.35">
      <c r="A648" t="s">
        <v>54</v>
      </c>
      <c r="B648" t="s">
        <v>2007</v>
      </c>
      <c r="C648" t="s">
        <v>887</v>
      </c>
      <c r="D648" t="s">
        <v>53</v>
      </c>
      <c r="E648">
        <v>158</v>
      </c>
      <c r="F648" t="s">
        <v>1732</v>
      </c>
      <c r="G648">
        <v>173.8</v>
      </c>
      <c r="H648" t="s">
        <v>1510</v>
      </c>
    </row>
    <row r="649" spans="1:8" x14ac:dyDescent="0.35">
      <c r="D649" t="s">
        <v>50</v>
      </c>
      <c r="E649">
        <v>1349</v>
      </c>
    </row>
    <row r="652" spans="1:8" x14ac:dyDescent="0.35">
      <c r="A652" t="s">
        <v>1869</v>
      </c>
    </row>
    <row r="653" spans="1:8" x14ac:dyDescent="0.35">
      <c r="A653" t="s">
        <v>1911</v>
      </c>
    </row>
    <row r="654" spans="1:8" x14ac:dyDescent="0.35">
      <c r="A654" t="s">
        <v>6</v>
      </c>
      <c r="B654" t="s">
        <v>5</v>
      </c>
      <c r="C654" t="s">
        <v>4</v>
      </c>
      <c r="D654" t="s">
        <v>3</v>
      </c>
      <c r="E654" t="s">
        <v>2</v>
      </c>
      <c r="F654" t="s">
        <v>1</v>
      </c>
      <c r="G654" t="s">
        <v>0</v>
      </c>
    </row>
    <row r="655" spans="1:8" x14ac:dyDescent="0.35">
      <c r="A655" t="s">
        <v>41</v>
      </c>
      <c r="B655" t="s">
        <v>2008</v>
      </c>
      <c r="C655" t="s">
        <v>1136</v>
      </c>
      <c r="D655" t="s">
        <v>49</v>
      </c>
      <c r="E655">
        <v>101</v>
      </c>
      <c r="F655" t="s">
        <v>1523</v>
      </c>
      <c r="G655">
        <v>111.10000000000001</v>
      </c>
      <c r="H655" t="s">
        <v>1834</v>
      </c>
    </row>
    <row r="656" spans="1:8" x14ac:dyDescent="0.35">
      <c r="A656" t="s">
        <v>41</v>
      </c>
      <c r="B656" t="s">
        <v>2008</v>
      </c>
      <c r="C656" t="s">
        <v>1136</v>
      </c>
      <c r="D656" t="s">
        <v>48</v>
      </c>
      <c r="E656">
        <v>45</v>
      </c>
      <c r="F656" t="s">
        <v>1838</v>
      </c>
      <c r="G656">
        <v>49.500000000000007</v>
      </c>
      <c r="H656" t="s">
        <v>1836</v>
      </c>
    </row>
    <row r="657" spans="1:8" x14ac:dyDescent="0.35">
      <c r="A657" t="s">
        <v>41</v>
      </c>
      <c r="B657" t="s">
        <v>2008</v>
      </c>
      <c r="C657" t="s">
        <v>1407</v>
      </c>
      <c r="D657" t="s">
        <v>47</v>
      </c>
      <c r="E657">
        <v>42</v>
      </c>
      <c r="F657" t="s">
        <v>1524</v>
      </c>
      <c r="G657">
        <v>46.2</v>
      </c>
      <c r="H657" t="s">
        <v>1525</v>
      </c>
    </row>
    <row r="658" spans="1:8" x14ac:dyDescent="0.35">
      <c r="A658" t="s">
        <v>41</v>
      </c>
      <c r="B658" t="s">
        <v>2008</v>
      </c>
      <c r="C658" t="s">
        <v>1136</v>
      </c>
      <c r="D658" t="s">
        <v>46</v>
      </c>
      <c r="E658">
        <v>154</v>
      </c>
      <c r="F658" t="s">
        <v>1466</v>
      </c>
      <c r="G658">
        <v>169.4</v>
      </c>
      <c r="H658" t="s">
        <v>1517</v>
      </c>
    </row>
    <row r="659" spans="1:8" x14ac:dyDescent="0.35">
      <c r="A659" t="s">
        <v>41</v>
      </c>
      <c r="B659" t="s">
        <v>2008</v>
      </c>
      <c r="C659" t="s">
        <v>1142</v>
      </c>
      <c r="D659" t="s">
        <v>45</v>
      </c>
      <c r="E659">
        <v>94</v>
      </c>
      <c r="F659" t="s">
        <v>1520</v>
      </c>
      <c r="G659">
        <v>103.4</v>
      </c>
      <c r="H659" t="s">
        <v>1521</v>
      </c>
    </row>
    <row r="660" spans="1:8" x14ac:dyDescent="0.35">
      <c r="A660" t="s">
        <v>41</v>
      </c>
      <c r="B660" t="s">
        <v>2008</v>
      </c>
      <c r="C660" t="s">
        <v>1136</v>
      </c>
      <c r="D660" t="s">
        <v>44</v>
      </c>
      <c r="E660">
        <v>175</v>
      </c>
      <c r="F660" t="s">
        <v>1519</v>
      </c>
      <c r="G660">
        <v>192.50000000000003</v>
      </c>
      <c r="H660" t="s">
        <v>1518</v>
      </c>
    </row>
    <row r="661" spans="1:8" x14ac:dyDescent="0.35">
      <c r="A661" t="s">
        <v>41</v>
      </c>
      <c r="B661" t="s">
        <v>2008</v>
      </c>
      <c r="C661" t="s">
        <v>1406</v>
      </c>
      <c r="D661" t="s">
        <v>43</v>
      </c>
      <c r="E661">
        <v>37</v>
      </c>
      <c r="F661" t="s">
        <v>1529</v>
      </c>
      <c r="G661">
        <v>40.700000000000003</v>
      </c>
      <c r="H661">
        <v>37</v>
      </c>
    </row>
    <row r="662" spans="1:8" x14ac:dyDescent="0.35">
      <c r="A662" t="s">
        <v>41</v>
      </c>
      <c r="B662" t="s">
        <v>2008</v>
      </c>
      <c r="C662" t="s">
        <v>1137</v>
      </c>
      <c r="D662" t="s">
        <v>42</v>
      </c>
      <c r="E662">
        <v>60</v>
      </c>
      <c r="F662" t="s">
        <v>1626</v>
      </c>
      <c r="G662">
        <v>66</v>
      </c>
      <c r="H662" t="s">
        <v>1830</v>
      </c>
    </row>
    <row r="663" spans="1:8" x14ac:dyDescent="0.35">
      <c r="A663" t="s">
        <v>41</v>
      </c>
      <c r="B663" t="s">
        <v>2008</v>
      </c>
      <c r="C663" t="s">
        <v>1134</v>
      </c>
      <c r="D663" t="s">
        <v>40</v>
      </c>
      <c r="E663">
        <v>185</v>
      </c>
      <c r="F663" t="s">
        <v>1837</v>
      </c>
      <c r="G663">
        <v>203.50000000000003</v>
      </c>
      <c r="H663" t="s">
        <v>1522</v>
      </c>
    </row>
    <row r="664" spans="1:8" x14ac:dyDescent="0.35">
      <c r="A664" t="s">
        <v>169</v>
      </c>
      <c r="B664" t="s">
        <v>691</v>
      </c>
      <c r="C664" t="s">
        <v>1405</v>
      </c>
      <c r="D664" t="s">
        <v>25</v>
      </c>
      <c r="E664">
        <v>378</v>
      </c>
      <c r="F664" t="s">
        <v>1803</v>
      </c>
      <c r="G664">
        <v>415.8</v>
      </c>
      <c r="H664" t="s">
        <v>1806</v>
      </c>
    </row>
    <row r="665" spans="1:8" x14ac:dyDescent="0.35">
      <c r="A665" t="s">
        <v>39</v>
      </c>
      <c r="B665" t="s">
        <v>2009</v>
      </c>
      <c r="C665" t="s">
        <v>973</v>
      </c>
      <c r="D665" t="s">
        <v>38</v>
      </c>
      <c r="E665">
        <v>23</v>
      </c>
      <c r="F665" t="s">
        <v>1430</v>
      </c>
      <c r="G665">
        <v>25.3</v>
      </c>
      <c r="H665">
        <v>23</v>
      </c>
    </row>
    <row r="666" spans="1:8" x14ac:dyDescent="0.35">
      <c r="A666" t="s">
        <v>34</v>
      </c>
      <c r="B666" t="s">
        <v>2010</v>
      </c>
      <c r="C666" t="s">
        <v>945</v>
      </c>
      <c r="D666" t="s">
        <v>35</v>
      </c>
      <c r="E666">
        <v>47</v>
      </c>
      <c r="F666" t="s">
        <v>1741</v>
      </c>
      <c r="G666">
        <v>51.7</v>
      </c>
      <c r="H666" t="s">
        <v>1835</v>
      </c>
    </row>
    <row r="667" spans="1:8" x14ac:dyDescent="0.35">
      <c r="A667" t="s">
        <v>34</v>
      </c>
      <c r="B667" t="s">
        <v>2010</v>
      </c>
      <c r="C667" t="s">
        <v>945</v>
      </c>
      <c r="D667" t="s">
        <v>33</v>
      </c>
      <c r="E667">
        <v>65</v>
      </c>
      <c r="F667" t="s">
        <v>1530</v>
      </c>
      <c r="G667">
        <v>71.5</v>
      </c>
      <c r="H667" t="s">
        <v>1831</v>
      </c>
    </row>
    <row r="668" spans="1:8" x14ac:dyDescent="0.35">
      <c r="A668" t="s">
        <v>30</v>
      </c>
      <c r="B668" t="s">
        <v>2011</v>
      </c>
      <c r="C668" t="s">
        <v>874</v>
      </c>
      <c r="D668" t="s">
        <v>29</v>
      </c>
      <c r="E668">
        <v>103</v>
      </c>
      <c r="F668" t="s">
        <v>1527</v>
      </c>
      <c r="G668">
        <v>113.30000000000001</v>
      </c>
      <c r="H668" t="s">
        <v>1528</v>
      </c>
    </row>
    <row r="669" spans="1:8" x14ac:dyDescent="0.35">
      <c r="D669" t="s">
        <v>26</v>
      </c>
      <c r="E669">
        <v>1509</v>
      </c>
    </row>
    <row r="672" spans="1:8" x14ac:dyDescent="0.35">
      <c r="A672" t="s">
        <v>1869</v>
      </c>
    </row>
    <row r="673" spans="1:8" x14ac:dyDescent="0.35">
      <c r="A673" t="s">
        <v>1367</v>
      </c>
    </row>
    <row r="674" spans="1:8" x14ac:dyDescent="0.35">
      <c r="A674" t="s">
        <v>6</v>
      </c>
      <c r="B674" t="s">
        <v>5</v>
      </c>
      <c r="C674" t="s">
        <v>4</v>
      </c>
      <c r="D674" t="s">
        <v>3</v>
      </c>
      <c r="E674" t="s">
        <v>2</v>
      </c>
      <c r="F674" t="s">
        <v>1</v>
      </c>
      <c r="G674" t="s">
        <v>0</v>
      </c>
    </row>
    <row r="675" spans="1:8" x14ac:dyDescent="0.35">
      <c r="A675" t="s">
        <v>24</v>
      </c>
      <c r="B675" t="s">
        <v>1947</v>
      </c>
      <c r="C675" t="s">
        <v>1408</v>
      </c>
      <c r="D675" t="s">
        <v>23</v>
      </c>
      <c r="E675">
        <v>139</v>
      </c>
      <c r="F675" t="s">
        <v>1481</v>
      </c>
      <c r="G675">
        <v>152.9</v>
      </c>
      <c r="H675" t="s">
        <v>1839</v>
      </c>
    </row>
    <row r="676" spans="1:8" x14ac:dyDescent="0.35">
      <c r="A676" t="s">
        <v>21</v>
      </c>
      <c r="B676" t="s">
        <v>1947</v>
      </c>
      <c r="C676" t="s">
        <v>1164</v>
      </c>
      <c r="D676" t="s">
        <v>20</v>
      </c>
      <c r="E676">
        <v>255</v>
      </c>
      <c r="F676" t="s">
        <v>1465</v>
      </c>
      <c r="G676">
        <v>280.5</v>
      </c>
      <c r="H676" t="s">
        <v>1462</v>
      </c>
    </row>
    <row r="677" spans="1:8" x14ac:dyDescent="0.35">
      <c r="A677" t="s">
        <v>70</v>
      </c>
      <c r="B677" t="s">
        <v>1237</v>
      </c>
      <c r="C677" t="s">
        <v>1238</v>
      </c>
      <c r="D677" t="s">
        <v>69</v>
      </c>
      <c r="E677">
        <v>59</v>
      </c>
      <c r="F677" t="s">
        <v>1844</v>
      </c>
      <c r="G677">
        <v>64.900000000000006</v>
      </c>
      <c r="H677" t="s">
        <v>1743</v>
      </c>
    </row>
    <row r="678" spans="1:8" x14ac:dyDescent="0.35">
      <c r="A678" t="s">
        <v>343</v>
      </c>
      <c r="B678" t="s">
        <v>2012</v>
      </c>
      <c r="C678" t="s">
        <v>1098</v>
      </c>
      <c r="D678" t="s">
        <v>217</v>
      </c>
      <c r="E678">
        <v>105</v>
      </c>
      <c r="F678" t="s">
        <v>1840</v>
      </c>
      <c r="G678">
        <v>115.50000000000001</v>
      </c>
      <c r="H678" t="s">
        <v>1841</v>
      </c>
    </row>
    <row r="679" spans="1:8" x14ac:dyDescent="0.35">
      <c r="A679" t="s">
        <v>374</v>
      </c>
      <c r="B679" t="s">
        <v>870</v>
      </c>
      <c r="C679" t="s">
        <v>871</v>
      </c>
      <c r="D679" t="s">
        <v>79</v>
      </c>
      <c r="E679">
        <v>62</v>
      </c>
      <c r="F679" t="s">
        <v>1695</v>
      </c>
      <c r="G679">
        <v>68.2</v>
      </c>
      <c r="H679" t="s">
        <v>1845</v>
      </c>
    </row>
    <row r="680" spans="1:8" x14ac:dyDescent="0.35">
      <c r="A680" t="s">
        <v>546</v>
      </c>
      <c r="B680" t="s">
        <v>1011</v>
      </c>
      <c r="C680" t="s">
        <v>976</v>
      </c>
      <c r="D680" t="s">
        <v>91</v>
      </c>
      <c r="E680">
        <v>184</v>
      </c>
      <c r="F680" t="s">
        <v>1468</v>
      </c>
      <c r="G680">
        <v>202.4</v>
      </c>
      <c r="H680" t="s">
        <v>1526</v>
      </c>
    </row>
    <row r="681" spans="1:8" x14ac:dyDescent="0.35">
      <c r="A681" t="s">
        <v>127</v>
      </c>
      <c r="B681" t="s">
        <v>2013</v>
      </c>
      <c r="C681" t="s">
        <v>959</v>
      </c>
      <c r="D681" t="s">
        <v>93</v>
      </c>
      <c r="E681">
        <v>75</v>
      </c>
      <c r="F681" t="s">
        <v>1472</v>
      </c>
      <c r="G681">
        <v>82.5</v>
      </c>
      <c r="H681" t="s">
        <v>1545</v>
      </c>
    </row>
    <row r="682" spans="1:8" x14ac:dyDescent="0.35">
      <c r="A682" t="s">
        <v>14</v>
      </c>
      <c r="B682" t="s">
        <v>1039</v>
      </c>
      <c r="C682" t="s">
        <v>1035</v>
      </c>
      <c r="D682" t="s">
        <v>17</v>
      </c>
      <c r="E682">
        <v>72</v>
      </c>
      <c r="F682" t="s">
        <v>1695</v>
      </c>
      <c r="G682">
        <v>79.2</v>
      </c>
      <c r="H682" t="s">
        <v>1843</v>
      </c>
    </row>
    <row r="683" spans="1:8" x14ac:dyDescent="0.35">
      <c r="A683" t="s">
        <v>14</v>
      </c>
      <c r="B683" t="s">
        <v>1039</v>
      </c>
      <c r="C683" t="s">
        <v>1035</v>
      </c>
      <c r="D683" t="s">
        <v>16</v>
      </c>
      <c r="E683">
        <v>237</v>
      </c>
      <c r="F683" t="s">
        <v>1463</v>
      </c>
      <c r="G683">
        <v>260.70000000000005</v>
      </c>
      <c r="H683" t="s">
        <v>1531</v>
      </c>
    </row>
    <row r="684" spans="1:8" x14ac:dyDescent="0.35">
      <c r="A684" t="s">
        <v>1369</v>
      </c>
      <c r="B684" t="s">
        <v>1371</v>
      </c>
      <c r="C684" t="s">
        <v>1370</v>
      </c>
      <c r="D684" t="s">
        <v>15</v>
      </c>
      <c r="E684">
        <v>78</v>
      </c>
      <c r="F684" t="s">
        <v>1420</v>
      </c>
      <c r="G684">
        <v>85.800000000000011</v>
      </c>
      <c r="H684">
        <v>78</v>
      </c>
    </row>
    <row r="685" spans="1:8" x14ac:dyDescent="0.35">
      <c r="A685" t="s">
        <v>14</v>
      </c>
      <c r="B685" t="s">
        <v>1039</v>
      </c>
      <c r="C685" t="s">
        <v>977</v>
      </c>
      <c r="D685" t="s">
        <v>13</v>
      </c>
      <c r="E685">
        <v>76</v>
      </c>
      <c r="F685" t="s">
        <v>1414</v>
      </c>
      <c r="G685">
        <v>83.600000000000009</v>
      </c>
      <c r="H685">
        <v>76</v>
      </c>
    </row>
    <row r="686" spans="1:8" x14ac:dyDescent="0.35">
      <c r="A686" t="s">
        <v>116</v>
      </c>
      <c r="B686" t="s">
        <v>990</v>
      </c>
      <c r="C686" t="s">
        <v>933</v>
      </c>
      <c r="D686" t="s">
        <v>111</v>
      </c>
      <c r="E686">
        <v>86</v>
      </c>
      <c r="F686" t="s">
        <v>1697</v>
      </c>
      <c r="G686">
        <v>94.600000000000009</v>
      </c>
      <c r="H686" t="s">
        <v>1842</v>
      </c>
    </row>
    <row r="687" spans="1:8" x14ac:dyDescent="0.35">
      <c r="A687" t="s">
        <v>9</v>
      </c>
      <c r="B687" t="s">
        <v>1084</v>
      </c>
      <c r="C687" t="s">
        <v>1071</v>
      </c>
      <c r="D687" t="s">
        <v>8</v>
      </c>
      <c r="E687">
        <v>142</v>
      </c>
      <c r="F687" t="s">
        <v>1481</v>
      </c>
      <c r="G687">
        <v>156.20000000000002</v>
      </c>
      <c r="H687" t="s">
        <v>1482</v>
      </c>
    </row>
    <row r="688" spans="1:8" x14ac:dyDescent="0.35">
      <c r="D688" t="s">
        <v>7</v>
      </c>
      <c r="E688">
        <v>1570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3EFA-4076-4F84-AE55-A7EF3B40719B}">
  <dimension ref="A1:AQ75"/>
  <sheetViews>
    <sheetView zoomScale="115" zoomScaleNormal="115" zoomScaleSheetLayoutView="130" workbookViewId="0">
      <pane xSplit="1" ySplit="3" topLeftCell="B4" activePane="bottomRight" state="frozen"/>
      <selection activeCell="Y63" sqref="Y63"/>
      <selection pane="topRight" activeCell="Y63" sqref="Y63"/>
      <selection pane="bottomLeft" activeCell="Y63" sqref="Y63"/>
      <selection pane="bottomRight" activeCell="A11" sqref="A11:XFD11"/>
    </sheetView>
  </sheetViews>
  <sheetFormatPr defaultRowHeight="14.5" x14ac:dyDescent="0.35"/>
  <cols>
    <col min="1" max="1" width="11" customWidth="1"/>
    <col min="2" max="8" width="3.1796875" style="21" customWidth="1"/>
    <col min="9" max="15" width="3.1796875" customWidth="1"/>
    <col min="16" max="22" width="3.1796875" style="21" customWidth="1"/>
    <col min="23" max="27" width="3.1796875" customWidth="1"/>
    <col min="28" max="29" width="3.1796875" style="22" customWidth="1"/>
    <col min="30" max="36" width="3.1796875" style="21" customWidth="1"/>
    <col min="37" max="37" width="10.26953125" customWidth="1"/>
    <col min="38" max="38" width="4.1796875" customWidth="1"/>
    <col min="39" max="39" width="3.7265625" customWidth="1"/>
    <col min="40" max="40" width="3.1796875" customWidth="1"/>
    <col min="41" max="41" width="4.26953125" customWidth="1"/>
    <col min="42" max="42" width="3.453125" customWidth="1"/>
  </cols>
  <sheetData>
    <row r="1" spans="1:43" x14ac:dyDescent="0.35">
      <c r="B1" s="127" t="s">
        <v>411</v>
      </c>
      <c r="C1" s="127"/>
      <c r="D1" s="127"/>
      <c r="E1" s="127"/>
      <c r="F1" s="127"/>
      <c r="G1" s="127"/>
      <c r="H1" s="127"/>
      <c r="I1" s="126" t="s">
        <v>410</v>
      </c>
      <c r="J1" s="126"/>
      <c r="K1" s="126"/>
      <c r="L1" s="126"/>
      <c r="M1" s="126"/>
      <c r="N1" s="126"/>
      <c r="O1" s="126"/>
      <c r="P1" s="127" t="s">
        <v>409</v>
      </c>
      <c r="Q1" s="127"/>
      <c r="R1" s="127"/>
      <c r="S1" s="127"/>
      <c r="T1" s="127"/>
      <c r="U1" s="127"/>
      <c r="V1" s="127"/>
      <c r="W1" s="126" t="s">
        <v>408</v>
      </c>
      <c r="X1" s="126"/>
      <c r="Y1" s="126"/>
      <c r="Z1" s="126"/>
      <c r="AA1" s="126"/>
      <c r="AB1" s="126"/>
      <c r="AC1" s="126"/>
      <c r="AD1" s="127" t="s">
        <v>407</v>
      </c>
      <c r="AE1" s="127"/>
      <c r="AF1" s="127"/>
      <c r="AG1" s="127"/>
      <c r="AH1" s="127"/>
      <c r="AI1" s="127"/>
      <c r="AJ1" s="127"/>
    </row>
    <row r="2" spans="1:43" x14ac:dyDescent="0.35">
      <c r="B2" s="29">
        <f>[2]FREQ!$B2/1900</f>
        <v>0.74736842105263157</v>
      </c>
      <c r="C2" s="29">
        <f>[2]FREQ!$B3/1900</f>
        <v>0.83526315789473682</v>
      </c>
      <c r="D2" s="29">
        <f>[2]FREQ!$B4/1900</f>
        <v>0.82578947368421052</v>
      </c>
      <c r="E2" s="29">
        <f>[2]FREQ!$B5/1900</f>
        <v>0.58789473684210525</v>
      </c>
      <c r="F2" s="29">
        <f>[2]FREQ!$B6/1900</f>
        <v>0.88947368421052631</v>
      </c>
      <c r="G2" s="29">
        <f>[2]FREQ!$B7/1900</f>
        <v>0.76473684210526316</v>
      </c>
      <c r="H2" s="29">
        <f>[2]FREQ!$B8/1900</f>
        <v>0.74</v>
      </c>
      <c r="I2" s="30">
        <f>[2]FREQ!$B10/1900</f>
        <v>0.87526315789473685</v>
      </c>
      <c r="J2" s="30">
        <f>[2]FREQ!$B11/1900</f>
        <v>0.92789473684210522</v>
      </c>
      <c r="K2" s="30">
        <f>[2]FREQ!$B12/1900</f>
        <v>0.90526315789473688</v>
      </c>
      <c r="L2" s="30">
        <f>[2]FREQ!$B13/1900</f>
        <v>0.94526315789473681</v>
      </c>
      <c r="M2" s="30">
        <f>[2]FREQ!$B14/1900</f>
        <v>0.93894736842105264</v>
      </c>
      <c r="N2" s="30">
        <f>[2]FREQ!$B15/1900</f>
        <v>0.89736842105263159</v>
      </c>
      <c r="O2" s="30">
        <f>[2]FREQ!$B16/1900</f>
        <v>0.86684210526315786</v>
      </c>
      <c r="P2" s="29">
        <f>[2]FREQ!$B18/1900</f>
        <v>0.84210526315789469</v>
      </c>
      <c r="Q2" s="29">
        <f>[2]FREQ!$B19/1900</f>
        <v>1.0115789473684211</v>
      </c>
      <c r="R2" s="29">
        <f>[2]FREQ!$B20/1900</f>
        <v>0.90368421052631576</v>
      </c>
      <c r="S2" s="29">
        <f>[2]FREQ!$B21/1900</f>
        <v>0.74631578947368427</v>
      </c>
      <c r="T2" s="29">
        <f>[2]FREQ!$B22/1900</f>
        <v>0.96736842105263154</v>
      </c>
      <c r="U2" s="29">
        <f>[2]FREQ!$B23/1900</f>
        <v>0.90578947368421048</v>
      </c>
      <c r="V2" s="29">
        <f>[2]FREQ!$B24/1900</f>
        <v>0.96631578947368424</v>
      </c>
      <c r="W2" s="30">
        <f>[2]FREQ!$B26/1900</f>
        <v>0.87789473684210528</v>
      </c>
      <c r="X2" s="30">
        <f>[2]FREQ!$B27/1900</f>
        <v>0.88736842105263158</v>
      </c>
      <c r="Y2" s="30">
        <f>[2]FREQ!$B28/1900</f>
        <v>0.87631578947368416</v>
      </c>
      <c r="Z2" s="30">
        <f>[2]FREQ!$B29/1900</f>
        <v>0.9536842105263158</v>
      </c>
      <c r="AA2" s="30">
        <f>[2]FREQ!$B30/1900</f>
        <v>0.9536842105263158</v>
      </c>
      <c r="AB2" s="30">
        <f>[2]FREQ!$B30/1900</f>
        <v>0.9536842105263158</v>
      </c>
      <c r="AC2" s="30">
        <f>[2]FREQ!$B30/1900</f>
        <v>0.9536842105263158</v>
      </c>
      <c r="AD2" s="29">
        <f>[2]FREQ!$B34/1900</f>
        <v>0.93315789473684208</v>
      </c>
      <c r="AE2" s="29">
        <f>[2]FREQ!$B35/1900</f>
        <v>0.80684210526315792</v>
      </c>
      <c r="AF2" s="29">
        <f>[2]FREQ!$B36/1900</f>
        <v>0.80263157894736847</v>
      </c>
      <c r="AG2" s="29">
        <f>[2]FREQ!$B37/1900</f>
        <v>0.83473684210526311</v>
      </c>
      <c r="AH2" s="29">
        <f>[2]FREQ!$B38/1900</f>
        <v>0.80526315789473679</v>
      </c>
      <c r="AI2" s="29">
        <f>[2]FREQ!$B39/1900</f>
        <v>0.83578947368421053</v>
      </c>
      <c r="AJ2" s="29">
        <f>[2]FREQ!$B40/1900</f>
        <v>0</v>
      </c>
    </row>
    <row r="3" spans="1:43" x14ac:dyDescent="0.35">
      <c r="B3" s="27" t="s">
        <v>418</v>
      </c>
      <c r="C3" s="27" t="s">
        <v>417</v>
      </c>
      <c r="D3" s="27" t="s">
        <v>416</v>
      </c>
      <c r="E3" s="27" t="s">
        <v>415</v>
      </c>
      <c r="F3" s="27" t="s">
        <v>414</v>
      </c>
      <c r="G3" s="27" t="s">
        <v>413</v>
      </c>
      <c r="H3" s="27" t="s">
        <v>412</v>
      </c>
      <c r="I3" s="28" t="s">
        <v>418</v>
      </c>
      <c r="J3" s="28" t="s">
        <v>417</v>
      </c>
      <c r="K3" s="28" t="s">
        <v>416</v>
      </c>
      <c r="L3" s="28" t="s">
        <v>415</v>
      </c>
      <c r="M3" s="28" t="s">
        <v>414</v>
      </c>
      <c r="N3" s="28" t="s">
        <v>413</v>
      </c>
      <c r="O3" s="28" t="s">
        <v>412</v>
      </c>
      <c r="P3" s="27" t="s">
        <v>418</v>
      </c>
      <c r="Q3" s="27" t="s">
        <v>417</v>
      </c>
      <c r="R3" s="27" t="s">
        <v>416</v>
      </c>
      <c r="S3" s="27" t="s">
        <v>415</v>
      </c>
      <c r="T3" s="27" t="s">
        <v>414</v>
      </c>
      <c r="U3" s="27" t="s">
        <v>413</v>
      </c>
      <c r="V3" s="27" t="s">
        <v>412</v>
      </c>
      <c r="W3" s="28" t="s">
        <v>418</v>
      </c>
      <c r="X3" s="28" t="s">
        <v>417</v>
      </c>
      <c r="Y3" s="28" t="s">
        <v>416</v>
      </c>
      <c r="Z3" s="28" t="s">
        <v>415</v>
      </c>
      <c r="AA3" s="28" t="s">
        <v>414</v>
      </c>
      <c r="AB3" s="28" t="s">
        <v>413</v>
      </c>
      <c r="AC3" s="28" t="s">
        <v>412</v>
      </c>
      <c r="AD3" s="27" t="s">
        <v>418</v>
      </c>
      <c r="AE3" s="27" t="s">
        <v>417</v>
      </c>
      <c r="AF3" s="27" t="s">
        <v>416</v>
      </c>
      <c r="AG3" s="27" t="s">
        <v>415</v>
      </c>
      <c r="AH3" s="27" t="s">
        <v>414</v>
      </c>
      <c r="AI3" s="27" t="s">
        <v>413</v>
      </c>
      <c r="AJ3" s="27" t="s">
        <v>412</v>
      </c>
      <c r="AL3" s="23" t="s">
        <v>411</v>
      </c>
      <c r="AM3" s="23" t="s">
        <v>410</v>
      </c>
      <c r="AN3" s="23" t="s">
        <v>409</v>
      </c>
      <c r="AO3" s="23" t="s">
        <v>408</v>
      </c>
      <c r="AP3" s="23" t="s">
        <v>407</v>
      </c>
    </row>
    <row r="4" spans="1:43" x14ac:dyDescent="0.35">
      <c r="A4" s="24" t="s">
        <v>101</v>
      </c>
      <c r="B4" s="25">
        <f>COUNTIF(TT!$D$4:$D$25,TALLY!A4)</f>
        <v>1</v>
      </c>
      <c r="C4" s="25">
        <f>COUNTIF(TT!$D$33:$D$50,TALLY!A4)</f>
        <v>0</v>
      </c>
      <c r="D4" s="25">
        <f>COUNTIF(TT!$D$57:$D$75,TALLY!A4)</f>
        <v>0</v>
      </c>
      <c r="E4" s="25">
        <f>COUNTIF(TT!$D$82:$D$95,TALLY!A4)</f>
        <v>1</v>
      </c>
      <c r="F4" s="25">
        <f>COUNTIF(TT!$D$103:$D$112,TALLY!A4)</f>
        <v>0</v>
      </c>
      <c r="G4" s="25">
        <f>COUNTIF(TT!$D$120:$D$130,TALLY!A4)</f>
        <v>0</v>
      </c>
      <c r="H4" s="25">
        <f>COUNTIF(TT!$D$138:$D$153,TALLY!A4)</f>
        <v>0</v>
      </c>
      <c r="I4" s="23">
        <f>COUNTIF(TT!$D$160:$D$170,TALLY!A4)</f>
        <v>0</v>
      </c>
      <c r="J4" s="23">
        <f>COUNTIF(TT!$D$177:$D$187,TALLY!A4)</f>
        <v>1</v>
      </c>
      <c r="K4" s="23">
        <f>COUNTIF(TT!$D$194:$D$206,TALLY!A4)</f>
        <v>0</v>
      </c>
      <c r="L4" s="23">
        <f>COUNTIF(TT!$D$215:$D$226,TALLY!A4)</f>
        <v>1</v>
      </c>
      <c r="M4" s="23">
        <f>COUNTIF(TT!$D$234:$D$243,TALLY!A4)</f>
        <v>0</v>
      </c>
      <c r="N4" s="23">
        <f>COUNTIF(TT!$D$250:$D$262,TALLY!A4)</f>
        <v>0</v>
      </c>
      <c r="O4" s="23">
        <f>COUNTIF(TT!$D$270:$D$277,TALLY!A4)</f>
        <v>0</v>
      </c>
      <c r="P4" s="25">
        <f>COUNTIF(TT!$D$284:$D$293,TALLY!A4)</f>
        <v>0</v>
      </c>
      <c r="Q4" s="25">
        <f>COUNTIF(TT!$D$300:$D$313,TALLY!A4)</f>
        <v>1</v>
      </c>
      <c r="R4" s="25">
        <f>COUNTIF(TT!$D$320:$D$333,TALLY!A4)</f>
        <v>0</v>
      </c>
      <c r="S4" s="25">
        <f>COUNTIF(TT!$D$342:$D$352,TALLY!A4)</f>
        <v>0</v>
      </c>
      <c r="T4" s="25">
        <f>COUNTIF(TT!$D$359:$D$376,TALLY!A4)</f>
        <v>0</v>
      </c>
      <c r="U4" s="25">
        <f>COUNTIF(TT!$D$383:$D$398,TALLY!A4)</f>
        <v>0</v>
      </c>
      <c r="V4" s="25">
        <f>COUNTIF(TT!$D$405:$D$424,TALLY!A4)</f>
        <v>1</v>
      </c>
      <c r="W4" s="23">
        <f>COUNTIF(TT!$D$432:$D$442,TALLY!A4)</f>
        <v>0</v>
      </c>
      <c r="X4" s="23">
        <f>COUNTIF(TT!$D$449:$D$460,TALLY!A4)</f>
        <v>0</v>
      </c>
      <c r="Y4" s="23">
        <f>COUNTIF(TT!$D$467:$D$476,TALLY!A4)</f>
        <v>1</v>
      </c>
      <c r="Z4" s="23">
        <f>COUNTIF(TT!$D$483:$D$500,TALLY!A4)</f>
        <v>0</v>
      </c>
      <c r="AA4" s="23">
        <f>COUNTIF(TT!$D$507:$D$522,TALLY!A4)</f>
        <v>0</v>
      </c>
      <c r="AB4" s="23">
        <f>COUNTIF(TT!$D$529:$D$540,TALLY!A4)</f>
        <v>0</v>
      </c>
      <c r="AC4" s="23">
        <f>COUNTIF(TT!$D$546:$D$555,TALLY!A4)</f>
        <v>0</v>
      </c>
      <c r="AD4" s="25">
        <f>COUNTIF(TT!$D$563:$D$573,TALLY!A4)</f>
        <v>0</v>
      </c>
      <c r="AE4" s="25">
        <f>COUNTIF(TT!$D$582:$D$609,TALLY!A4)</f>
        <v>1</v>
      </c>
      <c r="AF4" s="25">
        <f>COUNTIF(TT!$D$615:$D$625,TALLY!A4)</f>
        <v>0</v>
      </c>
      <c r="AG4" s="25">
        <f>COUNTIF(TT!$D$635:$D$648,TALLY!A4)</f>
        <v>0</v>
      </c>
      <c r="AH4" s="25">
        <f>COUNTIF(TT!$D$655:$D$668,TALLY!A4)</f>
        <v>0</v>
      </c>
      <c r="AI4" s="25">
        <f>COUNTIF(TT!$D$675:$D$687,TALLY!A4)</f>
        <v>0</v>
      </c>
      <c r="AJ4" s="25"/>
      <c r="AK4" s="26" t="s">
        <v>101</v>
      </c>
      <c r="AL4" s="23">
        <f t="shared" ref="AL4:AL35" si="0">SUM($B4:$H4)</f>
        <v>2</v>
      </c>
      <c r="AM4" s="23">
        <f t="shared" ref="AM4:AM35" si="1">SUM(I4:O4)</f>
        <v>2</v>
      </c>
      <c r="AN4" s="23">
        <f t="shared" ref="AN4:AN35" si="2">SUM(P4:V4)</f>
        <v>2</v>
      </c>
      <c r="AO4" s="23">
        <f t="shared" ref="AO4:AO35" si="3">SUM(W4:AA4)</f>
        <v>1</v>
      </c>
      <c r="AP4" s="23">
        <f t="shared" ref="AP4:AP35" si="4">SUM(AD4:AJ4)</f>
        <v>1</v>
      </c>
      <c r="AQ4">
        <f t="shared" ref="AQ4:AQ35" si="5">SUM(AL4:AP4)</f>
        <v>8</v>
      </c>
    </row>
    <row r="5" spans="1:43" x14ac:dyDescent="0.35">
      <c r="A5" s="24" t="s">
        <v>157</v>
      </c>
      <c r="B5" s="25">
        <f>COUNTIF(TT!$D$4:$D$25,TALLY!A5)</f>
        <v>1</v>
      </c>
      <c r="C5" s="25">
        <f>COUNTIF(TT!$D$33:$D$50,TALLY!A5)</f>
        <v>0</v>
      </c>
      <c r="D5" s="25">
        <f>COUNTIF(TT!$D$57:$D$75,TALLY!A5)</f>
        <v>0</v>
      </c>
      <c r="E5" s="25">
        <f>COUNTIF(TT!$D$82:$D$95,TALLY!A5)</f>
        <v>0</v>
      </c>
      <c r="F5" s="25">
        <f>COUNTIF(TT!$D$103:$D$112,TALLY!A5)</f>
        <v>0</v>
      </c>
      <c r="G5" s="25">
        <f>COUNTIF(TT!$D$120:$D$130,TALLY!A5)</f>
        <v>0</v>
      </c>
      <c r="H5" s="25">
        <f>COUNTIF(TT!$D$138:$D$153,TALLY!A5)</f>
        <v>0</v>
      </c>
      <c r="I5" s="23">
        <f>COUNTIF(TT!$D$160:$D$170,TALLY!A5)</f>
        <v>0</v>
      </c>
      <c r="J5" s="23">
        <f>COUNTIF(TT!$D$177:$D$187,TALLY!A5)</f>
        <v>1</v>
      </c>
      <c r="K5" s="23">
        <f>COUNTIF(TT!$D$194:$D$206,TALLY!A5)</f>
        <v>0</v>
      </c>
      <c r="L5" s="23">
        <f>COUNTIF(TT!$D$215:$D$226,TALLY!A5)</f>
        <v>1</v>
      </c>
      <c r="M5" s="23">
        <f>COUNTIF(TT!$D$234:$D$243,TALLY!A5)</f>
        <v>0</v>
      </c>
      <c r="N5" s="23">
        <f>COUNTIF(TT!$D$250:$D$262,TALLY!A5)</f>
        <v>0</v>
      </c>
      <c r="O5" s="23">
        <f>COUNTIF(TT!$D$270:$D$277,TALLY!A5)</f>
        <v>0</v>
      </c>
      <c r="P5" s="25">
        <f>COUNTIF(TT!$D$284:$D$293,TALLY!A5)</f>
        <v>0</v>
      </c>
      <c r="Q5" s="25">
        <f>COUNTIF(TT!$D$300:$D$313,TALLY!A5)</f>
        <v>0</v>
      </c>
      <c r="R5" s="25">
        <f>COUNTIF(TT!$D$320:$D$333,TALLY!A5)</f>
        <v>0</v>
      </c>
      <c r="S5" s="25">
        <f>COUNTIF(TT!$D$342:$D$352,TALLY!A5)</f>
        <v>1</v>
      </c>
      <c r="T5" s="25">
        <f>COUNTIF(TT!$D$359:$D$376,TALLY!A5)</f>
        <v>0</v>
      </c>
      <c r="U5" s="25">
        <f>COUNTIF(TT!$D$383:$D$398,TALLY!A5)</f>
        <v>0</v>
      </c>
      <c r="V5" s="25">
        <f>COUNTIF(TT!$D$405:$D$424,TALLY!A5)</f>
        <v>0</v>
      </c>
      <c r="W5" s="23">
        <f>COUNTIF(TT!$D$432:$D$442,TALLY!A5)</f>
        <v>1</v>
      </c>
      <c r="X5" s="23">
        <f>COUNTIF(TT!$D$449:$D$460,TALLY!A5)</f>
        <v>0</v>
      </c>
      <c r="Y5" s="23">
        <f>COUNTIF(TT!$D$467:$D$476,TALLY!A5)</f>
        <v>0</v>
      </c>
      <c r="Z5" s="23">
        <f>COUNTIF(TT!$D$483:$D$500,TALLY!A5)</f>
        <v>0</v>
      </c>
      <c r="AA5" s="23">
        <f>COUNTIF(TT!$D$507:$D$522,TALLY!A5)</f>
        <v>0</v>
      </c>
      <c r="AB5" s="23">
        <f>COUNTIF(TT!$D$529:$D$540,TALLY!A5)</f>
        <v>1</v>
      </c>
      <c r="AC5" s="23">
        <f>COUNTIF(TT!$D$546:$D$555,TALLY!A5)</f>
        <v>0</v>
      </c>
      <c r="AD5" s="25">
        <f>COUNTIF(TT!$D$563:$D$573,TALLY!A5)</f>
        <v>0</v>
      </c>
      <c r="AE5" s="25">
        <f>COUNTIF(TT!$D$582:$D$609,TALLY!A5)</f>
        <v>0</v>
      </c>
      <c r="AF5" s="25">
        <f>COUNTIF(TT!$D$615:$D$625,TALLY!A5)</f>
        <v>1</v>
      </c>
      <c r="AG5" s="25">
        <f>COUNTIF(TT!$D$635:$D$648,TALLY!A5)</f>
        <v>0</v>
      </c>
      <c r="AH5" s="25">
        <f>COUNTIF(TT!$D$655:$D$668,TALLY!A5)</f>
        <v>0</v>
      </c>
      <c r="AI5" s="25">
        <f>COUNTIF(TT!$D$675:$D$687,TALLY!A5)</f>
        <v>0</v>
      </c>
      <c r="AJ5" s="25"/>
      <c r="AK5" s="24" t="s">
        <v>157</v>
      </c>
      <c r="AL5" s="23">
        <f t="shared" si="0"/>
        <v>1</v>
      </c>
      <c r="AM5" s="23">
        <f t="shared" si="1"/>
        <v>2</v>
      </c>
      <c r="AN5" s="23">
        <f t="shared" si="2"/>
        <v>1</v>
      </c>
      <c r="AO5" s="23">
        <f t="shared" si="3"/>
        <v>1</v>
      </c>
      <c r="AP5" s="23">
        <f t="shared" si="4"/>
        <v>1</v>
      </c>
      <c r="AQ5">
        <f t="shared" si="5"/>
        <v>6</v>
      </c>
    </row>
    <row r="6" spans="1:43" x14ac:dyDescent="0.35">
      <c r="A6" s="24" t="s">
        <v>15</v>
      </c>
      <c r="B6" s="25">
        <f>COUNTIF(TT!$D$4:$D$25,TALLY!A6)</f>
        <v>0</v>
      </c>
      <c r="C6" s="25">
        <f>COUNTIF(TT!$D$33:$D$50,TALLY!A6)</f>
        <v>1</v>
      </c>
      <c r="D6" s="25">
        <f>COUNTIF(TT!$D$57:$D$75,TALLY!A6)</f>
        <v>0</v>
      </c>
      <c r="E6" s="25">
        <f>COUNTIF(TT!$D$82:$D$95,TALLY!A6)</f>
        <v>0</v>
      </c>
      <c r="F6" s="25">
        <f>COUNTIF(TT!$D$103:$D$112,TALLY!A6)</f>
        <v>0</v>
      </c>
      <c r="G6" s="25">
        <f>COUNTIF(TT!$D$120:$D$130,TALLY!A6)</f>
        <v>0</v>
      </c>
      <c r="H6" s="25">
        <f>COUNTIF(TT!$D$138:$D$153,TALLY!A6)</f>
        <v>0</v>
      </c>
      <c r="I6" s="23">
        <f>COUNTIF(TT!$D$160:$D$170,TALLY!A6)</f>
        <v>1</v>
      </c>
      <c r="J6" s="23">
        <f>COUNTIF(TT!$D$177:$D$187,TALLY!A6)</f>
        <v>0</v>
      </c>
      <c r="K6" s="23">
        <f>COUNTIF(TT!$D$194:$D$206,TALLY!A6)</f>
        <v>0</v>
      </c>
      <c r="L6" s="23">
        <f>COUNTIF(TT!$D$215:$D$226,TALLY!A6)</f>
        <v>1</v>
      </c>
      <c r="M6" s="23">
        <f>COUNTIF(TT!$D$234:$D$243,TALLY!A6)</f>
        <v>0</v>
      </c>
      <c r="N6" s="23">
        <f>COUNTIF(TT!$D$250:$D$262,TALLY!A6)</f>
        <v>0</v>
      </c>
      <c r="O6" s="23">
        <f>COUNTIF(TT!$D$270:$D$277,TALLY!A6)</f>
        <v>0</v>
      </c>
      <c r="P6" s="25">
        <f>COUNTIF(TT!$D$284:$D$293,TALLY!A6)</f>
        <v>0</v>
      </c>
      <c r="Q6" s="25">
        <f>COUNTIF(TT!$D$300:$D$313,TALLY!A6)</f>
        <v>0</v>
      </c>
      <c r="R6" s="25">
        <f>COUNTIF(TT!$D$320:$D$333,TALLY!A6)</f>
        <v>0</v>
      </c>
      <c r="S6" s="25">
        <f>COUNTIF(TT!$D$342:$D$352,TALLY!A6)</f>
        <v>0</v>
      </c>
      <c r="T6" s="25">
        <f>COUNTIF(TT!$D$359:$D$376,TALLY!A6)</f>
        <v>0</v>
      </c>
      <c r="U6" s="25">
        <f>COUNTIF(TT!$D$383:$D$398,TALLY!A6)</f>
        <v>0</v>
      </c>
      <c r="V6" s="25">
        <f>COUNTIF(TT!$D$405:$D$424,TALLY!A6)</f>
        <v>0</v>
      </c>
      <c r="W6" s="23">
        <f>COUNTIF(TT!$D$432:$D$442,TALLY!A6)</f>
        <v>1</v>
      </c>
      <c r="X6" s="23">
        <f>COUNTIF(TT!$D$449:$D$460,TALLY!A6)</f>
        <v>0</v>
      </c>
      <c r="Y6" s="23">
        <f>COUNTIF(TT!$D$467:$D$476,TALLY!A6)</f>
        <v>0</v>
      </c>
      <c r="Z6" s="23">
        <f>COUNTIF(TT!$D$483:$D$500,TALLY!A6)</f>
        <v>0</v>
      </c>
      <c r="AA6" s="23">
        <f>COUNTIF(TT!$D$507:$D$522,TALLY!A6)</f>
        <v>0</v>
      </c>
      <c r="AB6" s="23">
        <f>COUNTIF(TT!$D$529:$D$540,TALLY!A6)</f>
        <v>0</v>
      </c>
      <c r="AC6" s="23">
        <f>COUNTIF(TT!$D$546:$D$555,TALLY!A6)</f>
        <v>1</v>
      </c>
      <c r="AD6" s="25">
        <f>COUNTIF(TT!$D$563:$D$573,TALLY!A6)</f>
        <v>0</v>
      </c>
      <c r="AE6" s="25">
        <f>COUNTIF(TT!$D$582:$D$609,TALLY!A6)</f>
        <v>0</v>
      </c>
      <c r="AF6" s="25">
        <f>COUNTIF(TT!$D$615:$D$625,TALLY!A6)</f>
        <v>0</v>
      </c>
      <c r="AG6" s="25">
        <f>COUNTIF(TT!$D$635:$D$648,TALLY!A6)</f>
        <v>0</v>
      </c>
      <c r="AH6" s="25">
        <f>COUNTIF(TT!$D$655:$D$668,TALLY!A6)</f>
        <v>0</v>
      </c>
      <c r="AI6" s="25">
        <f>COUNTIF(TT!$D$675:$D$687,TALLY!A6)</f>
        <v>1</v>
      </c>
      <c r="AJ6" s="25"/>
      <c r="AK6" s="24" t="s">
        <v>15</v>
      </c>
      <c r="AL6" s="23">
        <f t="shared" si="0"/>
        <v>1</v>
      </c>
      <c r="AM6" s="23">
        <f t="shared" si="1"/>
        <v>2</v>
      </c>
      <c r="AN6" s="23">
        <f t="shared" si="2"/>
        <v>0</v>
      </c>
      <c r="AO6" s="23">
        <f t="shared" si="3"/>
        <v>1</v>
      </c>
      <c r="AP6" s="23">
        <f t="shared" si="4"/>
        <v>1</v>
      </c>
      <c r="AQ6">
        <f t="shared" si="5"/>
        <v>5</v>
      </c>
    </row>
    <row r="7" spans="1:43" x14ac:dyDescent="0.35">
      <c r="A7" s="24" t="s">
        <v>22</v>
      </c>
      <c r="B7" s="25">
        <f>COUNTIF(TT!$D$4:$D$25,TALLY!A7)</f>
        <v>1</v>
      </c>
      <c r="C7" s="25">
        <f>COUNTIF(TT!$D$33:$D$50,TALLY!A7)</f>
        <v>0</v>
      </c>
      <c r="D7" s="25">
        <f>COUNTIF(TT!$D$57:$D$75,TALLY!A7)</f>
        <v>1</v>
      </c>
      <c r="E7" s="25">
        <f>COUNTIF(TT!$D$82:$D$95,TALLY!A7)</f>
        <v>0</v>
      </c>
      <c r="F7" s="25">
        <f>COUNTIF(TT!$D$103:$D$112,TALLY!A7)</f>
        <v>0</v>
      </c>
      <c r="G7" s="25">
        <f>COUNTIF(TT!$D$120:$D$130,TALLY!A7)</f>
        <v>0</v>
      </c>
      <c r="H7" s="25">
        <f>COUNTIF(TT!$D$138:$D$153,TALLY!A7)</f>
        <v>0</v>
      </c>
      <c r="I7" s="23">
        <f>COUNTIF(TT!$D$160:$D$170,TALLY!A7)</f>
        <v>1</v>
      </c>
      <c r="J7" s="23">
        <f>COUNTIF(TT!$D$177:$D$187,TALLY!A7)</f>
        <v>0</v>
      </c>
      <c r="K7" s="23">
        <f>COUNTIF(TT!$D$194:$D$206,TALLY!A7)</f>
        <v>0</v>
      </c>
      <c r="L7" s="23">
        <f>COUNTIF(TT!$D$215:$D$226,TALLY!A7)</f>
        <v>1</v>
      </c>
      <c r="M7" s="23">
        <f>COUNTIF(TT!$D$234:$D$243,TALLY!A7)</f>
        <v>0</v>
      </c>
      <c r="N7" s="23">
        <f>COUNTIF(TT!$D$250:$D$262,TALLY!A7)</f>
        <v>0</v>
      </c>
      <c r="O7" s="23">
        <f>COUNTIF(TT!$D$270:$D$277,TALLY!A7)</f>
        <v>0</v>
      </c>
      <c r="P7" s="25">
        <f>COUNTIF(TT!$D$284:$D$293,TALLY!A7)</f>
        <v>0</v>
      </c>
      <c r="Q7" s="25">
        <f>COUNTIF(TT!$D$300:$D$313,TALLY!A7)</f>
        <v>0</v>
      </c>
      <c r="R7" s="25">
        <f>COUNTIF(TT!$D$320:$D$333,TALLY!A7)</f>
        <v>0</v>
      </c>
      <c r="S7" s="25">
        <f>COUNTIF(TT!$D$342:$D$352,TALLY!A7)</f>
        <v>0</v>
      </c>
      <c r="T7" s="25">
        <f>COUNTIF(TT!$D$359:$D$376,TALLY!A7)</f>
        <v>0</v>
      </c>
      <c r="U7" s="25">
        <f>COUNTIF(TT!$D$383:$D$398,TALLY!A7)</f>
        <v>0</v>
      </c>
      <c r="V7" s="25">
        <f>COUNTIF(TT!$D$405:$D$424,TALLY!A7)</f>
        <v>1</v>
      </c>
      <c r="W7" s="23">
        <f>COUNTIF(TT!$D$432:$D$442,TALLY!A7)</f>
        <v>0</v>
      </c>
      <c r="X7" s="23">
        <f>COUNTIF(TT!$D$449:$D$460,TALLY!A7)</f>
        <v>0</v>
      </c>
      <c r="Y7" s="23">
        <f>COUNTIF(TT!$D$467:$D$476,TALLY!A7)</f>
        <v>0</v>
      </c>
      <c r="Z7" s="23">
        <f>COUNTIF(TT!$D$483:$D$500,TALLY!A7)</f>
        <v>0</v>
      </c>
      <c r="AA7" s="23">
        <f>COUNTIF(TT!$D$507:$D$522,TALLY!A7)</f>
        <v>1</v>
      </c>
      <c r="AB7" s="23">
        <f>COUNTIF(TT!$D$529:$D$540,TALLY!A7)</f>
        <v>0</v>
      </c>
      <c r="AC7" s="23">
        <f>COUNTIF(TT!$D$546:$D$555,TALLY!A7)</f>
        <v>0</v>
      </c>
      <c r="AD7" s="25">
        <f>COUNTIF(TT!$D$563:$D$573,TALLY!A7)</f>
        <v>0</v>
      </c>
      <c r="AE7" s="25">
        <f>COUNTIF(TT!$D$582:$D$609,TALLY!A7)</f>
        <v>0</v>
      </c>
      <c r="AF7" s="25">
        <f>COUNTIF(TT!$D$615:$D$625,TALLY!A7)</f>
        <v>0</v>
      </c>
      <c r="AG7" s="25">
        <f>COUNTIF(TT!$D$635:$D$648,TALLY!A7)</f>
        <v>1</v>
      </c>
      <c r="AH7" s="25">
        <f>COUNTIF(TT!$D$655:$D$668,TALLY!A7)</f>
        <v>0</v>
      </c>
      <c r="AI7" s="25">
        <f>COUNTIF(TT!$D$675:$D$687,TALLY!A7)</f>
        <v>0</v>
      </c>
      <c r="AJ7" s="25"/>
      <c r="AK7" s="24" t="s">
        <v>22</v>
      </c>
      <c r="AL7" s="23">
        <f t="shared" si="0"/>
        <v>2</v>
      </c>
      <c r="AM7" s="23">
        <f t="shared" si="1"/>
        <v>2</v>
      </c>
      <c r="AN7" s="23">
        <f t="shared" si="2"/>
        <v>1</v>
      </c>
      <c r="AO7" s="23">
        <f t="shared" si="3"/>
        <v>1</v>
      </c>
      <c r="AP7" s="23">
        <f t="shared" si="4"/>
        <v>1</v>
      </c>
      <c r="AQ7">
        <f t="shared" si="5"/>
        <v>7</v>
      </c>
    </row>
    <row r="8" spans="1:43" x14ac:dyDescent="0.35">
      <c r="A8" s="24" t="s">
        <v>44</v>
      </c>
      <c r="B8" s="25">
        <f>COUNTIF(TT!$D$4:$D$25,TALLY!A8)</f>
        <v>0</v>
      </c>
      <c r="C8" s="25">
        <f>COUNTIF(TT!$D$33:$D$50,TALLY!A8)</f>
        <v>1</v>
      </c>
      <c r="D8" s="25">
        <f>COUNTIF(TT!$D$57:$D$75,TALLY!A8)</f>
        <v>0</v>
      </c>
      <c r="E8" s="25">
        <f>COUNTIF(TT!$D$82:$D$95,TALLY!A8)</f>
        <v>0</v>
      </c>
      <c r="F8" s="25">
        <f>COUNTIF(TT!$D$103:$D$112,TALLY!A8)</f>
        <v>1</v>
      </c>
      <c r="G8" s="25">
        <f>COUNTIF(TT!$D$120:$D$130,TALLY!A8)</f>
        <v>0</v>
      </c>
      <c r="H8" s="25">
        <f>COUNTIF(TT!$D$138:$D$153,TALLY!A8)</f>
        <v>0</v>
      </c>
      <c r="I8" s="23">
        <f>COUNTIF(TT!$D$160:$D$170,TALLY!A8)</f>
        <v>1</v>
      </c>
      <c r="J8" s="23">
        <f>COUNTIF(TT!$D$177:$D$187,TALLY!A8)</f>
        <v>0</v>
      </c>
      <c r="K8" s="23">
        <f>COUNTIF(TT!$D$194:$D$206,TALLY!A8)</f>
        <v>0</v>
      </c>
      <c r="L8" s="23">
        <f>COUNTIF(TT!$D$215:$D$226,TALLY!A8)</f>
        <v>0</v>
      </c>
      <c r="M8" s="23">
        <f>COUNTIF(TT!$D$234:$D$243,TALLY!A8)</f>
        <v>1</v>
      </c>
      <c r="N8" s="23">
        <f>COUNTIF(TT!$D$250:$D$262,TALLY!A8)</f>
        <v>0</v>
      </c>
      <c r="O8" s="23">
        <f>COUNTIF(TT!$D$270:$D$277,TALLY!A8)</f>
        <v>0</v>
      </c>
      <c r="P8" s="25">
        <f>COUNTIF(TT!$D$284:$D$293,TALLY!A8)</f>
        <v>0</v>
      </c>
      <c r="Q8" s="25">
        <f>COUNTIF(TT!$D$300:$D$313,TALLY!A8)</f>
        <v>0</v>
      </c>
      <c r="R8" s="25">
        <f>COUNTIF(TT!$D$320:$D$333,TALLY!A8)</f>
        <v>0</v>
      </c>
      <c r="S8" s="25">
        <f>COUNTIF(TT!$D$342:$D$352,TALLY!A8)</f>
        <v>0</v>
      </c>
      <c r="T8" s="25">
        <f>COUNTIF(TT!$D$359:$D$376,TALLY!A8)</f>
        <v>1</v>
      </c>
      <c r="U8" s="25">
        <f>COUNTIF(TT!$D$383:$D$398,TALLY!A8)</f>
        <v>0</v>
      </c>
      <c r="V8" s="25">
        <f>COUNTIF(TT!$D$405:$D$424,TALLY!A8)</f>
        <v>0</v>
      </c>
      <c r="W8" s="23">
        <f>COUNTIF(TT!$D$432:$D$442,TALLY!A8)</f>
        <v>1</v>
      </c>
      <c r="X8" s="23">
        <f>COUNTIF(TT!$D$449:$D$460,TALLY!A8)</f>
        <v>0</v>
      </c>
      <c r="Y8" s="23">
        <f>COUNTIF(TT!$D$467:$D$476,TALLY!A8)</f>
        <v>0</v>
      </c>
      <c r="Z8" s="23">
        <f>COUNTIF(TT!$D$483:$D$500,TALLY!A8)</f>
        <v>0</v>
      </c>
      <c r="AA8" s="23">
        <f>COUNTIF(TT!$D$507:$D$522,TALLY!A8)</f>
        <v>0</v>
      </c>
      <c r="AB8" s="23">
        <f>COUNTIF(TT!$D$529:$D$540,TALLY!A8)</f>
        <v>1</v>
      </c>
      <c r="AC8" s="23">
        <f>COUNTIF(TT!$D$546:$D$555,TALLY!A8)</f>
        <v>0</v>
      </c>
      <c r="AD8" s="25">
        <f>COUNTIF(TT!$D$563:$D$573,TALLY!A8)</f>
        <v>0</v>
      </c>
      <c r="AE8" s="25">
        <f>COUNTIF(TT!$D$582:$D$609,TALLY!A8)</f>
        <v>0</v>
      </c>
      <c r="AF8" s="25">
        <f>COUNTIF(TT!$D$615:$D$625,TALLY!A8)</f>
        <v>0</v>
      </c>
      <c r="AG8" s="25">
        <f>COUNTIF(TT!$D$635:$D$648,TALLY!A8)</f>
        <v>0</v>
      </c>
      <c r="AH8" s="25">
        <f>COUNTIF(TT!$D$655:$D$668,TALLY!A8)</f>
        <v>1</v>
      </c>
      <c r="AI8" s="25">
        <f>COUNTIF(TT!$D$675:$D$687,TALLY!A8)</f>
        <v>0</v>
      </c>
      <c r="AJ8" s="25"/>
      <c r="AK8" s="24" t="s">
        <v>44</v>
      </c>
      <c r="AL8" s="23">
        <f t="shared" si="0"/>
        <v>2</v>
      </c>
      <c r="AM8" s="23">
        <f t="shared" si="1"/>
        <v>2</v>
      </c>
      <c r="AN8" s="23">
        <f t="shared" si="2"/>
        <v>1</v>
      </c>
      <c r="AO8" s="23">
        <f t="shared" si="3"/>
        <v>1</v>
      </c>
      <c r="AP8" s="23">
        <f t="shared" si="4"/>
        <v>1</v>
      </c>
      <c r="AQ8">
        <f t="shared" si="5"/>
        <v>7</v>
      </c>
    </row>
    <row r="9" spans="1:43" x14ac:dyDescent="0.35">
      <c r="A9" s="24" t="s">
        <v>60</v>
      </c>
      <c r="B9" s="25">
        <f>COUNTIF(TT!$D$4:$D$25,TALLY!A9)</f>
        <v>1</v>
      </c>
      <c r="C9" s="25">
        <f>COUNTIF(TT!$D$33:$D$50,TALLY!A9)</f>
        <v>0</v>
      </c>
      <c r="D9" s="25">
        <f>COUNTIF(TT!$D$57:$D$75,TALLY!A9)</f>
        <v>0</v>
      </c>
      <c r="E9" s="25">
        <f>COUNTIF(TT!$D$82:$D$95,TALLY!A9)</f>
        <v>1</v>
      </c>
      <c r="F9" s="25">
        <f>COUNTIF(TT!$D$103:$D$112,TALLY!A9)</f>
        <v>0</v>
      </c>
      <c r="G9" s="25">
        <f>COUNTIF(TT!$D$120:$D$130,TALLY!A9)</f>
        <v>0</v>
      </c>
      <c r="H9" s="25">
        <f>COUNTIF(TT!$D$138:$D$153,TALLY!A9)</f>
        <v>0</v>
      </c>
      <c r="I9" s="23">
        <f>COUNTIF(TT!$D$160:$D$170,TALLY!A9)</f>
        <v>1</v>
      </c>
      <c r="J9" s="23">
        <f>COUNTIF(TT!$D$177:$D$187,TALLY!A9)</f>
        <v>0</v>
      </c>
      <c r="K9" s="23">
        <f>COUNTIF(TT!$D$194:$D$206,TALLY!A9)</f>
        <v>0</v>
      </c>
      <c r="L9" s="23">
        <f>COUNTIF(TT!$D$215:$D$226,TALLY!A9)</f>
        <v>1</v>
      </c>
      <c r="M9" s="23">
        <f>COUNTIF(TT!$D$234:$D$243,TALLY!A9)</f>
        <v>0</v>
      </c>
      <c r="N9" s="23">
        <f>COUNTIF(TT!$D$250:$D$262,TALLY!A9)</f>
        <v>0</v>
      </c>
      <c r="O9" s="23">
        <f>COUNTIF(TT!$D$270:$D$277,TALLY!A9)</f>
        <v>0</v>
      </c>
      <c r="P9" s="25">
        <f>COUNTIF(TT!$D$284:$D$293,TALLY!A9)</f>
        <v>0</v>
      </c>
      <c r="Q9" s="25">
        <f>COUNTIF(TT!$D$300:$D$313,TALLY!A9)</f>
        <v>0</v>
      </c>
      <c r="R9" s="25">
        <f>COUNTIF(TT!$D$320:$D$333,TALLY!A9)</f>
        <v>0</v>
      </c>
      <c r="S9" s="25">
        <f>COUNTIF(TT!$D$342:$D$352,TALLY!A9)</f>
        <v>0</v>
      </c>
      <c r="T9" s="25">
        <f>COUNTIF(TT!$D$359:$D$376,TALLY!A9)</f>
        <v>0</v>
      </c>
      <c r="U9" s="25">
        <f>COUNTIF(TT!$D$383:$D$398,TALLY!A9)</f>
        <v>0</v>
      </c>
      <c r="V9" s="25">
        <f>COUNTIF(TT!$D$405:$D$424,TALLY!A9)</f>
        <v>1</v>
      </c>
      <c r="W9" s="23">
        <f>COUNTIF(TT!$D$432:$D$442,TALLY!A9)</f>
        <v>1</v>
      </c>
      <c r="X9" s="23">
        <f>COUNTIF(TT!$D$449:$D$460,TALLY!A9)</f>
        <v>0</v>
      </c>
      <c r="Y9" s="23">
        <f>COUNTIF(TT!$D$467:$D$476,TALLY!A9)</f>
        <v>0</v>
      </c>
      <c r="Z9" s="23">
        <f>COUNTIF(TT!$D$483:$D$500,TALLY!A9)</f>
        <v>0</v>
      </c>
      <c r="AA9" s="23">
        <f>COUNTIF(TT!$D$507:$D$522,TALLY!A9)</f>
        <v>0</v>
      </c>
      <c r="AB9" s="23">
        <f>COUNTIF(TT!$D$529:$D$540,TALLY!A9)</f>
        <v>0</v>
      </c>
      <c r="AC9" s="23">
        <f>COUNTIF(TT!$D$546:$D$555,TALLY!A9)</f>
        <v>0</v>
      </c>
      <c r="AD9" s="25">
        <f>COUNTIF(TT!$D$563:$D$573,TALLY!A9)</f>
        <v>0</v>
      </c>
      <c r="AE9" s="25">
        <f>COUNTIF(TT!$D$582:$D$609,TALLY!A9)</f>
        <v>0</v>
      </c>
      <c r="AF9" s="25">
        <f>COUNTIF(TT!$D$615:$D$625,TALLY!A9)</f>
        <v>0</v>
      </c>
      <c r="AG9" s="25">
        <f>COUNTIF(TT!$D$635:$D$648,TALLY!A9)</f>
        <v>1</v>
      </c>
      <c r="AH9" s="25">
        <f>COUNTIF(TT!$D$655:$D$668,TALLY!A9)</f>
        <v>0</v>
      </c>
      <c r="AI9" s="25">
        <f>COUNTIF(TT!$D$675:$D$687,TALLY!A9)</f>
        <v>0</v>
      </c>
      <c r="AJ9" s="25"/>
      <c r="AK9" s="24" t="s">
        <v>60</v>
      </c>
      <c r="AL9" s="23">
        <f t="shared" si="0"/>
        <v>2</v>
      </c>
      <c r="AM9" s="23">
        <f t="shared" si="1"/>
        <v>2</v>
      </c>
      <c r="AN9" s="23">
        <f t="shared" si="2"/>
        <v>1</v>
      </c>
      <c r="AO9" s="23">
        <f t="shared" si="3"/>
        <v>1</v>
      </c>
      <c r="AP9" s="23">
        <f t="shared" si="4"/>
        <v>1</v>
      </c>
      <c r="AQ9">
        <f t="shared" si="5"/>
        <v>7</v>
      </c>
    </row>
    <row r="10" spans="1:43" x14ac:dyDescent="0.35">
      <c r="A10" s="24" t="s">
        <v>20</v>
      </c>
      <c r="B10" s="25">
        <f>COUNTIF(TT!$D$4:$D$25,TALLY!A10)</f>
        <v>1</v>
      </c>
      <c r="C10" s="25">
        <f>COUNTIF(TT!$D$33:$D$50,TALLY!A10)</f>
        <v>0</v>
      </c>
      <c r="D10" s="25">
        <f>COUNTIF(TT!$D$57:$D$75,TALLY!A10)</f>
        <v>0</v>
      </c>
      <c r="E10" s="25">
        <f>COUNTIF(TT!$D$82:$D$95,TALLY!A10)</f>
        <v>0</v>
      </c>
      <c r="F10" s="25">
        <f>COUNTIF(TT!$D$103:$D$112,TALLY!A10)</f>
        <v>0</v>
      </c>
      <c r="G10" s="25">
        <f>COUNTIF(TT!$D$120:$D$130,TALLY!A10)</f>
        <v>0</v>
      </c>
      <c r="H10" s="25">
        <f>COUNTIF(TT!$D$138:$D$153,TALLY!A10)</f>
        <v>0</v>
      </c>
      <c r="I10" s="23">
        <f>COUNTIF(TT!$D$160:$D$170,TALLY!A10)</f>
        <v>1</v>
      </c>
      <c r="J10" s="23">
        <f>COUNTIF(TT!$D$177:$D$187,TALLY!A10)</f>
        <v>0</v>
      </c>
      <c r="K10" s="23">
        <f>COUNTIF(TT!$D$194:$D$206,TALLY!A10)</f>
        <v>0</v>
      </c>
      <c r="L10" s="23">
        <f>COUNTIF(TT!$D$215:$D$226,TALLY!A10)</f>
        <v>0</v>
      </c>
      <c r="M10" s="23">
        <f>COUNTIF(TT!$D$234:$D$243,TALLY!A10)</f>
        <v>0</v>
      </c>
      <c r="N10" s="23">
        <f>COUNTIF(TT!$D$250:$D$262,TALLY!A10)</f>
        <v>0</v>
      </c>
      <c r="O10" s="23">
        <f>COUNTIF(TT!$D$270:$D$277,TALLY!A10)</f>
        <v>0</v>
      </c>
      <c r="P10" s="25">
        <f>COUNTIF(TT!$D$284:$D$293,TALLY!A10)</f>
        <v>0</v>
      </c>
      <c r="Q10" s="25">
        <f>COUNTIF(TT!$D$300:$D$313,TALLY!A10)</f>
        <v>0</v>
      </c>
      <c r="R10" s="25">
        <f>COUNTIF(TT!$D$320:$D$333,TALLY!A10)</f>
        <v>0</v>
      </c>
      <c r="S10" s="25">
        <f>COUNTIF(TT!$D$342:$D$352,TALLY!A10)</f>
        <v>0</v>
      </c>
      <c r="T10" s="25">
        <f>COUNTIF(TT!$D$359:$D$376,TALLY!A10)</f>
        <v>1</v>
      </c>
      <c r="U10" s="25">
        <f>COUNTIF(TT!$D$383:$D$398,TALLY!A10)</f>
        <v>0</v>
      </c>
      <c r="V10" s="25">
        <f>COUNTIF(TT!$D$405:$D$424,TALLY!A10)</f>
        <v>0</v>
      </c>
      <c r="W10" s="23">
        <f>COUNTIF(TT!$D$432:$D$442,TALLY!A10)</f>
        <v>1</v>
      </c>
      <c r="X10" s="23">
        <f>COUNTIF(TT!$D$449:$D$460,TALLY!A10)</f>
        <v>0</v>
      </c>
      <c r="Y10" s="23">
        <f>COUNTIF(TT!$D$467:$D$476,TALLY!A10)</f>
        <v>0</v>
      </c>
      <c r="Z10" s="23">
        <f>COUNTIF(TT!$D$483:$D$500,TALLY!A10)</f>
        <v>0</v>
      </c>
      <c r="AA10" s="23">
        <f>COUNTIF(TT!$D$507:$D$522,TALLY!A10)</f>
        <v>0</v>
      </c>
      <c r="AB10" s="23">
        <f>COUNTIF(TT!$D$529:$D$540,TALLY!A10)</f>
        <v>0</v>
      </c>
      <c r="AC10" s="23">
        <f>COUNTIF(TT!$D$546:$D$555,TALLY!A10)</f>
        <v>0</v>
      </c>
      <c r="AD10" s="25">
        <f>COUNTIF(TT!$D$563:$D$573,TALLY!A10)</f>
        <v>1</v>
      </c>
      <c r="AE10" s="25">
        <f>COUNTIF(TT!$D$582:$D$609,TALLY!A10)</f>
        <v>0</v>
      </c>
      <c r="AF10" s="25">
        <f>COUNTIF(TT!$D$615:$D$625,TALLY!A10)</f>
        <v>0</v>
      </c>
      <c r="AG10" s="25">
        <f>COUNTIF(TT!$D$635:$D$648,TALLY!A10)</f>
        <v>0</v>
      </c>
      <c r="AH10" s="25">
        <f>COUNTIF(TT!$D$655:$D$668,TALLY!A10)</f>
        <v>0</v>
      </c>
      <c r="AI10" s="25">
        <f>COUNTIF(TT!$D$675:$D$687,TALLY!A10)</f>
        <v>1</v>
      </c>
      <c r="AJ10" s="25"/>
      <c r="AK10" s="24" t="s">
        <v>20</v>
      </c>
      <c r="AL10" s="23">
        <f t="shared" si="0"/>
        <v>1</v>
      </c>
      <c r="AM10" s="23">
        <f t="shared" si="1"/>
        <v>1</v>
      </c>
      <c r="AN10" s="23">
        <f t="shared" si="2"/>
        <v>1</v>
      </c>
      <c r="AO10" s="23">
        <f t="shared" si="3"/>
        <v>1</v>
      </c>
      <c r="AP10" s="23">
        <f t="shared" si="4"/>
        <v>2</v>
      </c>
      <c r="AQ10">
        <f t="shared" si="5"/>
        <v>6</v>
      </c>
    </row>
    <row r="11" spans="1:43" x14ac:dyDescent="0.35">
      <c r="A11" s="24" t="s">
        <v>25</v>
      </c>
      <c r="B11" s="25">
        <f>COUNTIF(TT!$D$4:$D$25,TALLY!A11)</f>
        <v>0</v>
      </c>
      <c r="C11" s="25">
        <f>COUNTIF(TT!$D$33:$D$50,TALLY!A11)</f>
        <v>1</v>
      </c>
      <c r="D11" s="25">
        <f>COUNTIF(TT!$D$57:$D$75,TALLY!A11)</f>
        <v>0</v>
      </c>
      <c r="E11" s="25">
        <f>COUNTIF(TT!$D$82:$D$95,TALLY!A11)</f>
        <v>0</v>
      </c>
      <c r="F11" s="25">
        <f>COUNTIF(TT!$D$103:$D$112,TALLY!A11)</f>
        <v>0</v>
      </c>
      <c r="G11" s="25">
        <f>COUNTIF(TT!$D$120:$D$130,TALLY!A11)</f>
        <v>0</v>
      </c>
      <c r="H11" s="25">
        <f>COUNTIF(TT!$D$138:$D$153,TALLY!A11)</f>
        <v>0</v>
      </c>
      <c r="I11" s="23">
        <f>COUNTIF(TT!$D$160:$D$170,TALLY!A11)</f>
        <v>0</v>
      </c>
      <c r="J11" s="23">
        <f>COUNTIF(TT!$D$177:$D$187,TALLY!A11)</f>
        <v>1</v>
      </c>
      <c r="K11" s="23">
        <f>COUNTIF(TT!$D$194:$D$206,TALLY!A11)</f>
        <v>0</v>
      </c>
      <c r="L11" s="23">
        <f>COUNTIF(TT!$D$215:$D$226,TALLY!A11)</f>
        <v>0</v>
      </c>
      <c r="M11" s="23">
        <f>COUNTIF(TT!$D$234:$D$243,TALLY!A11)</f>
        <v>0</v>
      </c>
      <c r="N11" s="23">
        <f>COUNTIF(TT!$D$250:$D$262,TALLY!A11)</f>
        <v>0</v>
      </c>
      <c r="O11" s="23">
        <f>COUNTIF(TT!$D$270:$D$277,TALLY!A11)</f>
        <v>1</v>
      </c>
      <c r="P11" s="25">
        <f>COUNTIF(TT!$D$284:$D$293,TALLY!A11)</f>
        <v>0</v>
      </c>
      <c r="Q11" s="25">
        <f>COUNTIF(TT!$D$300:$D$313,TALLY!A11)</f>
        <v>1</v>
      </c>
      <c r="R11" s="25">
        <f>COUNTIF(TT!$D$320:$D$333,TALLY!A11)</f>
        <v>0</v>
      </c>
      <c r="S11" s="25">
        <f>COUNTIF(TT!$D$342:$D$352,TALLY!A11)</f>
        <v>0</v>
      </c>
      <c r="T11" s="25">
        <f>COUNTIF(TT!$D$359:$D$376,TALLY!A11)</f>
        <v>1</v>
      </c>
      <c r="U11" s="25">
        <f>COUNTIF(TT!$D$383:$D$398,TALLY!A11)</f>
        <v>0</v>
      </c>
      <c r="V11" s="25">
        <f>COUNTIF(TT!$D$405:$D$424,TALLY!A11)</f>
        <v>0</v>
      </c>
      <c r="W11" s="23">
        <f>COUNTIF(TT!$D$432:$D$442,TALLY!A11)</f>
        <v>0</v>
      </c>
      <c r="X11" s="23">
        <f>COUNTIF(TT!$D$449:$D$460,TALLY!A11)</f>
        <v>0</v>
      </c>
      <c r="Y11" s="23">
        <f>COUNTIF(TT!$D$467:$D$476,TALLY!A11)</f>
        <v>0</v>
      </c>
      <c r="Z11" s="23">
        <f>COUNTIF(TT!$D$483:$D$500,TALLY!A11)</f>
        <v>0</v>
      </c>
      <c r="AA11" s="23">
        <f>COUNTIF(TT!$D$507:$D$522,TALLY!A11)</f>
        <v>0</v>
      </c>
      <c r="AB11" s="23">
        <f>COUNTIF(TT!$D$529:$D$540,TALLY!A11)</f>
        <v>0</v>
      </c>
      <c r="AC11" s="23">
        <f>COUNTIF(TT!$D$546:$D$555,TALLY!A11)</f>
        <v>0</v>
      </c>
      <c r="AD11" s="25">
        <f>COUNTIF(TT!$D$563:$D$573,TALLY!A11)</f>
        <v>0</v>
      </c>
      <c r="AE11" s="25">
        <f>COUNTIF(TT!$D$582:$D$609,TALLY!A11)</f>
        <v>0</v>
      </c>
      <c r="AF11" s="25">
        <f>COUNTIF(TT!$D$615:$D$625,TALLY!A11)</f>
        <v>0</v>
      </c>
      <c r="AG11" s="25">
        <f>COUNTIF(TT!$D$635:$D$648,TALLY!A11)</f>
        <v>0</v>
      </c>
      <c r="AH11" s="25">
        <f>COUNTIF(TT!$D$655:$D$668,TALLY!A11)</f>
        <v>1</v>
      </c>
      <c r="AI11" s="25">
        <f>COUNTIF(TT!$D$675:$D$687,TALLY!A11)</f>
        <v>0</v>
      </c>
      <c r="AJ11" s="25"/>
      <c r="AK11" s="24" t="s">
        <v>25</v>
      </c>
      <c r="AL11" s="23">
        <f t="shared" si="0"/>
        <v>1</v>
      </c>
      <c r="AM11" s="23">
        <f t="shared" si="1"/>
        <v>2</v>
      </c>
      <c r="AN11" s="23">
        <f t="shared" si="2"/>
        <v>2</v>
      </c>
      <c r="AO11" s="23">
        <v>1</v>
      </c>
      <c r="AP11" s="23">
        <f t="shared" si="4"/>
        <v>1</v>
      </c>
      <c r="AQ11">
        <f t="shared" si="5"/>
        <v>7</v>
      </c>
    </row>
    <row r="12" spans="1:43" x14ac:dyDescent="0.35">
      <c r="A12" s="24" t="s">
        <v>45</v>
      </c>
      <c r="B12" s="25">
        <f>COUNTIF(TT!$D$4:$D$25,TALLY!A12)</f>
        <v>0</v>
      </c>
      <c r="C12" s="25">
        <f>COUNTIF(TT!$D$33:$D$50,TALLY!A12)</f>
        <v>1</v>
      </c>
      <c r="D12" s="25">
        <f>COUNTIF(TT!$D$57:$D$75,TALLY!A12)</f>
        <v>0</v>
      </c>
      <c r="E12" s="25">
        <f>COUNTIF(TT!$D$82:$D$95,TALLY!A12)</f>
        <v>0</v>
      </c>
      <c r="F12" s="25">
        <f>COUNTIF(TT!$D$103:$D$112,TALLY!A12)</f>
        <v>1</v>
      </c>
      <c r="G12" s="25">
        <f>COUNTIF(TT!$D$120:$D$130,TALLY!A12)</f>
        <v>0</v>
      </c>
      <c r="H12" s="25">
        <f>COUNTIF(TT!$D$138:$D$153,TALLY!A12)</f>
        <v>0</v>
      </c>
      <c r="I12" s="23">
        <f>COUNTIF(TT!$D$160:$D$170,TALLY!A12)</f>
        <v>0</v>
      </c>
      <c r="J12" s="23">
        <f>COUNTIF(TT!$D$177:$D$187,TALLY!A12)</f>
        <v>1</v>
      </c>
      <c r="K12" s="23">
        <f>COUNTIF(TT!$D$194:$D$206,TALLY!A12)</f>
        <v>0</v>
      </c>
      <c r="L12" s="23">
        <f>COUNTIF(TT!$D$215:$D$226,TALLY!A12)</f>
        <v>0</v>
      </c>
      <c r="M12" s="23">
        <f>COUNTIF(TT!$D$234:$D$243,TALLY!A12)</f>
        <v>1</v>
      </c>
      <c r="N12" s="23">
        <f>COUNTIF(TT!$D$250:$D$262,TALLY!A12)</f>
        <v>0</v>
      </c>
      <c r="O12" s="23">
        <f>COUNTIF(TT!$D$270:$D$277,TALLY!A12)</f>
        <v>0</v>
      </c>
      <c r="P12" s="25">
        <f>COUNTIF(TT!$D$284:$D$293,TALLY!A12)</f>
        <v>0</v>
      </c>
      <c r="Q12" s="25">
        <f>COUNTIF(TT!$D$300:$D$313,TALLY!A12)</f>
        <v>1</v>
      </c>
      <c r="R12" s="25">
        <f>COUNTIF(TT!$D$320:$D$333,TALLY!A12)</f>
        <v>0</v>
      </c>
      <c r="S12" s="25">
        <f>COUNTIF(TT!$D$342:$D$352,TALLY!A12)</f>
        <v>0</v>
      </c>
      <c r="T12" s="25">
        <f>COUNTIF(TT!$D$359:$D$376,TALLY!A12)</f>
        <v>1</v>
      </c>
      <c r="U12" s="25">
        <f>COUNTIF(TT!$D$383:$D$398,TALLY!A12)</f>
        <v>0</v>
      </c>
      <c r="V12" s="25">
        <f>COUNTIF(TT!$D$405:$D$424,TALLY!A12)</f>
        <v>0</v>
      </c>
      <c r="W12" s="23">
        <f>COUNTIF(TT!$D$432:$D$442,TALLY!A12)</f>
        <v>0</v>
      </c>
      <c r="X12" s="23">
        <f>COUNTIF(TT!$D$449:$D$460,TALLY!A12)</f>
        <v>0</v>
      </c>
      <c r="Y12" s="23">
        <f>COUNTIF(TT!$D$467:$D$476,TALLY!A12)</f>
        <v>0</v>
      </c>
      <c r="Z12" s="23">
        <f>COUNTIF(TT!$D$483:$D$500,TALLY!A12)</f>
        <v>0</v>
      </c>
      <c r="AA12" s="23">
        <f>COUNTIF(TT!$D$507:$D$522,TALLY!A12)</f>
        <v>0</v>
      </c>
      <c r="AB12" s="23">
        <f>COUNTIF(TT!$D$529:$D$540,TALLY!A12)</f>
        <v>0</v>
      </c>
      <c r="AC12" s="23">
        <f>COUNTIF(TT!$D$546:$D$555,TALLY!A12)</f>
        <v>1</v>
      </c>
      <c r="AD12" s="25">
        <f>COUNTIF(TT!$D$563:$D$573,TALLY!A12)</f>
        <v>0</v>
      </c>
      <c r="AE12" s="25">
        <f>COUNTIF(TT!$D$582:$D$609,TALLY!A12)</f>
        <v>0</v>
      </c>
      <c r="AF12" s="25">
        <f>COUNTIF(TT!$D$615:$D$625,TALLY!A12)</f>
        <v>0</v>
      </c>
      <c r="AG12" s="25">
        <f>COUNTIF(TT!$D$635:$D$648,TALLY!A12)</f>
        <v>0</v>
      </c>
      <c r="AH12" s="25">
        <f>COUNTIF(TT!$D$655:$D$668,TALLY!A12)</f>
        <v>1</v>
      </c>
      <c r="AI12" s="25">
        <f>COUNTIF(TT!$D$675:$D$687,TALLY!A12)</f>
        <v>0</v>
      </c>
      <c r="AJ12" s="25"/>
      <c r="AK12" s="24" t="s">
        <v>45</v>
      </c>
      <c r="AL12" s="23">
        <f t="shared" si="0"/>
        <v>2</v>
      </c>
      <c r="AM12" s="23">
        <f t="shared" si="1"/>
        <v>2</v>
      </c>
      <c r="AN12" s="23">
        <f t="shared" si="2"/>
        <v>2</v>
      </c>
      <c r="AO12" s="23">
        <f t="shared" si="3"/>
        <v>0</v>
      </c>
      <c r="AP12" s="23">
        <f t="shared" si="4"/>
        <v>1</v>
      </c>
      <c r="AQ12">
        <f t="shared" si="5"/>
        <v>7</v>
      </c>
    </row>
    <row r="13" spans="1:43" x14ac:dyDescent="0.35">
      <c r="A13" s="24" t="s">
        <v>23</v>
      </c>
      <c r="B13" s="25">
        <f>COUNTIF(TT!$D$4:$D$25,TALLY!A13)</f>
        <v>0</v>
      </c>
      <c r="C13" s="25">
        <f>COUNTIF(TT!$D$33:$D$50,TALLY!A13)</f>
        <v>0</v>
      </c>
      <c r="D13" s="25">
        <f>COUNTIF(TT!$D$57:$D$75,TALLY!A13)</f>
        <v>1</v>
      </c>
      <c r="E13" s="25">
        <f>COUNTIF(TT!$D$82:$D$95,TALLY!A13)</f>
        <v>0</v>
      </c>
      <c r="F13" s="25">
        <f>COUNTIF(TT!$D$103:$D$112,TALLY!A13)</f>
        <v>0</v>
      </c>
      <c r="G13" s="25">
        <f>COUNTIF(TT!$D$120:$D$130,TALLY!A13)</f>
        <v>1</v>
      </c>
      <c r="H13" s="25">
        <f>COUNTIF(TT!$D$138:$D$153,TALLY!A13)</f>
        <v>0</v>
      </c>
      <c r="I13" s="23">
        <f>COUNTIF(TT!$D$160:$D$170,TALLY!A13)</f>
        <v>0</v>
      </c>
      <c r="J13" s="23">
        <f>COUNTIF(TT!$D$177:$D$187,TALLY!A13)</f>
        <v>1</v>
      </c>
      <c r="K13" s="23">
        <f>COUNTIF(TT!$D$194:$D$206,TALLY!A13)</f>
        <v>0</v>
      </c>
      <c r="L13" s="23">
        <f>COUNTIF(TT!$D$215:$D$226,TALLY!A13)</f>
        <v>0</v>
      </c>
      <c r="M13" s="23">
        <f>COUNTIF(TT!$D$234:$D$243,TALLY!A13)</f>
        <v>0</v>
      </c>
      <c r="N13" s="23">
        <f>COUNTIF(TT!$D$250:$D$262,TALLY!A13)</f>
        <v>0</v>
      </c>
      <c r="O13" s="23">
        <f>COUNTIF(TT!$D$270:$D$277,TALLY!A13)</f>
        <v>0</v>
      </c>
      <c r="P13" s="25">
        <f>COUNTIF(TT!$D$284:$D$293,TALLY!A13)</f>
        <v>0</v>
      </c>
      <c r="Q13" s="25">
        <f>COUNTIF(TT!$D$300:$D$313,TALLY!A13)</f>
        <v>0</v>
      </c>
      <c r="R13" s="25">
        <f>COUNTIF(TT!$D$320:$D$333,TALLY!A13)</f>
        <v>0</v>
      </c>
      <c r="S13" s="25">
        <f>COUNTIF(TT!$D$342:$D$352,TALLY!A13)</f>
        <v>1</v>
      </c>
      <c r="T13" s="25">
        <f>COUNTIF(TT!$D$359:$D$376,TALLY!A13)</f>
        <v>0</v>
      </c>
      <c r="U13" s="25">
        <f>COUNTIF(TT!$D$383:$D$398,TALLY!A13)</f>
        <v>0</v>
      </c>
      <c r="V13" s="25">
        <f>COUNTIF(TT!$D$405:$D$424,TALLY!A13)</f>
        <v>0</v>
      </c>
      <c r="W13" s="23">
        <f>COUNTIF(TT!$D$432:$D$442,TALLY!A13)</f>
        <v>0</v>
      </c>
      <c r="X13" s="23">
        <f>COUNTIF(TT!$D$449:$D$460,TALLY!A13)</f>
        <v>0</v>
      </c>
      <c r="Y13" s="23">
        <f>COUNTIF(TT!$D$467:$D$476,TALLY!A13)</f>
        <v>0</v>
      </c>
      <c r="Z13" s="23">
        <f>COUNTIF(TT!$D$483:$D$500,TALLY!A13)</f>
        <v>0</v>
      </c>
      <c r="AA13" s="23">
        <f>COUNTIF(TT!$D$507:$D$522,TALLY!A13)</f>
        <v>0</v>
      </c>
      <c r="AB13" s="23">
        <f>COUNTIF(TT!$D$529:$D$540,TALLY!A13)</f>
        <v>0</v>
      </c>
      <c r="AC13" s="23">
        <f>COUNTIF(TT!$D$546:$D$555,TALLY!A13)</f>
        <v>0</v>
      </c>
      <c r="AD13" s="25">
        <f>COUNTIF(TT!$D$563:$D$573,TALLY!A13)</f>
        <v>0</v>
      </c>
      <c r="AE13" s="25">
        <f>COUNTIF(TT!$D$582:$D$609,TALLY!A13)</f>
        <v>0</v>
      </c>
      <c r="AF13" s="25">
        <f>COUNTIF(TT!$D$615:$D$625,TALLY!A13)</f>
        <v>0</v>
      </c>
      <c r="AG13" s="25">
        <f>COUNTIF(TT!$D$635:$D$648,TALLY!A13)</f>
        <v>0</v>
      </c>
      <c r="AH13" s="25">
        <f>COUNTIF(TT!$D$655:$D$668,TALLY!A13)</f>
        <v>0</v>
      </c>
      <c r="AI13" s="25">
        <f>COUNTIF(TT!$D$675:$D$687,TALLY!A13)</f>
        <v>1</v>
      </c>
      <c r="AJ13" s="25"/>
      <c r="AK13" s="24" t="s">
        <v>23</v>
      </c>
      <c r="AL13" s="23">
        <f t="shared" si="0"/>
        <v>2</v>
      </c>
      <c r="AM13" s="23">
        <f t="shared" si="1"/>
        <v>1</v>
      </c>
      <c r="AN13" s="23">
        <f t="shared" si="2"/>
        <v>1</v>
      </c>
      <c r="AO13" s="23">
        <f t="shared" si="3"/>
        <v>0</v>
      </c>
      <c r="AP13" s="23">
        <f t="shared" si="4"/>
        <v>1</v>
      </c>
      <c r="AQ13">
        <f t="shared" si="5"/>
        <v>5</v>
      </c>
    </row>
    <row r="14" spans="1:43" x14ac:dyDescent="0.35">
      <c r="A14" s="24" t="s">
        <v>82</v>
      </c>
      <c r="B14" s="25">
        <f>COUNTIF(TT!$D$4:$D$25,TALLY!A14)</f>
        <v>1</v>
      </c>
      <c r="C14" s="25">
        <f>COUNTIF(TT!$D$33:$D$50,TALLY!A14)</f>
        <v>0</v>
      </c>
      <c r="D14" s="25">
        <f>COUNTIF(TT!$D$57:$D$75,TALLY!A14)</f>
        <v>0</v>
      </c>
      <c r="E14" s="25">
        <f>COUNTIF(TT!$D$82:$D$95,TALLY!A14)</f>
        <v>0</v>
      </c>
      <c r="F14" s="25">
        <f>COUNTIF(TT!$D$103:$D$112,TALLY!A14)</f>
        <v>0</v>
      </c>
      <c r="G14" s="25">
        <f>COUNTIF(TT!$D$120:$D$130,TALLY!A14)</f>
        <v>0</v>
      </c>
      <c r="H14" s="25">
        <f>COUNTIF(TT!$D$138:$D$153,TALLY!A14)</f>
        <v>0</v>
      </c>
      <c r="I14" s="23">
        <f>COUNTIF(TT!$D$160:$D$170,TALLY!A14)</f>
        <v>0</v>
      </c>
      <c r="J14" s="23">
        <f>COUNTIF(TT!$D$177:$D$187,TALLY!A14)</f>
        <v>1</v>
      </c>
      <c r="K14" s="23">
        <f>COUNTIF(TT!$D$194:$D$206,TALLY!A14)</f>
        <v>0</v>
      </c>
      <c r="L14" s="23">
        <f>COUNTIF(TT!$D$215:$D$226,TALLY!A14)</f>
        <v>0</v>
      </c>
      <c r="M14" s="23">
        <f>COUNTIF(TT!$D$234:$D$243,TALLY!A14)</f>
        <v>0</v>
      </c>
      <c r="N14" s="23">
        <f>COUNTIF(TT!$D$250:$D$262,TALLY!A14)</f>
        <v>1</v>
      </c>
      <c r="O14" s="23">
        <f>COUNTIF(TT!$D$270:$D$277,TALLY!A14)</f>
        <v>0</v>
      </c>
      <c r="P14" s="25">
        <f>COUNTIF(TT!$D$284:$D$293,TALLY!A14)</f>
        <v>0</v>
      </c>
      <c r="Q14" s="25">
        <f>COUNTIF(TT!$D$300:$D$313,TALLY!A14)</f>
        <v>0</v>
      </c>
      <c r="R14" s="25">
        <f>COUNTIF(TT!$D$320:$D$333,TALLY!A14)</f>
        <v>0</v>
      </c>
      <c r="S14" s="25">
        <f>COUNTIF(TT!$D$342:$D$352,TALLY!A14)</f>
        <v>0</v>
      </c>
      <c r="T14" s="25">
        <f>COUNTIF(TT!$D$359:$D$376,TALLY!A14)</f>
        <v>0</v>
      </c>
      <c r="U14" s="25">
        <f>COUNTIF(TT!$D$383:$D$398,TALLY!A14)</f>
        <v>0</v>
      </c>
      <c r="V14" s="25">
        <f>COUNTIF(TT!$D$405:$D$424,TALLY!A14)</f>
        <v>0</v>
      </c>
      <c r="W14" s="23">
        <f>COUNTIF(TT!$D$432:$D$442,TALLY!A14)</f>
        <v>1</v>
      </c>
      <c r="X14" s="23">
        <f>COUNTIF(TT!$D$449:$D$460,TALLY!A14)</f>
        <v>0</v>
      </c>
      <c r="Y14" s="23">
        <f>COUNTIF(TT!$D$467:$D$476,TALLY!A14)</f>
        <v>0</v>
      </c>
      <c r="Z14" s="23">
        <f>COUNTIF(TT!$D$483:$D$500,TALLY!A14)</f>
        <v>0</v>
      </c>
      <c r="AA14" s="23">
        <f>COUNTIF(TT!$D$507:$D$522,TALLY!A14)</f>
        <v>0</v>
      </c>
      <c r="AB14" s="23">
        <f>COUNTIF(TT!$D$529:$D$540,TALLY!A14)</f>
        <v>0</v>
      </c>
      <c r="AC14" s="23">
        <f>COUNTIF(TT!$D$546:$D$555,TALLY!A14)</f>
        <v>1</v>
      </c>
      <c r="AD14" s="25">
        <f>COUNTIF(TT!$D$563:$D$573,TALLY!A14)</f>
        <v>0</v>
      </c>
      <c r="AE14" s="25">
        <f>COUNTIF(TT!$D$582:$D$609,TALLY!A14)</f>
        <v>0</v>
      </c>
      <c r="AF14" s="25">
        <f>COUNTIF(TT!$D$615:$D$625,TALLY!A14)</f>
        <v>1</v>
      </c>
      <c r="AG14" s="25">
        <f>COUNTIF(TT!$D$635:$D$648,TALLY!A14)</f>
        <v>0</v>
      </c>
      <c r="AH14" s="25">
        <f>COUNTIF(TT!$D$655:$D$668,TALLY!A14)</f>
        <v>0</v>
      </c>
      <c r="AI14" s="25">
        <f>COUNTIF(TT!$D$675:$D$687,TALLY!A14)</f>
        <v>0</v>
      </c>
      <c r="AJ14" s="25"/>
      <c r="AK14" s="24" t="s">
        <v>82</v>
      </c>
      <c r="AL14" s="23">
        <f t="shared" si="0"/>
        <v>1</v>
      </c>
      <c r="AM14" s="23">
        <f t="shared" si="1"/>
        <v>2</v>
      </c>
      <c r="AN14" s="23">
        <f t="shared" si="2"/>
        <v>0</v>
      </c>
      <c r="AO14" s="23">
        <f t="shared" si="3"/>
        <v>1</v>
      </c>
      <c r="AP14" s="23">
        <f t="shared" si="4"/>
        <v>1</v>
      </c>
      <c r="AQ14">
        <f t="shared" si="5"/>
        <v>5</v>
      </c>
    </row>
    <row r="15" spans="1:43" x14ac:dyDescent="0.35">
      <c r="A15" s="24" t="s">
        <v>43</v>
      </c>
      <c r="B15" s="25">
        <f>COUNTIF(TT!$D$4:$D$25,TALLY!A15)</f>
        <v>0</v>
      </c>
      <c r="C15" s="25">
        <f>COUNTIF(TT!$D$33:$D$50,TALLY!A15)</f>
        <v>0</v>
      </c>
      <c r="D15" s="25">
        <f>COUNTIF(TT!$D$57:$D$75,TALLY!A15)</f>
        <v>1</v>
      </c>
      <c r="E15" s="25">
        <f>COUNTIF(TT!$D$82:$D$95,TALLY!A15)</f>
        <v>0</v>
      </c>
      <c r="F15" s="25">
        <f>COUNTIF(TT!$D$103:$D$112,TALLY!A15)</f>
        <v>0</v>
      </c>
      <c r="G15" s="25">
        <f>COUNTIF(TT!$D$120:$D$130,TALLY!A15)</f>
        <v>0</v>
      </c>
      <c r="H15" s="25">
        <f>COUNTIF(TT!$D$138:$D$153,TALLY!A15)</f>
        <v>0</v>
      </c>
      <c r="I15" s="23">
        <f>COUNTIF(TT!$D$160:$D$170,TALLY!A15)</f>
        <v>1</v>
      </c>
      <c r="J15" s="23">
        <f>COUNTIF(TT!$D$177:$D$187,TALLY!A15)</f>
        <v>0</v>
      </c>
      <c r="K15" s="23">
        <f>COUNTIF(TT!$D$194:$D$206,TALLY!A15)</f>
        <v>0</v>
      </c>
      <c r="L15" s="23">
        <f>COUNTIF(TT!$D$215:$D$226,TALLY!A15)</f>
        <v>0</v>
      </c>
      <c r="M15" s="23">
        <f>COUNTIF(TT!$D$234:$D$243,TALLY!A15)</f>
        <v>0</v>
      </c>
      <c r="N15" s="23">
        <f>COUNTIF(TT!$D$250:$D$262,TALLY!A15)</f>
        <v>1</v>
      </c>
      <c r="O15" s="23">
        <f>COUNTIF(TT!$D$270:$D$277,TALLY!A15)</f>
        <v>0</v>
      </c>
      <c r="P15" s="25">
        <f>COUNTIF(TT!$D$284:$D$293,TALLY!A15)</f>
        <v>0</v>
      </c>
      <c r="Q15" s="25">
        <f>COUNTIF(TT!$D$300:$D$313,TALLY!A15)</f>
        <v>0</v>
      </c>
      <c r="R15" s="25">
        <f>COUNTIF(TT!$D$320:$D$333,TALLY!A15)</f>
        <v>0</v>
      </c>
      <c r="S15" s="25">
        <f>COUNTIF(TT!$D$342:$D$352,TALLY!A15)</f>
        <v>0</v>
      </c>
      <c r="T15" s="25">
        <f>COUNTIF(TT!$D$359:$D$376,TALLY!A15)</f>
        <v>0</v>
      </c>
      <c r="U15" s="25">
        <f>COUNTIF(TT!$D$383:$D$398,TALLY!A15)</f>
        <v>0</v>
      </c>
      <c r="V15" s="25">
        <f>COUNTIF(TT!$D$405:$D$424,TALLY!A15)</f>
        <v>0</v>
      </c>
      <c r="W15" s="23">
        <f>COUNTIF(TT!$D$432:$D$442,TALLY!A15)</f>
        <v>1</v>
      </c>
      <c r="X15" s="23">
        <f>COUNTIF(TT!$D$449:$D$460,TALLY!A15)</f>
        <v>0</v>
      </c>
      <c r="Y15" s="23">
        <f>COUNTIF(TT!$D$467:$D$476,TALLY!A15)</f>
        <v>0</v>
      </c>
      <c r="Z15" s="23">
        <f>COUNTIF(TT!$D$483:$D$500,TALLY!A15)</f>
        <v>0</v>
      </c>
      <c r="AA15" s="23">
        <f>COUNTIF(TT!$D$507:$D$522,TALLY!A15)</f>
        <v>0</v>
      </c>
      <c r="AB15" s="23">
        <f>COUNTIF(TT!$D$529:$D$540,TALLY!A15)</f>
        <v>0</v>
      </c>
      <c r="AC15" s="23">
        <f>COUNTIF(TT!$D$546:$D$555,TALLY!A15)</f>
        <v>1</v>
      </c>
      <c r="AD15" s="25">
        <f>COUNTIF(TT!$D$563:$D$573,TALLY!A15)</f>
        <v>0</v>
      </c>
      <c r="AE15" s="25">
        <f>COUNTIF(TT!$D$582:$D$609,TALLY!A15)</f>
        <v>0</v>
      </c>
      <c r="AF15" s="25">
        <f>COUNTIF(TT!$D$615:$D$625,TALLY!A15)</f>
        <v>1</v>
      </c>
      <c r="AG15" s="25">
        <f>COUNTIF(TT!$D$635:$D$648,TALLY!A15)</f>
        <v>0</v>
      </c>
      <c r="AH15" s="25">
        <f>COUNTIF(TT!$D$655:$D$668,TALLY!A15)</f>
        <v>1</v>
      </c>
      <c r="AI15" s="25">
        <f>COUNTIF(TT!$D$675:$D$687,TALLY!A15)</f>
        <v>0</v>
      </c>
      <c r="AJ15" s="25"/>
      <c r="AK15" s="24" t="s">
        <v>43</v>
      </c>
      <c r="AL15" s="23">
        <f t="shared" si="0"/>
        <v>1</v>
      </c>
      <c r="AM15" s="23">
        <f t="shared" si="1"/>
        <v>2</v>
      </c>
      <c r="AN15" s="23">
        <f t="shared" si="2"/>
        <v>0</v>
      </c>
      <c r="AO15" s="23">
        <f t="shared" si="3"/>
        <v>1</v>
      </c>
      <c r="AP15" s="23">
        <f t="shared" si="4"/>
        <v>2</v>
      </c>
      <c r="AQ15">
        <f t="shared" si="5"/>
        <v>6</v>
      </c>
    </row>
    <row r="16" spans="1:43" x14ac:dyDescent="0.35">
      <c r="A16" s="24" t="s">
        <v>176</v>
      </c>
      <c r="B16" s="25">
        <f>COUNTIF(TT!$D$4:$D$25,TALLY!A16)</f>
        <v>0</v>
      </c>
      <c r="C16" s="25">
        <f>COUNTIF(TT!$D$33:$D$50,TALLY!A16)</f>
        <v>0</v>
      </c>
      <c r="D16" s="25">
        <f>COUNTIF(TT!$D$57:$D$75,TALLY!A16)</f>
        <v>1</v>
      </c>
      <c r="E16" s="25">
        <f>COUNTIF(TT!$D$82:$D$95,TALLY!A16)</f>
        <v>0</v>
      </c>
      <c r="F16" s="25">
        <f>COUNTIF(TT!$D$103:$D$112,TALLY!A16)</f>
        <v>0</v>
      </c>
      <c r="G16" s="25">
        <f>COUNTIF(TT!$D$120:$D$130,TALLY!A16)</f>
        <v>0</v>
      </c>
      <c r="H16" s="25">
        <f>COUNTIF(TT!$D$138:$D$153,TALLY!A16)</f>
        <v>0</v>
      </c>
      <c r="I16" s="23">
        <f>COUNTIF(TT!$D$160:$D$170,TALLY!A16)</f>
        <v>1</v>
      </c>
      <c r="J16" s="23">
        <f>COUNTIF(TT!$D$177:$D$187,TALLY!A16)</f>
        <v>0</v>
      </c>
      <c r="K16" s="23">
        <f>COUNTIF(TT!$D$194:$D$206,TALLY!A16)</f>
        <v>0</v>
      </c>
      <c r="L16" s="23">
        <f>COUNTIF(TT!$D$215:$D$226,TALLY!A16)</f>
        <v>0</v>
      </c>
      <c r="M16" s="23">
        <f>COUNTIF(TT!$D$234:$D$243,TALLY!A16)</f>
        <v>0</v>
      </c>
      <c r="N16" s="23">
        <f>COUNTIF(TT!$D$250:$D$262,TALLY!A16)</f>
        <v>0</v>
      </c>
      <c r="O16" s="23">
        <f>COUNTIF(TT!$D$270:$D$277,TALLY!A16)</f>
        <v>0</v>
      </c>
      <c r="P16" s="25">
        <f>COUNTIF(TT!$D$284:$D$293,TALLY!A16)</f>
        <v>0</v>
      </c>
      <c r="Q16" s="25">
        <f>COUNTIF(TT!$D$300:$D$313,TALLY!A16)</f>
        <v>0</v>
      </c>
      <c r="R16" s="25">
        <f>COUNTIF(TT!$D$320:$D$333,TALLY!A16)</f>
        <v>0</v>
      </c>
      <c r="S16" s="25">
        <f>COUNTIF(TT!$D$342:$D$352,TALLY!A16)</f>
        <v>0</v>
      </c>
      <c r="T16" s="25">
        <f>COUNTIF(TT!$D$359:$D$376,TALLY!A16)</f>
        <v>0</v>
      </c>
      <c r="U16" s="25">
        <f>COUNTIF(TT!$D$383:$D$398,TALLY!A16)</f>
        <v>1</v>
      </c>
      <c r="V16" s="25">
        <f>COUNTIF(TT!$D$405:$D$424,TALLY!A16)</f>
        <v>0</v>
      </c>
      <c r="W16" s="23">
        <f>COUNTIF(TT!$D$432:$D$442,TALLY!A16)</f>
        <v>1</v>
      </c>
      <c r="X16" s="23">
        <f>COUNTIF(TT!$D$449:$D$460,TALLY!A16)</f>
        <v>0</v>
      </c>
      <c r="Y16" s="23">
        <f>COUNTIF(TT!$D$467:$D$476,TALLY!A16)</f>
        <v>0</v>
      </c>
      <c r="Z16" s="23">
        <f>COUNTIF(TT!$D$483:$D$500,TALLY!A16)</f>
        <v>0</v>
      </c>
      <c r="AA16" s="23">
        <f>COUNTIF(TT!$D$507:$D$522,TALLY!A16)</f>
        <v>0</v>
      </c>
      <c r="AB16" s="23">
        <f>COUNTIF(TT!$D$529:$D$540,TALLY!A16)</f>
        <v>0</v>
      </c>
      <c r="AC16" s="23">
        <f>COUNTIF(TT!$D$546:$D$555,TALLY!A16)</f>
        <v>1</v>
      </c>
      <c r="AD16" s="25">
        <f>COUNTIF(TT!$D$563:$D$573,TALLY!A16)</f>
        <v>0</v>
      </c>
      <c r="AE16" s="25">
        <f>COUNTIF(TT!$D$582:$D$609,TALLY!A16)</f>
        <v>0</v>
      </c>
      <c r="AF16" s="25">
        <f>COUNTIF(TT!$D$615:$D$625,TALLY!A16)</f>
        <v>1</v>
      </c>
      <c r="AG16" s="25">
        <f>COUNTIF(TT!$D$635:$D$648,TALLY!A16)</f>
        <v>0</v>
      </c>
      <c r="AH16" s="25">
        <f>COUNTIF(TT!$D$655:$D$668,TALLY!A16)</f>
        <v>0</v>
      </c>
      <c r="AI16" s="25">
        <f>COUNTIF(TT!$D$675:$D$687,TALLY!A16)</f>
        <v>0</v>
      </c>
      <c r="AJ16" s="25"/>
      <c r="AK16" s="24" t="s">
        <v>176</v>
      </c>
      <c r="AL16" s="23">
        <f t="shared" si="0"/>
        <v>1</v>
      </c>
      <c r="AM16" s="23">
        <f t="shared" si="1"/>
        <v>1</v>
      </c>
      <c r="AN16" s="23">
        <f t="shared" si="2"/>
        <v>1</v>
      </c>
      <c r="AO16" s="23">
        <f t="shared" si="3"/>
        <v>1</v>
      </c>
      <c r="AP16" s="23">
        <f t="shared" si="4"/>
        <v>1</v>
      </c>
      <c r="AQ16">
        <f t="shared" si="5"/>
        <v>5</v>
      </c>
    </row>
    <row r="17" spans="1:43" x14ac:dyDescent="0.35">
      <c r="A17" s="24" t="s">
        <v>18</v>
      </c>
      <c r="B17" s="25">
        <f>COUNTIF(TT!$D$4:$D$25,TALLY!A17)</f>
        <v>0</v>
      </c>
      <c r="C17" s="25">
        <f>COUNTIF(TT!$D$33:$D$50,TALLY!A17)</f>
        <v>0</v>
      </c>
      <c r="D17" s="25">
        <f>COUNTIF(TT!$D$57:$D$75,TALLY!A17)</f>
        <v>1</v>
      </c>
      <c r="E17" s="25">
        <f>COUNTIF(TT!$D$82:$D$95,TALLY!A17)</f>
        <v>0</v>
      </c>
      <c r="F17" s="25">
        <f>COUNTIF(TT!$D$103:$D$112,TALLY!A17)</f>
        <v>0</v>
      </c>
      <c r="G17" s="25">
        <f>COUNTIF(TT!$D$120:$D$130,TALLY!A17)</f>
        <v>0</v>
      </c>
      <c r="H17" s="25">
        <f>COUNTIF(TT!$D$138:$D$153,TALLY!A17)</f>
        <v>1</v>
      </c>
      <c r="I17" s="23">
        <f>COUNTIF(TT!$D$160:$D$170,TALLY!A17)</f>
        <v>0</v>
      </c>
      <c r="J17" s="23">
        <f>COUNTIF(TT!$D$177:$D$187,TALLY!A17)</f>
        <v>0</v>
      </c>
      <c r="K17" s="23">
        <f>COUNTIF(TT!$D$194:$D$206,TALLY!A17)</f>
        <v>0</v>
      </c>
      <c r="L17" s="23">
        <f>COUNTIF(TT!$D$215:$D$226,TALLY!A17)</f>
        <v>0</v>
      </c>
      <c r="M17" s="23">
        <f>COUNTIF(TT!$D$234:$D$243,TALLY!A17)</f>
        <v>0</v>
      </c>
      <c r="N17" s="23">
        <f>COUNTIF(TT!$D$250:$D$262,TALLY!A17)</f>
        <v>1</v>
      </c>
      <c r="O17" s="23">
        <f>COUNTIF(TT!$D$270:$D$277,TALLY!A17)</f>
        <v>0</v>
      </c>
      <c r="P17" s="25">
        <f>COUNTIF(TT!$D$284:$D$293,TALLY!A17)</f>
        <v>1</v>
      </c>
      <c r="Q17" s="25">
        <f>COUNTIF(TT!$D$300:$D$313,TALLY!A17)</f>
        <v>0</v>
      </c>
      <c r="R17" s="25">
        <f>COUNTIF(TT!$D$320:$D$333,TALLY!A17)</f>
        <v>0</v>
      </c>
      <c r="S17" s="25">
        <f>COUNTIF(TT!$D$342:$D$352,TALLY!A17)</f>
        <v>0</v>
      </c>
      <c r="T17" s="25">
        <f>COUNTIF(TT!$D$359:$D$376,TALLY!A17)</f>
        <v>1</v>
      </c>
      <c r="U17" s="25">
        <f>COUNTIF(TT!$D$383:$D$398,TALLY!A17)</f>
        <v>0</v>
      </c>
      <c r="V17" s="25">
        <f>COUNTIF(TT!$D$405:$D$424,TALLY!A17)</f>
        <v>0</v>
      </c>
      <c r="W17" s="23">
        <f>COUNTIF(TT!$D$432:$D$442,TALLY!A17)</f>
        <v>1</v>
      </c>
      <c r="X17" s="23">
        <f>COUNTIF(TT!$D$449:$D$460,TALLY!A17)</f>
        <v>0</v>
      </c>
      <c r="Y17" s="23">
        <f>COUNTIF(TT!$D$467:$D$476,TALLY!A17)</f>
        <v>1</v>
      </c>
      <c r="Z17" s="23">
        <f>COUNTIF(TT!$D$483:$D$500,TALLY!A17)</f>
        <v>0</v>
      </c>
      <c r="AA17" s="23">
        <f>COUNTIF(TT!$D$507:$D$522,TALLY!A17)</f>
        <v>0</v>
      </c>
      <c r="AB17" s="23">
        <f>COUNTIF(TT!$D$529:$D$540,TALLY!A17)</f>
        <v>0</v>
      </c>
      <c r="AC17" s="23">
        <f>COUNTIF(TT!$D$546:$D$555,TALLY!A17)</f>
        <v>0</v>
      </c>
      <c r="AD17" s="25">
        <f>COUNTIF(TT!$D$563:$D$573,TALLY!A17)</f>
        <v>0</v>
      </c>
      <c r="AE17" s="25">
        <f>COUNTIF(TT!$D$582:$D$609,TALLY!A17)</f>
        <v>1</v>
      </c>
      <c r="AF17" s="25">
        <f>COUNTIF(TT!$D$615:$D$625,TALLY!A17)</f>
        <v>0</v>
      </c>
      <c r="AG17" s="25">
        <f>COUNTIF(TT!$D$635:$D$648,TALLY!A17)</f>
        <v>0</v>
      </c>
      <c r="AH17" s="25">
        <f>COUNTIF(TT!$D$655:$D$668,TALLY!A17)</f>
        <v>0</v>
      </c>
      <c r="AI17" s="25">
        <f>COUNTIF(TT!$D$675:$D$687,TALLY!A17)</f>
        <v>0</v>
      </c>
      <c r="AJ17" s="25"/>
      <c r="AK17" s="24" t="s">
        <v>18</v>
      </c>
      <c r="AL17" s="23">
        <f t="shared" si="0"/>
        <v>2</v>
      </c>
      <c r="AM17" s="23">
        <f t="shared" si="1"/>
        <v>1</v>
      </c>
      <c r="AN17" s="23">
        <f t="shared" si="2"/>
        <v>2</v>
      </c>
      <c r="AO17" s="23">
        <f t="shared" si="3"/>
        <v>2</v>
      </c>
      <c r="AP17" s="23">
        <f t="shared" si="4"/>
        <v>1</v>
      </c>
      <c r="AQ17">
        <f t="shared" si="5"/>
        <v>8</v>
      </c>
    </row>
    <row r="18" spans="1:43" x14ac:dyDescent="0.35">
      <c r="A18" s="24" t="s">
        <v>177</v>
      </c>
      <c r="B18" s="25">
        <f>COUNTIF(TT!$D$4:$D$25,TALLY!A18)</f>
        <v>0</v>
      </c>
      <c r="C18" s="25">
        <f>COUNTIF(TT!$D$33:$D$50,TALLY!A18)</f>
        <v>0</v>
      </c>
      <c r="D18" s="25">
        <f>COUNTIF(TT!$D$57:$D$75,TALLY!A18)</f>
        <v>1</v>
      </c>
      <c r="E18" s="25">
        <f>COUNTIF(TT!$D$82:$D$95,TALLY!A18)</f>
        <v>0</v>
      </c>
      <c r="F18" s="25">
        <f>COUNTIF(TT!$D$103:$D$112,TALLY!A18)</f>
        <v>0</v>
      </c>
      <c r="G18" s="25">
        <f>COUNTIF(TT!$D$120:$D$130,TALLY!A18)</f>
        <v>0</v>
      </c>
      <c r="H18" s="25">
        <f>COUNTIF(TT!$D$138:$D$153,TALLY!A18)</f>
        <v>1</v>
      </c>
      <c r="I18" s="23">
        <f>COUNTIF(TT!$D$160:$D$170,TALLY!A18)</f>
        <v>0</v>
      </c>
      <c r="J18" s="23">
        <f>COUNTIF(TT!$D$177:$D$187,TALLY!A18)</f>
        <v>0</v>
      </c>
      <c r="K18" s="23">
        <f>COUNTIF(TT!$D$194:$D$206,TALLY!A18)</f>
        <v>0</v>
      </c>
      <c r="L18" s="23">
        <f>COUNTIF(TT!$D$215:$D$226,TALLY!A18)</f>
        <v>0</v>
      </c>
      <c r="M18" s="23">
        <f>COUNTIF(TT!$D$234:$D$243,TALLY!A18)</f>
        <v>0</v>
      </c>
      <c r="N18" s="23">
        <f>COUNTIF(TT!$D$250:$D$262,TALLY!A18)</f>
        <v>0</v>
      </c>
      <c r="O18" s="23">
        <f>COUNTIF(TT!$D$270:$D$277,TALLY!A18)</f>
        <v>0</v>
      </c>
      <c r="P18" s="25">
        <f>COUNTIF(TT!$D$284:$D$293,TALLY!A18)</f>
        <v>0</v>
      </c>
      <c r="Q18" s="25">
        <f>COUNTIF(TT!$D$300:$D$313,TALLY!A18)</f>
        <v>0</v>
      </c>
      <c r="R18" s="25">
        <f>COUNTIF(TT!$D$320:$D$333,TALLY!A18)</f>
        <v>0</v>
      </c>
      <c r="S18" s="25">
        <f>COUNTIF(TT!$D$342:$D$352,TALLY!A18)</f>
        <v>0</v>
      </c>
      <c r="T18" s="25">
        <f>COUNTIF(TT!$D$359:$D$376,TALLY!A18)</f>
        <v>1</v>
      </c>
      <c r="U18" s="25">
        <f>COUNTIF(TT!$D$383:$D$398,TALLY!A18)</f>
        <v>0</v>
      </c>
      <c r="V18" s="25">
        <f>COUNTIF(TT!$D$405:$D$424,TALLY!A18)</f>
        <v>0</v>
      </c>
      <c r="W18" s="23">
        <f>COUNTIF(TT!$D$432:$D$442,TALLY!A18)</f>
        <v>1</v>
      </c>
      <c r="X18" s="23">
        <f>COUNTIF(TT!$D$449:$D$460,TALLY!A18)</f>
        <v>0</v>
      </c>
      <c r="Y18" s="23">
        <f>COUNTIF(TT!$D$467:$D$476,TALLY!A18)</f>
        <v>0</v>
      </c>
      <c r="Z18" s="23">
        <f>COUNTIF(TT!$D$483:$D$500,TALLY!A18)</f>
        <v>0</v>
      </c>
      <c r="AA18" s="23">
        <f>COUNTIF(TT!$D$507:$D$522,TALLY!A18)</f>
        <v>0</v>
      </c>
      <c r="AB18" s="23">
        <f>COUNTIF(TT!$D$529:$D$540,TALLY!A18)</f>
        <v>0</v>
      </c>
      <c r="AC18" s="23">
        <f>COUNTIF(TT!$D$546:$D$555,TALLY!A18)</f>
        <v>1</v>
      </c>
      <c r="AD18" s="25">
        <f>COUNTIF(TT!$D$563:$D$573,TALLY!A18)</f>
        <v>0</v>
      </c>
      <c r="AE18" s="25">
        <f>COUNTIF(TT!$D$582:$D$609,TALLY!A18)</f>
        <v>1</v>
      </c>
      <c r="AF18" s="25">
        <f>COUNTIF(TT!$D$615:$D$625,TALLY!A18)</f>
        <v>0</v>
      </c>
      <c r="AG18" s="25">
        <f>COUNTIF(TT!$D$635:$D$648,TALLY!A18)</f>
        <v>0</v>
      </c>
      <c r="AH18" s="25">
        <f>COUNTIF(TT!$D$655:$D$668,TALLY!A18)</f>
        <v>0</v>
      </c>
      <c r="AI18" s="25">
        <f>COUNTIF(TT!$D$675:$D$687,TALLY!A18)</f>
        <v>0</v>
      </c>
      <c r="AJ18" s="25"/>
      <c r="AK18" s="24" t="s">
        <v>177</v>
      </c>
      <c r="AL18" s="23">
        <f t="shared" si="0"/>
        <v>2</v>
      </c>
      <c r="AM18" s="23">
        <f t="shared" si="1"/>
        <v>0</v>
      </c>
      <c r="AN18" s="23">
        <f t="shared" si="2"/>
        <v>1</v>
      </c>
      <c r="AO18" s="23">
        <f t="shared" si="3"/>
        <v>1</v>
      </c>
      <c r="AP18" s="23">
        <f t="shared" si="4"/>
        <v>1</v>
      </c>
      <c r="AQ18">
        <f t="shared" si="5"/>
        <v>5</v>
      </c>
    </row>
    <row r="19" spans="1:43" x14ac:dyDescent="0.35">
      <c r="A19" s="24" t="s">
        <v>58</v>
      </c>
      <c r="B19" s="25">
        <f>COUNTIF(TT!$D$4:$D$25,TALLY!A19)</f>
        <v>0</v>
      </c>
      <c r="C19" s="25">
        <f>COUNTIF(TT!$D$33:$D$50,TALLY!A19)</f>
        <v>1</v>
      </c>
      <c r="D19" s="25">
        <f>COUNTIF(TT!$D$57:$D$75,TALLY!A19)</f>
        <v>0</v>
      </c>
      <c r="E19" s="25">
        <f>COUNTIF(TT!$D$82:$D$95,TALLY!A19)</f>
        <v>0</v>
      </c>
      <c r="F19" s="25">
        <f>COUNTIF(TT!$D$103:$D$112,TALLY!A19)</f>
        <v>0</v>
      </c>
      <c r="G19" s="25">
        <f>COUNTIF(TT!$D$120:$D$130,TALLY!A19)</f>
        <v>0</v>
      </c>
      <c r="H19" s="25">
        <f>COUNTIF(TT!$D$138:$D$153,TALLY!A19)</f>
        <v>0</v>
      </c>
      <c r="I19" s="23">
        <f>COUNTIF(TT!$D$160:$D$170,TALLY!A19)</f>
        <v>0</v>
      </c>
      <c r="J19" s="23">
        <f>COUNTIF(TT!$D$177:$D$187,TALLY!A19)</f>
        <v>1</v>
      </c>
      <c r="K19" s="23">
        <f>COUNTIF(TT!$D$194:$D$206,TALLY!A19)</f>
        <v>0</v>
      </c>
      <c r="L19" s="23">
        <f>COUNTIF(TT!$D$215:$D$226,TALLY!A19)</f>
        <v>0</v>
      </c>
      <c r="M19" s="23">
        <f>COUNTIF(TT!$D$234:$D$243,TALLY!A19)</f>
        <v>0</v>
      </c>
      <c r="N19" s="23">
        <f>COUNTIF(TT!$D$250:$D$262,TALLY!A19)</f>
        <v>1</v>
      </c>
      <c r="O19" s="23">
        <f>COUNTIF(TT!$D$270:$D$277,TALLY!A19)</f>
        <v>0</v>
      </c>
      <c r="P19" s="25">
        <f>COUNTIF(TT!$D$284:$D$293,TALLY!A19)</f>
        <v>0</v>
      </c>
      <c r="Q19" s="25">
        <f>COUNTIF(TT!$D$300:$D$313,TALLY!A19)</f>
        <v>0</v>
      </c>
      <c r="R19" s="25">
        <f>COUNTIF(TT!$D$320:$D$333,TALLY!A19)</f>
        <v>0</v>
      </c>
      <c r="S19" s="25">
        <f>COUNTIF(TT!$D$342:$D$352,TALLY!A19)</f>
        <v>0</v>
      </c>
      <c r="T19" s="25">
        <f>COUNTIF(TT!$D$359:$D$376,TALLY!A19)</f>
        <v>0</v>
      </c>
      <c r="U19" s="25">
        <f>COUNTIF(TT!$D$383:$D$398,TALLY!A19)</f>
        <v>0</v>
      </c>
      <c r="V19" s="25">
        <f>COUNTIF(TT!$D$405:$D$424,TALLY!A19)</f>
        <v>1</v>
      </c>
      <c r="W19" s="23">
        <f>COUNTIF(TT!$D$432:$D$442,TALLY!A19)</f>
        <v>1</v>
      </c>
      <c r="X19" s="23">
        <f>COUNTIF(TT!$D$449:$D$460,TALLY!A19)</f>
        <v>0</v>
      </c>
      <c r="Y19" s="23">
        <f>COUNTIF(TT!$D$467:$D$476,TALLY!A19)</f>
        <v>0</v>
      </c>
      <c r="Z19" s="23">
        <f>COUNTIF(TT!$D$483:$D$500,TALLY!A19)</f>
        <v>1</v>
      </c>
      <c r="AA19" s="23">
        <f>COUNTIF(TT!$D$507:$D$522,TALLY!A19)</f>
        <v>0</v>
      </c>
      <c r="AB19" s="23">
        <f>COUNTIF(TT!$D$529:$D$540,TALLY!A19)</f>
        <v>0</v>
      </c>
      <c r="AC19" s="23">
        <f>COUNTIF(TT!$D$546:$D$555,TALLY!A19)</f>
        <v>0</v>
      </c>
      <c r="AD19" s="25">
        <f>COUNTIF(TT!$D$563:$D$573,TALLY!A19)</f>
        <v>0</v>
      </c>
      <c r="AE19" s="25">
        <f>COUNTIF(TT!$D$582:$D$609,TALLY!A19)</f>
        <v>0</v>
      </c>
      <c r="AF19" s="25">
        <f>COUNTIF(TT!$D$615:$D$626,TALLY!A19)</f>
        <v>0</v>
      </c>
      <c r="AG19" s="25">
        <f>COUNTIF(TT!$D$635:$D$648,TALLY!A19)</f>
        <v>1</v>
      </c>
      <c r="AH19" s="25">
        <f>COUNTIF(TT!$D$655:$D$668,TALLY!A19)</f>
        <v>0</v>
      </c>
      <c r="AI19" s="25">
        <f>COUNTIF(TT!$D$675:$D$687,TALLY!A19)</f>
        <v>0</v>
      </c>
      <c r="AJ19" s="25"/>
      <c r="AK19" s="24" t="s">
        <v>58</v>
      </c>
      <c r="AL19" s="23">
        <f t="shared" si="0"/>
        <v>1</v>
      </c>
      <c r="AM19" s="23">
        <f t="shared" si="1"/>
        <v>2</v>
      </c>
      <c r="AN19" s="23">
        <f t="shared" si="2"/>
        <v>1</v>
      </c>
      <c r="AO19" s="23">
        <f t="shared" si="3"/>
        <v>2</v>
      </c>
      <c r="AP19" s="23">
        <f t="shared" si="4"/>
        <v>1</v>
      </c>
      <c r="AQ19">
        <f t="shared" si="5"/>
        <v>7</v>
      </c>
    </row>
    <row r="20" spans="1:43" x14ac:dyDescent="0.35">
      <c r="A20" s="24" t="s">
        <v>98</v>
      </c>
      <c r="B20" s="25">
        <f>COUNTIF(TT!$D$4:$D$25,TALLY!A20)</f>
        <v>0</v>
      </c>
      <c r="C20" s="25">
        <f>COUNTIF(TT!$D$33:$D$50,TALLY!A20)</f>
        <v>0</v>
      </c>
      <c r="D20" s="25">
        <f>COUNTIF(TT!$D$57:$D$75,TALLY!A20)</f>
        <v>1</v>
      </c>
      <c r="E20" s="25">
        <f>COUNTIF(TT!$D$82:$D$95,TALLY!A20)</f>
        <v>0</v>
      </c>
      <c r="F20" s="25">
        <f>COUNTIF(TT!$D$103:$D$112,TALLY!A20)</f>
        <v>0</v>
      </c>
      <c r="G20" s="25">
        <f>COUNTIF(TT!$D$120:$D$130,TALLY!A20)</f>
        <v>0</v>
      </c>
      <c r="H20" s="25">
        <f>COUNTIF(TT!$D$138:$D$153,TALLY!A20)</f>
        <v>0</v>
      </c>
      <c r="I20" s="23">
        <f>COUNTIF(TT!$D$160:$D$170,TALLY!A20)</f>
        <v>0</v>
      </c>
      <c r="J20" s="23">
        <f>COUNTIF(TT!$D$177:$D$187,TALLY!A20)</f>
        <v>1</v>
      </c>
      <c r="K20" s="23">
        <f>COUNTIF(TT!$D$194:$D$206,TALLY!A20)</f>
        <v>0</v>
      </c>
      <c r="L20" s="23">
        <f>COUNTIF(TT!$D$215:$D$226,TALLY!A20)</f>
        <v>0</v>
      </c>
      <c r="M20" s="23">
        <f>COUNTIF(TT!$D$234:$D$243,TALLY!A20)</f>
        <v>0</v>
      </c>
      <c r="N20" s="23">
        <f>COUNTIF(TT!$D$250:$D$262,TALLY!A20)</f>
        <v>0</v>
      </c>
      <c r="O20" s="23">
        <f>COUNTIF(TT!$D$270:$D$277,TALLY!A20)</f>
        <v>0</v>
      </c>
      <c r="P20" s="25">
        <f>COUNTIF(TT!$D$284:$D$293,TALLY!A20)</f>
        <v>0</v>
      </c>
      <c r="Q20" s="25">
        <f>COUNTIF(TT!$D$300:$D$313,TALLY!A20)</f>
        <v>1</v>
      </c>
      <c r="R20" s="25">
        <f>COUNTIF(TT!$D$320:$D$333,TALLY!A20)</f>
        <v>0</v>
      </c>
      <c r="S20" s="25">
        <f>COUNTIF(TT!$D$342:$D$352,TALLY!A20)</f>
        <v>0</v>
      </c>
      <c r="T20" s="25">
        <f>COUNTIF(TT!$D$359:$D$376,TALLY!A20)</f>
        <v>0</v>
      </c>
      <c r="U20" s="25">
        <f>COUNTIF(TT!$D$383:$D$398,TALLY!A20)</f>
        <v>0</v>
      </c>
      <c r="V20" s="25">
        <f>COUNTIF(TT!$D$405:$D$424,TALLY!A20)</f>
        <v>1</v>
      </c>
      <c r="W20" s="23">
        <f>COUNTIF(TT!$D$432:$D$442,TALLY!A20)</f>
        <v>0</v>
      </c>
      <c r="X20" s="23">
        <f>COUNTIF(TT!$D$449:$D$460,TALLY!A20)</f>
        <v>0</v>
      </c>
      <c r="Y20" s="23">
        <f>COUNTIF(TT!$D$467:$D$476,TALLY!A20)</f>
        <v>0</v>
      </c>
      <c r="Z20" s="23">
        <f>COUNTIF(TT!$D$483:$D$500,TALLY!A20)</f>
        <v>1</v>
      </c>
      <c r="AA20" s="23">
        <f>COUNTIF(TT!$D$507:$D$522,TALLY!A20)</f>
        <v>0</v>
      </c>
      <c r="AB20" s="23">
        <f>COUNTIF(TT!$D$529:$D$540,TALLY!A20)</f>
        <v>0</v>
      </c>
      <c r="AC20" s="23">
        <f>COUNTIF(TT!$D$546:$D$555,TALLY!A20)</f>
        <v>0</v>
      </c>
      <c r="AD20" s="25">
        <f>COUNTIF(TT!$D$563:$D$573,TALLY!A20)</f>
        <v>1</v>
      </c>
      <c r="AE20" s="25">
        <f>COUNTIF(TT!$D$582:$D$609,TALLY!A20)</f>
        <v>0</v>
      </c>
      <c r="AF20" s="25">
        <f>COUNTIF(TT!$D$615:$D$626,TALLY!A20)</f>
        <v>0</v>
      </c>
      <c r="AG20" s="25">
        <f>COUNTIF(TT!$D$635:$D$648,TALLY!A20)</f>
        <v>0</v>
      </c>
      <c r="AH20" s="25">
        <f>COUNTIF(TT!$D$655:$D$668,TALLY!A20)</f>
        <v>0</v>
      </c>
      <c r="AI20" s="25">
        <f>COUNTIF(TT!$D$675:$D$687,TALLY!A20)</f>
        <v>0</v>
      </c>
      <c r="AJ20" s="25"/>
      <c r="AK20" s="24" t="s">
        <v>98</v>
      </c>
      <c r="AL20" s="23">
        <f t="shared" si="0"/>
        <v>1</v>
      </c>
      <c r="AM20" s="23">
        <f t="shared" si="1"/>
        <v>1</v>
      </c>
      <c r="AN20" s="23">
        <f t="shared" si="2"/>
        <v>2</v>
      </c>
      <c r="AO20" s="23">
        <f t="shared" si="3"/>
        <v>1</v>
      </c>
      <c r="AP20" s="23">
        <f t="shared" si="4"/>
        <v>1</v>
      </c>
      <c r="AQ20">
        <f t="shared" si="5"/>
        <v>6</v>
      </c>
    </row>
    <row r="21" spans="1:43" x14ac:dyDescent="0.35">
      <c r="A21" s="24" t="s">
        <v>168</v>
      </c>
      <c r="B21" s="25">
        <f>COUNTIF(TT!$D$4:$D$25,TALLY!A21)</f>
        <v>0</v>
      </c>
      <c r="C21" s="25">
        <f>COUNTIF(TT!$D$33:$D$50,TALLY!A21)</f>
        <v>0</v>
      </c>
      <c r="D21" s="25">
        <f>COUNTIF(TT!$D$57:$D$75,TALLY!A21)</f>
        <v>1</v>
      </c>
      <c r="E21" s="25">
        <f>COUNTIF(TT!$D$82:$D$95,TALLY!A21)</f>
        <v>0</v>
      </c>
      <c r="F21" s="25">
        <f>COUNTIF(TT!$D$103:$D$112,TALLY!A21)</f>
        <v>0</v>
      </c>
      <c r="G21" s="25">
        <f>COUNTIF(TT!$D$120:$D$130,TALLY!A21)</f>
        <v>1</v>
      </c>
      <c r="H21" s="25">
        <f>COUNTIF(TT!$D$138:$D$153,TALLY!A21)</f>
        <v>0</v>
      </c>
      <c r="I21" s="23">
        <f>COUNTIF(TT!$D$160:$D$170,TALLY!A21)</f>
        <v>0</v>
      </c>
      <c r="J21" s="23">
        <f>COUNTIF(TT!$D$177:$D$187,TALLY!A21)</f>
        <v>1</v>
      </c>
      <c r="K21" s="23">
        <f>COUNTIF(TT!$D$194:$D$206,TALLY!A21)</f>
        <v>0</v>
      </c>
      <c r="L21" s="23">
        <f>COUNTIF(TT!$D$215:$D$226,TALLY!A21)</f>
        <v>0</v>
      </c>
      <c r="M21" s="23">
        <f>COUNTIF(TT!$D$234:$D$243,TALLY!A21)</f>
        <v>1</v>
      </c>
      <c r="N21" s="23">
        <f>COUNTIF(TT!$D$250:$D$262,TALLY!A21)</f>
        <v>0</v>
      </c>
      <c r="O21" s="23">
        <f>COUNTIF(TT!$D$270:$D$277,TALLY!A21)</f>
        <v>0</v>
      </c>
      <c r="P21" s="25">
        <f>COUNTIF(TT!$D$284:$D$293,TALLY!A21)</f>
        <v>1</v>
      </c>
      <c r="Q21" s="25">
        <f>COUNTIF(TT!$D$300:$D$313,TALLY!A21)</f>
        <v>0</v>
      </c>
      <c r="R21" s="25">
        <f>COUNTIF(TT!$D$320:$D$333,TALLY!A21)</f>
        <v>0</v>
      </c>
      <c r="S21" s="25">
        <f>COUNTIF(TT!$D$342:$D$352,TALLY!A21)</f>
        <v>1</v>
      </c>
      <c r="T21" s="25">
        <f>COUNTIF(TT!$D$359:$D$376,TALLY!A21)</f>
        <v>0</v>
      </c>
      <c r="U21" s="25">
        <f>COUNTIF(TT!$D$383:$D$398,TALLY!A21)</f>
        <v>0</v>
      </c>
      <c r="V21" s="25">
        <f>COUNTIF(TT!$D$405:$D$424,TALLY!A21)</f>
        <v>0</v>
      </c>
      <c r="W21" s="23">
        <f>COUNTIF(TT!$D$432:$D$442,TALLY!A21)</f>
        <v>0</v>
      </c>
      <c r="X21" s="23">
        <f>COUNTIF(TT!$D$449:$D$460,TALLY!A21)</f>
        <v>0</v>
      </c>
      <c r="Y21" s="23">
        <f>COUNTIF(TT!$D$467:$D$476,TALLY!A21)</f>
        <v>0</v>
      </c>
      <c r="Z21" s="23">
        <f>COUNTIF(TT!$D$483:$D$500,TALLY!A21)</f>
        <v>1</v>
      </c>
      <c r="AA21" s="23">
        <f>COUNTIF(TT!$D$507:$D$522,TALLY!A21)</f>
        <v>0</v>
      </c>
      <c r="AB21" s="23">
        <f>COUNTIF(TT!$D$529:$D$540,TALLY!A21)</f>
        <v>0</v>
      </c>
      <c r="AC21" s="23">
        <f>COUNTIF(TT!$D$546:$D$555,TALLY!A21)</f>
        <v>0</v>
      </c>
      <c r="AD21" s="25">
        <f>COUNTIF(TT!$D$563:$D$573,TALLY!A21)</f>
        <v>1</v>
      </c>
      <c r="AE21" s="25">
        <f>COUNTIF(TT!$D$582:$D$609,TALLY!A21)</f>
        <v>0</v>
      </c>
      <c r="AF21" s="25">
        <f>COUNTIF(TT!$D$615:$D$626,TALLY!A21)</f>
        <v>0</v>
      </c>
      <c r="AG21" s="25">
        <f>COUNTIF(TT!$D$635:$D$648,TALLY!A21)</f>
        <v>0</v>
      </c>
      <c r="AH21" s="25">
        <f>COUNTIF(TT!$D$655:$D$668,TALLY!A21)</f>
        <v>0</v>
      </c>
      <c r="AI21" s="25">
        <f>COUNTIF(TT!$D$675:$D$687,TALLY!A21)</f>
        <v>0</v>
      </c>
      <c r="AJ21" s="25"/>
      <c r="AK21" s="24" t="s">
        <v>168</v>
      </c>
      <c r="AL21" s="23">
        <f t="shared" si="0"/>
        <v>2</v>
      </c>
      <c r="AM21" s="23">
        <f t="shared" si="1"/>
        <v>2</v>
      </c>
      <c r="AN21" s="23">
        <f t="shared" si="2"/>
        <v>2</v>
      </c>
      <c r="AO21" s="23">
        <f t="shared" si="3"/>
        <v>1</v>
      </c>
      <c r="AP21" s="23">
        <f t="shared" si="4"/>
        <v>1</v>
      </c>
      <c r="AQ21">
        <f t="shared" si="5"/>
        <v>8</v>
      </c>
    </row>
    <row r="22" spans="1:43" x14ac:dyDescent="0.35">
      <c r="A22" s="24" t="s">
        <v>51</v>
      </c>
      <c r="B22" s="25">
        <f>COUNTIF(TT!$D$4:$D$25,TALLY!A22)</f>
        <v>1</v>
      </c>
      <c r="C22" s="25">
        <f>COUNTIF(TT!$D$33:$D$50,TALLY!A22)</f>
        <v>0</v>
      </c>
      <c r="D22" s="25">
        <f>COUNTIF(TT!$D$57:$D$75,TALLY!A22)</f>
        <v>0</v>
      </c>
      <c r="E22" s="25">
        <f>COUNTIF(TT!$D$82:$D$95,TALLY!A22)</f>
        <v>0</v>
      </c>
      <c r="F22" s="25">
        <f>COUNTIF(TT!$D$103:$D$112,TALLY!A22)</f>
        <v>1</v>
      </c>
      <c r="G22" s="25">
        <f>COUNTIF(TT!$D$120:$D$130,TALLY!A22)</f>
        <v>0</v>
      </c>
      <c r="H22" s="25">
        <f>COUNTIF(TT!$D$138:$D$153,TALLY!A22)</f>
        <v>0</v>
      </c>
      <c r="I22" s="23">
        <f>COUNTIF(TT!$D$160:$D$170,TALLY!A22)</f>
        <v>0</v>
      </c>
      <c r="J22" s="23">
        <f>COUNTIF(TT!$D$177:$D$187,TALLY!A22)</f>
        <v>0</v>
      </c>
      <c r="K22" s="23">
        <f>COUNTIF(TT!$D$194:$D$206,TALLY!A22)</f>
        <v>0</v>
      </c>
      <c r="L22" s="23">
        <f>COUNTIF(TT!$D$215:$D$226,TALLY!A22)</f>
        <v>0</v>
      </c>
      <c r="M22" s="23">
        <f>COUNTIF(TT!$D$234:$D$243,TALLY!A22)</f>
        <v>0</v>
      </c>
      <c r="N22" s="23">
        <f>COUNTIF(TT!$D$250:$D$262,TALLY!A22)</f>
        <v>0</v>
      </c>
      <c r="O22" s="23">
        <f>COUNTIF(TT!$D$270:$D$277,TALLY!A22)</f>
        <v>0</v>
      </c>
      <c r="P22" s="25">
        <f>COUNTIF(TT!$D$284:$D$293,TALLY!A22)</f>
        <v>0</v>
      </c>
      <c r="Q22" s="25">
        <f>COUNTIF(TT!$D$300:$D$313,TALLY!A22)</f>
        <v>1</v>
      </c>
      <c r="R22" s="25">
        <f>COUNTIF(TT!$D$320:$D$333,TALLY!A22)</f>
        <v>0</v>
      </c>
      <c r="S22" s="25">
        <f>COUNTIF(TT!$D$342:$D$352,TALLY!A22)</f>
        <v>0</v>
      </c>
      <c r="T22" s="25">
        <f>COUNTIF(TT!$D$359:$D$376,TALLY!A22)</f>
        <v>0</v>
      </c>
      <c r="U22" s="25">
        <f>COUNTIF(TT!$D$383:$D$398,TALLY!A22)</f>
        <v>0</v>
      </c>
      <c r="V22" s="25">
        <f>COUNTIF(TT!$D$405:$D$424,TALLY!A22)</f>
        <v>0</v>
      </c>
      <c r="W22" s="23">
        <f>COUNTIF(TT!$D$432:$D$442,TALLY!A22)</f>
        <v>0</v>
      </c>
      <c r="X22" s="23">
        <f>COUNTIF(TT!$D$449:$D$460,TALLY!A22)</f>
        <v>0</v>
      </c>
      <c r="Y22" s="23">
        <f>COUNTIF(TT!$D$467:$D$476,TALLY!A22)</f>
        <v>1</v>
      </c>
      <c r="Z22" s="23">
        <f>COUNTIF(TT!$D$483:$D$500,TALLY!A22)</f>
        <v>0</v>
      </c>
      <c r="AA22" s="23">
        <f>COUNTIF(TT!$D$507:$D$522,TALLY!A22)</f>
        <v>0</v>
      </c>
      <c r="AB22" s="23">
        <f>COUNTIF(TT!$D$529:$D$540,TALLY!A22)</f>
        <v>0</v>
      </c>
      <c r="AC22" s="23">
        <f>COUNTIF(TT!$D$546:$D$555,TALLY!A22)</f>
        <v>0</v>
      </c>
      <c r="AD22" s="25">
        <f>COUNTIF(TT!$D$563:$D$573,TALLY!A22)</f>
        <v>1</v>
      </c>
      <c r="AE22" s="25">
        <f>COUNTIF(TT!$D$582:$D$609,TALLY!A22)</f>
        <v>1</v>
      </c>
      <c r="AF22" s="25">
        <f>COUNTIF(TT!$D$615:$D$626,TALLY!A22)</f>
        <v>0</v>
      </c>
      <c r="AG22" s="25">
        <f>COUNTIF(TT!$D$635:$D$648,TALLY!A22)</f>
        <v>0</v>
      </c>
      <c r="AH22" s="25">
        <f>COUNTIF(TT!$D$655:$D$668,TALLY!A22)</f>
        <v>0</v>
      </c>
      <c r="AI22" s="25">
        <f>COUNTIF(TT!$D$675:$D$687,TALLY!A22)</f>
        <v>0</v>
      </c>
      <c r="AJ22" s="25"/>
      <c r="AK22" s="24" t="s">
        <v>51</v>
      </c>
      <c r="AL22" s="23">
        <f t="shared" si="0"/>
        <v>2</v>
      </c>
      <c r="AM22" s="23">
        <f t="shared" si="1"/>
        <v>0</v>
      </c>
      <c r="AN22" s="23">
        <f t="shared" si="2"/>
        <v>1</v>
      </c>
      <c r="AO22" s="23">
        <f t="shared" si="3"/>
        <v>1</v>
      </c>
      <c r="AP22" s="23">
        <f t="shared" si="4"/>
        <v>2</v>
      </c>
      <c r="AQ22">
        <f t="shared" si="5"/>
        <v>6</v>
      </c>
    </row>
    <row r="23" spans="1:43" x14ac:dyDescent="0.35">
      <c r="A23" s="24" t="s">
        <v>13</v>
      </c>
      <c r="B23" s="25">
        <f>COUNTIF(TT!$D$4:$D$25,TALLY!A23)</f>
        <v>0</v>
      </c>
      <c r="C23" s="25">
        <f>COUNTIF(TT!$D$33:$D$50,TALLY!A23)</f>
        <v>1</v>
      </c>
      <c r="D23" s="25">
        <f>COUNTIF(TT!$D$57:$D$75,TALLY!A23)</f>
        <v>0</v>
      </c>
      <c r="E23" s="25">
        <f>COUNTIF(TT!$D$82:$D$95,TALLY!A23)</f>
        <v>0</v>
      </c>
      <c r="F23" s="25">
        <f>COUNTIF(TT!$D$103:$D$112,TALLY!A23)</f>
        <v>0</v>
      </c>
      <c r="G23" s="25">
        <f>COUNTIF(TT!$D$120:$D$130,TALLY!A23)</f>
        <v>0</v>
      </c>
      <c r="H23" s="25">
        <f>COUNTIF(TT!$D$138:$D$153,TALLY!A23)</f>
        <v>0</v>
      </c>
      <c r="I23" s="23">
        <f>COUNTIF(TT!$D$160:$D$170,TALLY!A23)</f>
        <v>1</v>
      </c>
      <c r="J23" s="23">
        <f>COUNTIF(TT!$D$177:$D$187,TALLY!A23)</f>
        <v>0</v>
      </c>
      <c r="K23" s="23">
        <f>COUNTIF(TT!$D$194:$D$206,TALLY!A23)</f>
        <v>0</v>
      </c>
      <c r="L23" s="23">
        <f>COUNTIF(TT!$D$215:$D$226,TALLY!A23)</f>
        <v>0</v>
      </c>
      <c r="M23" s="23">
        <f>COUNTIF(TT!$D$234:$D$243,TALLY!A23)</f>
        <v>0</v>
      </c>
      <c r="N23" s="23">
        <f>COUNTIF(TT!$D$250:$D$262,TALLY!A23)</f>
        <v>0</v>
      </c>
      <c r="O23" s="23">
        <f>COUNTIF(TT!$D$270:$D$277,TALLY!A23)</f>
        <v>0</v>
      </c>
      <c r="P23" s="25">
        <f>COUNTIF(TT!$D$284:$D$293,TALLY!A23)</f>
        <v>0</v>
      </c>
      <c r="Q23" s="25">
        <f>COUNTIF(TT!$D$300:$D$313,TALLY!A23)</f>
        <v>1</v>
      </c>
      <c r="R23" s="25">
        <f>COUNTIF(TT!$D$320:$D$333,TALLY!A23)</f>
        <v>0</v>
      </c>
      <c r="S23" s="25">
        <f>COUNTIF(TT!$D$342:$D$352,TALLY!A23)</f>
        <v>0</v>
      </c>
      <c r="T23" s="25">
        <f>COUNTIF(TT!$D$359:$D$376,TALLY!A23)</f>
        <v>0</v>
      </c>
      <c r="U23" s="25">
        <f>COUNTIF(TT!$D$383:$D$398,TALLY!A23)</f>
        <v>0</v>
      </c>
      <c r="V23" s="25">
        <f>COUNTIF(TT!$D$405:$D$424,TALLY!A23)</f>
        <v>0</v>
      </c>
      <c r="W23" s="23">
        <f>COUNTIF(TT!$D$432:$D$442,TALLY!A23)</f>
        <v>0</v>
      </c>
      <c r="X23" s="23">
        <f>COUNTIF(TT!$D$449:$D$460,TALLY!A23)</f>
        <v>0</v>
      </c>
      <c r="Y23" s="23">
        <f>COUNTIF(TT!$D$467:$D$476,TALLY!A23)</f>
        <v>1</v>
      </c>
      <c r="Z23" s="23">
        <f>COUNTIF(TT!$D$483:$D$500,TALLY!A23)</f>
        <v>0</v>
      </c>
      <c r="AA23" s="23">
        <f>COUNTIF(TT!$D$507:$D$522,TALLY!A23)</f>
        <v>0</v>
      </c>
      <c r="AB23" s="23">
        <f>COUNTIF(TT!$D$529:$D$540,TALLY!A23)</f>
        <v>0</v>
      </c>
      <c r="AC23" s="23">
        <f>COUNTIF(TT!$D$546:$D$555,TALLY!A23)</f>
        <v>0</v>
      </c>
      <c r="AD23" s="25">
        <f>COUNTIF(TT!$D$563:$D$573,TALLY!A23)</f>
        <v>0</v>
      </c>
      <c r="AE23" s="25">
        <f>COUNTIF(TT!$D$582:$D$609,TALLY!A23)</f>
        <v>1</v>
      </c>
      <c r="AF23" s="25">
        <f>COUNTIF(TT!$D$615:$D$626,TALLY!A23)</f>
        <v>0</v>
      </c>
      <c r="AG23" s="25">
        <f>COUNTIF(TT!$D$635:$D$648,TALLY!A23)</f>
        <v>0</v>
      </c>
      <c r="AH23" s="25">
        <f>COUNTIF(TT!$D$655:$D$668,TALLY!A23)</f>
        <v>0</v>
      </c>
      <c r="AI23" s="25">
        <f>COUNTIF(TT!$D$675:$D$687,TALLY!A23)</f>
        <v>1</v>
      </c>
      <c r="AJ23" s="25"/>
      <c r="AK23" s="24" t="s">
        <v>13</v>
      </c>
      <c r="AL23" s="23">
        <f t="shared" si="0"/>
        <v>1</v>
      </c>
      <c r="AM23" s="23">
        <f t="shared" si="1"/>
        <v>1</v>
      </c>
      <c r="AN23" s="23">
        <f t="shared" si="2"/>
        <v>1</v>
      </c>
      <c r="AO23" s="23">
        <f t="shared" si="3"/>
        <v>1</v>
      </c>
      <c r="AP23" s="23">
        <f t="shared" si="4"/>
        <v>2</v>
      </c>
      <c r="AQ23">
        <f t="shared" si="5"/>
        <v>6</v>
      </c>
    </row>
    <row r="24" spans="1:43" x14ac:dyDescent="0.35">
      <c r="A24" s="24" t="s">
        <v>11</v>
      </c>
      <c r="B24" s="25">
        <f>COUNTIF(TT!$D$4:$D$25,TALLY!A24)</f>
        <v>0</v>
      </c>
      <c r="C24" s="25">
        <f>COUNTIF(TT!$D$33:$D$50,TALLY!A24)</f>
        <v>0</v>
      </c>
      <c r="D24" s="25">
        <f>COUNTIF(TT!$D$57:$D$75,TALLY!A24)</f>
        <v>0</v>
      </c>
      <c r="E24" s="25">
        <f>COUNTIF(TT!$D$82:$D$95,TALLY!A24)</f>
        <v>0</v>
      </c>
      <c r="F24" s="25">
        <f>COUNTIF(TT!$D$103:$D$112,TALLY!A24)</f>
        <v>0</v>
      </c>
      <c r="G24" s="25">
        <f>COUNTIF(TT!$D$120:$D$130,TALLY!A24)</f>
        <v>1</v>
      </c>
      <c r="H24" s="25">
        <f>COUNTIF(TT!$D$138:$D$153,TALLY!A24)</f>
        <v>0</v>
      </c>
      <c r="I24" s="23">
        <f>COUNTIF(TT!$D$160:$D$170,TALLY!A24)</f>
        <v>1</v>
      </c>
      <c r="J24" s="23">
        <f>COUNTIF(TT!$D$177:$D$187,TALLY!A24)</f>
        <v>0</v>
      </c>
      <c r="K24" s="23">
        <f>COUNTIF(TT!$D$194:$D$206,TALLY!A24)</f>
        <v>0</v>
      </c>
      <c r="L24" s="23">
        <f>COUNTIF(TT!$D$215:$D$226,TALLY!A24)</f>
        <v>0</v>
      </c>
      <c r="M24" s="23">
        <f>COUNTIF(TT!$D$234:$D$243,TALLY!A24)</f>
        <v>0</v>
      </c>
      <c r="N24" s="23">
        <f>COUNTIF(TT!$D$250:$D$262,TALLY!A24)</f>
        <v>0</v>
      </c>
      <c r="O24" s="23">
        <f>COUNTIF(TT!$D$270:$D$277,TALLY!A24)</f>
        <v>0</v>
      </c>
      <c r="P24" s="25">
        <f>COUNTIF(TT!$D$284:$D$293,TALLY!A24)</f>
        <v>0</v>
      </c>
      <c r="Q24" s="25">
        <f>COUNTIF(TT!$D$300:$D$313,TALLY!A24)</f>
        <v>0</v>
      </c>
      <c r="R24" s="25">
        <f>COUNTIF(TT!$D$320:$D$333,TALLY!A24)</f>
        <v>0</v>
      </c>
      <c r="S24" s="25">
        <f>COUNTIF(TT!$D$342:$D$352,TALLY!A24)</f>
        <v>0</v>
      </c>
      <c r="T24" s="25">
        <f>COUNTIF(TT!$D$359:$D$376,TALLY!A24)</f>
        <v>0</v>
      </c>
      <c r="U24" s="25">
        <f>COUNTIF(TT!$D$383:$D$398,TALLY!A24)</f>
        <v>1</v>
      </c>
      <c r="V24" s="25">
        <f>COUNTIF(TT!$D$405:$D$424,TALLY!A24)</f>
        <v>0</v>
      </c>
      <c r="W24" s="23">
        <f>COUNTIF(TT!$D$432:$D$442,TALLY!A24)</f>
        <v>0</v>
      </c>
      <c r="X24" s="23">
        <f>COUNTIF(TT!$D$449:$D$460,TALLY!A24)</f>
        <v>0</v>
      </c>
      <c r="Y24" s="23">
        <f>COUNTIF(TT!$D$467:$D$476,TALLY!A24)</f>
        <v>0</v>
      </c>
      <c r="Z24" s="23">
        <f>COUNTIF(TT!$D$483:$D$500,TALLY!A24)</f>
        <v>1</v>
      </c>
      <c r="AA24" s="23">
        <f>COUNTIF(TT!$D$507:$D$522,TALLY!A24)</f>
        <v>0</v>
      </c>
      <c r="AB24" s="23">
        <f>COUNTIF(TT!$D$529:$D$540,TALLY!A24)</f>
        <v>0</v>
      </c>
      <c r="AC24" s="23">
        <f>COUNTIF(TT!$D$546:$D$555,TALLY!A24)</f>
        <v>0</v>
      </c>
      <c r="AD24" s="25">
        <f>COUNTIF(TT!$D$563:$D$573,TALLY!A24)</f>
        <v>0</v>
      </c>
      <c r="AE24" s="25">
        <f>COUNTIF(TT!$D$582:$D$609,TALLY!A24)</f>
        <v>1</v>
      </c>
      <c r="AF24" s="25">
        <f>COUNTIF(TT!$D$615:$D$626,TALLY!A24)</f>
        <v>0</v>
      </c>
      <c r="AG24" s="25">
        <f>COUNTIF(TT!$D$635:$D$648,TALLY!A24)</f>
        <v>0</v>
      </c>
      <c r="AH24" s="25">
        <f>COUNTIF(TT!$D$655:$D$668,TALLY!A24)</f>
        <v>0</v>
      </c>
      <c r="AI24" s="25">
        <f>COUNTIF(TT!$D$675:$D$687,TALLY!A24)</f>
        <v>0</v>
      </c>
      <c r="AJ24" s="25"/>
      <c r="AK24" s="24" t="s">
        <v>11</v>
      </c>
      <c r="AL24" s="23">
        <f t="shared" si="0"/>
        <v>1</v>
      </c>
      <c r="AM24" s="23">
        <f t="shared" si="1"/>
        <v>1</v>
      </c>
      <c r="AN24" s="23">
        <f t="shared" si="2"/>
        <v>1</v>
      </c>
      <c r="AO24" s="23">
        <f t="shared" si="3"/>
        <v>1</v>
      </c>
      <c r="AP24" s="23">
        <f t="shared" si="4"/>
        <v>1</v>
      </c>
      <c r="AQ24">
        <f t="shared" si="5"/>
        <v>5</v>
      </c>
    </row>
    <row r="25" spans="1:43" x14ac:dyDescent="0.35">
      <c r="A25" s="24" t="s">
        <v>42</v>
      </c>
      <c r="B25" s="25">
        <f>COUNTIF(TT!$D$4:$D$25,TALLY!A25)</f>
        <v>0</v>
      </c>
      <c r="C25" s="25">
        <f>COUNTIF(TT!$D$33:$D$50,TALLY!A25)</f>
        <v>0</v>
      </c>
      <c r="D25" s="25">
        <f>COUNTIF(TT!$D$57:$D$75,TALLY!A25)</f>
        <v>1</v>
      </c>
      <c r="E25" s="25">
        <f>COUNTIF(TT!$D$82:$D$95,TALLY!A25)</f>
        <v>0</v>
      </c>
      <c r="F25" s="25">
        <f>COUNTIF(TT!$D$103:$D$112,TALLY!A25)</f>
        <v>0</v>
      </c>
      <c r="G25" s="25">
        <f>COUNTIF(TT!$D$120:$D$130,TALLY!A25)</f>
        <v>0</v>
      </c>
      <c r="H25" s="25">
        <f>COUNTIF(TT!$D$138:$D$153,TALLY!A25)</f>
        <v>0</v>
      </c>
      <c r="I25" s="23">
        <f>COUNTIF(TT!$D$160:$D$170,TALLY!A25)</f>
        <v>0</v>
      </c>
      <c r="J25" s="23">
        <f>COUNTIF(TT!$D$177:$D$187,TALLY!A25)</f>
        <v>0</v>
      </c>
      <c r="K25" s="23">
        <f>COUNTIF(TT!$D$194:$D$206,TALLY!A25)</f>
        <v>1</v>
      </c>
      <c r="L25" s="23">
        <f>COUNTIF(TT!$D$215:$D$226,TALLY!A25)</f>
        <v>0</v>
      </c>
      <c r="M25" s="23">
        <f>COUNTIF(TT!$D$234:$D$243,TALLY!A25)</f>
        <v>0</v>
      </c>
      <c r="N25" s="23">
        <f>COUNTIF(TT!$D$250:$D$262,TALLY!A25)</f>
        <v>1</v>
      </c>
      <c r="O25" s="23">
        <f>COUNTIF(TT!$D$270:$D$277,TALLY!A25)</f>
        <v>0</v>
      </c>
      <c r="P25" s="25">
        <f>COUNTIF(TT!$D$284:$D$293,TALLY!A25)</f>
        <v>0</v>
      </c>
      <c r="Q25" s="25">
        <f>COUNTIF(TT!$D$300:$D$313,TALLY!A25)</f>
        <v>0</v>
      </c>
      <c r="R25" s="25">
        <f>COUNTIF(TT!$D$320:$D$333,TALLY!A25)</f>
        <v>0</v>
      </c>
      <c r="S25" s="25">
        <f>COUNTIF(TT!$D$342:$D$352,TALLY!A25)</f>
        <v>0</v>
      </c>
      <c r="T25" s="25">
        <f>COUNTIF(TT!$D$359:$D$376,TALLY!A25)</f>
        <v>1</v>
      </c>
      <c r="U25" s="25">
        <f>COUNTIF(TT!$D$383:$D$398,TALLY!A25)</f>
        <v>0</v>
      </c>
      <c r="V25" s="25">
        <f>COUNTIF(TT!$D$405:$D$424,TALLY!A25)</f>
        <v>0</v>
      </c>
      <c r="W25" s="23">
        <f>COUNTIF(TT!$D$432:$D$442,TALLY!A25)</f>
        <v>0</v>
      </c>
      <c r="X25" s="23">
        <f>COUNTIF(TT!$D$449:$D$460,TALLY!A25)</f>
        <v>1</v>
      </c>
      <c r="Y25" s="23">
        <f>COUNTIF(TT!$D$467:$D$476,TALLY!A25)</f>
        <v>0</v>
      </c>
      <c r="Z25" s="23">
        <f>COUNTIF(TT!$D$483:$D$500,TALLY!A25)</f>
        <v>0</v>
      </c>
      <c r="AA25" s="23">
        <f>COUNTIF(TT!$D$507:$D$522,TALLY!A25)</f>
        <v>0</v>
      </c>
      <c r="AB25" s="23">
        <f>COUNTIF(TT!$D$529:$D$540,TALLY!A25)</f>
        <v>0</v>
      </c>
      <c r="AC25" s="23">
        <f>COUNTIF(TT!$D$546:$D$555,TALLY!A25)</f>
        <v>0</v>
      </c>
      <c r="AD25" s="25">
        <f>COUNTIF(TT!$D$563:$D$573,TALLY!A25)</f>
        <v>0</v>
      </c>
      <c r="AE25" s="25">
        <f>COUNTIF(TT!$D$582:$D$609,TALLY!A25)</f>
        <v>1</v>
      </c>
      <c r="AF25" s="25">
        <f>COUNTIF(TT!$D$615:$D$626,TALLY!A25)</f>
        <v>0</v>
      </c>
      <c r="AG25" s="25">
        <f>COUNTIF(TT!$D$635:$D$648,TALLY!A25)</f>
        <v>0</v>
      </c>
      <c r="AH25" s="25">
        <f>COUNTIF(TT!$D$655:$D$668,TALLY!A25)</f>
        <v>1</v>
      </c>
      <c r="AI25" s="25">
        <f>COUNTIF(TT!$D$675:$D$687,TALLY!A25)</f>
        <v>0</v>
      </c>
      <c r="AJ25" s="25"/>
      <c r="AK25" s="24" t="s">
        <v>42</v>
      </c>
      <c r="AL25" s="23">
        <f t="shared" si="0"/>
        <v>1</v>
      </c>
      <c r="AM25" s="23">
        <f t="shared" si="1"/>
        <v>2</v>
      </c>
      <c r="AN25" s="23">
        <f t="shared" si="2"/>
        <v>1</v>
      </c>
      <c r="AO25" s="23">
        <f t="shared" si="3"/>
        <v>1</v>
      </c>
      <c r="AP25" s="23">
        <f t="shared" si="4"/>
        <v>2</v>
      </c>
      <c r="AQ25">
        <f t="shared" si="5"/>
        <v>7</v>
      </c>
    </row>
    <row r="26" spans="1:43" x14ac:dyDescent="0.35">
      <c r="A26" s="24" t="s">
        <v>64</v>
      </c>
      <c r="B26" s="25">
        <f>COUNTIF(TT!$D$4:$D$25,TALLY!A26)</f>
        <v>1</v>
      </c>
      <c r="C26" s="25">
        <f>COUNTIF(TT!$D$33:$D$50,TALLY!A26)</f>
        <v>0</v>
      </c>
      <c r="D26" s="25">
        <f>COUNTIF(TT!$D$57:$D$75,TALLY!A26)</f>
        <v>0</v>
      </c>
      <c r="E26" s="25">
        <f>COUNTIF(TT!$D$82:$D$95,TALLY!A26)</f>
        <v>1</v>
      </c>
      <c r="F26" s="25">
        <f>COUNTIF(TT!$D$103:$D$112,TALLY!A26)</f>
        <v>0</v>
      </c>
      <c r="G26" s="25">
        <f>COUNTIF(TT!$D$120:$D$130,TALLY!A26)</f>
        <v>0</v>
      </c>
      <c r="H26" s="25">
        <f>COUNTIF(TT!$D$138:$D$153,TALLY!A26)</f>
        <v>0</v>
      </c>
      <c r="I26" s="23">
        <f>COUNTIF(TT!$D$160:$D$170,TALLY!A26)</f>
        <v>0</v>
      </c>
      <c r="J26" s="23">
        <f>COUNTIF(TT!$D$177:$D$187,TALLY!A26)</f>
        <v>0</v>
      </c>
      <c r="K26" s="23">
        <f>COUNTIF(TT!$D$194:$D$206,TALLY!A26)</f>
        <v>0</v>
      </c>
      <c r="L26" s="23">
        <f>COUNTIF(TT!$D$215:$D$226,TALLY!A26)</f>
        <v>1</v>
      </c>
      <c r="M26" s="23">
        <f>COUNTIF(TT!$D$234:$D$243,TALLY!A26)</f>
        <v>0</v>
      </c>
      <c r="N26" s="23">
        <f>COUNTIF(TT!$D$250:$D$262,TALLY!A26)</f>
        <v>0</v>
      </c>
      <c r="O26" s="23">
        <f>COUNTIF(TT!$D$270:$D$277,TALLY!A26)</f>
        <v>0</v>
      </c>
      <c r="P26" s="25">
        <f>COUNTIF(TT!$D$284:$D$293,TALLY!A26)</f>
        <v>0</v>
      </c>
      <c r="Q26" s="25">
        <f>COUNTIF(TT!$D$300:$D$313,TALLY!A26)</f>
        <v>0</v>
      </c>
      <c r="R26" s="25">
        <f>COUNTIF(TT!$D$320:$D$333,TALLY!A26)</f>
        <v>0</v>
      </c>
      <c r="S26" s="25">
        <f>COUNTIF(TT!$D$342:$D$352,TALLY!A26)</f>
        <v>0</v>
      </c>
      <c r="T26" s="25">
        <f>COUNTIF(TT!$D$359:$D$376,TALLY!A26)</f>
        <v>1</v>
      </c>
      <c r="U26" s="25">
        <f>COUNTIF(TT!$D$383:$D$398,TALLY!A26)</f>
        <v>0</v>
      </c>
      <c r="V26" s="25">
        <f>COUNTIF(TT!$D$405:$D$424,TALLY!A26)</f>
        <v>0</v>
      </c>
      <c r="W26" s="23">
        <f>COUNTIF(TT!$D$432:$D$442,TALLY!A26)</f>
        <v>0</v>
      </c>
      <c r="X26" s="23">
        <f>COUNTIF(TT!$D$449:$D$460,TALLY!A26)</f>
        <v>0</v>
      </c>
      <c r="Y26" s="23">
        <f>COUNTIF(TT!$D$467:$D$476,TALLY!A26)</f>
        <v>1</v>
      </c>
      <c r="Z26" s="23">
        <f>COUNTIF(TT!$D$483:$D$500,TALLY!A26)</f>
        <v>0</v>
      </c>
      <c r="AA26" s="23">
        <f>COUNTIF(TT!$D$507:$D$522,TALLY!A26)</f>
        <v>0</v>
      </c>
      <c r="AB26" s="23">
        <f>COUNTIF(TT!$D$529:$D$540,TALLY!A26)</f>
        <v>0</v>
      </c>
      <c r="AC26" s="23">
        <f>COUNTIF(TT!$D$546:$D$555,TALLY!A26)</f>
        <v>1</v>
      </c>
      <c r="AD26" s="25">
        <f>COUNTIF(TT!$D$563:$D$573,TALLY!A26)</f>
        <v>0</v>
      </c>
      <c r="AE26" s="25">
        <f>COUNTIF(TT!$D$582:$D$609,TALLY!A26)</f>
        <v>1</v>
      </c>
      <c r="AF26" s="25">
        <f>COUNTIF(TT!$D$615:$D$626,TALLY!A26)</f>
        <v>0</v>
      </c>
      <c r="AG26" s="25">
        <f>COUNTIF(TT!$D$635:$D$648,TALLY!A26)</f>
        <v>1</v>
      </c>
      <c r="AH26" s="25">
        <f>COUNTIF(TT!$D$655:$D$668,TALLY!A26)</f>
        <v>0</v>
      </c>
      <c r="AI26" s="25">
        <f>COUNTIF(TT!$D$675:$D$687,TALLY!A26)</f>
        <v>0</v>
      </c>
      <c r="AJ26" s="25"/>
      <c r="AK26" s="24" t="s">
        <v>64</v>
      </c>
      <c r="AL26" s="23">
        <f t="shared" si="0"/>
        <v>2</v>
      </c>
      <c r="AM26" s="23">
        <f t="shared" si="1"/>
        <v>1</v>
      </c>
      <c r="AN26" s="23">
        <f t="shared" si="2"/>
        <v>1</v>
      </c>
      <c r="AO26" s="23">
        <f t="shared" si="3"/>
        <v>1</v>
      </c>
      <c r="AP26" s="23">
        <f t="shared" si="4"/>
        <v>2</v>
      </c>
      <c r="AQ26">
        <f t="shared" si="5"/>
        <v>7</v>
      </c>
    </row>
    <row r="27" spans="1:43" x14ac:dyDescent="0.35">
      <c r="A27" s="24" t="s">
        <v>71</v>
      </c>
      <c r="B27" s="25">
        <f>COUNTIF(TT!$D$4:$D$25,TALLY!A27)</f>
        <v>0</v>
      </c>
      <c r="C27" s="25">
        <f>COUNTIF(TT!$D$33:$D$50,TALLY!A27)</f>
        <v>1</v>
      </c>
      <c r="D27" s="25">
        <f>COUNTIF(TT!$D$57:$D$75,TALLY!A27)</f>
        <v>0</v>
      </c>
      <c r="E27" s="25">
        <f>COUNTIF(TT!$D$82:$D$95,TALLY!A27)</f>
        <v>0</v>
      </c>
      <c r="F27" s="25">
        <f>COUNTIF(TT!$D$103:$D$112,TALLY!A27)</f>
        <v>0</v>
      </c>
      <c r="G27" s="25">
        <f>COUNTIF(TT!$D$120:$D$130,TALLY!A27)</f>
        <v>0</v>
      </c>
      <c r="H27" s="25">
        <f>COUNTIF(TT!$D$138:$D$153,TALLY!A27)</f>
        <v>1</v>
      </c>
      <c r="I27" s="23">
        <f>COUNTIF(TT!$D$160:$D$170,TALLY!A27)</f>
        <v>0</v>
      </c>
      <c r="J27" s="23">
        <f>COUNTIF(TT!$D$177:$D$187,TALLY!A27)</f>
        <v>0</v>
      </c>
      <c r="K27" s="23">
        <f>COUNTIF(TT!$D$194:$D$206,TALLY!A27)</f>
        <v>0</v>
      </c>
      <c r="L27" s="23">
        <f>COUNTIF(TT!$D$215:$D$226,TALLY!A27)</f>
        <v>0</v>
      </c>
      <c r="M27" s="23">
        <f>COUNTIF(TT!$D$234:$D$243,TALLY!A27)</f>
        <v>1</v>
      </c>
      <c r="N27" s="23">
        <f>COUNTIF(TT!$D$250:$D$262,TALLY!A27)</f>
        <v>0</v>
      </c>
      <c r="O27" s="23">
        <f>COUNTIF(TT!$D$270:$D$277,TALLY!A27)</f>
        <v>0</v>
      </c>
      <c r="P27" s="25">
        <f>COUNTIF(TT!$D$284:$D$293,TALLY!A27)</f>
        <v>0</v>
      </c>
      <c r="Q27" s="25">
        <f>COUNTIF(TT!$D$300:$D$313,TALLY!A27)</f>
        <v>0</v>
      </c>
      <c r="R27" s="25">
        <f>COUNTIF(TT!$D$320:$D$333,TALLY!A27)</f>
        <v>0</v>
      </c>
      <c r="S27" s="25">
        <f>COUNTIF(TT!$D$342:$D$352,TALLY!A27)</f>
        <v>1</v>
      </c>
      <c r="T27" s="25">
        <f>COUNTIF(TT!$D$359:$D$376,TALLY!A27)</f>
        <v>0</v>
      </c>
      <c r="U27" s="25">
        <f>COUNTIF(TT!$D$383:$D$398,TALLY!A27)</f>
        <v>0</v>
      </c>
      <c r="V27" s="25">
        <f>COUNTIF(TT!$D$405:$D$424,TALLY!A27)</f>
        <v>1</v>
      </c>
      <c r="W27" s="23">
        <f>COUNTIF(TT!$D$432:$D$442,TALLY!A27)</f>
        <v>0</v>
      </c>
      <c r="X27" s="23">
        <f>COUNTIF(TT!$D$449:$D$460,TALLY!A27)</f>
        <v>0</v>
      </c>
      <c r="Y27" s="23">
        <f>COUNTIF(TT!$D$467:$D$476,TALLY!A27)</f>
        <v>1</v>
      </c>
      <c r="Z27" s="23">
        <f>COUNTIF(TT!$D$483:$D$500,TALLY!A27)</f>
        <v>0</v>
      </c>
      <c r="AA27" s="23">
        <f>COUNTIF(TT!$D$507:$D$522,TALLY!A27)</f>
        <v>0</v>
      </c>
      <c r="AB27" s="23">
        <f>COUNTIF(TT!$D$529:$D$540,TALLY!A27)</f>
        <v>0</v>
      </c>
      <c r="AC27" s="23">
        <f>COUNTIF(TT!$D$546:$D$555,TALLY!A27)</f>
        <v>0</v>
      </c>
      <c r="AD27" s="25">
        <f>COUNTIF(TT!$D$563:$D$573,TALLY!A27)</f>
        <v>0</v>
      </c>
      <c r="AE27" s="25">
        <f>COUNTIF(TT!$D$582:$D$609,TALLY!A27)</f>
        <v>0</v>
      </c>
      <c r="AF27" s="25">
        <f>COUNTIF(TT!$D$615:$D$626,TALLY!A27)</f>
        <v>0</v>
      </c>
      <c r="AG27" s="25">
        <f>COUNTIF(TT!$D$635:$D$648,TALLY!A27)</f>
        <v>1</v>
      </c>
      <c r="AH27" s="25">
        <f>COUNTIF(TT!$D$655:$D$668,TALLY!A27)</f>
        <v>0</v>
      </c>
      <c r="AI27" s="25">
        <f>COUNTIF(TT!$D$675:$D$687,TALLY!A27)</f>
        <v>0</v>
      </c>
      <c r="AJ27" s="25"/>
      <c r="AK27" s="24" t="s">
        <v>71</v>
      </c>
      <c r="AL27" s="23">
        <f t="shared" si="0"/>
        <v>2</v>
      </c>
      <c r="AM27" s="23">
        <f t="shared" si="1"/>
        <v>1</v>
      </c>
      <c r="AN27" s="23">
        <f t="shared" si="2"/>
        <v>2</v>
      </c>
      <c r="AO27" s="23">
        <f t="shared" si="3"/>
        <v>1</v>
      </c>
      <c r="AP27" s="23">
        <f t="shared" si="4"/>
        <v>1</v>
      </c>
      <c r="AQ27">
        <f t="shared" si="5"/>
        <v>7</v>
      </c>
    </row>
    <row r="28" spans="1:43" x14ac:dyDescent="0.35">
      <c r="A28" s="24" t="s">
        <v>40</v>
      </c>
      <c r="B28" s="25">
        <f>COUNTIF(TT!$D$4:$D$25,TALLY!A28)</f>
        <v>0</v>
      </c>
      <c r="C28" s="25">
        <f>COUNTIF(TT!$D$33:$D$50,TALLY!A28)</f>
        <v>0</v>
      </c>
      <c r="D28" s="25">
        <f>COUNTIF(TT!$D$57:$D$75,TALLY!A28)</f>
        <v>1</v>
      </c>
      <c r="E28" s="25">
        <f>COUNTIF(TT!$D$82:$D$95,TALLY!A28)</f>
        <v>0</v>
      </c>
      <c r="F28" s="25">
        <f>COUNTIF(TT!$D$103:$D$112,TALLY!A28)</f>
        <v>0</v>
      </c>
      <c r="G28" s="25">
        <f>COUNTIF(TT!$D$120:$D$130,TALLY!A28)</f>
        <v>1</v>
      </c>
      <c r="H28" s="25">
        <f>COUNTIF(TT!$D$138:$D$153,TALLY!A28)</f>
        <v>0</v>
      </c>
      <c r="I28" s="23">
        <f>COUNTIF(TT!$D$160:$D$170,TALLY!A28)</f>
        <v>0</v>
      </c>
      <c r="J28" s="23">
        <f>COUNTIF(TT!$D$177:$D$187,TALLY!A28)</f>
        <v>0</v>
      </c>
      <c r="K28" s="23">
        <f>COUNTIF(TT!$D$194:$D$206,TALLY!A28)</f>
        <v>0</v>
      </c>
      <c r="L28" s="23">
        <f>COUNTIF(TT!$D$215:$D$226,TALLY!A28)</f>
        <v>0</v>
      </c>
      <c r="M28" s="23">
        <f>COUNTIF(TT!$D$234:$D$243,TALLY!A28)</f>
        <v>0</v>
      </c>
      <c r="N28" s="23">
        <f>COUNTIF(TT!$D$250:$D$262,TALLY!A28)</f>
        <v>0</v>
      </c>
      <c r="O28" s="23">
        <f>COUNTIF(TT!$D$270:$D$277,TALLY!A28)</f>
        <v>0</v>
      </c>
      <c r="P28" s="25">
        <f>COUNTIF(TT!$D$284:$D$293,TALLY!A28)</f>
        <v>1</v>
      </c>
      <c r="Q28" s="25">
        <f>COUNTIF(TT!$D$300:$D$313,TALLY!A28)</f>
        <v>0</v>
      </c>
      <c r="R28" s="25">
        <f>COUNTIF(TT!$D$320:$D$333,TALLY!A28)</f>
        <v>0</v>
      </c>
      <c r="S28" s="25">
        <f>COUNTIF(TT!$D$342:$D$352,TALLY!A28)</f>
        <v>0</v>
      </c>
      <c r="T28" s="25">
        <f>COUNTIF(TT!$D$359:$D$376,TALLY!A28)</f>
        <v>1</v>
      </c>
      <c r="U28" s="25">
        <f>COUNTIF(TT!$D$383:$D$398,TALLY!A28)</f>
        <v>0</v>
      </c>
      <c r="V28" s="25">
        <f>COUNTIF(TT!$D$405:$D$424,TALLY!A28)</f>
        <v>0</v>
      </c>
      <c r="W28" s="23">
        <f>COUNTIF(TT!$D$432:$D$442,TALLY!A28)</f>
        <v>0</v>
      </c>
      <c r="X28" s="23">
        <f>COUNTIF(TT!$D$449:$D$460,TALLY!A28)</f>
        <v>1</v>
      </c>
      <c r="Y28" s="23">
        <f>COUNTIF(TT!$D$467:$D$476,TALLY!A28)</f>
        <v>0</v>
      </c>
      <c r="Z28" s="23">
        <f>COUNTIF(TT!$D$483:$D$500,TALLY!A28)</f>
        <v>0</v>
      </c>
      <c r="AA28" s="23">
        <f>COUNTIF(TT!$D$507:$D$522,TALLY!A28)</f>
        <v>0</v>
      </c>
      <c r="AB28" s="23">
        <f>COUNTIF(TT!$D$529:$D$540,TALLY!A28)</f>
        <v>1</v>
      </c>
      <c r="AC28" s="23">
        <f>COUNTIF(TT!$D$546:$D$555,TALLY!A28)</f>
        <v>0</v>
      </c>
      <c r="AD28" s="25">
        <f>COUNTIF(TT!$D$563:$D$573,TALLY!A28)</f>
        <v>0</v>
      </c>
      <c r="AE28" s="25">
        <f>COUNTIF(TT!$D$582:$D$609,TALLY!A28)</f>
        <v>1</v>
      </c>
      <c r="AF28" s="25">
        <f>COUNTIF(TT!$D$615:$D$626,TALLY!A28)</f>
        <v>0</v>
      </c>
      <c r="AG28" s="25">
        <f>COUNTIF(TT!$D$635:$D$648,TALLY!A28)</f>
        <v>0</v>
      </c>
      <c r="AH28" s="25">
        <f>COUNTIF(TT!$D$655:$D$668,TALLY!A28)</f>
        <v>1</v>
      </c>
      <c r="AI28" s="25">
        <f>COUNTIF(TT!$D$675:$D$687,TALLY!A28)</f>
        <v>0</v>
      </c>
      <c r="AJ28" s="25"/>
      <c r="AK28" s="24" t="s">
        <v>40</v>
      </c>
      <c r="AL28" s="23">
        <f t="shared" si="0"/>
        <v>2</v>
      </c>
      <c r="AM28" s="23">
        <f t="shared" si="1"/>
        <v>0</v>
      </c>
      <c r="AN28" s="23">
        <f t="shared" si="2"/>
        <v>2</v>
      </c>
      <c r="AO28" s="23">
        <f t="shared" si="3"/>
        <v>1</v>
      </c>
      <c r="AP28" s="23">
        <f t="shared" si="4"/>
        <v>2</v>
      </c>
      <c r="AQ28">
        <f t="shared" si="5"/>
        <v>7</v>
      </c>
    </row>
    <row r="29" spans="1:43" x14ac:dyDescent="0.35">
      <c r="A29" s="24" t="s">
        <v>46</v>
      </c>
      <c r="B29" s="25">
        <f>COUNTIF(TT!$D$4:$D$25,TALLY!A29)</f>
        <v>0</v>
      </c>
      <c r="C29" s="25">
        <f>COUNTIF(TT!$D$33:$D$50,TALLY!A29)</f>
        <v>0</v>
      </c>
      <c r="D29" s="25">
        <f>COUNTIF(TT!$D$57:$D$75,TALLY!A29)</f>
        <v>0</v>
      </c>
      <c r="E29" s="25">
        <f>COUNTIF(TT!$D$82:$D$95,TALLY!A29)</f>
        <v>0</v>
      </c>
      <c r="F29" s="25">
        <f>COUNTIF(TT!$D$103:$D$112,TALLY!A29)</f>
        <v>0</v>
      </c>
      <c r="G29" s="25">
        <f>COUNTIF(TT!$D$120:$D$130,TALLY!A29)</f>
        <v>1</v>
      </c>
      <c r="H29" s="25">
        <f>COUNTIF(TT!$D$138:$D$153,TALLY!A29)</f>
        <v>0</v>
      </c>
      <c r="I29" s="23">
        <f>COUNTIF(TT!$D$160:$D$170,TALLY!A29)</f>
        <v>0</v>
      </c>
      <c r="J29" s="23">
        <f>COUNTIF(TT!$D$177:$D$187,TALLY!A29)</f>
        <v>0</v>
      </c>
      <c r="K29" s="23">
        <f>COUNTIF(TT!$D$194:$D$206,TALLY!A29)</f>
        <v>0</v>
      </c>
      <c r="L29" s="23">
        <f>COUNTIF(TT!$D$215:$D$226,TALLY!A29)</f>
        <v>0</v>
      </c>
      <c r="M29" s="23">
        <f>COUNTIF(TT!$D$234:$D$243,TALLY!A29)</f>
        <v>0</v>
      </c>
      <c r="N29" s="23">
        <f>COUNTIF(TT!$D$250:$D$262,TALLY!A29)</f>
        <v>0</v>
      </c>
      <c r="O29" s="23">
        <f>COUNTIF(TT!$D$270:$D$277,TALLY!A29)</f>
        <v>0</v>
      </c>
      <c r="P29" s="25">
        <f>COUNTIF(TT!$D$284:$D$293,TALLY!A29)</f>
        <v>1</v>
      </c>
      <c r="Q29" s="25">
        <f>COUNTIF(TT!$D$300:$D$313,TALLY!A29)</f>
        <v>0</v>
      </c>
      <c r="R29" s="25">
        <f>COUNTIF(TT!$D$320:$D$333,TALLY!A29)</f>
        <v>0</v>
      </c>
      <c r="S29" s="25">
        <f>COUNTIF(TT!$D$342:$D$352,TALLY!A29)</f>
        <v>0</v>
      </c>
      <c r="T29" s="25">
        <f>COUNTIF(TT!$D$359:$D$376,TALLY!A29)</f>
        <v>1</v>
      </c>
      <c r="U29" s="25">
        <f>COUNTIF(TT!$D$383:$D$398,TALLY!A29)</f>
        <v>0</v>
      </c>
      <c r="V29" s="25">
        <f>COUNTIF(TT!$D$405:$D$424,TALLY!A29)</f>
        <v>0</v>
      </c>
      <c r="W29" s="23">
        <f>COUNTIF(TT!$D$432:$D$442,TALLY!A29)</f>
        <v>0</v>
      </c>
      <c r="X29" s="23">
        <f>COUNTIF(TT!$D$449:$D$460,TALLY!A29)</f>
        <v>0</v>
      </c>
      <c r="Y29" s="23">
        <f>COUNTIF(TT!$D$467:$D$476,TALLY!A29)</f>
        <v>1</v>
      </c>
      <c r="Z29" s="23">
        <f>COUNTIF(TT!$D$483:$D$500,TALLY!A29)</f>
        <v>0</v>
      </c>
      <c r="AA29" s="23">
        <f>COUNTIF(TT!$D$507:$D$522,TALLY!A29)</f>
        <v>0</v>
      </c>
      <c r="AB29" s="23">
        <f>COUNTIF(TT!$D$529:$D$540,TALLY!A29)</f>
        <v>0</v>
      </c>
      <c r="AC29" s="23">
        <f>COUNTIF(TT!$D$546:$D$555,TALLY!A29)</f>
        <v>0</v>
      </c>
      <c r="AD29" s="25">
        <f>COUNTIF(TT!$D$563:$D$573,TALLY!A29)</f>
        <v>1</v>
      </c>
      <c r="AE29" s="25">
        <f>COUNTIF(TT!$D$582:$D$609,TALLY!A29)</f>
        <v>0</v>
      </c>
      <c r="AF29" s="25">
        <f>COUNTIF(TT!$D$615:$D$626,TALLY!A29)</f>
        <v>0</v>
      </c>
      <c r="AG29" s="25">
        <f>COUNTIF(TT!$D$635:$D$648,TALLY!A29)</f>
        <v>0</v>
      </c>
      <c r="AH29" s="25">
        <f>COUNTIF(TT!$D$655:$D$668,TALLY!A29)</f>
        <v>1</v>
      </c>
      <c r="AI29" s="25">
        <f>COUNTIF(TT!$D$675:$D$687,TALLY!A29)</f>
        <v>0</v>
      </c>
      <c r="AJ29" s="25"/>
      <c r="AK29" s="24" t="s">
        <v>46</v>
      </c>
      <c r="AL29" s="23">
        <f t="shared" si="0"/>
        <v>1</v>
      </c>
      <c r="AM29" s="23">
        <f t="shared" si="1"/>
        <v>0</v>
      </c>
      <c r="AN29" s="23">
        <f t="shared" si="2"/>
        <v>2</v>
      </c>
      <c r="AO29" s="23">
        <f t="shared" si="3"/>
        <v>1</v>
      </c>
      <c r="AP29" s="23">
        <f t="shared" si="4"/>
        <v>2</v>
      </c>
      <c r="AQ29">
        <f t="shared" si="5"/>
        <v>6</v>
      </c>
    </row>
    <row r="30" spans="1:43" x14ac:dyDescent="0.35">
      <c r="A30" s="24" t="s">
        <v>62</v>
      </c>
      <c r="B30" s="25">
        <f>COUNTIF(TT!$D$4:$D$25,TALLY!A30)</f>
        <v>0</v>
      </c>
      <c r="C30" s="25">
        <f>COUNTIF(TT!$D$33:$D$50,TALLY!A30)</f>
        <v>1</v>
      </c>
      <c r="D30" s="25">
        <f>COUNTIF(TT!$D$57:$D$75,TALLY!A30)</f>
        <v>0</v>
      </c>
      <c r="E30" s="25">
        <f>COUNTIF(TT!$D$82:$D$95,TALLY!A30)</f>
        <v>0</v>
      </c>
      <c r="F30" s="25">
        <f>COUNTIF(TT!$D$103:$D$112,TALLY!A30)</f>
        <v>1</v>
      </c>
      <c r="G30" s="25">
        <f>COUNTIF(TT!$D$120:$D$130,TALLY!A30)</f>
        <v>0</v>
      </c>
      <c r="H30" s="25">
        <f>COUNTIF(TT!$D$138:$D$153,TALLY!A30)</f>
        <v>0</v>
      </c>
      <c r="I30" s="23">
        <f>COUNTIF(TT!$D$160:$D$170,TALLY!A30)</f>
        <v>0</v>
      </c>
      <c r="J30" s="23">
        <f>COUNTIF(TT!$D$177:$D$187,TALLY!A30)</f>
        <v>0</v>
      </c>
      <c r="K30" s="23">
        <f>COUNTIF(TT!$D$194:$D$206,TALLY!A30)</f>
        <v>0</v>
      </c>
      <c r="L30" s="23">
        <f>COUNTIF(TT!$D$215:$D$226,TALLY!A30)</f>
        <v>1</v>
      </c>
      <c r="M30" s="23">
        <f>COUNTIF(TT!$D$234:$D$243,TALLY!A30)</f>
        <v>0</v>
      </c>
      <c r="N30" s="23">
        <f>COUNTIF(TT!$D$250:$D$262,TALLY!A30)</f>
        <v>0</v>
      </c>
      <c r="O30" s="23">
        <f>COUNTIF(TT!$D$270:$D$277,TALLY!A30)</f>
        <v>0</v>
      </c>
      <c r="P30" s="25">
        <f>COUNTIF(TT!$D$284:$D$293,TALLY!A30)</f>
        <v>0</v>
      </c>
      <c r="Q30" s="25">
        <f>COUNTIF(TT!$D$300:$D$313,TALLY!A30)</f>
        <v>0</v>
      </c>
      <c r="R30" s="25">
        <f>COUNTIF(TT!$D$320:$D$333,TALLY!A30)</f>
        <v>0</v>
      </c>
      <c r="S30" s="25">
        <f>COUNTIF(TT!$D$342:$D$352,TALLY!A30)</f>
        <v>1</v>
      </c>
      <c r="T30" s="25">
        <f>COUNTIF(TT!$D$359:$D$376,TALLY!A30)</f>
        <v>0</v>
      </c>
      <c r="U30" s="25">
        <f>COUNTIF(TT!$D$383:$D$398,TALLY!A30)</f>
        <v>0</v>
      </c>
      <c r="V30" s="25">
        <f>COUNTIF(TT!$D$405:$D$424,TALLY!A30)</f>
        <v>0</v>
      </c>
      <c r="W30" s="23">
        <f>COUNTIF(TT!$D$432:$D$442,TALLY!A30)</f>
        <v>0</v>
      </c>
      <c r="X30" s="23">
        <f>COUNTIF(TT!$D$449:$D$460,TALLY!A30)</f>
        <v>0</v>
      </c>
      <c r="Y30" s="23">
        <f>COUNTIF(TT!$D$467:$D$476,TALLY!A30)</f>
        <v>0</v>
      </c>
      <c r="Z30" s="23">
        <f>COUNTIF(TT!$D$483:$D$500,TALLY!A30)</f>
        <v>0</v>
      </c>
      <c r="AA30" s="23">
        <f>COUNTIF(TT!$D$507:$D$522,TALLY!A30)</f>
        <v>1</v>
      </c>
      <c r="AB30" s="23">
        <f>COUNTIF(TT!$D$529:$D$540,TALLY!A30)</f>
        <v>0</v>
      </c>
      <c r="AC30" s="23">
        <f>COUNTIF(TT!$D$546:$D$555,TALLY!A30)</f>
        <v>0</v>
      </c>
      <c r="AD30" s="25">
        <f>COUNTIF(TT!$D$563:$D$573,TALLY!A30)</f>
        <v>0</v>
      </c>
      <c r="AE30" s="25">
        <f>COUNTIF(TT!$D$582:$D$609,TALLY!A30)</f>
        <v>1</v>
      </c>
      <c r="AF30" s="25">
        <f>COUNTIF(TT!$D$615:$D$626,TALLY!A30)</f>
        <v>0</v>
      </c>
      <c r="AG30" s="25">
        <f>COUNTIF(TT!$D$635:$D$648,TALLY!A30)</f>
        <v>1</v>
      </c>
      <c r="AH30" s="25">
        <f>COUNTIF(TT!$D$655:$D$668,TALLY!A30)</f>
        <v>0</v>
      </c>
      <c r="AI30" s="25">
        <f>COUNTIF(TT!$D$675:$D$687,TALLY!A30)</f>
        <v>0</v>
      </c>
      <c r="AJ30" s="25"/>
      <c r="AK30" s="24" t="s">
        <v>62</v>
      </c>
      <c r="AL30" s="23">
        <f t="shared" si="0"/>
        <v>2</v>
      </c>
      <c r="AM30" s="23">
        <f t="shared" si="1"/>
        <v>1</v>
      </c>
      <c r="AN30" s="23">
        <f t="shared" si="2"/>
        <v>1</v>
      </c>
      <c r="AO30" s="23">
        <f t="shared" si="3"/>
        <v>1</v>
      </c>
      <c r="AP30" s="23">
        <f t="shared" si="4"/>
        <v>2</v>
      </c>
      <c r="AQ30">
        <f t="shared" si="5"/>
        <v>7</v>
      </c>
    </row>
    <row r="31" spans="1:43" x14ac:dyDescent="0.35">
      <c r="A31" s="24" t="s">
        <v>65</v>
      </c>
      <c r="B31" s="25">
        <f>COUNTIF(TT!$D$4:$D$25,TALLY!A31)</f>
        <v>1</v>
      </c>
      <c r="C31" s="25">
        <f>COUNTIF(TT!$D$33:$D$50,TALLY!A31)</f>
        <v>0</v>
      </c>
      <c r="D31" s="25">
        <f>COUNTIF(TT!$D$57:$D$75,TALLY!A31)</f>
        <v>0</v>
      </c>
      <c r="E31" s="25">
        <f>COUNTIF(TT!$D$82:$D$95,TALLY!A31)</f>
        <v>1</v>
      </c>
      <c r="F31" s="25">
        <f>COUNTIF(TT!$D$103:$D$112,TALLY!A31)</f>
        <v>0</v>
      </c>
      <c r="G31" s="25">
        <f>COUNTIF(TT!$D$120:$D$130,TALLY!A31)</f>
        <v>0</v>
      </c>
      <c r="H31" s="25">
        <f>COUNTIF(TT!$D$138:$D$153,TALLY!A31)</f>
        <v>0</v>
      </c>
      <c r="I31" s="23">
        <f>COUNTIF(TT!$D$160:$D$170,TALLY!A31)</f>
        <v>0</v>
      </c>
      <c r="J31" s="23">
        <f>COUNTIF(TT!$D$177:$D$187,TALLY!A31)</f>
        <v>0</v>
      </c>
      <c r="K31" s="23">
        <f>COUNTIF(TT!$D$194:$D$206,TALLY!A31)</f>
        <v>0</v>
      </c>
      <c r="L31" s="23">
        <f>COUNTIF(TT!$D$215:$D$226,TALLY!A31)</f>
        <v>0</v>
      </c>
      <c r="M31" s="23">
        <f>COUNTIF(TT!$D$234:$D$243,TALLY!A31)</f>
        <v>0</v>
      </c>
      <c r="N31" s="23">
        <f>COUNTIF(TT!$D$250:$D$262,TALLY!A31)</f>
        <v>0</v>
      </c>
      <c r="O31" s="23">
        <f>COUNTIF(TT!$D$270:$D$277,TALLY!A31)</f>
        <v>0</v>
      </c>
      <c r="P31" s="25">
        <f>COUNTIF(TT!$D$284:$D$293,TALLY!A31)</f>
        <v>0</v>
      </c>
      <c r="Q31" s="25">
        <f>COUNTIF(TT!$D$300:$D$313,TALLY!A31)</f>
        <v>1</v>
      </c>
      <c r="R31" s="25">
        <f>COUNTIF(TT!$D$320:$D$333,TALLY!A31)</f>
        <v>0</v>
      </c>
      <c r="S31" s="25">
        <f>COUNTIF(TT!$D$342:$D$352,TALLY!A31)</f>
        <v>0</v>
      </c>
      <c r="T31" s="25">
        <f>COUNTIF(TT!$D$359:$D$376,TALLY!A31)</f>
        <v>0</v>
      </c>
      <c r="U31" s="25">
        <f>COUNTIF(TT!$D$383:$D$398,TALLY!A31)</f>
        <v>0</v>
      </c>
      <c r="V31" s="25">
        <f>COUNTIF(TT!$D$405:$D$424,TALLY!A31)</f>
        <v>0</v>
      </c>
      <c r="W31" s="23">
        <f>COUNTIF(TT!$D$432:$D$442,TALLY!A31)</f>
        <v>0</v>
      </c>
      <c r="X31" s="23">
        <f>COUNTIF(TT!$D$449:$D$460,TALLY!A31)</f>
        <v>0</v>
      </c>
      <c r="Y31" s="23">
        <f>COUNTIF(TT!$D$467:$D$476,TALLY!A31)</f>
        <v>0</v>
      </c>
      <c r="Z31" s="23">
        <f>COUNTIF(TT!$D$483:$D$500,TALLY!A31)</f>
        <v>1</v>
      </c>
      <c r="AA31" s="23">
        <f>COUNTIF(TT!$D$507:$D$522,TALLY!A31)</f>
        <v>0</v>
      </c>
      <c r="AB31" s="23">
        <f>COUNTIF(TT!$D$529:$D$540,TALLY!A31)</f>
        <v>0</v>
      </c>
      <c r="AC31" s="23">
        <f>COUNTIF(TT!$D$546:$D$555,TALLY!A31)</f>
        <v>0</v>
      </c>
      <c r="AD31" s="25">
        <f>COUNTIF(TT!$D$563:$D$573,TALLY!A31)</f>
        <v>0</v>
      </c>
      <c r="AE31" s="25">
        <f>COUNTIF(TT!$D$582:$D$609,TALLY!A31)</f>
        <v>1</v>
      </c>
      <c r="AF31" s="25">
        <f>COUNTIF(TT!$D$615:$D$626,TALLY!A31)</f>
        <v>0</v>
      </c>
      <c r="AG31" s="25">
        <f>COUNTIF(TT!$D$635:$D$648,TALLY!A31)</f>
        <v>1</v>
      </c>
      <c r="AH31" s="25">
        <f>COUNTIF(TT!$D$655:$D$668,TALLY!A31)</f>
        <v>0</v>
      </c>
      <c r="AI31" s="25">
        <f>COUNTIF(TT!$D$675:$D$687,TALLY!A31)</f>
        <v>0</v>
      </c>
      <c r="AJ31" s="25"/>
      <c r="AK31" s="24" t="s">
        <v>65</v>
      </c>
      <c r="AL31" s="23">
        <f t="shared" si="0"/>
        <v>2</v>
      </c>
      <c r="AM31" s="23">
        <f t="shared" si="1"/>
        <v>0</v>
      </c>
      <c r="AN31" s="23">
        <f t="shared" si="2"/>
        <v>1</v>
      </c>
      <c r="AO31" s="23">
        <f t="shared" si="3"/>
        <v>1</v>
      </c>
      <c r="AP31" s="23">
        <f t="shared" si="4"/>
        <v>2</v>
      </c>
      <c r="AQ31">
        <f t="shared" si="5"/>
        <v>6</v>
      </c>
    </row>
    <row r="32" spans="1:43" x14ac:dyDescent="0.35">
      <c r="A32" s="24" t="s">
        <v>17</v>
      </c>
      <c r="B32" s="25">
        <f>COUNTIF(TT!$D$4:$D$25,TALLY!A32)</f>
        <v>0</v>
      </c>
      <c r="C32" s="25">
        <f>COUNTIF(TT!$D$33:$D$50,TALLY!A32)</f>
        <v>0</v>
      </c>
      <c r="D32" s="25">
        <f>COUNTIF(TT!$D$57:$D$75,TALLY!A32)</f>
        <v>0</v>
      </c>
      <c r="E32" s="25">
        <f>COUNTIF(TT!$D$82:$D$95,TALLY!A32)</f>
        <v>0</v>
      </c>
      <c r="F32" s="25">
        <f>COUNTIF(TT!$D$103:$D$112,TALLY!A32)</f>
        <v>0</v>
      </c>
      <c r="G32" s="25">
        <f>COUNTIF(TT!$D$120:$D$130,TALLY!A32)</f>
        <v>1</v>
      </c>
      <c r="H32" s="25">
        <f>COUNTIF(TT!$D$138:$D$153,TALLY!A32)</f>
        <v>0</v>
      </c>
      <c r="I32" s="23">
        <f>COUNTIF(TT!$D$160:$D$170,TALLY!A32)</f>
        <v>1</v>
      </c>
      <c r="J32" s="23">
        <f>COUNTIF(TT!$D$177:$D$187,TALLY!A32)</f>
        <v>0</v>
      </c>
      <c r="K32" s="23">
        <f>COUNTIF(TT!$D$194:$D$206,TALLY!A32)</f>
        <v>0</v>
      </c>
      <c r="L32" s="23">
        <f>COUNTIF(TT!$D$215:$D$226,TALLY!A32)</f>
        <v>0</v>
      </c>
      <c r="M32" s="23">
        <f>COUNTIF(TT!$D$234:$D$243,TALLY!A32)</f>
        <v>0</v>
      </c>
      <c r="N32" s="23">
        <f>COUNTIF(TT!$D$250:$D$262,TALLY!A32)</f>
        <v>0</v>
      </c>
      <c r="O32" s="23">
        <f>COUNTIF(TT!$D$270:$D$277,TALLY!A32)</f>
        <v>0</v>
      </c>
      <c r="P32" s="25">
        <f>COUNTIF(TT!$D$284:$D$293,TALLY!A32)</f>
        <v>0</v>
      </c>
      <c r="Q32" s="25">
        <f>COUNTIF(TT!$D$300:$D$313,TALLY!A32)</f>
        <v>1</v>
      </c>
      <c r="R32" s="25">
        <f>COUNTIF(TT!$D$320:$D$333,TALLY!A32)</f>
        <v>0</v>
      </c>
      <c r="S32" s="25">
        <f>COUNTIF(TT!$D$342:$D$352,TALLY!A32)</f>
        <v>0</v>
      </c>
      <c r="T32" s="25">
        <f>COUNTIF(TT!$D$359:$D$376,TALLY!A32)</f>
        <v>0</v>
      </c>
      <c r="U32" s="25">
        <f>COUNTIF(TT!$D$383:$D$398,TALLY!A32)</f>
        <v>1</v>
      </c>
      <c r="V32" s="25">
        <f>COUNTIF(TT!$D$405:$D$424,TALLY!A32)</f>
        <v>0</v>
      </c>
      <c r="W32" s="23">
        <f>COUNTIF(TT!$D$432:$D$442,TALLY!A32)</f>
        <v>0</v>
      </c>
      <c r="X32" s="23">
        <f>COUNTIF(TT!$D$449:$D$460,TALLY!A32)</f>
        <v>0</v>
      </c>
      <c r="Y32" s="23">
        <f>COUNTIF(TT!$D$467:$D$476,TALLY!A32)</f>
        <v>0</v>
      </c>
      <c r="Z32" s="23">
        <f>COUNTIF(TT!$D$483:$D$500,TALLY!A32)</f>
        <v>1</v>
      </c>
      <c r="AA32" s="23">
        <f>COUNTIF(TT!$D$507:$D$522,TALLY!A32)</f>
        <v>0</v>
      </c>
      <c r="AB32" s="23">
        <f>COUNTIF(TT!$D$529:$D$540,TALLY!A32)</f>
        <v>0</v>
      </c>
      <c r="AC32" s="23">
        <f>COUNTIF(TT!$D$546:$D$555,TALLY!A32)</f>
        <v>0</v>
      </c>
      <c r="AD32" s="25">
        <f>COUNTIF(TT!$D$563:$D$573,TALLY!A32)</f>
        <v>0</v>
      </c>
      <c r="AE32" s="25">
        <f>COUNTIF(TT!$D$582:$D$609,TALLY!A32)</f>
        <v>1</v>
      </c>
      <c r="AF32" s="25">
        <f>COUNTIF(TT!$D$615:$D$626,TALLY!A32)</f>
        <v>0</v>
      </c>
      <c r="AG32" s="25">
        <f>COUNTIF(TT!$D$635:$D$648,TALLY!A32)</f>
        <v>0</v>
      </c>
      <c r="AH32" s="25">
        <f>COUNTIF(TT!$D$655:$D$668,TALLY!A32)</f>
        <v>0</v>
      </c>
      <c r="AI32" s="25">
        <f>COUNTIF(TT!$D$675:$D$687,TALLY!A32)</f>
        <v>1</v>
      </c>
      <c r="AJ32" s="25"/>
      <c r="AK32" s="24" t="s">
        <v>17</v>
      </c>
      <c r="AL32" s="23">
        <f t="shared" si="0"/>
        <v>1</v>
      </c>
      <c r="AM32" s="23">
        <f t="shared" si="1"/>
        <v>1</v>
      </c>
      <c r="AN32" s="23">
        <f t="shared" si="2"/>
        <v>2</v>
      </c>
      <c r="AO32" s="23">
        <f t="shared" si="3"/>
        <v>1</v>
      </c>
      <c r="AP32" s="23">
        <f t="shared" si="4"/>
        <v>2</v>
      </c>
      <c r="AQ32">
        <f t="shared" si="5"/>
        <v>7</v>
      </c>
    </row>
    <row r="33" spans="1:43" x14ac:dyDescent="0.35">
      <c r="A33" s="24" t="s">
        <v>31</v>
      </c>
      <c r="B33" s="25">
        <f>COUNTIF(TT!$D$4:$D$25,TALLY!A33)</f>
        <v>0</v>
      </c>
      <c r="C33" s="25">
        <f>COUNTIF(TT!$D$33:$D$50,TALLY!A33)</f>
        <v>0</v>
      </c>
      <c r="D33" s="25">
        <f>COUNTIF(TT!$D$57:$D$75,TALLY!A33)</f>
        <v>0</v>
      </c>
      <c r="E33" s="25">
        <f>COUNTIF(TT!$D$82:$D$95,TALLY!A33)</f>
        <v>0</v>
      </c>
      <c r="F33" s="25">
        <f>COUNTIF(TT!$D$103:$D$112,TALLY!A33)</f>
        <v>0</v>
      </c>
      <c r="G33" s="25">
        <f>COUNTIF(TT!$D$120:$D$130,TALLY!A33)</f>
        <v>1</v>
      </c>
      <c r="H33" s="25">
        <f>COUNTIF(TT!$D$138:$D$153,TALLY!A33)</f>
        <v>0</v>
      </c>
      <c r="I33" s="23">
        <f>COUNTIF(TT!$D$160:$D$170,TALLY!A33)</f>
        <v>0</v>
      </c>
      <c r="J33" s="23">
        <f>COUNTIF(TT!$D$177:$D$187,TALLY!A33)</f>
        <v>1</v>
      </c>
      <c r="K33" s="23">
        <f>COUNTIF(TT!$D$194:$D$206,TALLY!A33)</f>
        <v>0</v>
      </c>
      <c r="L33" s="23">
        <f>COUNTIF(TT!$D$215:$D$226,TALLY!A33)</f>
        <v>0</v>
      </c>
      <c r="M33" s="23">
        <f>COUNTIF(TT!$D$234:$D$243,TALLY!A33)</f>
        <v>1</v>
      </c>
      <c r="N33" s="23">
        <f>COUNTIF(TT!$D$250:$D$262,TALLY!A33)</f>
        <v>0</v>
      </c>
      <c r="O33" s="23">
        <f>COUNTIF(TT!$D$270:$D$277,TALLY!A33)</f>
        <v>0</v>
      </c>
      <c r="P33" s="25">
        <f>COUNTIF(TT!$D$284:$D$293,TALLY!A33)</f>
        <v>0</v>
      </c>
      <c r="Q33" s="25">
        <f>COUNTIF(TT!$D$300:$D$313,TALLY!A33)</f>
        <v>0</v>
      </c>
      <c r="R33" s="25">
        <f>COUNTIF(TT!$D$320:$D$333,TALLY!A33)</f>
        <v>1</v>
      </c>
      <c r="S33" s="25">
        <f>COUNTIF(TT!$D$342:$D$352,TALLY!A33)</f>
        <v>0</v>
      </c>
      <c r="T33" s="25">
        <f>COUNTIF(TT!$D$359:$D$376,TALLY!A33)</f>
        <v>0</v>
      </c>
      <c r="U33" s="25">
        <f>COUNTIF(TT!$D$383:$D$398,TALLY!A33)</f>
        <v>1</v>
      </c>
      <c r="V33" s="25">
        <f>COUNTIF(TT!$D$405:$D$424,TALLY!A33)</f>
        <v>0</v>
      </c>
      <c r="W33" s="23">
        <f>COUNTIF(TT!$D$432:$D$442,TALLY!A33)</f>
        <v>0</v>
      </c>
      <c r="X33" s="23">
        <f>COUNTIF(TT!$D$449:$D$460,TALLY!A33)</f>
        <v>0</v>
      </c>
      <c r="Y33" s="23">
        <f>COUNTIF(TT!$D$467:$D$476,TALLY!A33)</f>
        <v>0</v>
      </c>
      <c r="Z33" s="23">
        <f>COUNTIF(TT!$D$483:$D$500,TALLY!A33)</f>
        <v>1</v>
      </c>
      <c r="AA33" s="23">
        <f>COUNTIF(TT!$D$507:$D$522,TALLY!A33)</f>
        <v>0</v>
      </c>
      <c r="AB33" s="23">
        <f>COUNTIF(TT!$D$529:$D$540,TALLY!A33)</f>
        <v>0</v>
      </c>
      <c r="AC33" s="23">
        <f>COUNTIF(TT!$D$546:$D$555,TALLY!A33)</f>
        <v>0</v>
      </c>
      <c r="AD33" s="25">
        <f>COUNTIF(TT!$D$563:$D$573,TALLY!A33)</f>
        <v>0</v>
      </c>
      <c r="AE33" s="25">
        <f>COUNTIF(TT!$D$582:$D$609,TALLY!A33)</f>
        <v>0</v>
      </c>
      <c r="AF33" s="25">
        <f>COUNTIF(TT!$D$615:$D$626,TALLY!A33)</f>
        <v>1</v>
      </c>
      <c r="AG33" s="25">
        <f>COUNTIF(TT!$D$635:$D$648,TALLY!A33)</f>
        <v>0</v>
      </c>
      <c r="AH33" s="25">
        <f>COUNTIF(TT!$D$655:$D$668,TALLY!A33)</f>
        <v>0</v>
      </c>
      <c r="AI33" s="25">
        <f>COUNTIF(TT!$D$675:$D$687,TALLY!A33)</f>
        <v>0</v>
      </c>
      <c r="AJ33" s="25"/>
      <c r="AK33" s="24" t="s">
        <v>31</v>
      </c>
      <c r="AL33" s="23">
        <f t="shared" si="0"/>
        <v>1</v>
      </c>
      <c r="AM33" s="23">
        <f t="shared" si="1"/>
        <v>2</v>
      </c>
      <c r="AN33" s="23">
        <f t="shared" si="2"/>
        <v>2</v>
      </c>
      <c r="AO33" s="23">
        <f t="shared" si="3"/>
        <v>1</v>
      </c>
      <c r="AP33" s="23">
        <f t="shared" si="4"/>
        <v>1</v>
      </c>
      <c r="AQ33">
        <f t="shared" si="5"/>
        <v>7</v>
      </c>
    </row>
    <row r="34" spans="1:43" x14ac:dyDescent="0.35">
      <c r="A34" s="24" t="s">
        <v>16</v>
      </c>
      <c r="B34" s="25">
        <f>COUNTIF(TT!$D$4:$D$25,TALLY!A34)</f>
        <v>0</v>
      </c>
      <c r="C34" s="25">
        <f>COUNTIF(TT!$D$33:$D$50,TALLY!A34)</f>
        <v>0</v>
      </c>
      <c r="D34" s="25">
        <f>COUNTIF(TT!$D$57:$D$75,TALLY!A34)</f>
        <v>0</v>
      </c>
      <c r="E34" s="25">
        <f>COUNTIF(TT!$D$82:$D$95,TALLY!A34)</f>
        <v>0</v>
      </c>
      <c r="F34" s="25">
        <f>COUNTIF(TT!$D$103:$D$112,TALLY!A34)</f>
        <v>0</v>
      </c>
      <c r="G34" s="25">
        <f>COUNTIF(TT!$D$120:$D$130,TALLY!A34)</f>
        <v>1</v>
      </c>
      <c r="H34" s="25">
        <f>COUNTIF(TT!$D$138:$D$153,TALLY!A34)</f>
        <v>0</v>
      </c>
      <c r="I34" s="23">
        <f>COUNTIF(TT!$D$160:$D$170,TALLY!A34)</f>
        <v>1</v>
      </c>
      <c r="J34" s="23">
        <f>COUNTIF(TT!$D$177:$D$187,TALLY!A34)</f>
        <v>0</v>
      </c>
      <c r="K34" s="23">
        <f>COUNTIF(TT!$D$194:$D$206,TALLY!A34)</f>
        <v>0</v>
      </c>
      <c r="L34" s="23">
        <f>COUNTIF(TT!$D$215:$D$226,TALLY!A34)</f>
        <v>0</v>
      </c>
      <c r="M34" s="23">
        <f>COUNTIF(TT!$D$234:$D$243,TALLY!A34)</f>
        <v>1</v>
      </c>
      <c r="N34" s="23">
        <f>COUNTIF(TT!$D$250:$D$262,TALLY!A34)</f>
        <v>0</v>
      </c>
      <c r="O34" s="23">
        <f>COUNTIF(TT!$D$270:$D$277,TALLY!A34)</f>
        <v>0</v>
      </c>
      <c r="P34" s="25">
        <f>COUNTIF(TT!$D$284:$D$293,TALLY!A34)</f>
        <v>0</v>
      </c>
      <c r="Q34" s="25">
        <f>COUNTIF(TT!$D$300:$D$313,TALLY!A34)</f>
        <v>0</v>
      </c>
      <c r="R34" s="25">
        <f>COUNTIF(TT!$D$320:$D$333,TALLY!A34)</f>
        <v>0</v>
      </c>
      <c r="S34" s="25">
        <f>COUNTIF(TT!$D$342:$D$352,TALLY!A34)</f>
        <v>0</v>
      </c>
      <c r="T34" s="25">
        <f>COUNTIF(TT!$D$359:$D$376,TALLY!A34)</f>
        <v>0</v>
      </c>
      <c r="U34" s="25">
        <f>COUNTIF(TT!$D$383:$D$398,TALLY!A34)</f>
        <v>0</v>
      </c>
      <c r="V34" s="25">
        <f>COUNTIF(TT!$D$405:$D$424,TALLY!A34)</f>
        <v>1</v>
      </c>
      <c r="W34" s="23">
        <f>COUNTIF(TT!$D$432:$D$442,TALLY!A34)</f>
        <v>0</v>
      </c>
      <c r="X34" s="23">
        <f>COUNTIF(TT!$D$449:$D$460,TALLY!A34)</f>
        <v>0</v>
      </c>
      <c r="Y34" s="23">
        <f>COUNTIF(TT!$D$467:$D$476,TALLY!A34)</f>
        <v>0</v>
      </c>
      <c r="Z34" s="23">
        <f>COUNTIF(TT!$D$483:$D$500,TALLY!A34)</f>
        <v>0</v>
      </c>
      <c r="AA34" s="23">
        <f>COUNTIF(TT!$D$507:$D$522,TALLY!A34)</f>
        <v>0</v>
      </c>
      <c r="AB34" s="23">
        <f>COUNTIF(TT!$D$529:$D$540,TALLY!A34)</f>
        <v>0</v>
      </c>
      <c r="AC34" s="23">
        <f>COUNTIF(TT!$D$546:$D$555,TALLY!A34)</f>
        <v>0</v>
      </c>
      <c r="AD34" s="25">
        <f>COUNTIF(TT!$D$563:$D$573,TALLY!A34)</f>
        <v>0</v>
      </c>
      <c r="AE34" s="25">
        <f>COUNTIF(TT!$D$582:$D$609,TALLY!A34)</f>
        <v>0</v>
      </c>
      <c r="AF34" s="25">
        <f>COUNTIF(TT!$D$615:$D$626,TALLY!A34)</f>
        <v>0</v>
      </c>
      <c r="AG34" s="25">
        <f>COUNTIF(TT!$D$635:$D$648,TALLY!A34)</f>
        <v>0</v>
      </c>
      <c r="AH34" s="25">
        <f>COUNTIF(TT!$D$655:$D$668,TALLY!A34)</f>
        <v>0</v>
      </c>
      <c r="AI34" s="25">
        <f>COUNTIF(TT!$D$675:$D$687,TALLY!A34)</f>
        <v>1</v>
      </c>
      <c r="AJ34" s="25"/>
      <c r="AK34" s="24" t="s">
        <v>16</v>
      </c>
      <c r="AL34" s="23">
        <f t="shared" si="0"/>
        <v>1</v>
      </c>
      <c r="AM34" s="23">
        <f t="shared" si="1"/>
        <v>2</v>
      </c>
      <c r="AN34" s="23">
        <f t="shared" si="2"/>
        <v>1</v>
      </c>
      <c r="AO34" s="23">
        <f t="shared" si="3"/>
        <v>0</v>
      </c>
      <c r="AP34" s="23">
        <f t="shared" si="4"/>
        <v>1</v>
      </c>
      <c r="AQ34">
        <f t="shared" si="5"/>
        <v>5</v>
      </c>
    </row>
    <row r="35" spans="1:43" x14ac:dyDescent="0.35">
      <c r="A35" s="24" t="s">
        <v>111</v>
      </c>
      <c r="B35" s="25">
        <f>COUNTIF(TT!$D$4:$D$25,TALLY!A35)</f>
        <v>0</v>
      </c>
      <c r="C35" s="25">
        <f>COUNTIF(TT!$D$33:$D$50,TALLY!A35)</f>
        <v>1</v>
      </c>
      <c r="D35" s="25">
        <f>COUNTIF(TT!$D$57:$D$75,TALLY!A35)</f>
        <v>0</v>
      </c>
      <c r="E35" s="25">
        <f>COUNTIF(TT!$D$82:$D$95,TALLY!A35)</f>
        <v>0</v>
      </c>
      <c r="F35" s="25">
        <f>COUNTIF(TT!$D$103:$D$112,TALLY!A35)</f>
        <v>0</v>
      </c>
      <c r="G35" s="25">
        <f>COUNTIF(TT!$D$120:$D$130,TALLY!A35)</f>
        <v>0</v>
      </c>
      <c r="H35" s="25">
        <f>COUNTIF(TT!$D$138:$D$153,TALLY!A35)</f>
        <v>1</v>
      </c>
      <c r="I35" s="23">
        <f>COUNTIF(TT!$D$160:$D$170,TALLY!A35)</f>
        <v>0</v>
      </c>
      <c r="J35" s="23">
        <f>COUNTIF(TT!$D$177:$D$187,TALLY!A35)</f>
        <v>0</v>
      </c>
      <c r="K35" s="23">
        <f>COUNTIF(TT!$D$194:$D$206,TALLY!A35)</f>
        <v>1</v>
      </c>
      <c r="L35" s="23">
        <f>COUNTIF(TT!$D$215:$D$226,TALLY!A35)</f>
        <v>0</v>
      </c>
      <c r="M35" s="23">
        <f>COUNTIF(TT!$D$234:$D$243,TALLY!A35)</f>
        <v>0</v>
      </c>
      <c r="N35" s="23">
        <f>COUNTIF(TT!$D$250:$D$262,TALLY!A35)</f>
        <v>0</v>
      </c>
      <c r="O35" s="23">
        <f>COUNTIF(TT!$D$270:$D$277,TALLY!A35)</f>
        <v>0</v>
      </c>
      <c r="P35" s="25">
        <f>COUNTIF(TT!$D$284:$D$293,TALLY!A35)</f>
        <v>0</v>
      </c>
      <c r="Q35" s="25">
        <f>COUNTIF(TT!$D$300:$D$313,TALLY!A35)</f>
        <v>0</v>
      </c>
      <c r="R35" s="25">
        <f>COUNTIF(TT!$D$320:$D$333,TALLY!A35)</f>
        <v>0</v>
      </c>
      <c r="S35" s="25">
        <f>COUNTIF(TT!$D$342:$D$352,TALLY!A35)</f>
        <v>0</v>
      </c>
      <c r="T35" s="25">
        <f>COUNTIF(TT!$D$359:$D$376,TALLY!A35)</f>
        <v>0</v>
      </c>
      <c r="U35" s="25">
        <f>COUNTIF(TT!$D$383:$D$398,TALLY!A35)</f>
        <v>1</v>
      </c>
      <c r="V35" s="25">
        <f>COUNTIF(TT!$D$405:$D$424,TALLY!A35)</f>
        <v>0</v>
      </c>
      <c r="W35" s="23">
        <f>COUNTIF(TT!$D$432:$D$442,TALLY!A35)</f>
        <v>0</v>
      </c>
      <c r="X35" s="23">
        <f>COUNTIF(TT!$D$449:$D$460,TALLY!A35)</f>
        <v>0</v>
      </c>
      <c r="Y35" s="23">
        <f>COUNTIF(TT!$D$467:$D$476,TALLY!A35)</f>
        <v>0</v>
      </c>
      <c r="Z35" s="23">
        <f>COUNTIF(TT!$D$483:$D$500,TALLY!A35)</f>
        <v>0</v>
      </c>
      <c r="AA35" s="23">
        <f>COUNTIF(TT!$D$507:$D$522,TALLY!A35)</f>
        <v>1</v>
      </c>
      <c r="AB35" s="23">
        <f>COUNTIF(TT!$D$529:$D$540,TALLY!A35)</f>
        <v>0</v>
      </c>
      <c r="AC35" s="23">
        <f>COUNTIF(TT!$D$546:$D$555,TALLY!A35)</f>
        <v>0</v>
      </c>
      <c r="AD35" s="25">
        <f>COUNTIF(TT!$D$563:$D$573,TALLY!A35)</f>
        <v>0</v>
      </c>
      <c r="AE35" s="25">
        <f>COUNTIF(TT!$D$582:$D$609,TALLY!A35)</f>
        <v>1</v>
      </c>
      <c r="AF35" s="25">
        <f>COUNTIF(TT!$D$615:$D$626,TALLY!A35)</f>
        <v>0</v>
      </c>
      <c r="AG35" s="25">
        <f>COUNTIF(TT!$D$635:$D$648,TALLY!A35)</f>
        <v>0</v>
      </c>
      <c r="AH35" s="25">
        <f>COUNTIF(TT!$D$655:$D$668,TALLY!A35)</f>
        <v>0</v>
      </c>
      <c r="AI35" s="25">
        <f>COUNTIF(TT!$D$675:$D$687,TALLY!A35)</f>
        <v>1</v>
      </c>
      <c r="AJ35" s="25"/>
      <c r="AK35" s="24" t="s">
        <v>111</v>
      </c>
      <c r="AL35" s="23">
        <f t="shared" si="0"/>
        <v>2</v>
      </c>
      <c r="AM35" s="23">
        <f t="shared" si="1"/>
        <v>1</v>
      </c>
      <c r="AN35" s="23">
        <f t="shared" si="2"/>
        <v>1</v>
      </c>
      <c r="AO35" s="23">
        <f t="shared" si="3"/>
        <v>1</v>
      </c>
      <c r="AP35" s="23">
        <f t="shared" si="4"/>
        <v>2</v>
      </c>
      <c r="AQ35">
        <f t="shared" si="5"/>
        <v>7</v>
      </c>
    </row>
    <row r="36" spans="1:43" x14ac:dyDescent="0.35">
      <c r="A36" s="24" t="s">
        <v>113</v>
      </c>
      <c r="B36" s="25">
        <f>COUNTIF(TT!$D$4:$D$25,TALLY!A36)</f>
        <v>0</v>
      </c>
      <c r="C36" s="25">
        <f>COUNTIF(TT!$D$33:$D$50,TALLY!A36)</f>
        <v>0</v>
      </c>
      <c r="D36" s="25">
        <f>COUNTIF(TT!$D$57:$D$75,TALLY!A36)</f>
        <v>1</v>
      </c>
      <c r="E36" s="25">
        <f>COUNTIF(TT!$D$82:$D$95,TALLY!A36)</f>
        <v>0</v>
      </c>
      <c r="F36" s="25">
        <f>COUNTIF(TT!$D$103:$D$112,TALLY!A36)</f>
        <v>0</v>
      </c>
      <c r="G36" s="25">
        <f>COUNTIF(TT!$D$120:$D$130,TALLY!A36)</f>
        <v>0</v>
      </c>
      <c r="H36" s="25">
        <f>COUNTIF(TT!$D$138:$D$153,TALLY!A36)</f>
        <v>1</v>
      </c>
      <c r="I36" s="23">
        <f>COUNTIF(TT!$D$160:$D$170,TALLY!A36)</f>
        <v>0</v>
      </c>
      <c r="J36" s="23">
        <f>COUNTIF(TT!$D$177:$D$187,TALLY!A36)</f>
        <v>0</v>
      </c>
      <c r="K36" s="23">
        <f>COUNTIF(TT!$D$194:$D$206,TALLY!A36)</f>
        <v>1</v>
      </c>
      <c r="L36" s="23">
        <f>COUNTIF(TT!$D$215:$D$226,TALLY!A36)</f>
        <v>0</v>
      </c>
      <c r="M36" s="23">
        <f>COUNTIF(TT!$D$234:$D$243,TALLY!A36)</f>
        <v>0</v>
      </c>
      <c r="N36" s="23">
        <f>COUNTIF(TT!$D$250:$D$262,TALLY!A36)</f>
        <v>0</v>
      </c>
      <c r="O36" s="23">
        <f>COUNTIF(TT!$D$270:$D$277,TALLY!A36)</f>
        <v>0</v>
      </c>
      <c r="P36" s="25">
        <f>COUNTIF(TT!$D$284:$D$293,TALLY!A36)</f>
        <v>0</v>
      </c>
      <c r="Q36" s="25">
        <f>COUNTIF(TT!$D$300:$D$313,TALLY!A36)</f>
        <v>1</v>
      </c>
      <c r="R36" s="25">
        <f>COUNTIF(TT!$D$320:$D$333,TALLY!A36)</f>
        <v>0</v>
      </c>
      <c r="S36" s="25">
        <f>COUNTIF(TT!$D$342:$D$352,TALLY!A36)</f>
        <v>0</v>
      </c>
      <c r="T36" s="25">
        <f>COUNTIF(TT!$D$359:$D$376,TALLY!A36)</f>
        <v>1</v>
      </c>
      <c r="U36" s="25">
        <f>COUNTIF(TT!$D$383:$D$398,TALLY!A36)</f>
        <v>0</v>
      </c>
      <c r="V36" s="25">
        <f>COUNTIF(TT!$D$405:$D$424,TALLY!A36)</f>
        <v>0</v>
      </c>
      <c r="W36" s="23">
        <f>COUNTIF(TT!$D$432:$D$442,TALLY!A36)</f>
        <v>0</v>
      </c>
      <c r="X36" s="23">
        <f>COUNTIF(TT!$D$449:$D$460,TALLY!A36)</f>
        <v>0</v>
      </c>
      <c r="Y36" s="23">
        <f>COUNTIF(TT!$D$467:$D$476,TALLY!A36)</f>
        <v>0</v>
      </c>
      <c r="Z36" s="23">
        <f>COUNTIF(TT!$D$483:$D$500,TALLY!A36)</f>
        <v>0</v>
      </c>
      <c r="AA36" s="23">
        <f>COUNTIF(TT!$D$507:$D$522,TALLY!A36)</f>
        <v>1</v>
      </c>
      <c r="AB36" s="23">
        <f>COUNTIF(TT!$D$529:$D$540,TALLY!A36)</f>
        <v>0</v>
      </c>
      <c r="AC36" s="23">
        <f>COUNTIF(TT!$D$546:$D$555,TALLY!A36)</f>
        <v>0</v>
      </c>
      <c r="AD36" s="25">
        <f>COUNTIF(TT!$D$563:$D$573,TALLY!A36)</f>
        <v>0</v>
      </c>
      <c r="AE36" s="25">
        <f>COUNTIF(TT!$D$582:$D$609,TALLY!A36)</f>
        <v>1</v>
      </c>
      <c r="AF36" s="25">
        <f>COUNTIF(TT!$D$615:$D$626,TALLY!A36)</f>
        <v>0</v>
      </c>
      <c r="AG36" s="25">
        <f>COUNTIF(TT!$D$635:$D$648,TALLY!A36)</f>
        <v>0</v>
      </c>
      <c r="AH36" s="25">
        <f>COUNTIF(TT!$D$655:$D$668,TALLY!A36)</f>
        <v>0</v>
      </c>
      <c r="AI36" s="25">
        <f>COUNTIF(TT!$D$675:$D$687,TALLY!A36)</f>
        <v>0</v>
      </c>
      <c r="AJ36" s="25"/>
      <c r="AK36" s="24" t="s">
        <v>113</v>
      </c>
      <c r="AL36" s="23">
        <f t="shared" ref="AL36:AL67" si="6">SUM($B36:$H36)</f>
        <v>2</v>
      </c>
      <c r="AM36" s="23">
        <f t="shared" ref="AM36:AM67" si="7">SUM(I36:O36)</f>
        <v>1</v>
      </c>
      <c r="AN36" s="23">
        <f t="shared" ref="AN36:AN67" si="8">SUM(P36:V36)</f>
        <v>2</v>
      </c>
      <c r="AO36" s="23">
        <f t="shared" ref="AO36:AO67" si="9">SUM(W36:AA36)</f>
        <v>1</v>
      </c>
      <c r="AP36" s="23">
        <f t="shared" ref="AP36:AP67" si="10">SUM(AD36:AJ36)</f>
        <v>1</v>
      </c>
      <c r="AQ36">
        <f t="shared" ref="AQ36:AQ67" si="11">SUM(AL36:AP36)</f>
        <v>7</v>
      </c>
    </row>
    <row r="37" spans="1:43" x14ac:dyDescent="0.35">
      <c r="A37" s="24" t="s">
        <v>69</v>
      </c>
      <c r="B37" s="25">
        <f>COUNTIF(TT!$D$4:$D$25,TALLY!A37)</f>
        <v>0</v>
      </c>
      <c r="C37" s="25">
        <f>COUNTIF(TT!$D$33:$D$50,TALLY!A37)</f>
        <v>1</v>
      </c>
      <c r="D37" s="25">
        <f>COUNTIF(TT!$D$57:$D$75,TALLY!A37)</f>
        <v>0</v>
      </c>
      <c r="E37" s="25">
        <f>COUNTIF(TT!$D$82:$D$95,TALLY!A37)</f>
        <v>0</v>
      </c>
      <c r="F37" s="25">
        <f>COUNTIF(TT!$D$103:$D$112,TALLY!A37)</f>
        <v>0</v>
      </c>
      <c r="G37" s="25">
        <f>COUNTIF(TT!$D$120:$D$130,TALLY!A37)</f>
        <v>0</v>
      </c>
      <c r="H37" s="25">
        <f>COUNTIF(TT!$D$138:$D$153,TALLY!A37)</f>
        <v>1</v>
      </c>
      <c r="I37" s="23">
        <f>COUNTIF(TT!$D$160:$D$170,TALLY!A37)</f>
        <v>0</v>
      </c>
      <c r="J37" s="23">
        <f>COUNTIF(TT!$D$177:$D$187,TALLY!A37)</f>
        <v>0</v>
      </c>
      <c r="K37" s="23">
        <f>COUNTIF(TT!$D$194:$D$206,TALLY!A37)</f>
        <v>0</v>
      </c>
      <c r="L37" s="23">
        <f>COUNTIF(TT!$D$215:$D$226,TALLY!A37)</f>
        <v>0</v>
      </c>
      <c r="M37" s="23">
        <f>COUNTIF(TT!$D$234:$D$243,TALLY!A37)</f>
        <v>0</v>
      </c>
      <c r="N37" s="23">
        <f>COUNTIF(TT!$D$250:$D$262,TALLY!A37)</f>
        <v>0</v>
      </c>
      <c r="O37" s="23">
        <f>COUNTIF(TT!$D$270:$D$277,TALLY!A37)</f>
        <v>0</v>
      </c>
      <c r="P37" s="25">
        <f>COUNTIF(TT!$D$284:$D$293,TALLY!A37)</f>
        <v>0</v>
      </c>
      <c r="Q37" s="25">
        <f>COUNTIF(TT!$D$300:$D$313,TALLY!A37)</f>
        <v>0</v>
      </c>
      <c r="R37" s="25">
        <f>COUNTIF(TT!$D$320:$D$333,TALLY!A37)</f>
        <v>1</v>
      </c>
      <c r="S37" s="25">
        <f>COUNTIF(TT!$D$342:$D$352,TALLY!A37)</f>
        <v>0</v>
      </c>
      <c r="T37" s="25">
        <f>COUNTIF(TT!$D$359:$D$376,TALLY!A37)</f>
        <v>0</v>
      </c>
      <c r="U37" s="25">
        <f>COUNTIF(TT!$D$383:$D$398,TALLY!A37)</f>
        <v>0</v>
      </c>
      <c r="V37" s="25">
        <f>COUNTIF(TT!$D$405:$D$424,TALLY!A37)</f>
        <v>1</v>
      </c>
      <c r="W37" s="23">
        <f>COUNTIF(TT!$D$432:$D$442,TALLY!A37)</f>
        <v>0</v>
      </c>
      <c r="X37" s="23">
        <f>COUNTIF(TT!$D$449:$D$460,TALLY!A37)</f>
        <v>1</v>
      </c>
      <c r="Y37" s="23">
        <f>COUNTIF(TT!$D$467:$D$476,TALLY!A37)</f>
        <v>0</v>
      </c>
      <c r="Z37" s="23">
        <f>COUNTIF(TT!$D$483:$D$500,TALLY!A37)</f>
        <v>0</v>
      </c>
      <c r="AA37" s="23">
        <f>COUNTIF(TT!$D$507:$D$522,TALLY!A37)</f>
        <v>0</v>
      </c>
      <c r="AB37" s="23">
        <f>COUNTIF(TT!$D$529:$D$540,TALLY!A37)</f>
        <v>0</v>
      </c>
      <c r="AC37" s="23">
        <f>COUNTIF(TT!$D$546:$D$555,TALLY!A37)</f>
        <v>0</v>
      </c>
      <c r="AD37" s="25">
        <f>COUNTIF(TT!$D$563:$D$573,TALLY!A37)</f>
        <v>0</v>
      </c>
      <c r="AE37" s="25">
        <f>COUNTIF(TT!$D$582:$D$609,TALLY!A37)</f>
        <v>1</v>
      </c>
      <c r="AF37" s="25">
        <f>COUNTIF(TT!$D$615:$D$626,TALLY!A37)</f>
        <v>0</v>
      </c>
      <c r="AG37" s="25">
        <f>COUNTIF(TT!$D$635:$D$648,TALLY!A37)</f>
        <v>0</v>
      </c>
      <c r="AH37" s="25">
        <f>COUNTIF(TT!$D$655:$D$668,TALLY!A37)</f>
        <v>0</v>
      </c>
      <c r="AI37" s="25">
        <f>COUNTIF(TT!$D$675:$D$687,TALLY!A37)</f>
        <v>1</v>
      </c>
      <c r="AJ37" s="25"/>
      <c r="AK37" s="24" t="s">
        <v>69</v>
      </c>
      <c r="AL37" s="23">
        <f t="shared" si="6"/>
        <v>2</v>
      </c>
      <c r="AM37" s="23">
        <f t="shared" si="7"/>
        <v>0</v>
      </c>
      <c r="AN37" s="23">
        <f t="shared" si="8"/>
        <v>2</v>
      </c>
      <c r="AO37" s="23">
        <f t="shared" si="9"/>
        <v>1</v>
      </c>
      <c r="AP37" s="23">
        <f t="shared" si="10"/>
        <v>2</v>
      </c>
      <c r="AQ37">
        <f t="shared" si="11"/>
        <v>7</v>
      </c>
    </row>
    <row r="38" spans="1:43" x14ac:dyDescent="0.35">
      <c r="A38" s="24" t="s">
        <v>36</v>
      </c>
      <c r="B38" s="25">
        <f>COUNTIF(TT!$D$4:$D$25,TALLY!A38)</f>
        <v>1</v>
      </c>
      <c r="C38" s="25">
        <f>COUNTIF(TT!$D$33:$D$50,TALLY!A38)</f>
        <v>0</v>
      </c>
      <c r="D38" s="25">
        <f>COUNTIF(TT!$D$57:$D$75,TALLY!A38)</f>
        <v>0</v>
      </c>
      <c r="E38" s="25">
        <f>COUNTIF(TT!$D$82:$D$95,TALLY!A38)</f>
        <v>0</v>
      </c>
      <c r="F38" s="25">
        <f>COUNTIF(TT!$D$103:$D$112,TALLY!A38)</f>
        <v>1</v>
      </c>
      <c r="G38" s="25">
        <f>COUNTIF(TT!$D$120:$D$130,TALLY!A38)</f>
        <v>0</v>
      </c>
      <c r="H38" s="25">
        <f>COUNTIF(TT!$D$138:$D$153,TALLY!A38)</f>
        <v>0</v>
      </c>
      <c r="I38" s="23">
        <f>COUNTIF(TT!$D$160:$D$170,TALLY!A38)</f>
        <v>0</v>
      </c>
      <c r="J38" s="23">
        <f>COUNTIF(TT!$D$177:$D$187,TALLY!A38)</f>
        <v>0</v>
      </c>
      <c r="K38" s="23">
        <f>COUNTIF(TT!$D$194:$D$206,TALLY!A38)</f>
        <v>1</v>
      </c>
      <c r="L38" s="23">
        <f>COUNTIF(TT!$D$215:$D$226,TALLY!A38)</f>
        <v>0</v>
      </c>
      <c r="M38" s="23">
        <f>COUNTIF(TT!$D$234:$D$243,TALLY!A38)</f>
        <v>0</v>
      </c>
      <c r="N38" s="23">
        <f>COUNTIF(TT!$D$250:$D$262,TALLY!A38)</f>
        <v>0</v>
      </c>
      <c r="O38" s="23">
        <f>COUNTIF(TT!$D$270:$D$277,TALLY!A38)</f>
        <v>0</v>
      </c>
      <c r="P38" s="25">
        <f>COUNTIF(TT!$D$284:$D$293,TALLY!A38)</f>
        <v>0</v>
      </c>
      <c r="Q38" s="25">
        <f>COUNTIF(TT!$D$300:$D$313,TALLY!A38)</f>
        <v>0</v>
      </c>
      <c r="R38" s="25">
        <f>COUNTIF(TT!$D$320:$D$333,TALLY!A38)</f>
        <v>1</v>
      </c>
      <c r="S38" s="25">
        <f>COUNTIF(TT!$D$342:$D$352,TALLY!A38)</f>
        <v>0</v>
      </c>
      <c r="T38" s="25">
        <f>COUNTIF(TT!$D$359:$D$376,TALLY!A38)</f>
        <v>0</v>
      </c>
      <c r="U38" s="25">
        <f>COUNTIF(TT!$D$383:$D$398,TALLY!A38)</f>
        <v>1</v>
      </c>
      <c r="V38" s="25">
        <f>COUNTIF(TT!$D$405:$D$424,TALLY!A38)</f>
        <v>0</v>
      </c>
      <c r="W38" s="23">
        <f>COUNTIF(TT!$D$432:$D$442,TALLY!A38)</f>
        <v>0</v>
      </c>
      <c r="X38" s="23">
        <f>COUNTIF(TT!$D$449:$D$460,TALLY!A38)</f>
        <v>1</v>
      </c>
      <c r="Y38" s="23">
        <f>COUNTIF(TT!$D$467:$D$476,TALLY!A38)</f>
        <v>0</v>
      </c>
      <c r="Z38" s="23">
        <f>COUNTIF(TT!$D$483:$D$500,TALLY!A38)</f>
        <v>0</v>
      </c>
      <c r="AA38" s="23">
        <f>COUNTIF(TT!$D$507:$D$522,TALLY!A38)</f>
        <v>0</v>
      </c>
      <c r="AB38" s="23">
        <f>COUNTIF(TT!$D$529:$D$540,TALLY!A38)</f>
        <v>1</v>
      </c>
      <c r="AC38" s="23">
        <f>COUNTIF(TT!$D$546:$D$555,TALLY!A38)</f>
        <v>0</v>
      </c>
      <c r="AD38" s="25">
        <f>COUNTIF(TT!$D$563:$D$573,TALLY!A38)</f>
        <v>0</v>
      </c>
      <c r="AE38" s="25">
        <f>COUNTIF(TT!$D$582:$D$609,TALLY!A38)</f>
        <v>1</v>
      </c>
      <c r="AF38" s="25">
        <f>COUNTIF(TT!$D$615:$D$626,TALLY!A38)</f>
        <v>0</v>
      </c>
      <c r="AG38" s="25">
        <f>COUNTIF(TT!$D$635:$D$648,TALLY!A38)</f>
        <v>0</v>
      </c>
      <c r="AH38" s="25">
        <f>COUNTIF(TT!$D$655:$D$668,TALLY!A38)</f>
        <v>0</v>
      </c>
      <c r="AI38" s="25">
        <f>COUNTIF(TT!$D$675:$D$687,TALLY!A38)</f>
        <v>0</v>
      </c>
      <c r="AJ38" s="25"/>
      <c r="AK38" s="24" t="s">
        <v>36</v>
      </c>
      <c r="AL38" s="23">
        <f t="shared" si="6"/>
        <v>2</v>
      </c>
      <c r="AM38" s="23">
        <f t="shared" si="7"/>
        <v>1</v>
      </c>
      <c r="AN38" s="23">
        <f t="shared" si="8"/>
        <v>2</v>
      </c>
      <c r="AO38" s="23">
        <f t="shared" si="9"/>
        <v>1</v>
      </c>
      <c r="AP38" s="23">
        <f t="shared" si="10"/>
        <v>1</v>
      </c>
      <c r="AQ38">
        <f t="shared" si="11"/>
        <v>7</v>
      </c>
    </row>
    <row r="39" spans="1:43" x14ac:dyDescent="0.35">
      <c r="A39" s="24" t="s">
        <v>49</v>
      </c>
      <c r="B39" s="25">
        <f>COUNTIF(TT!$D$4:$D$25,TALLY!A39)</f>
        <v>0</v>
      </c>
      <c r="C39" s="25">
        <f>COUNTIF(TT!$D$33:$D$50,TALLY!A39)</f>
        <v>1</v>
      </c>
      <c r="D39" s="25">
        <f>COUNTIF(TT!$D$57:$D$75,TALLY!A39)</f>
        <v>0</v>
      </c>
      <c r="E39" s="25">
        <f>COUNTIF(TT!$D$82:$D$95,TALLY!A39)</f>
        <v>0</v>
      </c>
      <c r="F39" s="25">
        <f>COUNTIF(TT!$D$103:$D$112,TALLY!A39)</f>
        <v>0</v>
      </c>
      <c r="G39" s="25">
        <f>COUNTIF(TT!$D$120:$D$130,TALLY!A39)</f>
        <v>1</v>
      </c>
      <c r="H39" s="25">
        <f>COUNTIF(TT!$D$138:$D$153,TALLY!A39)</f>
        <v>0</v>
      </c>
      <c r="I39" s="23">
        <f>COUNTIF(TT!$D$160:$D$170,TALLY!A39)</f>
        <v>0</v>
      </c>
      <c r="J39" s="23">
        <f>COUNTIF(TT!$D$177:$D$187,TALLY!A39)</f>
        <v>0</v>
      </c>
      <c r="K39" s="23">
        <f>COUNTIF(TT!$D$194:$D$206,TALLY!A39)</f>
        <v>0</v>
      </c>
      <c r="L39" s="23">
        <f>COUNTIF(TT!$D$215:$D$226,TALLY!A39)</f>
        <v>0</v>
      </c>
      <c r="M39" s="23">
        <f>COUNTIF(TT!$D$234:$D$243,TALLY!A39)</f>
        <v>0</v>
      </c>
      <c r="N39" s="23">
        <f>COUNTIF(TT!$D$250:$D$262,TALLY!A39)</f>
        <v>0</v>
      </c>
      <c r="O39" s="23">
        <f>COUNTIF(TT!$D$270:$D$277,TALLY!A39)</f>
        <v>0</v>
      </c>
      <c r="P39" s="25">
        <f>COUNTIF(TT!$D$284:$D$293,TALLY!A39)</f>
        <v>1</v>
      </c>
      <c r="Q39" s="25">
        <f>COUNTIF(TT!$D$300:$D$313,TALLY!A39)</f>
        <v>0</v>
      </c>
      <c r="R39" s="25">
        <f>COUNTIF(TT!$D$320:$D$333,TALLY!A39)</f>
        <v>0</v>
      </c>
      <c r="S39" s="25">
        <f>COUNTIF(TT!$D$342:$D$352,TALLY!A39)</f>
        <v>0</v>
      </c>
      <c r="T39" s="25">
        <f>COUNTIF(TT!$D$359:$D$376,TALLY!A39)</f>
        <v>1</v>
      </c>
      <c r="U39" s="25">
        <f>COUNTIF(TT!$D$383:$D$398,TALLY!A39)</f>
        <v>0</v>
      </c>
      <c r="V39" s="25">
        <f>COUNTIF(TT!$D$405:$D$424,TALLY!A39)</f>
        <v>0</v>
      </c>
      <c r="W39" s="23">
        <f>COUNTIF(TT!$D$432:$D$442,TALLY!A39)</f>
        <v>0</v>
      </c>
      <c r="X39" s="23">
        <f>COUNTIF(TT!$D$449:$D$460,TALLY!A39)</f>
        <v>0</v>
      </c>
      <c r="Y39" s="23">
        <f>COUNTIF(TT!$D$467:$D$476,TALLY!A39)</f>
        <v>1</v>
      </c>
      <c r="Z39" s="23">
        <f>COUNTIF(TT!$D$483:$D$500,TALLY!A39)</f>
        <v>0</v>
      </c>
      <c r="AA39" s="23">
        <f>COUNTIF(TT!$D$507:$D$522,TALLY!A39)</f>
        <v>0</v>
      </c>
      <c r="AB39" s="23">
        <f>COUNTIF(TT!$D$529:$D$540,TALLY!A39)</f>
        <v>0</v>
      </c>
      <c r="AC39" s="23">
        <f>COUNTIF(TT!$D$546:$D$555,TALLY!A39)</f>
        <v>0</v>
      </c>
      <c r="AD39" s="25">
        <f>COUNTIF(TT!$D$563:$D$573,TALLY!A39)</f>
        <v>0</v>
      </c>
      <c r="AE39" s="25">
        <f>COUNTIF(TT!$D$582:$D$609,TALLY!A39)</f>
        <v>1</v>
      </c>
      <c r="AF39" s="25">
        <f>COUNTIF(TT!$D$615:$D$626,TALLY!A39)</f>
        <v>0</v>
      </c>
      <c r="AG39" s="25">
        <f>COUNTIF(TT!$D$635:$D$648,TALLY!A39)</f>
        <v>0</v>
      </c>
      <c r="AH39" s="25">
        <f>COUNTIF(TT!$D$655:$D$668,TALLY!A39)</f>
        <v>1</v>
      </c>
      <c r="AI39" s="25">
        <f>COUNTIF(TT!$D$675:$D$687,TALLY!A39)</f>
        <v>0</v>
      </c>
      <c r="AJ39" s="25"/>
      <c r="AK39" s="24" t="s">
        <v>49</v>
      </c>
      <c r="AL39" s="23">
        <f t="shared" si="6"/>
        <v>2</v>
      </c>
      <c r="AM39" s="23">
        <f t="shared" si="7"/>
        <v>0</v>
      </c>
      <c r="AN39" s="23">
        <f t="shared" si="8"/>
        <v>2</v>
      </c>
      <c r="AO39" s="23">
        <f t="shared" si="9"/>
        <v>1</v>
      </c>
      <c r="AP39" s="23">
        <f t="shared" si="10"/>
        <v>2</v>
      </c>
      <c r="AQ39">
        <f t="shared" si="11"/>
        <v>7</v>
      </c>
    </row>
    <row r="40" spans="1:43" x14ac:dyDescent="0.35">
      <c r="A40" s="24" t="s">
        <v>88</v>
      </c>
      <c r="B40" s="25">
        <f>COUNTIF(TT!$D$4:$D$25,TALLY!A40)</f>
        <v>0</v>
      </c>
      <c r="C40" s="25">
        <f>COUNTIF(TT!$D$33:$D$50,TALLY!A40)</f>
        <v>1</v>
      </c>
      <c r="D40" s="25">
        <f>COUNTIF(TT!$D$57:$D$75,TALLY!A40)</f>
        <v>0</v>
      </c>
      <c r="E40" s="25">
        <f>COUNTIF(TT!$D$82:$D$95,TALLY!A40)</f>
        <v>0</v>
      </c>
      <c r="F40" s="25">
        <f>COUNTIF(TT!$D$103:$D$112,TALLY!A40)</f>
        <v>0</v>
      </c>
      <c r="G40" s="25">
        <f>COUNTIF(TT!$D$120:$D$130,TALLY!A40)</f>
        <v>0</v>
      </c>
      <c r="H40" s="25">
        <f>COUNTIF(TT!$D$138:$D$153,TALLY!A40)</f>
        <v>1</v>
      </c>
      <c r="I40" s="23">
        <f>COUNTIF(TT!$D$160:$D$170,TALLY!A40)</f>
        <v>0</v>
      </c>
      <c r="J40" s="23">
        <f>COUNTIF(TT!$D$177:$D$187,TALLY!A40)</f>
        <v>0</v>
      </c>
      <c r="K40" s="23">
        <f>COUNTIF(TT!$D$194:$D$206,TALLY!A40)</f>
        <v>0</v>
      </c>
      <c r="L40" s="23">
        <f>COUNTIF(TT!$D$215:$D$226,TALLY!A40)</f>
        <v>0</v>
      </c>
      <c r="M40" s="23">
        <f>COUNTIF(TT!$D$234:$D$243,TALLY!A40)</f>
        <v>1</v>
      </c>
      <c r="N40" s="23">
        <f>COUNTIF(TT!$D$250:$D$262,TALLY!A40)</f>
        <v>0</v>
      </c>
      <c r="O40" s="23">
        <f>COUNTIF(TT!$D$270:$D$277,TALLY!A40)</f>
        <v>0</v>
      </c>
      <c r="P40" s="25">
        <f>COUNTIF(TT!$D$284:$D$293,TALLY!A40)</f>
        <v>0</v>
      </c>
      <c r="Q40" s="25">
        <f>COUNTIF(TT!$D$300:$D$313,TALLY!A40)</f>
        <v>0</v>
      </c>
      <c r="R40" s="25">
        <f>COUNTIF(TT!$D$320:$D$333,TALLY!A40)</f>
        <v>0</v>
      </c>
      <c r="S40" s="25">
        <f>COUNTIF(TT!$D$342:$D$352,TALLY!A40)</f>
        <v>1</v>
      </c>
      <c r="T40" s="25">
        <f>COUNTIF(TT!$D$359:$D$376,TALLY!A40)</f>
        <v>0</v>
      </c>
      <c r="U40" s="25">
        <f>COUNTIF(TT!$D$383:$D$398,TALLY!A40)</f>
        <v>0</v>
      </c>
      <c r="V40" s="25">
        <f>COUNTIF(TT!$D$405:$D$424,TALLY!A40)</f>
        <v>1</v>
      </c>
      <c r="W40" s="23">
        <f>COUNTIF(TT!$D$432:$D$442,TALLY!A40)</f>
        <v>0</v>
      </c>
      <c r="X40" s="23">
        <f>COUNTIF(TT!$D$449:$D$460,TALLY!A40)</f>
        <v>1</v>
      </c>
      <c r="Y40" s="23">
        <f>COUNTIF(TT!$D$467:$D$476,TALLY!A40)</f>
        <v>0</v>
      </c>
      <c r="Z40" s="23">
        <f>COUNTIF(TT!$D$483:$D$500,TALLY!A40)</f>
        <v>0</v>
      </c>
      <c r="AA40" s="23">
        <f>COUNTIF(TT!$D$507:$D$522,TALLY!A40)</f>
        <v>0</v>
      </c>
      <c r="AB40" s="23">
        <f>COUNTIF(TT!$D$529:$D$540,TALLY!A40)</f>
        <v>1</v>
      </c>
      <c r="AC40" s="23">
        <f>COUNTIF(TT!$D$546:$D$555,TALLY!A40)</f>
        <v>0</v>
      </c>
      <c r="AD40" s="25">
        <f>COUNTIF(TT!$D$563:$D$573,TALLY!A40)</f>
        <v>0</v>
      </c>
      <c r="AE40" s="25">
        <f>COUNTIF(TT!$D$582:$D$609,TALLY!A40)</f>
        <v>0</v>
      </c>
      <c r="AF40" s="25">
        <f>COUNTIF(TT!$D$615:$D$626,TALLY!A40)</f>
        <v>1</v>
      </c>
      <c r="AG40" s="25">
        <f>COUNTIF(TT!$D$635:$D$648,TALLY!A40)</f>
        <v>0</v>
      </c>
      <c r="AH40" s="25">
        <f>COUNTIF(TT!$D$655:$D$668,TALLY!A40)</f>
        <v>0</v>
      </c>
      <c r="AI40" s="25">
        <f>COUNTIF(TT!$D$675:$D$687,TALLY!A40)</f>
        <v>0</v>
      </c>
      <c r="AJ40" s="25"/>
      <c r="AK40" s="24" t="s">
        <v>88</v>
      </c>
      <c r="AL40" s="23">
        <f t="shared" si="6"/>
        <v>2</v>
      </c>
      <c r="AM40" s="23">
        <f t="shared" si="7"/>
        <v>1</v>
      </c>
      <c r="AN40" s="23">
        <f t="shared" si="8"/>
        <v>2</v>
      </c>
      <c r="AO40" s="23">
        <f t="shared" si="9"/>
        <v>1</v>
      </c>
      <c r="AP40" s="23">
        <f t="shared" si="10"/>
        <v>1</v>
      </c>
      <c r="AQ40">
        <f t="shared" si="11"/>
        <v>7</v>
      </c>
    </row>
    <row r="41" spans="1:43" x14ac:dyDescent="0.35">
      <c r="A41" s="24" t="s">
        <v>117</v>
      </c>
      <c r="B41" s="25">
        <f>COUNTIF(TT!$D$4:$D$25,TALLY!A41)</f>
        <v>0</v>
      </c>
      <c r="C41" s="25">
        <f>COUNTIF(TT!$D$33:$D$50,TALLY!A41)</f>
        <v>1</v>
      </c>
      <c r="D41" s="25">
        <f>COUNTIF(TT!$D$57:$D$75,TALLY!A41)</f>
        <v>0</v>
      </c>
      <c r="E41" s="25">
        <f>COUNTIF(TT!$D$82:$D$95,TALLY!A41)</f>
        <v>0</v>
      </c>
      <c r="F41" s="25">
        <f>COUNTIF(TT!$D$103:$D$112,TALLY!A41)</f>
        <v>0</v>
      </c>
      <c r="G41" s="25">
        <f>COUNTIF(TT!$D$120:$D$130,TALLY!A41)</f>
        <v>0</v>
      </c>
      <c r="H41" s="25">
        <f>COUNTIF(TT!$D$138:$D$153,TALLY!A41)</f>
        <v>1</v>
      </c>
      <c r="I41" s="23">
        <f>COUNTIF(TT!$D$160:$D$170,TALLY!A41)</f>
        <v>0</v>
      </c>
      <c r="J41" s="23">
        <f>COUNTIF(TT!$D$177:$D$187,TALLY!A41)</f>
        <v>0</v>
      </c>
      <c r="K41" s="23">
        <f>COUNTIF(TT!$D$194:$D$206,TALLY!A41)</f>
        <v>0</v>
      </c>
      <c r="L41" s="23">
        <f>COUNTIF(TT!$D$215:$D$226,TALLY!A41)</f>
        <v>0</v>
      </c>
      <c r="M41" s="23">
        <f>COUNTIF(TT!$D$234:$D$243,TALLY!A41)</f>
        <v>0</v>
      </c>
      <c r="N41" s="23">
        <f>COUNTIF(TT!$D$250:$D$262,TALLY!A41)</f>
        <v>0</v>
      </c>
      <c r="O41" s="23">
        <f>COUNTIF(TT!$D$270:$D$277,TALLY!A41)</f>
        <v>0</v>
      </c>
      <c r="P41" s="25">
        <f>COUNTIF(TT!$D$284:$D$293,TALLY!A41)</f>
        <v>0</v>
      </c>
      <c r="Q41" s="25">
        <f>COUNTIF(TT!$D$300:$D$313,TALLY!A41)</f>
        <v>0</v>
      </c>
      <c r="R41" s="25">
        <f>COUNTIF(TT!$D$320:$D$333,TALLY!A41)</f>
        <v>1</v>
      </c>
      <c r="S41" s="25">
        <f>COUNTIF(TT!$D$342:$D$352,TALLY!A41)</f>
        <v>0</v>
      </c>
      <c r="T41" s="25">
        <f>COUNTIF(TT!$D$359:$D$376,TALLY!A41)</f>
        <v>0</v>
      </c>
      <c r="U41" s="25">
        <f>COUNTIF(TT!$D$383:$D$398,TALLY!A41)</f>
        <v>0</v>
      </c>
      <c r="V41" s="25">
        <f>COUNTIF(TT!$D$405:$D$424,TALLY!A41)</f>
        <v>1</v>
      </c>
      <c r="W41" s="23">
        <f>COUNTIF(TT!$D$432:$D$442,TALLY!A41)</f>
        <v>0</v>
      </c>
      <c r="X41" s="23">
        <f>COUNTIF(TT!$D$449:$D$460,TALLY!A41)</f>
        <v>0</v>
      </c>
      <c r="Y41" s="23">
        <f>COUNTIF(TT!$D$467:$D$476,TALLY!A41)</f>
        <v>0</v>
      </c>
      <c r="Z41" s="23">
        <f>COUNTIF(TT!$D$483:$D$500,TALLY!A41)</f>
        <v>1</v>
      </c>
      <c r="AA41" s="23">
        <f>COUNTIF(TT!$D$507:$D$522,TALLY!A41)</f>
        <v>0</v>
      </c>
      <c r="AB41" s="23">
        <f>COUNTIF(TT!$D$529:$D$540,TALLY!A41)</f>
        <v>0</v>
      </c>
      <c r="AC41" s="23">
        <f>COUNTIF(TT!$D$546:$D$555,TALLY!A41)</f>
        <v>0</v>
      </c>
      <c r="AD41" s="25">
        <f>COUNTIF(TT!$D$563:$D$573,TALLY!A41)</f>
        <v>1</v>
      </c>
      <c r="AE41" s="25">
        <f>COUNTIF(TT!$D$582:$D$609,TALLY!A41)</f>
        <v>0</v>
      </c>
      <c r="AF41" s="25">
        <f>COUNTIF(TT!$D$615:$D$626,TALLY!A41)</f>
        <v>0</v>
      </c>
      <c r="AG41" s="25">
        <f>COUNTIF(TT!$D$635:$D$648,TALLY!A41)</f>
        <v>0</v>
      </c>
      <c r="AH41" s="25">
        <f>COUNTIF(TT!$D$655:$D$668,TALLY!A41)</f>
        <v>0</v>
      </c>
      <c r="AI41" s="25">
        <f>COUNTIF(TT!$D$675:$D$687,TALLY!A41)</f>
        <v>0</v>
      </c>
      <c r="AJ41" s="25"/>
      <c r="AK41" s="24" t="s">
        <v>117</v>
      </c>
      <c r="AL41" s="23">
        <f t="shared" si="6"/>
        <v>2</v>
      </c>
      <c r="AM41" s="23">
        <f t="shared" si="7"/>
        <v>0</v>
      </c>
      <c r="AN41" s="23">
        <f t="shared" si="8"/>
        <v>2</v>
      </c>
      <c r="AO41" s="23">
        <f t="shared" si="9"/>
        <v>1</v>
      </c>
      <c r="AP41" s="23">
        <f t="shared" si="10"/>
        <v>1</v>
      </c>
      <c r="AQ41">
        <f t="shared" si="11"/>
        <v>6</v>
      </c>
    </row>
    <row r="42" spans="1:43" x14ac:dyDescent="0.35">
      <c r="A42" s="24" t="s">
        <v>150</v>
      </c>
      <c r="B42" s="25">
        <f>COUNTIF(TT!$D$4:$D$25,TALLY!A42)</f>
        <v>1</v>
      </c>
      <c r="C42" s="25">
        <f>COUNTIF(TT!$D$33:$D$50,TALLY!A42)</f>
        <v>0</v>
      </c>
      <c r="D42" s="25">
        <f>COUNTIF(TT!$D$57:$D$75,TALLY!A42)</f>
        <v>0</v>
      </c>
      <c r="E42" s="25">
        <f>COUNTIF(TT!$D$82:$D$95,TALLY!A42)</f>
        <v>1</v>
      </c>
      <c r="F42" s="25">
        <f>COUNTIF(TT!$D$103:$D$112,TALLY!A42)</f>
        <v>0</v>
      </c>
      <c r="G42" s="25">
        <f>COUNTIF(TT!$D$120:$D$130,TALLY!A42)</f>
        <v>0</v>
      </c>
      <c r="H42" s="25">
        <f>COUNTIF(TT!$D$138:$D$153,TALLY!A42)</f>
        <v>0</v>
      </c>
      <c r="I42" s="23">
        <f>COUNTIF(TT!$D$160:$D$170,TALLY!A42)</f>
        <v>0</v>
      </c>
      <c r="J42" s="23">
        <f>COUNTIF(TT!$D$177:$D$187,TALLY!A42)</f>
        <v>0</v>
      </c>
      <c r="K42" s="23">
        <f>COUNTIF(TT!$D$194:$D$206,TALLY!A42)</f>
        <v>0</v>
      </c>
      <c r="L42" s="23">
        <f>COUNTIF(TT!$D$215:$D$226,TALLY!A42)</f>
        <v>0</v>
      </c>
      <c r="M42" s="23">
        <f>COUNTIF(TT!$D$234:$D$243,TALLY!A42)</f>
        <v>0</v>
      </c>
      <c r="N42" s="23">
        <f>COUNTIF(TT!$D$250:$D$262,TALLY!A42)</f>
        <v>0</v>
      </c>
      <c r="O42" s="23">
        <f>COUNTIF(TT!$D$270:$D$277,TALLY!A42)</f>
        <v>0</v>
      </c>
      <c r="P42" s="25">
        <f>COUNTIF(TT!$D$284:$D$293,TALLY!A42)</f>
        <v>0</v>
      </c>
      <c r="Q42" s="25">
        <f>COUNTIF(TT!$D$300:$D$313,TALLY!A42)</f>
        <v>0</v>
      </c>
      <c r="R42" s="25">
        <f>COUNTIF(TT!$D$320:$D$333,TALLY!A42)</f>
        <v>1</v>
      </c>
      <c r="S42" s="25">
        <f>COUNTIF(TT!$D$342:$D$352,TALLY!A42)</f>
        <v>0</v>
      </c>
      <c r="T42" s="25">
        <f>COUNTIF(TT!$D$359:$D$376,TALLY!A42)</f>
        <v>0</v>
      </c>
      <c r="U42" s="25">
        <f>COUNTIF(TT!$D$383:$D$398,TALLY!A42)</f>
        <v>0</v>
      </c>
      <c r="V42" s="25">
        <f>COUNTIF(TT!$D$405:$D$424,TALLY!A42)</f>
        <v>1</v>
      </c>
      <c r="W42" s="23">
        <f>COUNTIF(TT!$D$432:$D$442,TALLY!A42)</f>
        <v>0</v>
      </c>
      <c r="X42" s="23">
        <f>COUNTIF(TT!$D$449:$D$460,TALLY!A42)</f>
        <v>0</v>
      </c>
      <c r="Y42" s="23">
        <f>COUNTIF(TT!$D$467:$D$476,TALLY!A42)</f>
        <v>0</v>
      </c>
      <c r="Z42" s="23">
        <f>COUNTIF(TT!$D$483:$D$500,TALLY!A42)</f>
        <v>1</v>
      </c>
      <c r="AA42" s="23">
        <f>COUNTIF(TT!$D$507:$D$522,TALLY!A42)</f>
        <v>0</v>
      </c>
      <c r="AB42" s="23">
        <f>COUNTIF(TT!$D$529:$D$540,TALLY!A42)</f>
        <v>0</v>
      </c>
      <c r="AC42" s="23">
        <f>COUNTIF(TT!$D$546:$D$555,TALLY!A42)</f>
        <v>1</v>
      </c>
      <c r="AD42" s="25">
        <f>COUNTIF(TT!$D$563:$D$573,TALLY!A42)</f>
        <v>0</v>
      </c>
      <c r="AE42" s="25">
        <f>COUNTIF(TT!$D$582:$D$609,TALLY!A42)</f>
        <v>0</v>
      </c>
      <c r="AF42" s="25">
        <f>COUNTIF(TT!$D$615:$D$626,TALLY!A42)</f>
        <v>0</v>
      </c>
      <c r="AG42" s="25">
        <f>COUNTIF(TT!$D$635:$D$648,TALLY!A42)</f>
        <v>0</v>
      </c>
      <c r="AH42" s="25">
        <f>COUNTIF(TT!$D$655:$D$668,TALLY!A42)</f>
        <v>0</v>
      </c>
      <c r="AI42" s="25">
        <f>COUNTIF(TT!$D$675:$D$687,TALLY!A42)</f>
        <v>0</v>
      </c>
      <c r="AJ42" s="25"/>
      <c r="AK42" s="24" t="s">
        <v>150</v>
      </c>
      <c r="AL42" s="23">
        <f t="shared" si="6"/>
        <v>2</v>
      </c>
      <c r="AM42" s="23">
        <f t="shared" si="7"/>
        <v>0</v>
      </c>
      <c r="AN42" s="23">
        <f t="shared" si="8"/>
        <v>2</v>
      </c>
      <c r="AO42" s="23">
        <f t="shared" si="9"/>
        <v>1</v>
      </c>
      <c r="AP42" s="23">
        <f t="shared" si="10"/>
        <v>0</v>
      </c>
      <c r="AQ42">
        <f t="shared" si="11"/>
        <v>5</v>
      </c>
    </row>
    <row r="43" spans="1:43" x14ac:dyDescent="0.35">
      <c r="A43" s="24" t="s">
        <v>75</v>
      </c>
      <c r="B43" s="25">
        <f>COUNTIF(TT!$D$4:$D$25,TALLY!A43)</f>
        <v>1</v>
      </c>
      <c r="C43" s="25">
        <f>COUNTIF(TT!$D$33:$D$50,TALLY!A43)</f>
        <v>0</v>
      </c>
      <c r="D43" s="25">
        <f>COUNTIF(TT!$D$57:$D$75,TALLY!A43)</f>
        <v>0</v>
      </c>
      <c r="E43" s="25">
        <f>COUNTIF(TT!$D$82:$D$95,TALLY!A43)</f>
        <v>1</v>
      </c>
      <c r="F43" s="25">
        <f>COUNTIF(TT!$D$103:$D$112,TALLY!A43)</f>
        <v>0</v>
      </c>
      <c r="G43" s="25">
        <f>COUNTIF(TT!$D$120:$D$130,TALLY!A43)</f>
        <v>0</v>
      </c>
      <c r="H43" s="25">
        <f>COUNTIF(TT!$D$138:$D$153,TALLY!A43)</f>
        <v>0</v>
      </c>
      <c r="I43" s="23">
        <f>COUNTIF(TT!$D$160:$D$170,TALLY!A43)</f>
        <v>0</v>
      </c>
      <c r="J43" s="23">
        <f>COUNTIF(TT!$D$177:$D$187,TALLY!A43)</f>
        <v>0</v>
      </c>
      <c r="K43" s="23">
        <f>COUNTIF(TT!$D$194:$D$206,TALLY!A43)</f>
        <v>0</v>
      </c>
      <c r="L43" s="23">
        <f>COUNTIF(TT!$D$215:$D$226,TALLY!A43)</f>
        <v>0</v>
      </c>
      <c r="M43" s="23">
        <f>COUNTIF(TT!$D$234:$D$243,TALLY!A43)</f>
        <v>0</v>
      </c>
      <c r="N43" s="23">
        <f>COUNTIF(TT!$D$250:$D$262,TALLY!A43)</f>
        <v>0</v>
      </c>
      <c r="O43" s="23">
        <f>COUNTIF(TT!$D$270:$D$277,TALLY!A43)</f>
        <v>0</v>
      </c>
      <c r="P43" s="25">
        <f>COUNTIF(TT!$D$284:$D$293,TALLY!A43)</f>
        <v>1</v>
      </c>
      <c r="Q43" s="25">
        <f>COUNTIF(TT!$D$300:$D$313,TALLY!A43)</f>
        <v>0</v>
      </c>
      <c r="R43" s="25">
        <f>COUNTIF(TT!$D$320:$D$333,TALLY!A43)</f>
        <v>0</v>
      </c>
      <c r="S43" s="25">
        <f>COUNTIF(TT!$D$342:$D$352,TALLY!A43)</f>
        <v>0</v>
      </c>
      <c r="T43" s="25">
        <f>COUNTIF(TT!$D$359:$D$376,TALLY!A43)</f>
        <v>0</v>
      </c>
      <c r="U43" s="25">
        <f>COUNTIF(TT!$D$383:$D$398,TALLY!A43)</f>
        <v>0</v>
      </c>
      <c r="V43" s="25">
        <f>COUNTIF(TT!$D$405:$D$424,TALLY!A43)</f>
        <v>1</v>
      </c>
      <c r="W43" s="23">
        <f>COUNTIF(TT!$D$432:$D$442,TALLY!A43)</f>
        <v>0</v>
      </c>
      <c r="X43" s="23">
        <f>COUNTIF(TT!$D$449:$D$460,TALLY!A43)</f>
        <v>1</v>
      </c>
      <c r="Y43" s="23">
        <f>COUNTIF(TT!$D$467:$D$476,TALLY!A43)</f>
        <v>0</v>
      </c>
      <c r="Z43" s="23">
        <f>COUNTIF(TT!$D$483:$D$500,TALLY!A43)</f>
        <v>0</v>
      </c>
      <c r="AA43" s="23">
        <f>COUNTIF(TT!$D$507:$D$522,TALLY!A43)</f>
        <v>0</v>
      </c>
      <c r="AB43" s="23">
        <f>COUNTIF(TT!$D$529:$D$540,TALLY!A43)</f>
        <v>0</v>
      </c>
      <c r="AC43" s="23">
        <f>COUNTIF(TT!$D$546:$D$555,TALLY!A43)</f>
        <v>0</v>
      </c>
      <c r="AD43" s="25">
        <f>COUNTIF(TT!$D$563:$D$573,TALLY!A43)</f>
        <v>0</v>
      </c>
      <c r="AE43" s="25">
        <f>COUNTIF(TT!$D$582:$D$609,TALLY!A43)</f>
        <v>0</v>
      </c>
      <c r="AF43" s="25">
        <f>COUNTIF(TT!$D$615:$D$626,TALLY!A43)</f>
        <v>1</v>
      </c>
      <c r="AG43" s="25">
        <f>COUNTIF(TT!$D$635:$D$648,TALLY!A43)</f>
        <v>0</v>
      </c>
      <c r="AH43" s="25">
        <f>COUNTIF(TT!$D$655:$D$668,TALLY!A43)</f>
        <v>0</v>
      </c>
      <c r="AI43" s="25">
        <f>COUNTIF(TT!$D$675:$D$687,TALLY!A43)</f>
        <v>0</v>
      </c>
      <c r="AJ43" s="25"/>
      <c r="AK43" s="24" t="s">
        <v>75</v>
      </c>
      <c r="AL43" s="23">
        <f t="shared" si="6"/>
        <v>2</v>
      </c>
      <c r="AM43" s="23">
        <f t="shared" si="7"/>
        <v>0</v>
      </c>
      <c r="AN43" s="23">
        <f t="shared" si="8"/>
        <v>2</v>
      </c>
      <c r="AO43" s="23">
        <f t="shared" si="9"/>
        <v>1</v>
      </c>
      <c r="AP43" s="23">
        <f t="shared" si="10"/>
        <v>1</v>
      </c>
      <c r="AQ43">
        <f t="shared" si="11"/>
        <v>6</v>
      </c>
    </row>
    <row r="44" spans="1:43" x14ac:dyDescent="0.35">
      <c r="A44" s="24" t="s">
        <v>27</v>
      </c>
      <c r="B44" s="25">
        <f>COUNTIF(TT!$D$4:$D$25,TALLY!A44)</f>
        <v>0</v>
      </c>
      <c r="C44" s="25">
        <f>COUNTIF(TT!$D$33:$D$50,TALLY!A44)</f>
        <v>0</v>
      </c>
      <c r="D44" s="25">
        <f>COUNTIF(TT!$D$57:$D$75,TALLY!A44)</f>
        <v>1</v>
      </c>
      <c r="E44" s="25">
        <f>COUNTIF(TT!$D$82:$D$95,TALLY!A44)</f>
        <v>0</v>
      </c>
      <c r="F44" s="25">
        <f>COUNTIF(TT!$D$103:$D$112,TALLY!A44)</f>
        <v>0</v>
      </c>
      <c r="G44" s="25">
        <f>COUNTIF(TT!$D$120:$D$130,TALLY!A44)</f>
        <v>0</v>
      </c>
      <c r="H44" s="25">
        <f>COUNTIF(TT!$D$138:$D$153,TALLY!A44)</f>
        <v>1</v>
      </c>
      <c r="I44" s="23">
        <f>COUNTIF(TT!$D$160:$D$170,TALLY!A44)</f>
        <v>0</v>
      </c>
      <c r="J44" s="23">
        <f>COUNTIF(TT!$D$177:$D$187,TALLY!A44)</f>
        <v>0</v>
      </c>
      <c r="K44" s="23">
        <f>COUNTIF(TT!$D$194:$D$206,TALLY!A44)</f>
        <v>0</v>
      </c>
      <c r="L44" s="23">
        <f>COUNTIF(TT!$D$215:$D$226,TALLY!A44)</f>
        <v>1</v>
      </c>
      <c r="M44" s="23">
        <f>COUNTIF(TT!$D$234:$D$243,TALLY!A44)</f>
        <v>0</v>
      </c>
      <c r="N44" s="23">
        <f>COUNTIF(TT!$D$250:$D$262,TALLY!A44)</f>
        <v>1</v>
      </c>
      <c r="O44" s="23">
        <f>COUNTIF(TT!$D$270:$D$277,TALLY!A44)</f>
        <v>0</v>
      </c>
      <c r="P44" s="25">
        <f>COUNTIF(TT!$D$284:$D$293,TALLY!A44)</f>
        <v>0</v>
      </c>
      <c r="Q44" s="25">
        <f>COUNTIF(TT!$D$300:$D$313,TALLY!A44)</f>
        <v>0</v>
      </c>
      <c r="R44" s="25">
        <f>COUNTIF(TT!$D$320:$D$333,TALLY!A44)</f>
        <v>1</v>
      </c>
      <c r="S44" s="25">
        <f>COUNTIF(TT!$D$342:$D$352,TALLY!A44)</f>
        <v>0</v>
      </c>
      <c r="T44" s="25">
        <f>COUNTIF(TT!$D$359:$D$376,TALLY!A44)</f>
        <v>0</v>
      </c>
      <c r="U44" s="25">
        <f>COUNTIF(TT!$D$383:$D$398,TALLY!A44)</f>
        <v>0</v>
      </c>
      <c r="V44" s="25">
        <f>COUNTIF(TT!$D$405:$D$424,TALLY!A44)</f>
        <v>0</v>
      </c>
      <c r="W44" s="23">
        <f>COUNTIF(TT!$D$432:$D$442,TALLY!A44)</f>
        <v>0</v>
      </c>
      <c r="X44" s="23">
        <f>COUNTIF(TT!$D$449:$D$460,TALLY!A44)</f>
        <v>0</v>
      </c>
      <c r="Y44" s="23">
        <f>COUNTIF(TT!$D$467:$D$476,TALLY!A44)</f>
        <v>0</v>
      </c>
      <c r="Z44" s="23">
        <f>COUNTIF(TT!$D$483:$D$500,TALLY!A44)</f>
        <v>0</v>
      </c>
      <c r="AA44" s="23">
        <f>COUNTIF(TT!$D$507:$D$522,TALLY!A44)</f>
        <v>1</v>
      </c>
      <c r="AB44" s="23">
        <f>COUNTIF(TT!$D$529:$D$540,TALLY!A44)</f>
        <v>0</v>
      </c>
      <c r="AC44" s="23">
        <f>COUNTIF(TT!$D$546:$D$555,TALLY!A44)</f>
        <v>1</v>
      </c>
      <c r="AD44" s="25">
        <f>COUNTIF(TT!$D$563:$D$573,TALLY!A44)</f>
        <v>0</v>
      </c>
      <c r="AE44" s="25">
        <f>COUNTIF(TT!$D$582:$D$609,TALLY!A44)</f>
        <v>0</v>
      </c>
      <c r="AF44" s="25">
        <f>COUNTIF(TT!$D$615:$D$626,TALLY!A44)</f>
        <v>0</v>
      </c>
      <c r="AG44" s="25">
        <f>COUNTIF(TT!$D$635:$D$648,TALLY!A44)</f>
        <v>0</v>
      </c>
      <c r="AH44" s="25">
        <f>COUNTIF(TT!$D$655:$D$668,TALLY!A44)</f>
        <v>0</v>
      </c>
      <c r="AI44" s="25">
        <f>COUNTIF(TT!$D$675:$D$687,TALLY!A44)</f>
        <v>0</v>
      </c>
      <c r="AJ44" s="25"/>
      <c r="AK44" s="24" t="s">
        <v>27</v>
      </c>
      <c r="AL44" s="23">
        <f t="shared" si="6"/>
        <v>2</v>
      </c>
      <c r="AM44" s="23">
        <f t="shared" si="7"/>
        <v>2</v>
      </c>
      <c r="AN44" s="23">
        <f t="shared" si="8"/>
        <v>1</v>
      </c>
      <c r="AO44" s="23">
        <f t="shared" si="9"/>
        <v>1</v>
      </c>
      <c r="AP44" s="23">
        <f t="shared" si="10"/>
        <v>0</v>
      </c>
      <c r="AQ44">
        <f t="shared" si="11"/>
        <v>6</v>
      </c>
    </row>
    <row r="45" spans="1:43" x14ac:dyDescent="0.35">
      <c r="A45" s="24" t="s">
        <v>48</v>
      </c>
      <c r="B45" s="25">
        <f>COUNTIF(TT!$D$4:$D$25,TALLY!A45)</f>
        <v>0</v>
      </c>
      <c r="C45" s="25">
        <f>COUNTIF(TT!$D$33:$D$50,TALLY!A45)</f>
        <v>0</v>
      </c>
      <c r="D45" s="25">
        <f>COUNTIF(TT!$D$57:$D$75,TALLY!A45)</f>
        <v>0</v>
      </c>
      <c r="E45" s="25">
        <f>COUNTIF(TT!$D$82:$D$95,TALLY!A45)</f>
        <v>0</v>
      </c>
      <c r="F45" s="25">
        <f>COUNTIF(TT!$D$103:$D$112,TALLY!A45)</f>
        <v>1</v>
      </c>
      <c r="G45" s="25">
        <f>COUNTIF(TT!$D$120:$D$130,TALLY!A45)</f>
        <v>0</v>
      </c>
      <c r="H45" s="25">
        <f>COUNTIF(TT!$D$138:$D$153,TALLY!A45)</f>
        <v>0</v>
      </c>
      <c r="I45" s="23">
        <f>COUNTIF(TT!$D$160:$D$170,TALLY!A45)</f>
        <v>0</v>
      </c>
      <c r="J45" s="23">
        <f>COUNTIF(TT!$D$177:$D$187,TALLY!A45)</f>
        <v>1</v>
      </c>
      <c r="K45" s="23">
        <f>COUNTIF(TT!$D$194:$D$206,TALLY!A45)</f>
        <v>0</v>
      </c>
      <c r="L45" s="23">
        <f>COUNTIF(TT!$D$215:$D$226,TALLY!A45)</f>
        <v>0</v>
      </c>
      <c r="M45" s="23">
        <f>COUNTIF(TT!$D$234:$D$243,TALLY!A45)</f>
        <v>0</v>
      </c>
      <c r="N45" s="23">
        <f>COUNTIF(TT!$D$250:$D$262,TALLY!A45)</f>
        <v>1</v>
      </c>
      <c r="O45" s="23">
        <f>COUNTIF(TT!$D$270:$D$277,TALLY!A45)</f>
        <v>0</v>
      </c>
      <c r="P45" s="25">
        <f>COUNTIF(TT!$D$284:$D$293,TALLY!A45)</f>
        <v>1</v>
      </c>
      <c r="Q45" s="25">
        <f>COUNTIF(TT!$D$300:$D$313,TALLY!A45)</f>
        <v>0</v>
      </c>
      <c r="R45" s="25">
        <f>COUNTIF(TT!$D$320:$D$333,TALLY!A45)</f>
        <v>0</v>
      </c>
      <c r="S45" s="25">
        <f>COUNTIF(TT!$D$342:$D$352,TALLY!A45)</f>
        <v>0</v>
      </c>
      <c r="T45" s="25">
        <f>COUNTIF(TT!$D$359:$D$376,TALLY!A45)</f>
        <v>1</v>
      </c>
      <c r="U45" s="25">
        <f>COUNTIF(TT!$D$383:$D$398,TALLY!A45)</f>
        <v>0</v>
      </c>
      <c r="V45" s="25">
        <f>COUNTIF(TT!$D$405:$D$424,TALLY!A45)</f>
        <v>0</v>
      </c>
      <c r="W45" s="23">
        <f>COUNTIF(TT!$D$432:$D$442,TALLY!A45)</f>
        <v>0</v>
      </c>
      <c r="X45" s="23">
        <f>COUNTIF(TT!$D$449:$D$460,TALLY!A45)</f>
        <v>1</v>
      </c>
      <c r="Y45" s="23">
        <f>COUNTIF(TT!$D$467:$D$476,TALLY!A45)</f>
        <v>0</v>
      </c>
      <c r="Z45" s="23">
        <f>COUNTIF(TT!$D$483:$D$500,TALLY!A45)</f>
        <v>0</v>
      </c>
      <c r="AA45" s="23">
        <f>COUNTIF(TT!$D$507:$D$522,TALLY!A45)</f>
        <v>1</v>
      </c>
      <c r="AB45" s="23">
        <f>COUNTIF(TT!$D$529:$D$540,TALLY!A45)</f>
        <v>0</v>
      </c>
      <c r="AC45" s="23">
        <f>COUNTIF(TT!$D$546:$D$555,TALLY!A45)</f>
        <v>0</v>
      </c>
      <c r="AD45" s="25">
        <f>COUNTIF(TT!$D$563:$D$573,TALLY!A45)</f>
        <v>0</v>
      </c>
      <c r="AE45" s="25">
        <f>COUNTIF(TT!$D$582:$D$609,TALLY!A45)</f>
        <v>1</v>
      </c>
      <c r="AF45" s="25">
        <f>COUNTIF(TT!$D$615:$D$626,TALLY!A45)</f>
        <v>0</v>
      </c>
      <c r="AG45" s="25">
        <f>COUNTIF(TT!$D$635:$D$648,TALLY!A45)</f>
        <v>0</v>
      </c>
      <c r="AH45" s="25">
        <f>COUNTIF(TT!$D$655:$D$668,TALLY!A45)</f>
        <v>1</v>
      </c>
      <c r="AI45" s="25">
        <f>COUNTIF(TT!$D$675:$D$687,TALLY!A45)</f>
        <v>0</v>
      </c>
      <c r="AJ45" s="25"/>
      <c r="AK45" s="24" t="s">
        <v>48</v>
      </c>
      <c r="AL45" s="23">
        <f t="shared" si="6"/>
        <v>1</v>
      </c>
      <c r="AM45" s="23">
        <f t="shared" si="7"/>
        <v>2</v>
      </c>
      <c r="AN45" s="23">
        <f t="shared" si="8"/>
        <v>2</v>
      </c>
      <c r="AO45" s="23">
        <f t="shared" si="9"/>
        <v>2</v>
      </c>
      <c r="AP45" s="23">
        <f t="shared" si="10"/>
        <v>2</v>
      </c>
      <c r="AQ45">
        <f t="shared" si="11"/>
        <v>9</v>
      </c>
    </row>
    <row r="46" spans="1:43" x14ac:dyDescent="0.35">
      <c r="A46" s="24" t="s">
        <v>73</v>
      </c>
      <c r="B46" s="25">
        <f>COUNTIF(TT!$D$4:$D$25,TALLY!A46)</f>
        <v>1</v>
      </c>
      <c r="C46" s="25">
        <f>COUNTIF(TT!$D$33:$D$50,TALLY!A46)</f>
        <v>0</v>
      </c>
      <c r="D46" s="25">
        <f>COUNTIF(TT!$D$57:$D$75,TALLY!A46)</f>
        <v>0</v>
      </c>
      <c r="E46" s="25">
        <f>COUNTIF(TT!$D$82:$D$95,TALLY!A46)</f>
        <v>0</v>
      </c>
      <c r="F46" s="25">
        <f>COUNTIF(TT!$D$103:$D$112,TALLY!A46)</f>
        <v>0</v>
      </c>
      <c r="G46" s="25">
        <f>COUNTIF(TT!$D$120:$D$130,TALLY!A46)</f>
        <v>0</v>
      </c>
      <c r="H46" s="25">
        <f>COUNTIF(TT!$D$138:$D$153,TALLY!A46)</f>
        <v>0</v>
      </c>
      <c r="I46" s="23">
        <f>COUNTIF(TT!$D$160:$D$170,TALLY!A46)</f>
        <v>0</v>
      </c>
      <c r="J46" s="23">
        <f>COUNTIF(TT!$D$177:$D$187,TALLY!A46)</f>
        <v>0</v>
      </c>
      <c r="K46" s="23">
        <f>COUNTIF(TT!$D$194:$D$206,TALLY!A46)</f>
        <v>0</v>
      </c>
      <c r="L46" s="23">
        <f>COUNTIF(TT!$D$215:$D$226,TALLY!A46)</f>
        <v>0</v>
      </c>
      <c r="M46" s="23">
        <f>COUNTIF(TT!$D$234:$D$243,TALLY!A46)</f>
        <v>1</v>
      </c>
      <c r="N46" s="23">
        <f>COUNTIF(TT!$D$250:$D$262,TALLY!A46)</f>
        <v>0</v>
      </c>
      <c r="O46" s="23">
        <f>COUNTIF(TT!$D$270:$D$277,TALLY!A46)</f>
        <v>0</v>
      </c>
      <c r="P46" s="25">
        <f>COUNTIF(TT!$D$284:$D$293,TALLY!A46)</f>
        <v>1</v>
      </c>
      <c r="Q46" s="25">
        <f>COUNTIF(TT!$D$300:$D$313,TALLY!A46)</f>
        <v>0</v>
      </c>
      <c r="R46" s="25">
        <f>COUNTIF(TT!$D$320:$D$333,TALLY!A46)</f>
        <v>0</v>
      </c>
      <c r="S46" s="25">
        <f>COUNTIF(TT!$D$342:$D$352,TALLY!A46)</f>
        <v>0</v>
      </c>
      <c r="T46" s="25">
        <f>COUNTIF(TT!$D$359:$D$376,TALLY!A46)</f>
        <v>0</v>
      </c>
      <c r="U46" s="25">
        <f>COUNTIF(TT!$D$383:$D$398,TALLY!A46)</f>
        <v>0</v>
      </c>
      <c r="V46" s="25">
        <f>COUNTIF(TT!$D$405:$D$424,TALLY!A46)</f>
        <v>0</v>
      </c>
      <c r="W46" s="23">
        <f>COUNTIF(TT!$D$432:$D$442,TALLY!A46)</f>
        <v>0</v>
      </c>
      <c r="X46" s="23">
        <f>COUNTIF(TT!$D$449:$D$460,TALLY!A46)</f>
        <v>0</v>
      </c>
      <c r="Y46" s="23">
        <f>COUNTIF(TT!$D$467:$D$476,TALLY!A46)</f>
        <v>0</v>
      </c>
      <c r="Z46" s="23">
        <f>COUNTIF(TT!$D$483:$D$500,TALLY!A46)</f>
        <v>0</v>
      </c>
      <c r="AA46" s="23">
        <f>COUNTIF(TT!$D$507:$D$522,TALLY!A46)</f>
        <v>1</v>
      </c>
      <c r="AB46" s="23">
        <f>COUNTIF(TT!$D$529:$D$540,TALLY!A46)</f>
        <v>0</v>
      </c>
      <c r="AC46" s="23">
        <f>COUNTIF(TT!$D$546:$D$555,TALLY!A46)</f>
        <v>0</v>
      </c>
      <c r="AD46" s="25">
        <f>COUNTIF(TT!$D$563:$D$573,TALLY!A46)</f>
        <v>0</v>
      </c>
      <c r="AE46" s="25">
        <f>COUNTIF(TT!$D$582:$D$609,TALLY!A46)</f>
        <v>1</v>
      </c>
      <c r="AF46" s="25">
        <f>COUNTIF(TT!$D$615:$D$626,TALLY!A46)</f>
        <v>0</v>
      </c>
      <c r="AG46" s="25">
        <f>COUNTIF(TT!$D$635:$D$648,TALLY!A46)</f>
        <v>0</v>
      </c>
      <c r="AH46" s="25">
        <f>COUNTIF(TT!$D$655:$D$668,TALLY!A46)</f>
        <v>0</v>
      </c>
      <c r="AI46" s="25">
        <f>COUNTIF(TT!$D$675:$D$687,TALLY!A46)</f>
        <v>0</v>
      </c>
      <c r="AJ46" s="25"/>
      <c r="AK46" s="24" t="s">
        <v>73</v>
      </c>
      <c r="AL46" s="23">
        <f t="shared" si="6"/>
        <v>1</v>
      </c>
      <c r="AM46" s="23">
        <f t="shared" si="7"/>
        <v>1</v>
      </c>
      <c r="AN46" s="23">
        <f t="shared" si="8"/>
        <v>1</v>
      </c>
      <c r="AO46" s="23">
        <f t="shared" si="9"/>
        <v>1</v>
      </c>
      <c r="AP46" s="23">
        <f t="shared" si="10"/>
        <v>1</v>
      </c>
      <c r="AQ46">
        <f t="shared" si="11"/>
        <v>5</v>
      </c>
    </row>
    <row r="47" spans="1:43" x14ac:dyDescent="0.35">
      <c r="A47" s="24" t="s">
        <v>67</v>
      </c>
      <c r="B47" s="25">
        <f>COUNTIF(TT!$D$4:$D$25,TALLY!A47)</f>
        <v>1</v>
      </c>
      <c r="C47" s="25">
        <f>COUNTIF(TT!$D$33:$D$50,TALLY!A47)</f>
        <v>0</v>
      </c>
      <c r="D47" s="25">
        <f>COUNTIF(TT!$D$57:$D$75,TALLY!A47)</f>
        <v>0</v>
      </c>
      <c r="E47" s="25">
        <f>COUNTIF(TT!$D$82:$D$95,TALLY!A47)</f>
        <v>0</v>
      </c>
      <c r="F47" s="25">
        <f>COUNTIF(TT!$D$103:$D$112,TALLY!A47)</f>
        <v>0</v>
      </c>
      <c r="G47" s="25">
        <f>COUNTIF(TT!$D$120:$D$130,TALLY!A47)</f>
        <v>0</v>
      </c>
      <c r="H47" s="25">
        <f>COUNTIF(TT!$D$138:$D$153,TALLY!A47)</f>
        <v>1</v>
      </c>
      <c r="I47" s="23">
        <f>COUNTIF(TT!$D$160:$D$170,TALLY!A47)</f>
        <v>0</v>
      </c>
      <c r="J47" s="23">
        <f>COUNTIF(TT!$D$177:$D$187,TALLY!A47)</f>
        <v>0</v>
      </c>
      <c r="K47" s="23">
        <f>COUNTIF(TT!$D$194:$D$206,TALLY!A47)</f>
        <v>1</v>
      </c>
      <c r="L47" s="23">
        <f>COUNTIF(TT!$D$215:$D$226,TALLY!A47)</f>
        <v>0</v>
      </c>
      <c r="M47" s="23">
        <f>COUNTIF(TT!$D$234:$D$243,TALLY!A47)</f>
        <v>0</v>
      </c>
      <c r="N47" s="23">
        <f>COUNTIF(TT!$D$250:$D$262,TALLY!A47)</f>
        <v>0</v>
      </c>
      <c r="O47" s="23">
        <f>COUNTIF(TT!$D$270:$D$277,TALLY!A47)</f>
        <v>1</v>
      </c>
      <c r="P47" s="25">
        <f>COUNTIF(TT!$D$284:$D$293,TALLY!A47)</f>
        <v>0</v>
      </c>
      <c r="Q47" s="25">
        <f>COUNTIF(TT!$D$300:$D$313,TALLY!A47)</f>
        <v>0</v>
      </c>
      <c r="R47" s="25">
        <f>COUNTIF(TT!$D$320:$D$333,TALLY!A47)</f>
        <v>0</v>
      </c>
      <c r="S47" s="25">
        <f>COUNTIF(TT!$D$342:$D$352,TALLY!A47)</f>
        <v>1</v>
      </c>
      <c r="T47" s="25">
        <f>COUNTIF(TT!$D$359:$D$376,TALLY!A47)</f>
        <v>0</v>
      </c>
      <c r="U47" s="25">
        <f>COUNTIF(TT!$D$383:$D$398,TALLY!A47)</f>
        <v>0</v>
      </c>
      <c r="V47" s="25">
        <f>COUNTIF(TT!$D$405:$D$424,TALLY!A47)</f>
        <v>0</v>
      </c>
      <c r="W47" s="23">
        <f>COUNTIF(TT!$D$432:$D$442,TALLY!A47)</f>
        <v>0</v>
      </c>
      <c r="X47" s="23">
        <f>COUNTIF(TT!$D$449:$D$460,TALLY!A47)</f>
        <v>0</v>
      </c>
      <c r="Y47" s="23">
        <f>COUNTIF(TT!$D$467:$D$476,TALLY!A47)</f>
        <v>1</v>
      </c>
      <c r="Z47" s="23">
        <f>COUNTIF(TT!$D$483:$D$500,TALLY!A47)</f>
        <v>0</v>
      </c>
      <c r="AA47" s="23">
        <f>COUNTIF(TT!$D$507:$D$522,TALLY!A47)</f>
        <v>0</v>
      </c>
      <c r="AB47" s="23">
        <f>COUNTIF(TT!$D$529:$D$540,TALLY!A47)</f>
        <v>0</v>
      </c>
      <c r="AC47" s="23">
        <f>COUNTIF(TT!$D$546:$D$555,TALLY!A47)</f>
        <v>0</v>
      </c>
      <c r="AD47" s="25">
        <f>COUNTIF(TT!$D$563:$D$573,TALLY!A47)</f>
        <v>0</v>
      </c>
      <c r="AE47" s="25">
        <f>COUNTIF(TT!$D$582:$D$609,TALLY!A47)</f>
        <v>1</v>
      </c>
      <c r="AF47" s="25">
        <f>COUNTIF(TT!$D$615:$D$626,TALLY!A47)</f>
        <v>0</v>
      </c>
      <c r="AG47" s="25">
        <f>COUNTIF(TT!$D$635:$D$648,TALLY!A47)</f>
        <v>0</v>
      </c>
      <c r="AH47" s="25">
        <f>COUNTIF(TT!$D$655:$D$668,TALLY!A47)</f>
        <v>0</v>
      </c>
      <c r="AI47" s="25">
        <f>COUNTIF(TT!$D$675:$D$687,TALLY!A47)</f>
        <v>0</v>
      </c>
      <c r="AJ47" s="25"/>
      <c r="AK47" s="24" t="s">
        <v>67</v>
      </c>
      <c r="AL47" s="23">
        <f t="shared" si="6"/>
        <v>2</v>
      </c>
      <c r="AM47" s="23">
        <f t="shared" si="7"/>
        <v>2</v>
      </c>
      <c r="AN47" s="23">
        <f t="shared" si="8"/>
        <v>1</v>
      </c>
      <c r="AO47" s="23">
        <f t="shared" si="9"/>
        <v>1</v>
      </c>
      <c r="AP47" s="23">
        <f t="shared" si="10"/>
        <v>1</v>
      </c>
      <c r="AQ47">
        <f t="shared" si="11"/>
        <v>7</v>
      </c>
    </row>
    <row r="48" spans="1:43" x14ac:dyDescent="0.35">
      <c r="A48" s="24" t="s">
        <v>217</v>
      </c>
      <c r="B48" s="25">
        <f>COUNTIF(TT!$D$4:$D$25,TALLY!A48)</f>
        <v>0</v>
      </c>
      <c r="C48" s="25">
        <f>COUNTIF(TT!$D$33:$D$50,TALLY!A48)</f>
        <v>1</v>
      </c>
      <c r="D48" s="25">
        <f>COUNTIF(TT!$D$57:$D$75,TALLY!A48)</f>
        <v>1</v>
      </c>
      <c r="E48" s="25">
        <f>COUNTIF(TT!$D$82:$D$95,TALLY!A48)</f>
        <v>0</v>
      </c>
      <c r="F48" s="25">
        <f>COUNTIF(TT!$D$103:$D$112,TALLY!A48)</f>
        <v>0</v>
      </c>
      <c r="G48" s="25">
        <f>COUNTIF(TT!$D$120:$D$130,TALLY!A48)</f>
        <v>0</v>
      </c>
      <c r="H48" s="25">
        <f>COUNTIF(TT!$D$138:$D$153,TALLY!A48)</f>
        <v>0</v>
      </c>
      <c r="I48" s="23">
        <f>COUNTIF(TT!$D$160:$D$170,TALLY!A48)</f>
        <v>0</v>
      </c>
      <c r="J48" s="23">
        <f>COUNTIF(TT!$D$177:$D$187,TALLY!A48)</f>
        <v>0</v>
      </c>
      <c r="K48" s="23">
        <f>COUNTIF(TT!$D$194:$D$206,TALLY!A48)</f>
        <v>1</v>
      </c>
      <c r="L48" s="23">
        <f>COUNTIF(TT!$D$215:$D$226,TALLY!A48)</f>
        <v>0</v>
      </c>
      <c r="M48" s="23">
        <f>COUNTIF(TT!$D$234:$D$243,TALLY!A48)</f>
        <v>0</v>
      </c>
      <c r="N48" s="23">
        <f>COUNTIF(TT!$D$250:$D$262,TALLY!A48)</f>
        <v>0</v>
      </c>
      <c r="O48" s="23">
        <f>COUNTIF(TT!$D$270:$D$277,TALLY!A48)</f>
        <v>1</v>
      </c>
      <c r="P48" s="25">
        <f>COUNTIF(TT!$D$284:$D$293,TALLY!A48)</f>
        <v>0</v>
      </c>
      <c r="Q48" s="25">
        <f>COUNTIF(TT!$D$300:$D$313,TALLY!A48)</f>
        <v>0</v>
      </c>
      <c r="R48" s="25">
        <f>COUNTIF(TT!$D$320:$D$333,TALLY!A48)</f>
        <v>0</v>
      </c>
      <c r="S48" s="25">
        <f>COUNTIF(TT!$D$342:$D$352,TALLY!A48)</f>
        <v>0</v>
      </c>
      <c r="T48" s="25">
        <f>COUNTIF(TT!$D$359:$D$376,TALLY!A48)</f>
        <v>1</v>
      </c>
      <c r="U48" s="25">
        <f>COUNTIF(TT!$D$383:$D$398,TALLY!A48)</f>
        <v>0</v>
      </c>
      <c r="V48" s="25">
        <f>COUNTIF(TT!$D$405:$D$424,TALLY!A48)</f>
        <v>0</v>
      </c>
      <c r="W48" s="23">
        <f>COUNTIF(TT!$D$432:$D$442,TALLY!A48)</f>
        <v>0</v>
      </c>
      <c r="X48" s="23">
        <f>COUNTIF(TT!$D$449:$D$460,TALLY!A48)</f>
        <v>0</v>
      </c>
      <c r="Y48" s="23">
        <f>COUNTIF(TT!$D$467:$D$476,TALLY!A48)</f>
        <v>0</v>
      </c>
      <c r="Z48" s="23">
        <f>COUNTIF(TT!$D$483:$D$500,TALLY!A48)</f>
        <v>0</v>
      </c>
      <c r="AA48" s="23">
        <f>COUNTIF(TT!$D$507:$D$522,TALLY!A48)</f>
        <v>0</v>
      </c>
      <c r="AB48" s="23">
        <f>COUNTIF(TT!$D$529:$D$540,TALLY!A48)</f>
        <v>0</v>
      </c>
      <c r="AC48" s="23">
        <f>COUNTIF(TT!$D$546:$D$555,TALLY!A48)</f>
        <v>0</v>
      </c>
      <c r="AD48" s="25">
        <f>COUNTIF(TT!$D$563:$D$573,TALLY!A48)</f>
        <v>0</v>
      </c>
      <c r="AE48" s="25">
        <f>COUNTIF(TT!$D$582:$D$609,TALLY!A48)</f>
        <v>1</v>
      </c>
      <c r="AF48" s="25">
        <f>COUNTIF(TT!$D$615:$D$626,TALLY!A48)</f>
        <v>0</v>
      </c>
      <c r="AG48" s="25">
        <f>COUNTIF(TT!$D$635:$D$648,TALLY!A48)</f>
        <v>0</v>
      </c>
      <c r="AH48" s="25">
        <f>COUNTIF(TT!$D$655:$D$668,TALLY!A48)</f>
        <v>0</v>
      </c>
      <c r="AI48" s="25">
        <f>COUNTIF(TT!$D$675:$D$687,TALLY!A48)</f>
        <v>1</v>
      </c>
      <c r="AJ48" s="25"/>
      <c r="AK48" s="24" t="s">
        <v>217</v>
      </c>
      <c r="AL48" s="23">
        <f t="shared" si="6"/>
        <v>2</v>
      </c>
      <c r="AM48" s="23">
        <f t="shared" si="7"/>
        <v>2</v>
      </c>
      <c r="AN48" s="23">
        <f t="shared" si="8"/>
        <v>1</v>
      </c>
      <c r="AO48" s="23">
        <f t="shared" si="9"/>
        <v>0</v>
      </c>
      <c r="AP48" s="23">
        <f t="shared" si="10"/>
        <v>2</v>
      </c>
      <c r="AQ48">
        <f t="shared" si="11"/>
        <v>7</v>
      </c>
    </row>
    <row r="49" spans="1:43" x14ac:dyDescent="0.35">
      <c r="A49" s="24" t="s">
        <v>47</v>
      </c>
      <c r="B49" s="25">
        <f>COUNTIF(TT!$D$4:$D$25,TALLY!A49)</f>
        <v>0</v>
      </c>
      <c r="C49" s="25">
        <f>COUNTIF(TT!$D$33:$D$50,TALLY!A49)</f>
        <v>0</v>
      </c>
      <c r="D49" s="25">
        <f>COUNTIF(TT!$D$57:$D$75,TALLY!A49)</f>
        <v>0</v>
      </c>
      <c r="E49" s="25">
        <f>COUNTIF(TT!$D$82:$D$95,TALLY!A49)</f>
        <v>0</v>
      </c>
      <c r="F49" s="25">
        <f>COUNTIF(TT!$D$103:$D$112,TALLY!A49)</f>
        <v>0</v>
      </c>
      <c r="G49" s="25">
        <f>COUNTIF(TT!$D$120:$D$130,TALLY!A49)</f>
        <v>1</v>
      </c>
      <c r="H49" s="25">
        <f>COUNTIF(TT!$D$138:$D$153,TALLY!A49)</f>
        <v>0</v>
      </c>
      <c r="I49" s="23">
        <f>COUNTIF(TT!$D$160:$D$170,TALLY!A49)</f>
        <v>0</v>
      </c>
      <c r="J49" s="23">
        <f>COUNTIF(TT!$D$177:$D$187,TALLY!A49)</f>
        <v>0</v>
      </c>
      <c r="K49" s="23">
        <f>COUNTIF(TT!$D$194:$D$206,TALLY!A49)</f>
        <v>0</v>
      </c>
      <c r="L49" s="23">
        <f>COUNTIF(TT!$D$215:$D$226,TALLY!A49)</f>
        <v>0</v>
      </c>
      <c r="M49" s="23">
        <f>COUNTIF(TT!$D$234:$D$243,TALLY!A49)</f>
        <v>0</v>
      </c>
      <c r="N49" s="23">
        <f>COUNTIF(TT!$D$250:$D$262,TALLY!A49)</f>
        <v>0</v>
      </c>
      <c r="O49" s="23">
        <f>COUNTIF(TT!$D$270:$D$277,TALLY!A49)</f>
        <v>1</v>
      </c>
      <c r="P49" s="25">
        <f>COUNTIF(TT!$D$284:$D$293,TALLY!A49)</f>
        <v>0</v>
      </c>
      <c r="Q49" s="25">
        <f>COUNTIF(TT!$D$300:$D$313,TALLY!A49)</f>
        <v>1</v>
      </c>
      <c r="R49" s="25">
        <f>COUNTIF(TT!$D$320:$D$333,TALLY!A49)</f>
        <v>0</v>
      </c>
      <c r="S49" s="25">
        <f>COUNTIF(TT!$D$342:$D$352,TALLY!A49)</f>
        <v>0</v>
      </c>
      <c r="T49" s="25">
        <f>COUNTIF(TT!$D$359:$D$376,TALLY!A49)</f>
        <v>1</v>
      </c>
      <c r="U49" s="25">
        <f>COUNTIF(TT!$D$383:$D$398,TALLY!A49)</f>
        <v>0</v>
      </c>
      <c r="V49" s="25">
        <f>COUNTIF(TT!$D$405:$D$424,TALLY!A49)</f>
        <v>0</v>
      </c>
      <c r="W49" s="23">
        <f>COUNTIF(TT!$D$432:$D$442,TALLY!A49)</f>
        <v>0</v>
      </c>
      <c r="X49" s="23">
        <f>COUNTIF(TT!$D$449:$D$460,TALLY!A49)</f>
        <v>0</v>
      </c>
      <c r="Y49" s="23">
        <f>COUNTIF(TT!$D$467:$D$476,TALLY!A49)</f>
        <v>0</v>
      </c>
      <c r="Z49" s="23">
        <f>COUNTIF(TT!$D$483:$D$500,TALLY!A49)</f>
        <v>1</v>
      </c>
      <c r="AA49" s="23">
        <f>COUNTIF(TT!$D$507:$D$522,TALLY!A49)</f>
        <v>0</v>
      </c>
      <c r="AB49" s="23">
        <f>COUNTIF(TT!$D$529:$D$540,TALLY!A49)</f>
        <v>0</v>
      </c>
      <c r="AC49" s="23">
        <f>COUNTIF(TT!$D$546:$D$555,TALLY!A49)</f>
        <v>0</v>
      </c>
      <c r="AD49" s="25">
        <f>COUNTIF(TT!$D$563:$D$573,TALLY!A49)</f>
        <v>1</v>
      </c>
      <c r="AE49" s="25">
        <f>COUNTIF(TT!$D$582:$D$609,TALLY!A49)</f>
        <v>0</v>
      </c>
      <c r="AF49" s="25">
        <f>COUNTIF(TT!$D$615:$D$626,TALLY!A49)</f>
        <v>0</v>
      </c>
      <c r="AG49" s="25">
        <f>COUNTIF(TT!$D$635:$D$648,TALLY!A49)</f>
        <v>0</v>
      </c>
      <c r="AH49" s="25">
        <f>COUNTIF(TT!$D$655:$D$668,TALLY!A49)</f>
        <v>1</v>
      </c>
      <c r="AI49" s="25">
        <f>COUNTIF(TT!$D$675:$D$687,TALLY!A49)</f>
        <v>0</v>
      </c>
      <c r="AJ49" s="25"/>
      <c r="AK49" s="24" t="s">
        <v>47</v>
      </c>
      <c r="AL49" s="23">
        <f t="shared" si="6"/>
        <v>1</v>
      </c>
      <c r="AM49" s="23">
        <f t="shared" si="7"/>
        <v>1</v>
      </c>
      <c r="AN49" s="23">
        <f t="shared" si="8"/>
        <v>2</v>
      </c>
      <c r="AO49" s="23">
        <f t="shared" si="9"/>
        <v>1</v>
      </c>
      <c r="AP49" s="23">
        <f t="shared" si="10"/>
        <v>2</v>
      </c>
      <c r="AQ49">
        <f t="shared" si="11"/>
        <v>7</v>
      </c>
    </row>
    <row r="50" spans="1:43" x14ac:dyDescent="0.35">
      <c r="A50" s="24" t="s">
        <v>137</v>
      </c>
      <c r="B50" s="25">
        <f>COUNTIF(TT!$D$4:$D$25,TALLY!A50)</f>
        <v>0</v>
      </c>
      <c r="C50" s="25">
        <f>COUNTIF(TT!$D$33:$D$50,TALLY!A50)</f>
        <v>0</v>
      </c>
      <c r="D50" s="25">
        <f>COUNTIF(TT!$D$57:$D$75,TALLY!A50)</f>
        <v>1</v>
      </c>
      <c r="E50" s="25">
        <f>COUNTIF(TT!$D$82:$D$95,TALLY!A50)</f>
        <v>0</v>
      </c>
      <c r="F50" s="25">
        <f>COUNTIF(TT!$D$103:$D$112,TALLY!A50)</f>
        <v>0</v>
      </c>
      <c r="G50" s="25">
        <f>COUNTIF(TT!$D$120:$D$130,TALLY!A50)</f>
        <v>0</v>
      </c>
      <c r="H50" s="25">
        <f>COUNTIF(TT!$D$138:$D$153,TALLY!A50)</f>
        <v>0</v>
      </c>
      <c r="I50" s="23">
        <f>COUNTIF(TT!$D$160:$D$170,TALLY!A50)</f>
        <v>0</v>
      </c>
      <c r="J50" s="23">
        <f>COUNTIF(TT!$D$177:$D$187,TALLY!A50)</f>
        <v>0</v>
      </c>
      <c r="K50" s="23">
        <f>COUNTIF(TT!$D$194:$D$206,TALLY!A50)</f>
        <v>0</v>
      </c>
      <c r="L50" s="23">
        <f>COUNTIF(TT!$D$215:$D$226,TALLY!A50)</f>
        <v>0</v>
      </c>
      <c r="M50" s="23">
        <f>COUNTIF(TT!$D$234:$D$243,TALLY!A50)</f>
        <v>0</v>
      </c>
      <c r="N50" s="23">
        <f>COUNTIF(TT!$D$250:$D$262,TALLY!A50)</f>
        <v>0</v>
      </c>
      <c r="O50" s="23">
        <f>COUNTIF(TT!$D$270:$D$277,TALLY!A50)</f>
        <v>1</v>
      </c>
      <c r="P50" s="25">
        <f>COUNTIF(TT!$D$284:$D$293,TALLY!A50)</f>
        <v>0</v>
      </c>
      <c r="Q50" s="25">
        <f>COUNTIF(TT!$D$300:$D$313,TALLY!A50)</f>
        <v>0</v>
      </c>
      <c r="R50" s="25">
        <f>COUNTIF(TT!$D$320:$D$333,TALLY!A50)</f>
        <v>1</v>
      </c>
      <c r="S50" s="25">
        <f>COUNTIF(TT!$D$342:$D$352,TALLY!A50)</f>
        <v>0</v>
      </c>
      <c r="T50" s="25">
        <f>COUNTIF(TT!$D$359:$D$376,TALLY!A50)</f>
        <v>0</v>
      </c>
      <c r="U50" s="25">
        <f>COUNTIF(TT!$D$383:$D$398,TALLY!A50)</f>
        <v>1</v>
      </c>
      <c r="V50" s="25">
        <f>COUNTIF(TT!$D$405:$D$424,TALLY!A50)</f>
        <v>0</v>
      </c>
      <c r="W50" s="23">
        <f>COUNTIF(TT!$D$432:$D$442,TALLY!A50)</f>
        <v>0</v>
      </c>
      <c r="X50" s="23">
        <f>COUNTIF(TT!$D$449:$D$460,TALLY!A50)</f>
        <v>0</v>
      </c>
      <c r="Y50" s="23">
        <f>COUNTIF(TT!$D$467:$D$476,TALLY!A50)</f>
        <v>0</v>
      </c>
      <c r="Z50" s="23">
        <f>COUNTIF(TT!$D$483:$D$500,TALLY!A50)</f>
        <v>0</v>
      </c>
      <c r="AA50" s="23">
        <f>COUNTIF(TT!$D$507:$D$522,TALLY!A50)</f>
        <v>0</v>
      </c>
      <c r="AB50" s="23">
        <f>COUNTIF(TT!$D$529:$D$540,TALLY!A50)</f>
        <v>1</v>
      </c>
      <c r="AC50" s="23">
        <f>COUNTIF(TT!$D$546:$D$555,TALLY!A50)</f>
        <v>0</v>
      </c>
      <c r="AD50" s="25">
        <f>COUNTIF(TT!$D$563:$D$573,TALLY!A50)</f>
        <v>0</v>
      </c>
      <c r="AE50" s="25">
        <f>COUNTIF(TT!$D$582:$D$609,TALLY!A50)</f>
        <v>0</v>
      </c>
      <c r="AF50" s="25">
        <f>COUNTIF(TT!$D$615:$D$626,TALLY!A50)</f>
        <v>0</v>
      </c>
      <c r="AG50" s="25">
        <f>COUNTIF(TT!$D$635:$D$648,TALLY!A50)</f>
        <v>1</v>
      </c>
      <c r="AH50" s="25">
        <f>COUNTIF(TT!$D$655:$D$668,TALLY!A50)</f>
        <v>0</v>
      </c>
      <c r="AI50" s="25">
        <f>COUNTIF(TT!$D$675:$D$687,TALLY!A50)</f>
        <v>0</v>
      </c>
      <c r="AJ50" s="25"/>
      <c r="AK50" s="24" t="s">
        <v>137</v>
      </c>
      <c r="AL50" s="23">
        <f t="shared" si="6"/>
        <v>1</v>
      </c>
      <c r="AM50" s="23">
        <f t="shared" si="7"/>
        <v>1</v>
      </c>
      <c r="AN50" s="23">
        <f t="shared" si="8"/>
        <v>2</v>
      </c>
      <c r="AO50" s="23">
        <f t="shared" si="9"/>
        <v>0</v>
      </c>
      <c r="AP50" s="23">
        <f t="shared" si="10"/>
        <v>1</v>
      </c>
      <c r="AQ50">
        <f t="shared" si="11"/>
        <v>5</v>
      </c>
    </row>
    <row r="51" spans="1:43" x14ac:dyDescent="0.35">
      <c r="A51" s="24" t="s">
        <v>38</v>
      </c>
      <c r="B51" s="25">
        <f>COUNTIF(TT!$D$4:$D$25,TALLY!A51)</f>
        <v>0</v>
      </c>
      <c r="C51" s="25">
        <f>COUNTIF(TT!$D$33:$D$50,TALLY!A51)</f>
        <v>0</v>
      </c>
      <c r="D51" s="25">
        <f>COUNTIF(TT!$D$57:$D$75,TALLY!A51)</f>
        <v>1</v>
      </c>
      <c r="E51" s="25">
        <f>COUNTIF(TT!$D$82:$D$95,TALLY!A51)</f>
        <v>0</v>
      </c>
      <c r="F51" s="25">
        <f>COUNTIF(TT!$D$103:$D$112,TALLY!A51)</f>
        <v>0</v>
      </c>
      <c r="G51" s="25">
        <f>COUNTIF(TT!$D$120:$D$130,TALLY!A51)</f>
        <v>0</v>
      </c>
      <c r="H51" s="25">
        <f>COUNTIF(TT!$D$138:$D$153,TALLY!A51)</f>
        <v>1</v>
      </c>
      <c r="I51" s="23">
        <f>COUNTIF(TT!$D$160:$D$170,TALLY!A51)</f>
        <v>0</v>
      </c>
      <c r="J51" s="23">
        <f>COUNTIF(TT!$D$177:$D$187,TALLY!A51)</f>
        <v>0</v>
      </c>
      <c r="K51" s="23">
        <f>COUNTIF(TT!$D$194:$D$206,TALLY!A51)</f>
        <v>0</v>
      </c>
      <c r="L51" s="23">
        <f>COUNTIF(TT!$D$215:$D$226,TALLY!A51)</f>
        <v>0</v>
      </c>
      <c r="M51" s="23">
        <f>COUNTIF(TT!$D$234:$D$243,TALLY!A51)</f>
        <v>0</v>
      </c>
      <c r="N51" s="23">
        <f>COUNTIF(TT!$D$250:$D$262,TALLY!A51)</f>
        <v>0</v>
      </c>
      <c r="O51" s="23">
        <f>COUNTIF(TT!$D$270:$D$277,TALLY!A51)</f>
        <v>0</v>
      </c>
      <c r="P51" s="25">
        <f>COUNTIF(TT!$D$284:$D$293,TALLY!A51)</f>
        <v>0</v>
      </c>
      <c r="Q51" s="25">
        <f>COUNTIF(TT!$D$300:$D$313,TALLY!A51)</f>
        <v>0</v>
      </c>
      <c r="R51" s="25">
        <f>COUNTIF(TT!$D$320:$D$333,TALLY!A51)</f>
        <v>1</v>
      </c>
      <c r="S51" s="25">
        <f>COUNTIF(TT!$D$342:$D$352,TALLY!A51)</f>
        <v>0</v>
      </c>
      <c r="T51" s="25">
        <f>COUNTIF(TT!$D$359:$D$376,TALLY!A51)</f>
        <v>0</v>
      </c>
      <c r="U51" s="25">
        <f>COUNTIF(TT!$D$383:$D$398,TALLY!A51)</f>
        <v>0</v>
      </c>
      <c r="V51" s="25">
        <f>COUNTIF(TT!$D$405:$D$424,TALLY!A51)</f>
        <v>1</v>
      </c>
      <c r="W51" s="23">
        <f>COUNTIF(TT!$D$432:$D$442,TALLY!A51)</f>
        <v>0</v>
      </c>
      <c r="X51" s="23">
        <f>COUNTIF(TT!$D$449:$D$460,TALLY!A51)</f>
        <v>0</v>
      </c>
      <c r="Y51" s="23">
        <f>COUNTIF(TT!$D$467:$D$476,TALLY!A51)</f>
        <v>0</v>
      </c>
      <c r="Z51" s="23">
        <f>COUNTIF(TT!$D$483:$D$500,TALLY!A51)</f>
        <v>0</v>
      </c>
      <c r="AA51" s="23">
        <f>COUNTIF(TT!$D$507:$D$522,TALLY!A51)</f>
        <v>0</v>
      </c>
      <c r="AB51" s="23">
        <f>COUNTIF(TT!$D$529:$D$540,TALLY!A51)</f>
        <v>1</v>
      </c>
      <c r="AC51" s="23">
        <f>COUNTIF(TT!$D$546:$D$555,TALLY!A51)</f>
        <v>0</v>
      </c>
      <c r="AD51" s="25">
        <f>COUNTIF(TT!$D$563:$D$573,TALLY!A51)</f>
        <v>0</v>
      </c>
      <c r="AE51" s="25">
        <f>COUNTIF(TT!$D$582:$D$609,TALLY!A51)</f>
        <v>0</v>
      </c>
      <c r="AF51" s="25">
        <f>COUNTIF(TT!$D$615:$D$626,TALLY!A51)</f>
        <v>0</v>
      </c>
      <c r="AG51" s="25">
        <f>COUNTIF(TT!$D$635:$D$648,TALLY!A51)</f>
        <v>0</v>
      </c>
      <c r="AH51" s="25">
        <f>COUNTIF(TT!$D$655:$D$668,TALLY!A51)</f>
        <v>1</v>
      </c>
      <c r="AI51" s="25">
        <f>COUNTIF(TT!$D$675:$D$687,TALLY!A51)</f>
        <v>0</v>
      </c>
      <c r="AJ51" s="25"/>
      <c r="AK51" s="24" t="s">
        <v>38</v>
      </c>
      <c r="AL51" s="23">
        <f t="shared" si="6"/>
        <v>2</v>
      </c>
      <c r="AM51" s="23">
        <f t="shared" si="7"/>
        <v>0</v>
      </c>
      <c r="AN51" s="23">
        <f t="shared" si="8"/>
        <v>2</v>
      </c>
      <c r="AO51" s="23">
        <f t="shared" si="9"/>
        <v>0</v>
      </c>
      <c r="AP51" s="23">
        <f t="shared" si="10"/>
        <v>1</v>
      </c>
      <c r="AQ51">
        <f t="shared" si="11"/>
        <v>5</v>
      </c>
    </row>
    <row r="52" spans="1:43" x14ac:dyDescent="0.35">
      <c r="A52" s="24" t="s">
        <v>77</v>
      </c>
      <c r="B52" s="25">
        <f>COUNTIF(TT!$D$4:$D$25,TALLY!A52)</f>
        <v>0</v>
      </c>
      <c r="C52" s="25">
        <f>COUNTIF(TT!$D$33:$D$50,TALLY!A52)</f>
        <v>0</v>
      </c>
      <c r="D52" s="25">
        <f>COUNTIF(TT!$D$57:$D$75,TALLY!A52)</f>
        <v>1</v>
      </c>
      <c r="E52" s="25">
        <f>COUNTIF(TT!$D$82:$D$95,TALLY!A52)</f>
        <v>0</v>
      </c>
      <c r="F52" s="25">
        <f>COUNTIF(TT!$D$103:$D$112,TALLY!A52)</f>
        <v>0</v>
      </c>
      <c r="G52" s="25">
        <f>COUNTIF(TT!$D$120:$D$130,TALLY!A52)</f>
        <v>0</v>
      </c>
      <c r="H52" s="25">
        <f>COUNTIF(TT!$D$138:$D$153,TALLY!A52)</f>
        <v>1</v>
      </c>
      <c r="I52" s="23">
        <f>COUNTIF(TT!$D$160:$D$170,TALLY!A52)</f>
        <v>0</v>
      </c>
      <c r="J52" s="23">
        <f>COUNTIF(TT!$D$177:$D$187,TALLY!A52)</f>
        <v>0</v>
      </c>
      <c r="K52" s="23">
        <f>COUNTIF(TT!$D$194:$D$206,TALLY!A52)</f>
        <v>0</v>
      </c>
      <c r="L52" s="23">
        <f>COUNTIF(TT!$D$215:$D$226,TALLY!A52)</f>
        <v>0</v>
      </c>
      <c r="M52" s="23">
        <f>COUNTIF(TT!$D$234:$D$243,TALLY!A52)</f>
        <v>0</v>
      </c>
      <c r="N52" s="23">
        <f>COUNTIF(TT!$D$250:$D$262,TALLY!A52)</f>
        <v>0</v>
      </c>
      <c r="O52" s="23">
        <f>COUNTIF(TT!$D$270:$D$277,TALLY!A52)</f>
        <v>0</v>
      </c>
      <c r="P52" s="25">
        <f>COUNTIF(TT!$D$284:$D$293,TALLY!A52)</f>
        <v>0</v>
      </c>
      <c r="Q52" s="25">
        <f>COUNTIF(TT!$D$300:$D$313,TALLY!A52)</f>
        <v>0</v>
      </c>
      <c r="R52" s="25">
        <f>COUNTIF(TT!$D$320:$D$333,TALLY!A52)</f>
        <v>1</v>
      </c>
      <c r="S52" s="25">
        <f>COUNTIF(TT!$D$342:$D$352,TALLY!A52)</f>
        <v>0</v>
      </c>
      <c r="T52" s="25">
        <f>COUNTIF(TT!$D$359:$D$376,TALLY!A52)</f>
        <v>0</v>
      </c>
      <c r="U52" s="25">
        <f>COUNTIF(TT!$D$383:$D$398,TALLY!A52)</f>
        <v>0</v>
      </c>
      <c r="V52" s="25">
        <f>COUNTIF(TT!$D$405:$D$424,TALLY!A52)</f>
        <v>1</v>
      </c>
      <c r="W52" s="23">
        <f>COUNTIF(TT!$D$432:$D$442,TALLY!A52)</f>
        <v>0</v>
      </c>
      <c r="X52" s="23">
        <f>COUNTIF(TT!$D$449:$D$460,TALLY!A52)</f>
        <v>1</v>
      </c>
      <c r="Y52" s="23">
        <f>COUNTIF(TT!$D$467:$D$476,TALLY!A52)</f>
        <v>0</v>
      </c>
      <c r="Z52" s="23">
        <f>COUNTIF(TT!$D$483:$D$500,TALLY!A52)</f>
        <v>0</v>
      </c>
      <c r="AA52" s="23">
        <f>COUNTIF(TT!$D$507:$D$522,TALLY!A52)</f>
        <v>0</v>
      </c>
      <c r="AB52" s="23">
        <f>COUNTIF(TT!$D$529:$D$540,TALLY!A52)</f>
        <v>1</v>
      </c>
      <c r="AC52" s="23">
        <f>COUNTIF(TT!$D$546:$D$555,TALLY!A52)</f>
        <v>0</v>
      </c>
      <c r="AD52" s="25">
        <f>COUNTIF(TT!$D$563:$D$573,TALLY!A52)</f>
        <v>1</v>
      </c>
      <c r="AE52" s="25">
        <f>COUNTIF(TT!$D$582:$D$609,TALLY!A52)</f>
        <v>0</v>
      </c>
      <c r="AF52" s="25">
        <f>COUNTIF(TT!$D$615:$D$626,TALLY!A52)</f>
        <v>0</v>
      </c>
      <c r="AG52" s="25">
        <f>COUNTIF(TT!$D$635:$D$648,TALLY!A52)</f>
        <v>1</v>
      </c>
      <c r="AH52" s="25">
        <f>COUNTIF(TT!$D$655:$D$668,TALLY!A52)</f>
        <v>0</v>
      </c>
      <c r="AI52" s="25">
        <f>COUNTIF(TT!$D$675:$D$687,TALLY!A52)</f>
        <v>0</v>
      </c>
      <c r="AJ52" s="25"/>
      <c r="AK52" s="24" t="s">
        <v>77</v>
      </c>
      <c r="AL52" s="23">
        <f t="shared" si="6"/>
        <v>2</v>
      </c>
      <c r="AM52" s="23">
        <f t="shared" si="7"/>
        <v>0</v>
      </c>
      <c r="AN52" s="23">
        <f t="shared" si="8"/>
        <v>2</v>
      </c>
      <c r="AO52" s="23">
        <f t="shared" si="9"/>
        <v>1</v>
      </c>
      <c r="AP52" s="23">
        <f t="shared" si="10"/>
        <v>2</v>
      </c>
      <c r="AQ52">
        <f t="shared" si="11"/>
        <v>7</v>
      </c>
    </row>
    <row r="53" spans="1:43" x14ac:dyDescent="0.35">
      <c r="A53" s="24" t="s">
        <v>120</v>
      </c>
      <c r="B53" s="25">
        <f>COUNTIF(TT!$D$4:$D$25,TALLY!A53)</f>
        <v>0</v>
      </c>
      <c r="C53" s="25">
        <f>COUNTIF(TT!$D$33:$D$50,TALLY!A53)</f>
        <v>0</v>
      </c>
      <c r="D53" s="25">
        <f>COUNTIF(TT!$D$57:$D$75,TALLY!A53)</f>
        <v>1</v>
      </c>
      <c r="E53" s="25">
        <f>COUNTIF(TT!$D$82:$D$95,TALLY!A53)</f>
        <v>0</v>
      </c>
      <c r="F53" s="25">
        <f>COUNTIF(TT!$D$103:$D$112,TALLY!A53)</f>
        <v>0</v>
      </c>
      <c r="G53" s="25">
        <f>COUNTIF(TT!$D$120:$D$130,TALLY!A53)</f>
        <v>0</v>
      </c>
      <c r="H53" s="25">
        <f>COUNTIF(TT!$D$138:$D$153,TALLY!A53)</f>
        <v>0</v>
      </c>
      <c r="I53" s="23">
        <f>COUNTIF(TT!$D$160:$D$170,TALLY!A53)</f>
        <v>0</v>
      </c>
      <c r="J53" s="23">
        <f>COUNTIF(TT!$D$177:$D$187,TALLY!A53)</f>
        <v>0</v>
      </c>
      <c r="K53" s="23">
        <f>COUNTIF(TT!$D$194:$D$206,TALLY!A53)</f>
        <v>0</v>
      </c>
      <c r="L53" s="23">
        <f>COUNTIF(TT!$D$215:$D$226,TALLY!A53)</f>
        <v>1</v>
      </c>
      <c r="M53" s="23">
        <f>COUNTIF(TT!$D$234:$D$243,TALLY!A53)</f>
        <v>0</v>
      </c>
      <c r="N53" s="23">
        <f>COUNTIF(TT!$D$250:$D$262,TALLY!A53)</f>
        <v>0</v>
      </c>
      <c r="O53" s="23">
        <f>COUNTIF(TT!$D$270:$D$277,TALLY!A53)</f>
        <v>0</v>
      </c>
      <c r="P53" s="25">
        <f>COUNTIF(TT!$D$284:$D$293,TALLY!A53)</f>
        <v>0</v>
      </c>
      <c r="Q53" s="25">
        <f>COUNTIF(TT!$D$300:$D$313,TALLY!A53)</f>
        <v>0</v>
      </c>
      <c r="R53" s="25">
        <f>COUNTIF(TT!$D$320:$D$333,TALLY!A53)</f>
        <v>1</v>
      </c>
      <c r="S53" s="25">
        <f>COUNTIF(TT!$D$342:$D$352,TALLY!A53)</f>
        <v>0</v>
      </c>
      <c r="T53" s="25">
        <f>COUNTIF(TT!$D$359:$D$376,TALLY!A53)</f>
        <v>0</v>
      </c>
      <c r="U53" s="25">
        <f>COUNTIF(TT!$D$383:$D$398,TALLY!A53)</f>
        <v>0</v>
      </c>
      <c r="V53" s="25">
        <f>COUNTIF(TT!$D$405:$D$424,TALLY!A53)</f>
        <v>1</v>
      </c>
      <c r="W53" s="23">
        <f>COUNTIF(TT!$D$432:$D$442,TALLY!A53)</f>
        <v>0</v>
      </c>
      <c r="X53" s="23">
        <f>COUNTIF(TT!$D$449:$D$460,TALLY!A53)</f>
        <v>0</v>
      </c>
      <c r="Y53" s="23">
        <f>COUNTIF(TT!$D$467:$D$476,TALLY!A53)</f>
        <v>0</v>
      </c>
      <c r="Z53" s="23">
        <f>COUNTIF(TT!$D$483:$D$500,TALLY!A53)</f>
        <v>0</v>
      </c>
      <c r="AA53" s="23">
        <f>COUNTIF(TT!$D$507:$D$522,TALLY!A53)</f>
        <v>0</v>
      </c>
      <c r="AB53" s="23">
        <f>COUNTIF(TT!$D$529:$D$540,TALLY!A53)</f>
        <v>0</v>
      </c>
      <c r="AC53" s="23">
        <f>COUNTIF(TT!$D$546:$D$555,TALLY!A53)</f>
        <v>0</v>
      </c>
      <c r="AD53" s="25">
        <f>COUNTIF(TT!$D$563:$D$573,TALLY!A53)</f>
        <v>1</v>
      </c>
      <c r="AE53" s="25">
        <f>COUNTIF(TT!$D$582:$D$609,TALLY!A53)</f>
        <v>0</v>
      </c>
      <c r="AF53" s="25">
        <f>COUNTIF(TT!$D$615:$D$626,TALLY!A53)</f>
        <v>0</v>
      </c>
      <c r="AG53" s="25">
        <f>COUNTIF(TT!$D$635:$D$648,TALLY!A53)</f>
        <v>0</v>
      </c>
      <c r="AH53" s="25">
        <f>COUNTIF(TT!$D$655:$D$668,TALLY!A53)</f>
        <v>0</v>
      </c>
      <c r="AI53" s="25">
        <f>COUNTIF(TT!$D$675:$D$687,TALLY!A53)</f>
        <v>0</v>
      </c>
      <c r="AJ53" s="25"/>
      <c r="AK53" s="24" t="s">
        <v>120</v>
      </c>
      <c r="AL53" s="23">
        <f t="shared" si="6"/>
        <v>1</v>
      </c>
      <c r="AM53" s="23">
        <f t="shared" si="7"/>
        <v>1</v>
      </c>
      <c r="AN53" s="23">
        <f t="shared" si="8"/>
        <v>2</v>
      </c>
      <c r="AO53" s="23">
        <f t="shared" si="9"/>
        <v>0</v>
      </c>
      <c r="AP53" s="23">
        <f t="shared" si="10"/>
        <v>1</v>
      </c>
      <c r="AQ53">
        <f t="shared" si="11"/>
        <v>5</v>
      </c>
    </row>
    <row r="54" spans="1:43" x14ac:dyDescent="0.35">
      <c r="A54" s="24" t="s">
        <v>33</v>
      </c>
      <c r="B54" s="25">
        <f>COUNTIF(TT!$D$4:$D$25,TALLY!A54)</f>
        <v>0</v>
      </c>
      <c r="C54" s="25">
        <f>COUNTIF(TT!$D$33:$D$50,TALLY!A54)</f>
        <v>0</v>
      </c>
      <c r="D54" s="25">
        <f>COUNTIF(TT!$D$57:$D$75,TALLY!A54)</f>
        <v>0</v>
      </c>
      <c r="E54" s="25">
        <f>COUNTIF(TT!$D$82:$D$95,TALLY!A54)</f>
        <v>1</v>
      </c>
      <c r="F54" s="25">
        <f>COUNTIF(TT!$D$103:$D$112,TALLY!A54)</f>
        <v>0</v>
      </c>
      <c r="G54" s="25">
        <f>COUNTIF(TT!$D$120:$D$130,TALLY!A54)</f>
        <v>0</v>
      </c>
      <c r="H54" s="25">
        <f>COUNTIF(TT!$D$138:$D$153,TALLY!A54)</f>
        <v>0</v>
      </c>
      <c r="I54" s="23">
        <f>COUNTIF(TT!$D$160:$D$170,TALLY!A54)</f>
        <v>0</v>
      </c>
      <c r="J54" s="23">
        <f>COUNTIF(TT!$D$177:$D$187,TALLY!A54)</f>
        <v>0</v>
      </c>
      <c r="K54" s="23">
        <f>COUNTIF(TT!$D$194:$D$206,TALLY!A54)</f>
        <v>1</v>
      </c>
      <c r="L54" s="23">
        <f>COUNTIF(TT!$D$215:$D$226,TALLY!A54)</f>
        <v>0</v>
      </c>
      <c r="M54" s="23">
        <f>COUNTIF(TT!$D$234:$D$243,TALLY!A54)</f>
        <v>0</v>
      </c>
      <c r="N54" s="23">
        <f>COUNTIF(TT!$D$250:$D$262,TALLY!A54)</f>
        <v>0</v>
      </c>
      <c r="O54" s="23">
        <f>COUNTIF(TT!$D$270:$D$277,TALLY!A54)</f>
        <v>0</v>
      </c>
      <c r="P54" s="25">
        <f>COUNTIF(TT!$D$284:$D$293,TALLY!A54)</f>
        <v>0</v>
      </c>
      <c r="Q54" s="25">
        <f>COUNTIF(TT!$D$300:$D$313,TALLY!A54)</f>
        <v>0</v>
      </c>
      <c r="R54" s="25">
        <f>COUNTIF(TT!$D$320:$D$333,TALLY!A54)</f>
        <v>1</v>
      </c>
      <c r="S54" s="25">
        <f>COUNTIF(TT!$D$342:$D$352,TALLY!A54)</f>
        <v>0</v>
      </c>
      <c r="T54" s="25">
        <f>COUNTIF(TT!$D$359:$D$376,TALLY!A54)</f>
        <v>0</v>
      </c>
      <c r="U54" s="25">
        <f>COUNTIF(TT!$D$383:$D$398,TALLY!A54)</f>
        <v>0</v>
      </c>
      <c r="V54" s="25">
        <f>COUNTIF(TT!$D$405:$D$424,TALLY!A54)</f>
        <v>1</v>
      </c>
      <c r="W54" s="23">
        <f>COUNTIF(TT!$D$432:$D$442,TALLY!A54)</f>
        <v>0</v>
      </c>
      <c r="X54" s="23">
        <f>COUNTIF(TT!$D$449:$D$460,TALLY!A54)</f>
        <v>0</v>
      </c>
      <c r="Y54" s="23">
        <f>COUNTIF(TT!$D$467:$D$476,TALLY!A54)</f>
        <v>0</v>
      </c>
      <c r="Z54" s="23">
        <f>COUNTIF(TT!$D$483:$D$500,TALLY!A54)</f>
        <v>0</v>
      </c>
      <c r="AA54" s="23">
        <f>COUNTIF(TT!$D$507:$D$522,TALLY!A54)</f>
        <v>1</v>
      </c>
      <c r="AB54" s="23">
        <f>COUNTIF(TT!$D$529:$D$540,TALLY!A54)</f>
        <v>0</v>
      </c>
      <c r="AC54" s="23">
        <f>COUNTIF(TT!$D$546:$D$555,TALLY!A54)</f>
        <v>0</v>
      </c>
      <c r="AD54" s="25">
        <f>COUNTIF(TT!$D$563:$D$573,TALLY!A54)</f>
        <v>1</v>
      </c>
      <c r="AE54" s="25">
        <f>COUNTIF(TT!$D$582:$D$609,TALLY!A54)</f>
        <v>0</v>
      </c>
      <c r="AF54" s="25">
        <f>COUNTIF(TT!$D$615:$D$626,TALLY!A54)</f>
        <v>0</v>
      </c>
      <c r="AG54" s="25">
        <f>COUNTIF(TT!$D$635:$D$648,TALLY!A54)</f>
        <v>0</v>
      </c>
      <c r="AH54" s="25">
        <f>COUNTIF(TT!$D$655:$D$668,TALLY!A54)</f>
        <v>1</v>
      </c>
      <c r="AI54" s="25">
        <f>COUNTIF(TT!$D$675:$D$687,TALLY!A54)</f>
        <v>0</v>
      </c>
      <c r="AJ54" s="25"/>
      <c r="AK54" s="24" t="s">
        <v>33</v>
      </c>
      <c r="AL54" s="23">
        <f t="shared" si="6"/>
        <v>1</v>
      </c>
      <c r="AM54" s="23">
        <f t="shared" si="7"/>
        <v>1</v>
      </c>
      <c r="AN54" s="23">
        <f t="shared" si="8"/>
        <v>2</v>
      </c>
      <c r="AO54" s="23">
        <f t="shared" si="9"/>
        <v>1</v>
      </c>
      <c r="AP54" s="23">
        <f t="shared" si="10"/>
        <v>2</v>
      </c>
      <c r="AQ54">
        <f t="shared" si="11"/>
        <v>7</v>
      </c>
    </row>
    <row r="55" spans="1:43" x14ac:dyDescent="0.35">
      <c r="A55" s="24" t="s">
        <v>79</v>
      </c>
      <c r="B55" s="25">
        <f>COUNTIF(TT!$D$4:$D$25,TALLY!A55)</f>
        <v>0</v>
      </c>
      <c r="C55" s="25">
        <f>COUNTIF(TT!$D$33:$D$50,TALLY!A55)</f>
        <v>0</v>
      </c>
      <c r="D55" s="25">
        <f>COUNTIF(TT!$D$57:$D$75,TALLY!A55)</f>
        <v>0</v>
      </c>
      <c r="E55" s="25">
        <f>COUNTIF(TT!$D$82:$D$95,TALLY!A55)</f>
        <v>0</v>
      </c>
      <c r="F55" s="25">
        <f>COUNTIF(TT!$D$103:$D$112,TALLY!A55)</f>
        <v>1</v>
      </c>
      <c r="G55" s="25">
        <f>COUNTIF(TT!$D$120:$D$130,TALLY!A55)</f>
        <v>0</v>
      </c>
      <c r="H55" s="25">
        <f>COUNTIF(TT!$D$138:$D$153,TALLY!A55)</f>
        <v>0</v>
      </c>
      <c r="I55" s="23">
        <f>COUNTIF(TT!$D$160:$D$170,TALLY!A55)</f>
        <v>0</v>
      </c>
      <c r="J55" s="23">
        <f>COUNTIF(TT!$D$177:$D$187,TALLY!A55)</f>
        <v>0</v>
      </c>
      <c r="K55" s="23">
        <f>COUNTIF(TT!$D$194:$D$206,TALLY!A55)</f>
        <v>1</v>
      </c>
      <c r="L55" s="23">
        <f>COUNTIF(TT!$D$215:$D$226,TALLY!A55)</f>
        <v>0</v>
      </c>
      <c r="M55" s="23">
        <f>COUNTIF(TT!$D$234:$D$243,TALLY!A55)</f>
        <v>0</v>
      </c>
      <c r="N55" s="23">
        <f>COUNTIF(TT!$D$250:$D$262,TALLY!A55)</f>
        <v>0</v>
      </c>
      <c r="O55" s="23">
        <f>COUNTIF(TT!$D$270:$D$277,TALLY!A55)</f>
        <v>0</v>
      </c>
      <c r="P55" s="25">
        <f>COUNTIF(TT!$D$284:$D$293,TALLY!A55)</f>
        <v>0</v>
      </c>
      <c r="Q55" s="25">
        <f>COUNTIF(TT!$D$300:$D$313,TALLY!A55)</f>
        <v>1</v>
      </c>
      <c r="R55" s="25">
        <f>COUNTIF(TT!$D$320:$D$333,TALLY!A55)</f>
        <v>0</v>
      </c>
      <c r="S55" s="25">
        <f>COUNTIF(TT!$D$342:$D$352,TALLY!A55)</f>
        <v>0</v>
      </c>
      <c r="T55" s="25">
        <f>COUNTIF(TT!$D$359:$D$376,TALLY!A55)</f>
        <v>0</v>
      </c>
      <c r="U55" s="25">
        <f>COUNTIF(TT!$D$383:$D$398,TALLY!A55)</f>
        <v>1</v>
      </c>
      <c r="V55" s="25">
        <f>COUNTIF(TT!$D$405:$D$424,TALLY!A55)</f>
        <v>0</v>
      </c>
      <c r="W55" s="23">
        <f>COUNTIF(TT!$D$432:$D$442,TALLY!A55)</f>
        <v>0</v>
      </c>
      <c r="X55" s="23">
        <f>COUNTIF(TT!$D$449:$D$460,TALLY!A55)</f>
        <v>1</v>
      </c>
      <c r="Y55" s="23">
        <f>COUNTIF(TT!$D$467:$D$476,TALLY!A55)</f>
        <v>0</v>
      </c>
      <c r="Z55" s="23">
        <f>COUNTIF(TT!$D$483:$D$500,TALLY!A55)</f>
        <v>0</v>
      </c>
      <c r="AA55" s="23">
        <f>COUNTIF(TT!$D$507:$D$522,TALLY!A55)</f>
        <v>1</v>
      </c>
      <c r="AB55" s="23">
        <f>COUNTIF(TT!$D$529:$D$540,TALLY!A55)</f>
        <v>0</v>
      </c>
      <c r="AC55" s="23">
        <f>COUNTIF(TT!$D$546:$D$555,TALLY!A55)</f>
        <v>0</v>
      </c>
      <c r="AD55" s="25">
        <f>COUNTIF(TT!$D$563:$D$573,TALLY!A55)</f>
        <v>0</v>
      </c>
      <c r="AE55" s="25">
        <f>COUNTIF(TT!$D$582:$D$609,TALLY!A55)</f>
        <v>0</v>
      </c>
      <c r="AF55" s="25">
        <f>COUNTIF(TT!$D$615:$D$626,TALLY!A55)</f>
        <v>1</v>
      </c>
      <c r="AG55" s="25">
        <f>COUNTIF(TT!$D$635:$D$648,TALLY!A55)</f>
        <v>0</v>
      </c>
      <c r="AH55" s="25">
        <f>COUNTIF(TT!$D$655:$D$668,TALLY!A55)</f>
        <v>0</v>
      </c>
      <c r="AI55" s="25">
        <f>COUNTIF(TT!$D$675:$D$687,TALLY!A55)</f>
        <v>1</v>
      </c>
      <c r="AJ55" s="25"/>
      <c r="AK55" s="24" t="s">
        <v>79</v>
      </c>
      <c r="AL55" s="23">
        <f t="shared" si="6"/>
        <v>1</v>
      </c>
      <c r="AM55" s="23">
        <f t="shared" si="7"/>
        <v>1</v>
      </c>
      <c r="AN55" s="23">
        <f t="shared" si="8"/>
        <v>2</v>
      </c>
      <c r="AO55" s="23">
        <f t="shared" si="9"/>
        <v>2</v>
      </c>
      <c r="AP55" s="23">
        <f t="shared" si="10"/>
        <v>2</v>
      </c>
      <c r="AQ55">
        <f t="shared" si="11"/>
        <v>8</v>
      </c>
    </row>
    <row r="56" spans="1:43" x14ac:dyDescent="0.35">
      <c r="A56" s="24" t="s">
        <v>29</v>
      </c>
      <c r="B56" s="25">
        <f>COUNTIF(TT!$D$4:$D$25,TALLY!A56)</f>
        <v>0</v>
      </c>
      <c r="C56" s="25">
        <f>COUNTIF(TT!$D$33:$D$50,TALLY!A56)</f>
        <v>0</v>
      </c>
      <c r="D56" s="25">
        <f>COUNTIF(TT!$D$57:$D$75,TALLY!A56)</f>
        <v>1</v>
      </c>
      <c r="E56" s="25">
        <f>COUNTIF(TT!$D$82:$D$95,TALLY!A56)</f>
        <v>0</v>
      </c>
      <c r="F56" s="25">
        <f>COUNTIF(TT!$D$103:$D$112,TALLY!A56)</f>
        <v>0</v>
      </c>
      <c r="G56" s="25">
        <f>COUNTIF(TT!$D$120:$D$130,TALLY!A56)</f>
        <v>0</v>
      </c>
      <c r="H56" s="25">
        <f>COUNTIF(TT!$D$138:$D$153,TALLY!A56)</f>
        <v>0</v>
      </c>
      <c r="I56" s="23">
        <f>COUNTIF(TT!$D$160:$D$170,TALLY!A56)</f>
        <v>0</v>
      </c>
      <c r="J56" s="23">
        <f>COUNTIF(TT!$D$177:$D$187,TALLY!A56)</f>
        <v>0</v>
      </c>
      <c r="K56" s="23">
        <f>COUNTIF(TT!$D$194:$D$206,TALLY!A56)</f>
        <v>0</v>
      </c>
      <c r="L56" s="23">
        <f>COUNTIF(TT!$D$215:$D$226,TALLY!A56)</f>
        <v>0</v>
      </c>
      <c r="M56" s="23">
        <f>COUNTIF(TT!$D$234:$D$243,TALLY!A56)</f>
        <v>0</v>
      </c>
      <c r="N56" s="23">
        <f>COUNTIF(TT!$D$250:$D$262,TALLY!A56)</f>
        <v>0</v>
      </c>
      <c r="O56" s="23">
        <f>COUNTIF(TT!$D$270:$D$277,TALLY!A56)</f>
        <v>0</v>
      </c>
      <c r="P56" s="25">
        <f>COUNTIF(TT!$D$284:$D$293,TALLY!A56)</f>
        <v>1</v>
      </c>
      <c r="Q56" s="25">
        <f>COUNTIF(TT!$D$300:$D$313,TALLY!A56)</f>
        <v>0</v>
      </c>
      <c r="R56" s="25">
        <f>COUNTIF(TT!$D$320:$D$333,TALLY!A56)</f>
        <v>0</v>
      </c>
      <c r="S56" s="25">
        <f>COUNTIF(TT!$D$342:$D$352,TALLY!A56)</f>
        <v>0</v>
      </c>
      <c r="T56" s="25">
        <f>COUNTIF(TT!$D$359:$D$376,TALLY!A56)</f>
        <v>0</v>
      </c>
      <c r="U56" s="25">
        <f>COUNTIF(TT!$D$383:$D$398,TALLY!A56)</f>
        <v>0</v>
      </c>
      <c r="V56" s="25">
        <f>COUNTIF(TT!$D$405:$D$424,TALLY!A56)</f>
        <v>1</v>
      </c>
      <c r="W56" s="23">
        <f>COUNTIF(TT!$D$432:$D$442,TALLY!A56)</f>
        <v>0</v>
      </c>
      <c r="X56" s="23">
        <f>COUNTIF(TT!$D$449:$D$460,TALLY!A56)</f>
        <v>1</v>
      </c>
      <c r="Y56" s="23">
        <f>COUNTIF(TT!$D$467:$D$476,TALLY!A56)</f>
        <v>0</v>
      </c>
      <c r="Z56" s="23">
        <f>COUNTIF(TT!$D$483:$D$500,TALLY!A56)</f>
        <v>0</v>
      </c>
      <c r="AA56" s="23">
        <f>COUNTIF(TT!$D$507:$D$522,TALLY!A56)</f>
        <v>1</v>
      </c>
      <c r="AB56" s="23">
        <f>COUNTIF(TT!$D$529:$D$540,TALLY!A56)</f>
        <v>0</v>
      </c>
      <c r="AC56" s="23">
        <f>COUNTIF(TT!$D$546:$D$555,TALLY!A56)</f>
        <v>0</v>
      </c>
      <c r="AD56" s="25">
        <f>COUNTIF(TT!$D$563:$D$573,TALLY!A56)</f>
        <v>0</v>
      </c>
      <c r="AE56" s="25">
        <f>COUNTIF(TT!$D$582:$D$609,TALLY!A56)</f>
        <v>1</v>
      </c>
      <c r="AF56" s="25">
        <f>COUNTIF(TT!$D$615:$D$626,TALLY!A56)</f>
        <v>0</v>
      </c>
      <c r="AG56" s="25">
        <f>COUNTIF(TT!$D$635:$D$648,TALLY!A56)</f>
        <v>0</v>
      </c>
      <c r="AH56" s="25">
        <f>COUNTIF(TT!$D$655:$D$668,TALLY!A56)</f>
        <v>1</v>
      </c>
      <c r="AI56" s="25">
        <f>COUNTIF(TT!$D$675:$D$687,TALLY!A56)</f>
        <v>0</v>
      </c>
      <c r="AJ56" s="25"/>
      <c r="AK56" s="24" t="s">
        <v>29</v>
      </c>
      <c r="AL56" s="23">
        <f t="shared" si="6"/>
        <v>1</v>
      </c>
      <c r="AM56" s="23">
        <f t="shared" si="7"/>
        <v>0</v>
      </c>
      <c r="AN56" s="23">
        <f t="shared" si="8"/>
        <v>2</v>
      </c>
      <c r="AO56" s="23">
        <f t="shared" si="9"/>
        <v>2</v>
      </c>
      <c r="AP56" s="23">
        <f t="shared" si="10"/>
        <v>2</v>
      </c>
      <c r="AQ56">
        <f t="shared" si="11"/>
        <v>7</v>
      </c>
    </row>
    <row r="57" spans="1:43" x14ac:dyDescent="0.35">
      <c r="A57" s="24" t="s">
        <v>10</v>
      </c>
      <c r="B57" s="25">
        <f>COUNTIF(TT!$D$4:$D$25,TALLY!A57)</f>
        <v>1</v>
      </c>
      <c r="C57" s="25">
        <f>COUNTIF(TT!$D$33:$D$50,TALLY!A57)</f>
        <v>0</v>
      </c>
      <c r="D57" s="25">
        <f>COUNTIF(TT!$D$57:$D$75,TALLY!A57)</f>
        <v>0</v>
      </c>
      <c r="E57" s="25">
        <f>COUNTIF(TT!$D$82:$D$95,TALLY!A57)</f>
        <v>0</v>
      </c>
      <c r="F57" s="25">
        <f>COUNTIF(TT!$D$103:$D$112,TALLY!A57)</f>
        <v>0</v>
      </c>
      <c r="G57" s="25">
        <f>COUNTIF(TT!$D$120:$D$130,TALLY!A57)</f>
        <v>0</v>
      </c>
      <c r="H57" s="25">
        <f>COUNTIF(TT!$D$138:$D$153,TALLY!A57)</f>
        <v>1</v>
      </c>
      <c r="I57" s="23">
        <f>COUNTIF(TT!$D$160:$D$170,TALLY!A57)</f>
        <v>0</v>
      </c>
      <c r="J57" s="23">
        <f>COUNTIF(TT!$D$177:$D$187,TALLY!A57)</f>
        <v>0</v>
      </c>
      <c r="K57" s="23">
        <f>COUNTIF(TT!$D$194:$D$206,TALLY!A57)</f>
        <v>0</v>
      </c>
      <c r="L57" s="23">
        <f>COUNTIF(TT!$D$215:$D$226,TALLY!A57)</f>
        <v>1</v>
      </c>
      <c r="M57" s="23">
        <f>COUNTIF(TT!$D$234:$D$243,TALLY!A57)</f>
        <v>0</v>
      </c>
      <c r="N57" s="23">
        <f>COUNTIF(TT!$D$250:$D$262,TALLY!A57)</f>
        <v>0</v>
      </c>
      <c r="O57" s="23">
        <f>COUNTIF(TT!$D$270:$D$277,TALLY!A57)</f>
        <v>0</v>
      </c>
      <c r="P57" s="25">
        <f>COUNTIF(TT!$D$284:$D$293,TALLY!A57)</f>
        <v>0</v>
      </c>
      <c r="Q57" s="25">
        <f>COUNTIF(TT!$D$300:$D$313,TALLY!A57)</f>
        <v>0</v>
      </c>
      <c r="R57" s="25">
        <f>COUNTIF(TT!$D$320:$D$333,TALLY!A57)</f>
        <v>0</v>
      </c>
      <c r="S57" s="25">
        <f>COUNTIF(TT!$D$342:$D$352,TALLY!A57)</f>
        <v>0</v>
      </c>
      <c r="T57" s="25">
        <f>COUNTIF(TT!$D$359:$D$376,TALLY!A57)</f>
        <v>0</v>
      </c>
      <c r="U57" s="25">
        <f>COUNTIF(TT!$D$383:$D$398,TALLY!A57)</f>
        <v>1</v>
      </c>
      <c r="V57" s="25">
        <f>COUNTIF(TT!$D$405:$D$424,TALLY!A57)</f>
        <v>0</v>
      </c>
      <c r="W57" s="23">
        <f>COUNTIF(TT!$D$432:$D$442,TALLY!A57)</f>
        <v>0</v>
      </c>
      <c r="X57" s="23">
        <f>COUNTIF(TT!$D$449:$D$460,TALLY!A57)</f>
        <v>0</v>
      </c>
      <c r="Y57" s="23">
        <f>COUNTIF(TT!$D$467:$D$476,TALLY!A57)</f>
        <v>0</v>
      </c>
      <c r="Z57" s="23">
        <f>COUNTIF(TT!$D$483:$D$500,TALLY!A57)</f>
        <v>1</v>
      </c>
      <c r="AA57" s="23">
        <f>COUNTIF(TT!$D$507:$D$522,TALLY!A57)</f>
        <v>0</v>
      </c>
      <c r="AB57" s="23">
        <f>COUNTIF(TT!$D$529:$D$540,TALLY!A57)</f>
        <v>0</v>
      </c>
      <c r="AC57" s="23">
        <f>COUNTIF(TT!$D$546:$D$555,TALLY!A57)</f>
        <v>0</v>
      </c>
      <c r="AD57" s="25">
        <f>COUNTIF(TT!$D$563:$D$573,TALLY!A57)</f>
        <v>0</v>
      </c>
      <c r="AE57" s="25">
        <f>COUNTIF(TT!$D$582:$D$609,TALLY!A57)</f>
        <v>1</v>
      </c>
      <c r="AF57" s="25">
        <f>COUNTIF(TT!$D$615:$D$626,TALLY!A57)</f>
        <v>0</v>
      </c>
      <c r="AG57" s="25">
        <f>COUNTIF(TT!$D$635:$D$648,TALLY!A57)</f>
        <v>0</v>
      </c>
      <c r="AH57" s="25">
        <f>COUNTIF(TT!$D$655:$D$668,TALLY!A57)</f>
        <v>0</v>
      </c>
      <c r="AI57" s="25">
        <f>COUNTIF(TT!$D$675:$D$687,TALLY!A57)</f>
        <v>0</v>
      </c>
      <c r="AJ57" s="25"/>
      <c r="AK57" s="24" t="s">
        <v>10</v>
      </c>
      <c r="AL57" s="23">
        <f t="shared" si="6"/>
        <v>2</v>
      </c>
      <c r="AM57" s="23">
        <f t="shared" si="7"/>
        <v>1</v>
      </c>
      <c r="AN57" s="23">
        <f t="shared" si="8"/>
        <v>1</v>
      </c>
      <c r="AO57" s="23">
        <f t="shared" si="9"/>
        <v>1</v>
      </c>
      <c r="AP57" s="23">
        <f t="shared" si="10"/>
        <v>1</v>
      </c>
      <c r="AQ57">
        <f t="shared" si="11"/>
        <v>6</v>
      </c>
    </row>
    <row r="58" spans="1:43" x14ac:dyDescent="0.35">
      <c r="A58" s="24" t="s">
        <v>109</v>
      </c>
      <c r="B58" s="25">
        <f>COUNTIF(TT!$D$4:$D$25,TALLY!A58)</f>
        <v>0</v>
      </c>
      <c r="C58" s="25">
        <f>COUNTIF(TT!$D$33:$D$50,TALLY!A58)</f>
        <v>0</v>
      </c>
      <c r="D58" s="25">
        <f>COUNTIF(TT!$D$57:$D$75,TALLY!A58)</f>
        <v>0</v>
      </c>
      <c r="E58" s="25">
        <f>COUNTIF(TT!$D$82:$D$95,TALLY!A58)</f>
        <v>1</v>
      </c>
      <c r="F58" s="25">
        <f>COUNTIF(TT!$D$103:$D$112,TALLY!A58)</f>
        <v>0</v>
      </c>
      <c r="G58" s="25">
        <f>COUNTIF(TT!$D$120:$D$130,TALLY!A58)</f>
        <v>0</v>
      </c>
      <c r="H58" s="25">
        <f>COUNTIF(TT!$D$138:$D$153,TALLY!A58)</f>
        <v>0</v>
      </c>
      <c r="I58" s="23">
        <f>COUNTIF(TT!$D$160:$D$170,TALLY!A58)</f>
        <v>0</v>
      </c>
      <c r="J58" s="23">
        <f>COUNTIF(TT!$D$177:$D$187,TALLY!A58)</f>
        <v>0</v>
      </c>
      <c r="K58" s="23">
        <f>COUNTIF(TT!$D$194:$D$206,TALLY!A58)</f>
        <v>1</v>
      </c>
      <c r="L58" s="23">
        <f>COUNTIF(TT!$D$215:$D$226,TALLY!A58)</f>
        <v>0</v>
      </c>
      <c r="M58" s="23">
        <f>COUNTIF(TT!$D$234:$D$243,TALLY!A58)</f>
        <v>0</v>
      </c>
      <c r="N58" s="23">
        <f>COUNTIF(TT!$D$250:$D$262,TALLY!A58)</f>
        <v>0</v>
      </c>
      <c r="O58" s="23">
        <f>COUNTIF(TT!$D$270:$D$277,TALLY!A58)</f>
        <v>0</v>
      </c>
      <c r="P58" s="25">
        <f>COUNTIF(TT!$D$284:$D$293,TALLY!A58)</f>
        <v>0</v>
      </c>
      <c r="Q58" s="25">
        <f>COUNTIF(TT!$D$300:$D$313,TALLY!A58)</f>
        <v>0</v>
      </c>
      <c r="R58" s="25">
        <f>COUNTIF(TT!$D$320:$D$333,TALLY!A58)</f>
        <v>0</v>
      </c>
      <c r="S58" s="25">
        <f>COUNTIF(TT!$D$342:$D$352,TALLY!A58)</f>
        <v>0</v>
      </c>
      <c r="T58" s="25">
        <f>COUNTIF(TT!$D$359:$D$376,TALLY!A58)</f>
        <v>0</v>
      </c>
      <c r="U58" s="25">
        <f>COUNTIF(TT!$D$383:$D$398,TALLY!A58)</f>
        <v>0</v>
      </c>
      <c r="V58" s="25">
        <f>COUNTIF(TT!$D$405:$D$424,TALLY!A58)</f>
        <v>1</v>
      </c>
      <c r="W58" s="23">
        <f>COUNTIF(TT!$D$432:$D$442,TALLY!A58)</f>
        <v>0</v>
      </c>
      <c r="X58" s="23">
        <f>COUNTIF(TT!$D$449:$D$460,TALLY!A58)</f>
        <v>0</v>
      </c>
      <c r="Y58" s="23">
        <f>COUNTIF(TT!$D$467:$D$476,TALLY!A58)</f>
        <v>0</v>
      </c>
      <c r="Z58" s="23">
        <f>COUNTIF(TT!$D$483:$D$500,TALLY!A58)</f>
        <v>1</v>
      </c>
      <c r="AA58" s="23">
        <f>COUNTIF(TT!$D$507:$D$522,TALLY!A58)</f>
        <v>0</v>
      </c>
      <c r="AB58" s="23">
        <f>COUNTIF(TT!$D$529:$D$540,TALLY!A58)</f>
        <v>0</v>
      </c>
      <c r="AC58" s="23">
        <f>COUNTIF(TT!$D$546:$D$555,TALLY!A58)</f>
        <v>0</v>
      </c>
      <c r="AD58" s="25">
        <f>COUNTIF(TT!$D$563:$D$573,TALLY!A58)</f>
        <v>0</v>
      </c>
      <c r="AE58" s="25">
        <f>COUNTIF(TT!$D$582:$D$609,TALLY!A58)</f>
        <v>1</v>
      </c>
      <c r="AF58" s="25">
        <f>COUNTIF(TT!$D$615:$D$626,TALLY!A58)</f>
        <v>0</v>
      </c>
      <c r="AG58" s="25">
        <f>COUNTIF(TT!$D$635:$D$648,TALLY!A58)</f>
        <v>0</v>
      </c>
      <c r="AH58" s="25">
        <f>COUNTIF(TT!$D$655:$D$668,TALLY!A58)</f>
        <v>0</v>
      </c>
      <c r="AI58" s="25">
        <f>COUNTIF(TT!$D$675:$D$687,TALLY!A58)</f>
        <v>0</v>
      </c>
      <c r="AJ58" s="25"/>
      <c r="AK58" s="24" t="s">
        <v>109</v>
      </c>
      <c r="AL58" s="23">
        <f t="shared" si="6"/>
        <v>1</v>
      </c>
      <c r="AM58" s="23">
        <f t="shared" si="7"/>
        <v>1</v>
      </c>
      <c r="AN58" s="23">
        <f t="shared" si="8"/>
        <v>1</v>
      </c>
      <c r="AO58" s="23">
        <f t="shared" si="9"/>
        <v>1</v>
      </c>
      <c r="AP58" s="23">
        <f t="shared" si="10"/>
        <v>1</v>
      </c>
      <c r="AQ58">
        <f t="shared" si="11"/>
        <v>5</v>
      </c>
    </row>
    <row r="59" spans="1:43" x14ac:dyDescent="0.35">
      <c r="A59" s="24" t="s">
        <v>93</v>
      </c>
      <c r="B59" s="25">
        <f>COUNTIF(TT!$D$4:$D$25,TALLY!A59)</f>
        <v>1</v>
      </c>
      <c r="C59" s="25">
        <f>COUNTIF(TT!$D$33:$D$50,TALLY!A59)</f>
        <v>0</v>
      </c>
      <c r="D59" s="25">
        <f>COUNTIF(TT!$D$57:$D$75,TALLY!A59)</f>
        <v>0</v>
      </c>
      <c r="E59" s="25">
        <f>COUNTIF(TT!$D$82:$D$95,TALLY!A59)</f>
        <v>1</v>
      </c>
      <c r="F59" s="25">
        <f>COUNTIF(TT!$D$103:$D$112,TALLY!A59)</f>
        <v>0</v>
      </c>
      <c r="G59" s="25">
        <f>COUNTIF(TT!$D$120:$D$130,TALLY!A59)</f>
        <v>0</v>
      </c>
      <c r="H59" s="25">
        <f>COUNTIF(TT!$D$138:$D$153,TALLY!A59)</f>
        <v>0</v>
      </c>
      <c r="I59" s="23">
        <f>COUNTIF(TT!$D$160:$D$170,TALLY!A59)</f>
        <v>0</v>
      </c>
      <c r="J59" s="23">
        <f>COUNTIF(TT!$D$177:$D$187,TALLY!A59)</f>
        <v>0</v>
      </c>
      <c r="K59" s="23">
        <f>COUNTIF(TT!$D$194:$D$206,TALLY!A59)</f>
        <v>0</v>
      </c>
      <c r="L59" s="23">
        <f>COUNTIF(TT!$D$215:$D$226,TALLY!A59)</f>
        <v>0</v>
      </c>
      <c r="M59" s="23">
        <f>COUNTIF(TT!$D$234:$D$243,TALLY!A59)</f>
        <v>0</v>
      </c>
      <c r="N59" s="23">
        <f>COUNTIF(TT!$D$250:$D$262,TALLY!A59)</f>
        <v>1</v>
      </c>
      <c r="O59" s="23">
        <f>COUNTIF(TT!$D$270:$D$277,TALLY!A59)</f>
        <v>0</v>
      </c>
      <c r="P59" s="25">
        <f>COUNTIF(TT!$D$284:$D$293,TALLY!A59)</f>
        <v>0</v>
      </c>
      <c r="Q59" s="25">
        <f>COUNTIF(TT!$D$300:$D$313,TALLY!A59)</f>
        <v>1</v>
      </c>
      <c r="R59" s="25">
        <f>COUNTIF(TT!$D$320:$D$333,TALLY!A59)</f>
        <v>0</v>
      </c>
      <c r="S59" s="25">
        <f>COUNTIF(TT!$D$342:$D$352,TALLY!A59)</f>
        <v>0</v>
      </c>
      <c r="T59" s="25">
        <f>COUNTIF(TT!$D$359:$D$376,TALLY!A59)</f>
        <v>0</v>
      </c>
      <c r="U59" s="25">
        <f>COUNTIF(TT!$D$383:$D$398,TALLY!A59)</f>
        <v>1</v>
      </c>
      <c r="V59" s="25">
        <f>COUNTIF(TT!$D$405:$D$424,TALLY!A59)</f>
        <v>0</v>
      </c>
      <c r="W59" s="23">
        <f>COUNTIF(TT!$D$432:$D$442,TALLY!A59)</f>
        <v>0</v>
      </c>
      <c r="X59" s="23">
        <f>COUNTIF(TT!$D$449:$D$460,TALLY!A59)</f>
        <v>0</v>
      </c>
      <c r="Y59" s="23">
        <f>COUNTIF(TT!$D$467:$D$476,TALLY!A59)</f>
        <v>0</v>
      </c>
      <c r="Z59" s="23">
        <f>COUNTIF(TT!$D$483:$D$500,TALLY!A59)</f>
        <v>1</v>
      </c>
      <c r="AA59" s="23">
        <f>COUNTIF(TT!$D$507:$D$522,TALLY!A59)</f>
        <v>1</v>
      </c>
      <c r="AB59" s="23">
        <f>COUNTIF(TT!$D$529:$D$540,TALLY!A59)</f>
        <v>0</v>
      </c>
      <c r="AC59" s="23">
        <f>COUNTIF(TT!$D$546:$D$555,TALLY!A59)</f>
        <v>0</v>
      </c>
      <c r="AD59" s="25">
        <f>COUNTIF(TT!$D$563:$D$573,TALLY!A59)</f>
        <v>0</v>
      </c>
      <c r="AE59" s="25">
        <f>COUNTIF(TT!$D$582:$D$609,TALLY!A59)</f>
        <v>1</v>
      </c>
      <c r="AF59" s="25">
        <f>COUNTIF(TT!$D$615:$D$626,TALLY!A59)</f>
        <v>0</v>
      </c>
      <c r="AG59" s="25">
        <f>COUNTIF(TT!$D$635:$D$648,TALLY!A59)</f>
        <v>0</v>
      </c>
      <c r="AH59" s="25">
        <f>COUNTIF(TT!$D$655:$D$668,TALLY!A59)</f>
        <v>0</v>
      </c>
      <c r="AI59" s="25">
        <f>COUNTIF(TT!$D$675:$D$687,TALLY!A59)</f>
        <v>1</v>
      </c>
      <c r="AJ59" s="25"/>
      <c r="AK59" s="24" t="s">
        <v>93</v>
      </c>
      <c r="AL59" s="23">
        <f t="shared" si="6"/>
        <v>2</v>
      </c>
      <c r="AM59" s="23">
        <f t="shared" si="7"/>
        <v>1</v>
      </c>
      <c r="AN59" s="23">
        <f t="shared" si="8"/>
        <v>2</v>
      </c>
      <c r="AO59" s="23">
        <f t="shared" si="9"/>
        <v>2</v>
      </c>
      <c r="AP59" s="23">
        <f t="shared" si="10"/>
        <v>2</v>
      </c>
      <c r="AQ59">
        <f t="shared" si="11"/>
        <v>9</v>
      </c>
    </row>
    <row r="60" spans="1:43" x14ac:dyDescent="0.35">
      <c r="A60" s="24" t="s">
        <v>126</v>
      </c>
      <c r="B60" s="25">
        <f>COUNTIF(TT!$D$4:$D$25,TALLY!A60)</f>
        <v>0</v>
      </c>
      <c r="C60" s="25">
        <f>COUNTIF(TT!$D$33:$D$50,TALLY!A60)</f>
        <v>0</v>
      </c>
      <c r="D60" s="25">
        <f>COUNTIF(TT!$D$57:$D$75,TALLY!A60)</f>
        <v>0</v>
      </c>
      <c r="E60" s="25">
        <f>COUNTIF(TT!$D$82:$D$95,TALLY!A60)</f>
        <v>1</v>
      </c>
      <c r="F60" s="25">
        <f>COUNTIF(TT!$D$103:$D$112,TALLY!A60)</f>
        <v>0</v>
      </c>
      <c r="G60" s="25">
        <f>COUNTIF(TT!$D$120:$D$130,TALLY!A60)</f>
        <v>0</v>
      </c>
      <c r="H60" s="25">
        <f>COUNTIF(TT!$D$138:$D$153,TALLY!A60)</f>
        <v>0</v>
      </c>
      <c r="I60" s="23">
        <f>COUNTIF(TT!$D$160:$D$170,TALLY!A60)</f>
        <v>0</v>
      </c>
      <c r="J60" s="23">
        <f>COUNTIF(TT!$D$177:$D$187,TALLY!A60)</f>
        <v>0</v>
      </c>
      <c r="K60" s="23">
        <f>COUNTIF(TT!$D$194:$D$206,TALLY!A60)</f>
        <v>0</v>
      </c>
      <c r="L60" s="23">
        <f>COUNTIF(TT!$D$215:$D$226,TALLY!A60)</f>
        <v>0</v>
      </c>
      <c r="M60" s="23">
        <f>COUNTIF(TT!$D$234:$D$243,TALLY!A60)</f>
        <v>0</v>
      </c>
      <c r="N60" s="23">
        <f>COUNTIF(TT!$D$250:$D$262,TALLY!A60)</f>
        <v>0</v>
      </c>
      <c r="O60" s="23">
        <f>COUNTIF(TT!$D$270:$D$277,TALLY!A60)</f>
        <v>0</v>
      </c>
      <c r="P60" s="25">
        <f>COUNTIF(TT!$D$284:$D$293,TALLY!A60)</f>
        <v>0</v>
      </c>
      <c r="Q60" s="25">
        <f>COUNTIF(TT!$D$300:$D$313,TALLY!A60)</f>
        <v>0</v>
      </c>
      <c r="R60" s="25">
        <f>COUNTIF(TT!$D$320:$D$333,TALLY!A60)</f>
        <v>0</v>
      </c>
      <c r="S60" s="25">
        <f>COUNTIF(TT!$D$342:$D$352,TALLY!A60)</f>
        <v>1</v>
      </c>
      <c r="T60" s="25">
        <f>COUNTIF(TT!$D$359:$D$376,TALLY!A60)</f>
        <v>0</v>
      </c>
      <c r="U60" s="25">
        <f>COUNTIF(TT!$D$383:$D$398,TALLY!A60)</f>
        <v>0</v>
      </c>
      <c r="V60" s="25">
        <f>COUNTIF(TT!$D$405:$D$424,TALLY!A60)</f>
        <v>0</v>
      </c>
      <c r="W60" s="23">
        <f>COUNTIF(TT!$D$432:$D$442,TALLY!A60)</f>
        <v>0</v>
      </c>
      <c r="X60" s="23">
        <f>COUNTIF(TT!$D$449:$D$460,TALLY!A60)</f>
        <v>0</v>
      </c>
      <c r="Y60" s="23">
        <f>COUNTIF(TT!$D$467:$D$476,TALLY!A60)</f>
        <v>0</v>
      </c>
      <c r="Z60" s="23">
        <f>COUNTIF(TT!$D$483:$D$500,TALLY!A60)</f>
        <v>0</v>
      </c>
      <c r="AA60" s="23">
        <f>COUNTIF(TT!$D$507:$D$522,TALLY!A60)</f>
        <v>1</v>
      </c>
      <c r="AB60" s="23">
        <f>COUNTIF(TT!$D$529:$D$540,TALLY!A60)</f>
        <v>0</v>
      </c>
      <c r="AC60" s="23">
        <f>COUNTIF(TT!$D$546:$D$555,TALLY!A60)</f>
        <v>0</v>
      </c>
      <c r="AD60" s="25">
        <f>COUNTIF(TT!$D$563:$D$573,TALLY!A60)</f>
        <v>0</v>
      </c>
      <c r="AE60" s="25">
        <f>COUNTIF(TT!$D$582:$D$609,TALLY!A60)</f>
        <v>0</v>
      </c>
      <c r="AF60" s="25">
        <f>COUNTIF(TT!$D$615:$D$626,TALLY!A60)</f>
        <v>0</v>
      </c>
      <c r="AG60" s="25">
        <f>COUNTIF(TT!$D$635:$D$648,TALLY!A60)</f>
        <v>0</v>
      </c>
      <c r="AH60" s="25">
        <f>COUNTIF(TT!$D$655:$D$668,TALLY!A60)</f>
        <v>0</v>
      </c>
      <c r="AI60" s="25">
        <f>COUNTIF(TT!$D$675:$D$687,TALLY!A60)</f>
        <v>0</v>
      </c>
      <c r="AJ60" s="25"/>
      <c r="AK60" s="24" t="s">
        <v>126</v>
      </c>
      <c r="AL60" s="23">
        <f t="shared" si="6"/>
        <v>1</v>
      </c>
      <c r="AM60" s="23">
        <f t="shared" si="7"/>
        <v>0</v>
      </c>
      <c r="AN60" s="23">
        <f t="shared" si="8"/>
        <v>1</v>
      </c>
      <c r="AO60" s="23">
        <f t="shared" si="9"/>
        <v>1</v>
      </c>
      <c r="AP60" s="23">
        <f t="shared" si="10"/>
        <v>0</v>
      </c>
      <c r="AQ60">
        <f t="shared" si="11"/>
        <v>3</v>
      </c>
    </row>
    <row r="61" spans="1:43" x14ac:dyDescent="0.35">
      <c r="A61" s="24" t="s">
        <v>242</v>
      </c>
      <c r="B61" s="25">
        <f>COUNTIF(TT!$D$4:$D$25,TALLY!A61)</f>
        <v>0</v>
      </c>
      <c r="C61" s="25">
        <f>COUNTIF(TT!$D$33:$D$50,TALLY!A61)</f>
        <v>1</v>
      </c>
      <c r="D61" s="25">
        <f>COUNTIF(TT!$D$57:$D$75,TALLY!A61)</f>
        <v>0</v>
      </c>
      <c r="E61" s="25">
        <f>COUNTIF(TT!$D$82:$D$95,TALLY!A61)</f>
        <v>0</v>
      </c>
      <c r="F61" s="25">
        <f>COUNTIF(TT!$D$103:$D$112,TALLY!A61)</f>
        <v>0</v>
      </c>
      <c r="G61" s="25">
        <f>COUNTIF(TT!$D$120:$D$130,TALLY!A61)</f>
        <v>0</v>
      </c>
      <c r="H61" s="25">
        <f>COUNTIF(TT!$D$138:$D$153,TALLY!A61)</f>
        <v>0</v>
      </c>
      <c r="I61" s="23">
        <f>COUNTIF(TT!$D$160:$D$170,TALLY!A61)</f>
        <v>0</v>
      </c>
      <c r="J61" s="23">
        <f>COUNTIF(TT!$D$177:$D$187,TALLY!A61)</f>
        <v>0</v>
      </c>
      <c r="K61" s="23">
        <f>COUNTIF(TT!$D$194:$D$206,TALLY!A61)</f>
        <v>0</v>
      </c>
      <c r="L61" s="23">
        <f>COUNTIF(TT!$D$215:$D$226,TALLY!A61)</f>
        <v>0</v>
      </c>
      <c r="M61" s="23">
        <f>COUNTIF(TT!$D$234:$D$243,TALLY!A61)</f>
        <v>0</v>
      </c>
      <c r="N61" s="23">
        <f>COUNTIF(TT!$D$250:$D$262,TALLY!A61)</f>
        <v>0</v>
      </c>
      <c r="O61" s="23">
        <f>COUNTIF(TT!$D$270:$D$277,TALLY!A61)</f>
        <v>0</v>
      </c>
      <c r="P61" s="25">
        <f>COUNTIF(TT!$D$284:$D$293,TALLY!A61)</f>
        <v>0</v>
      </c>
      <c r="Q61" s="25">
        <f>COUNTIF(TT!$D$300:$D$313,TALLY!A61)</f>
        <v>0</v>
      </c>
      <c r="R61" s="25">
        <f>COUNTIF(TT!$D$320:$D$333,TALLY!A61)</f>
        <v>0</v>
      </c>
      <c r="S61" s="25">
        <f>COUNTIF(TT!$D$342:$D$352,TALLY!A61)</f>
        <v>1</v>
      </c>
      <c r="T61" s="25">
        <f>COUNTIF(TT!$D$359:$D$376,TALLY!A61)</f>
        <v>0</v>
      </c>
      <c r="U61" s="25">
        <f>COUNTIF(TT!$D$383:$D$398,TALLY!A61)</f>
        <v>0</v>
      </c>
      <c r="V61" s="25">
        <f>COUNTIF(TT!$D$405:$D$424,TALLY!A61)</f>
        <v>0</v>
      </c>
      <c r="W61" s="23">
        <f>COUNTIF(TT!$D$432:$D$442,TALLY!A61)</f>
        <v>0</v>
      </c>
      <c r="X61" s="23">
        <f>COUNTIF(TT!$D$449:$D$460,TALLY!A61)</f>
        <v>0</v>
      </c>
      <c r="Y61" s="23">
        <f>COUNTIF(TT!$D$467:$D$476,TALLY!A61)</f>
        <v>0</v>
      </c>
      <c r="Z61" s="23">
        <f>COUNTIF(TT!$D$483:$D$500,TALLY!A61)</f>
        <v>0</v>
      </c>
      <c r="AA61" s="23">
        <f>COUNTIF(TT!$D$507:$D$522,TALLY!A61)</f>
        <v>0</v>
      </c>
      <c r="AB61" s="23">
        <f>COUNTIF(TT!$D$529:$D$540,TALLY!A61)</f>
        <v>1</v>
      </c>
      <c r="AC61" s="23">
        <f>COUNTIF(TT!$D$546:$D$555,TALLY!A61)</f>
        <v>0</v>
      </c>
      <c r="AD61" s="25">
        <f>COUNTIF(TT!$D$563:$D$573,TALLY!A61)</f>
        <v>0</v>
      </c>
      <c r="AE61" s="25">
        <f>COUNTIF(TT!$D$582:$D$609,TALLY!A61)</f>
        <v>0</v>
      </c>
      <c r="AF61" s="25">
        <f>COUNTIF(TT!$D$615:$D$626,TALLY!A61)</f>
        <v>0</v>
      </c>
      <c r="AG61" s="25">
        <f>COUNTIF(TT!$D$635:$D$648,TALLY!A61)</f>
        <v>0</v>
      </c>
      <c r="AH61" s="25">
        <f>COUNTIF(TT!$D$655:$D$668,TALLY!A61)</f>
        <v>0</v>
      </c>
      <c r="AI61" s="25">
        <f>COUNTIF(TT!$D$675:$D$687,TALLY!A61)</f>
        <v>0</v>
      </c>
      <c r="AJ61" s="25"/>
      <c r="AK61" s="24" t="s">
        <v>242</v>
      </c>
      <c r="AL61" s="23">
        <f t="shared" si="6"/>
        <v>1</v>
      </c>
      <c r="AM61" s="23">
        <f t="shared" si="7"/>
        <v>0</v>
      </c>
      <c r="AN61" s="23">
        <f t="shared" si="8"/>
        <v>1</v>
      </c>
      <c r="AO61" s="23">
        <f t="shared" si="9"/>
        <v>0</v>
      </c>
      <c r="AP61" s="23">
        <f t="shared" si="10"/>
        <v>0</v>
      </c>
      <c r="AQ61">
        <f t="shared" si="11"/>
        <v>2</v>
      </c>
    </row>
    <row r="62" spans="1:43" x14ac:dyDescent="0.35">
      <c r="A62" s="24" t="s">
        <v>84</v>
      </c>
      <c r="B62" s="25">
        <f>COUNTIF(TT!$D$4:$D$25,TALLY!A62)</f>
        <v>1</v>
      </c>
      <c r="C62" s="25">
        <f>COUNTIF(TT!$D$33:$D$50,TALLY!A62)</f>
        <v>0</v>
      </c>
      <c r="D62" s="25">
        <f>COUNTIF(TT!$D$57:$D$75,TALLY!A62)</f>
        <v>0</v>
      </c>
      <c r="E62" s="25">
        <f>COUNTIF(TT!$D$82:$D$95,TALLY!A62)</f>
        <v>1</v>
      </c>
      <c r="F62" s="25">
        <f>COUNTIF(TT!$D$103:$D$112,TALLY!A62)</f>
        <v>0</v>
      </c>
      <c r="G62" s="25">
        <f>COUNTIF(TT!$D$120:$D$130,TALLY!A62)</f>
        <v>0</v>
      </c>
      <c r="H62" s="25">
        <f>COUNTIF(TT!$D$138:$D$153,TALLY!A62)</f>
        <v>0</v>
      </c>
      <c r="I62" s="23">
        <f>COUNTIF(TT!$D$160:$D$170,TALLY!A62)</f>
        <v>0</v>
      </c>
      <c r="J62" s="23">
        <f>COUNTIF(TT!$D$177:$D$187,TALLY!A62)</f>
        <v>0</v>
      </c>
      <c r="K62" s="23">
        <f>COUNTIF(TT!$D$194:$D$206,TALLY!A62)</f>
        <v>1</v>
      </c>
      <c r="L62" s="23">
        <f>COUNTIF(TT!$D$215:$D$226,TALLY!A62)</f>
        <v>0</v>
      </c>
      <c r="M62" s="23">
        <f>COUNTIF(TT!$D$234:$D$243,TALLY!A62)</f>
        <v>0</v>
      </c>
      <c r="N62" s="23">
        <f>COUNTIF(TT!$D$250:$D$262,TALLY!A62)</f>
        <v>0</v>
      </c>
      <c r="O62" s="23">
        <f>COUNTIF(TT!$D$270:$D$277,TALLY!A62)</f>
        <v>1</v>
      </c>
      <c r="P62" s="25">
        <f>COUNTIF(TT!$D$284:$D$293,TALLY!A62)</f>
        <v>0</v>
      </c>
      <c r="Q62" s="25">
        <f>COUNTIF(TT!$D$300:$D$313,TALLY!A62)</f>
        <v>1</v>
      </c>
      <c r="R62" s="25">
        <f>COUNTIF(TT!$D$320:$D$333,TALLY!A62)</f>
        <v>0</v>
      </c>
      <c r="S62" s="25">
        <f>COUNTIF(TT!$D$342:$D$352,TALLY!A62)</f>
        <v>0</v>
      </c>
      <c r="T62" s="25">
        <f>COUNTIF(TT!$D$359:$D$376,TALLY!A62)</f>
        <v>1</v>
      </c>
      <c r="U62" s="25">
        <f>COUNTIF(TT!$D$383:$D$398,TALLY!A62)</f>
        <v>0</v>
      </c>
      <c r="V62" s="25">
        <f>COUNTIF(TT!$D$405:$D$424,TALLY!A62)</f>
        <v>0</v>
      </c>
      <c r="W62" s="23">
        <f>COUNTIF(TT!$D$432:$D$442,TALLY!A62)</f>
        <v>0</v>
      </c>
      <c r="X62" s="23">
        <f>COUNTIF(TT!$D$449:$D$460,TALLY!A62)</f>
        <v>0</v>
      </c>
      <c r="Y62" s="23">
        <f>COUNTIF(TT!$D$467:$D$476,TALLY!A62)</f>
        <v>0</v>
      </c>
      <c r="Z62" s="23">
        <f>COUNTIF(TT!$D$483:$D$500,TALLY!A62)</f>
        <v>1</v>
      </c>
      <c r="AA62" s="23">
        <f>COUNTIF(TT!$D$507:$D$522,TALLY!A62)</f>
        <v>0</v>
      </c>
      <c r="AB62" s="23">
        <f>COUNTIF(TT!$D$529:$D$540,TALLY!A62)</f>
        <v>0</v>
      </c>
      <c r="AC62" s="23">
        <f>COUNTIF(TT!$D$546:$D$555,TALLY!A62)</f>
        <v>0</v>
      </c>
      <c r="AD62" s="25">
        <f>COUNTIF(TT!$D$563:$D$573,TALLY!A62)</f>
        <v>0</v>
      </c>
      <c r="AE62" s="25">
        <f>COUNTIF(TT!$D$582:$D$609,TALLY!A62)</f>
        <v>0</v>
      </c>
      <c r="AF62" s="25">
        <f>COUNTIF(TT!$D$615:$D$626,TALLY!A62)</f>
        <v>1</v>
      </c>
      <c r="AG62" s="25">
        <f>COUNTIF(TT!$D$635:$D$648,TALLY!A62)</f>
        <v>0</v>
      </c>
      <c r="AH62" s="25">
        <f>COUNTIF(TT!$D$655:$D$668,TALLY!A62)</f>
        <v>0</v>
      </c>
      <c r="AI62" s="25">
        <f>COUNTIF(TT!$D$675:$D$687,TALLY!A62)</f>
        <v>0</v>
      </c>
      <c r="AJ62" s="25"/>
      <c r="AK62" s="24" t="s">
        <v>84</v>
      </c>
      <c r="AL62" s="23">
        <f t="shared" si="6"/>
        <v>2</v>
      </c>
      <c r="AM62" s="23">
        <f t="shared" si="7"/>
        <v>2</v>
      </c>
      <c r="AN62" s="23">
        <f t="shared" si="8"/>
        <v>2</v>
      </c>
      <c r="AO62" s="23">
        <f t="shared" si="9"/>
        <v>1</v>
      </c>
      <c r="AP62" s="23">
        <f t="shared" si="10"/>
        <v>1</v>
      </c>
      <c r="AQ62">
        <f t="shared" si="11"/>
        <v>8</v>
      </c>
    </row>
    <row r="63" spans="1:43" x14ac:dyDescent="0.35">
      <c r="A63" s="24" t="s">
        <v>104</v>
      </c>
      <c r="B63" s="25">
        <f>COUNTIF(TT!$D$4:$D$25,TALLY!A63)</f>
        <v>1</v>
      </c>
      <c r="C63" s="25">
        <f>COUNTIF(TT!$D$33:$D$50,TALLY!A63)</f>
        <v>0</v>
      </c>
      <c r="D63" s="25">
        <f>COUNTIF(TT!$D$57:$D$75,TALLY!A63)</f>
        <v>0</v>
      </c>
      <c r="E63" s="25">
        <f>COUNTIF(TT!$D$82:$D$95,TALLY!A63)</f>
        <v>1</v>
      </c>
      <c r="F63" s="25">
        <f>COUNTIF(TT!$D$103:$D$112,TALLY!A63)</f>
        <v>0</v>
      </c>
      <c r="G63" s="25">
        <f>COUNTIF(TT!$D$120:$D$130,TALLY!A63)</f>
        <v>0</v>
      </c>
      <c r="H63" s="25">
        <f>COUNTIF(TT!$D$138:$D$153,TALLY!A63)</f>
        <v>0</v>
      </c>
      <c r="I63" s="23">
        <f>COUNTIF(TT!$D$160:$D$170,TALLY!A63)</f>
        <v>0</v>
      </c>
      <c r="J63" s="23">
        <f>COUNTIF(TT!$D$177:$D$187,TALLY!A63)</f>
        <v>0</v>
      </c>
      <c r="K63" s="23">
        <f>COUNTIF(TT!$D$194:$D$206,TALLY!A63)</f>
        <v>1</v>
      </c>
      <c r="L63" s="23">
        <f>COUNTIF(TT!$D$215:$D$226,TALLY!A63)</f>
        <v>0</v>
      </c>
      <c r="M63" s="23">
        <f>COUNTIF(TT!$D$234:$D$243,TALLY!A63)</f>
        <v>0</v>
      </c>
      <c r="N63" s="23">
        <f>COUNTIF(TT!$D$250:$D$262,TALLY!A63)</f>
        <v>1</v>
      </c>
      <c r="O63" s="23">
        <f>COUNTIF(TT!$D$270:$D$277,TALLY!A63)</f>
        <v>0</v>
      </c>
      <c r="P63" s="25">
        <f>COUNTIF(TT!$D$284:$D$293,TALLY!A63)</f>
        <v>0</v>
      </c>
      <c r="Q63" s="25">
        <f>COUNTIF(TT!$D$300:$D$313,TALLY!A63)</f>
        <v>0</v>
      </c>
      <c r="R63" s="25">
        <f>COUNTIF(TT!$D$320:$D$333,TALLY!A63)</f>
        <v>0</v>
      </c>
      <c r="S63" s="25">
        <f>COUNTIF(TT!$D$342:$D$352,TALLY!A63)</f>
        <v>0</v>
      </c>
      <c r="T63" s="25">
        <f>COUNTIF(TT!$D$359:$D$376,TALLY!A63)</f>
        <v>0</v>
      </c>
      <c r="U63" s="25">
        <f>COUNTIF(TT!$D$383:$D$398,TALLY!A63)</f>
        <v>1</v>
      </c>
      <c r="V63" s="25">
        <f>COUNTIF(TT!$D$405:$D$424,TALLY!A63)</f>
        <v>0</v>
      </c>
      <c r="W63" s="23">
        <f>COUNTIF(TT!$D$432:$D$442,TALLY!A63)</f>
        <v>0</v>
      </c>
      <c r="X63" s="23">
        <f>COUNTIF(TT!$D$449:$D$460,TALLY!A63)</f>
        <v>0</v>
      </c>
      <c r="Y63" s="23">
        <f>COUNTIF(TT!$D$467:$D$476,TALLY!A63)</f>
        <v>0</v>
      </c>
      <c r="Z63" s="23">
        <f>COUNTIF(TT!$D$483:$D$500,TALLY!A63)</f>
        <v>1</v>
      </c>
      <c r="AA63" s="23">
        <f>COUNTIF(TT!$D$507:$D$522,TALLY!A63)</f>
        <v>0</v>
      </c>
      <c r="AB63" s="23">
        <f>COUNTIF(TT!$D$529:$D$540,TALLY!A63)</f>
        <v>0</v>
      </c>
      <c r="AC63" s="23">
        <f>COUNTIF(TT!$D$546:$D$555,TALLY!A63)</f>
        <v>0</v>
      </c>
      <c r="AD63" s="25">
        <f>COUNTIF(TT!$D$563:$D$573,TALLY!A63)</f>
        <v>0</v>
      </c>
      <c r="AE63" s="25">
        <f>COUNTIF(TT!$D$582:$D$609,TALLY!A63)</f>
        <v>0</v>
      </c>
      <c r="AF63" s="25">
        <f>COUNTIF(TT!$D$615:$D$626,TALLY!A63)</f>
        <v>0</v>
      </c>
      <c r="AG63" s="25">
        <f>COUNTIF(TT!$D$635:$D$648,TALLY!A63)</f>
        <v>0</v>
      </c>
      <c r="AH63" s="25">
        <f>COUNTIF(TT!$D$655:$D$668,TALLY!A63)</f>
        <v>0</v>
      </c>
      <c r="AI63" s="25">
        <f>COUNTIF(TT!$D$675:$D$687,TALLY!A63)</f>
        <v>0</v>
      </c>
      <c r="AJ63" s="25"/>
      <c r="AK63" s="24" t="s">
        <v>104</v>
      </c>
      <c r="AL63" s="23">
        <f t="shared" si="6"/>
        <v>2</v>
      </c>
      <c r="AM63" s="23">
        <f t="shared" si="7"/>
        <v>2</v>
      </c>
      <c r="AN63" s="23">
        <f t="shared" si="8"/>
        <v>1</v>
      </c>
      <c r="AO63" s="23">
        <f t="shared" si="9"/>
        <v>1</v>
      </c>
      <c r="AP63" s="23">
        <f t="shared" si="10"/>
        <v>0</v>
      </c>
      <c r="AQ63">
        <f t="shared" si="11"/>
        <v>6</v>
      </c>
    </row>
    <row r="64" spans="1:43" x14ac:dyDescent="0.35">
      <c r="A64" s="24" t="s">
        <v>196</v>
      </c>
      <c r="B64" s="25">
        <f>COUNTIF(TT!$D$4:$D$25,TALLY!A64)</f>
        <v>1</v>
      </c>
      <c r="C64" s="25">
        <f>COUNTIF(TT!$D$33:$D$50,TALLY!A64)</f>
        <v>0</v>
      </c>
      <c r="D64" s="25">
        <f>COUNTIF(TT!$D$57:$D$75,TALLY!A64)</f>
        <v>0</v>
      </c>
      <c r="E64" s="25">
        <f>COUNTIF(TT!$D$82:$D$95,TALLY!A64)</f>
        <v>0</v>
      </c>
      <c r="F64" s="25">
        <f>COUNTIF(TT!$D$103:$D$112,TALLY!A64)</f>
        <v>1</v>
      </c>
      <c r="G64" s="25">
        <f>COUNTIF(TT!$D$120:$D$130,TALLY!A64)</f>
        <v>0</v>
      </c>
      <c r="H64" s="25">
        <f>COUNTIF(TT!$D$138:$D$153,TALLY!A64)</f>
        <v>0</v>
      </c>
      <c r="I64" s="23">
        <f>COUNTIF(TT!$D$160:$D$170,TALLY!A64)</f>
        <v>0</v>
      </c>
      <c r="J64" s="23">
        <f>COUNTIF(TT!$D$177:$D$187,TALLY!A64)</f>
        <v>0</v>
      </c>
      <c r="K64" s="23">
        <f>COUNTIF(TT!$D$194:$D$206,TALLY!A64)</f>
        <v>0</v>
      </c>
      <c r="L64" s="23">
        <f>COUNTIF(TT!$D$215:$D$226,TALLY!A64)</f>
        <v>0</v>
      </c>
      <c r="M64" s="23">
        <f>COUNTIF(TT!$D$234:$D$243,TALLY!A64)</f>
        <v>0</v>
      </c>
      <c r="N64" s="23">
        <f>COUNTIF(TT!$D$250:$D$262,TALLY!A64)</f>
        <v>0</v>
      </c>
      <c r="O64" s="23">
        <f>COUNTIF(TT!$D$270:$D$277,TALLY!A64)</f>
        <v>1</v>
      </c>
      <c r="P64" s="25">
        <f>COUNTIF(TT!$D$284:$D$293,TALLY!A64)</f>
        <v>0</v>
      </c>
      <c r="Q64" s="25">
        <f>COUNTIF(TT!$D$300:$D$313,TALLY!A64)</f>
        <v>0</v>
      </c>
      <c r="R64" s="25">
        <f>COUNTIF(TT!$D$320:$D$333,TALLY!A64)</f>
        <v>0</v>
      </c>
      <c r="S64" s="25">
        <f>COUNTIF(TT!$D$342:$D$352,TALLY!A64)</f>
        <v>1</v>
      </c>
      <c r="T64" s="25">
        <f>COUNTIF(TT!$D$359:$D$376,TALLY!A64)</f>
        <v>0</v>
      </c>
      <c r="U64" s="25">
        <f>COUNTIF(TT!$D$383:$D$398,TALLY!A64)</f>
        <v>0</v>
      </c>
      <c r="V64" s="25">
        <f>COUNTIF(TT!$D$405:$D$424,TALLY!A64)</f>
        <v>1</v>
      </c>
      <c r="W64" s="23">
        <f>COUNTIF(TT!$D$432:$D$442,TALLY!A64)</f>
        <v>0</v>
      </c>
      <c r="X64" s="23">
        <f>COUNTIF(TT!$D$449:$D$460,TALLY!A64)</f>
        <v>0</v>
      </c>
      <c r="Y64" s="23">
        <f>COUNTIF(TT!$D$467:$D$476,TALLY!A64)</f>
        <v>0</v>
      </c>
      <c r="Z64" s="23">
        <f>COUNTIF(TT!$D$483:$D$500,TALLY!A64)</f>
        <v>0</v>
      </c>
      <c r="AA64" s="23">
        <f>COUNTIF(TT!$D$507:$D$522,TALLY!A64)</f>
        <v>0</v>
      </c>
      <c r="AB64" s="23">
        <f>COUNTIF(TT!$D$529:$D$540,TALLY!A64)</f>
        <v>1</v>
      </c>
      <c r="AC64" s="23">
        <f>COUNTIF(TT!$D$546:$D$555,TALLY!A64)</f>
        <v>0</v>
      </c>
      <c r="AD64" s="25">
        <f>COUNTIF(TT!$D$563:$D$573,TALLY!A64)</f>
        <v>0</v>
      </c>
      <c r="AE64" s="25">
        <f>COUNTIF(TT!$D$582:$D$609,TALLY!A64)</f>
        <v>0</v>
      </c>
      <c r="AF64" s="25">
        <f>COUNTIF(TT!$D$615:$D$626,TALLY!A64)</f>
        <v>1</v>
      </c>
      <c r="AG64" s="25">
        <f>COUNTIF(TT!$D$635:$D$648,TALLY!A64)</f>
        <v>0</v>
      </c>
      <c r="AH64" s="25">
        <f>COUNTIF(TT!$D$655:$D$668,TALLY!A64)</f>
        <v>0</v>
      </c>
      <c r="AI64" s="25">
        <f>COUNTIF(TT!$D$675:$D$687,TALLY!A64)</f>
        <v>0</v>
      </c>
      <c r="AJ64" s="25"/>
      <c r="AK64" s="24" t="s">
        <v>196</v>
      </c>
      <c r="AL64" s="23">
        <f t="shared" si="6"/>
        <v>2</v>
      </c>
      <c r="AM64" s="23">
        <f t="shared" si="7"/>
        <v>1</v>
      </c>
      <c r="AN64" s="23">
        <f t="shared" si="8"/>
        <v>2</v>
      </c>
      <c r="AO64" s="23">
        <f t="shared" si="9"/>
        <v>0</v>
      </c>
      <c r="AP64" s="23">
        <f t="shared" si="10"/>
        <v>1</v>
      </c>
      <c r="AQ64">
        <f t="shared" si="11"/>
        <v>6</v>
      </c>
    </row>
    <row r="65" spans="1:43" x14ac:dyDescent="0.35">
      <c r="A65" s="24" t="s">
        <v>57</v>
      </c>
      <c r="B65" s="25">
        <f>COUNTIF(TT!$D$4:$D$25,TALLY!A65)</f>
        <v>1</v>
      </c>
      <c r="C65" s="25">
        <f>COUNTIF(TT!$D$33:$D$50,TALLY!A65)</f>
        <v>0</v>
      </c>
      <c r="D65" s="25">
        <f>COUNTIF(TT!$D$57:$D$75,TALLY!A65)</f>
        <v>0</v>
      </c>
      <c r="E65" s="25">
        <f>COUNTIF(TT!$D$82:$D$95,TALLY!A65)</f>
        <v>0</v>
      </c>
      <c r="F65" s="25">
        <f>COUNTIF(TT!$D$103:$D$112,TALLY!A65)</f>
        <v>1</v>
      </c>
      <c r="G65" s="25">
        <f>COUNTIF(TT!$D$120:$D$130,TALLY!A65)</f>
        <v>0</v>
      </c>
      <c r="H65" s="25">
        <f>COUNTIF(TT!$D$138:$D$153,TALLY!A65)</f>
        <v>0</v>
      </c>
      <c r="I65" s="23">
        <f>COUNTIF(TT!$D$160:$D$170,TALLY!A65)</f>
        <v>0</v>
      </c>
      <c r="J65" s="23">
        <f>COUNTIF(TT!$D$177:$D$187,TALLY!A65)</f>
        <v>0</v>
      </c>
      <c r="K65" s="23">
        <f>COUNTIF(TT!$D$194:$D$206,TALLY!A65)</f>
        <v>1</v>
      </c>
      <c r="L65" s="23">
        <f>COUNTIF(TT!$D$215:$D$226,TALLY!A65)</f>
        <v>0</v>
      </c>
      <c r="M65" s="23">
        <f>COUNTIF(TT!$D$234:$D$243,TALLY!A65)</f>
        <v>0</v>
      </c>
      <c r="N65" s="23">
        <f>COUNTIF(TT!$D$250:$D$262,TALLY!A65)</f>
        <v>1</v>
      </c>
      <c r="O65" s="23">
        <f>COUNTIF(TT!$D$270:$D$277,TALLY!A65)</f>
        <v>0</v>
      </c>
      <c r="P65" s="25">
        <f>COUNTIF(TT!$D$284:$D$293,TALLY!A65)</f>
        <v>0</v>
      </c>
      <c r="Q65" s="25">
        <f>COUNTIF(TT!$D$300:$D$313,TALLY!A65)</f>
        <v>0</v>
      </c>
      <c r="R65" s="25">
        <f>COUNTIF(TT!$D$320:$D$333,TALLY!A65)</f>
        <v>1</v>
      </c>
      <c r="S65" s="25">
        <f>COUNTIF(TT!$D$342:$D$352,TALLY!A65)</f>
        <v>0</v>
      </c>
      <c r="T65" s="25">
        <f>COUNTIF(TT!$D$359:$D$376,TALLY!A65)</f>
        <v>0</v>
      </c>
      <c r="U65" s="25">
        <f>COUNTIF(TT!$D$383:$D$398,TALLY!A65)</f>
        <v>0</v>
      </c>
      <c r="V65" s="25">
        <f>COUNTIF(TT!$D$405:$D$424,TALLY!A65)</f>
        <v>0</v>
      </c>
      <c r="W65" s="23">
        <f>COUNTIF(TT!$D$432:$D$442,TALLY!A65)</f>
        <v>0</v>
      </c>
      <c r="X65" s="23">
        <f>COUNTIF(TT!$D$449:$D$460,TALLY!A65)</f>
        <v>0</v>
      </c>
      <c r="Y65" s="23">
        <f>COUNTIF(TT!$D$467:$D$476,TALLY!A65)</f>
        <v>0</v>
      </c>
      <c r="Z65" s="23">
        <f>COUNTIF(TT!$D$483:$D$500,TALLY!A65)</f>
        <v>0</v>
      </c>
      <c r="AA65" s="23">
        <f>COUNTIF(TT!$D$507:$D$522,TALLY!A65)</f>
        <v>1</v>
      </c>
      <c r="AB65" s="23">
        <f>COUNTIF(TT!$D$529:$D$540,TALLY!A65)</f>
        <v>0</v>
      </c>
      <c r="AC65" s="23">
        <f>COUNTIF(TT!$D$546:$D$555,TALLY!A65)</f>
        <v>0</v>
      </c>
      <c r="AD65" s="25">
        <f>COUNTIF(TT!$D$563:$D$573,TALLY!A65)</f>
        <v>0</v>
      </c>
      <c r="AE65" s="25">
        <f>COUNTIF(TT!$D$582:$D$609,TALLY!A65)</f>
        <v>0</v>
      </c>
      <c r="AF65" s="25">
        <f>COUNTIF(TT!$D$615:$D$626,TALLY!A65)</f>
        <v>0</v>
      </c>
      <c r="AG65" s="25">
        <f>COUNTIF(TT!$D$635:$D$648,TALLY!A65)</f>
        <v>1</v>
      </c>
      <c r="AH65" s="25">
        <f>COUNTIF(TT!$D$655:$D$668,TALLY!A65)</f>
        <v>0</v>
      </c>
      <c r="AI65" s="25">
        <f>COUNTIF(TT!$D$675:$D$687,TALLY!A65)</f>
        <v>0</v>
      </c>
      <c r="AJ65" s="25"/>
      <c r="AK65" s="24" t="s">
        <v>57</v>
      </c>
      <c r="AL65" s="23">
        <f t="shared" si="6"/>
        <v>2</v>
      </c>
      <c r="AM65" s="23">
        <f t="shared" si="7"/>
        <v>2</v>
      </c>
      <c r="AN65" s="23">
        <f t="shared" si="8"/>
        <v>1</v>
      </c>
      <c r="AO65" s="23">
        <f t="shared" si="9"/>
        <v>1</v>
      </c>
      <c r="AP65" s="23">
        <f t="shared" si="10"/>
        <v>1</v>
      </c>
      <c r="AQ65">
        <f t="shared" si="11"/>
        <v>7</v>
      </c>
    </row>
    <row r="66" spans="1:43" x14ac:dyDescent="0.35">
      <c r="A66" s="24" t="s">
        <v>8</v>
      </c>
      <c r="B66" s="25">
        <f>COUNTIF(TT!$D$4:$D$25,TALLY!A66)</f>
        <v>0</v>
      </c>
      <c r="C66" s="25">
        <f>COUNTIF(TT!$D$33:$D$50,TALLY!A66)</f>
        <v>1</v>
      </c>
      <c r="D66" s="25">
        <f>COUNTIF(TT!$D$57:$D$75,TALLY!A66)</f>
        <v>0</v>
      </c>
      <c r="E66" s="25">
        <f>COUNTIF(TT!$D$82:$D$95,TALLY!A66)</f>
        <v>0</v>
      </c>
      <c r="F66" s="25">
        <f>COUNTIF(TT!$D$103:$D$112,TALLY!A66)</f>
        <v>1</v>
      </c>
      <c r="G66" s="25">
        <f>COUNTIF(TT!$D$120:$D$130,TALLY!A66)</f>
        <v>0</v>
      </c>
      <c r="H66" s="25">
        <f>COUNTIF(TT!$D$138:$D$153,TALLY!A66)</f>
        <v>0</v>
      </c>
      <c r="I66" s="23">
        <f>COUNTIF(TT!$D$160:$D$170,TALLY!A66)</f>
        <v>0</v>
      </c>
      <c r="J66" s="23">
        <f>COUNTIF(TT!$D$177:$D$187,TALLY!A66)</f>
        <v>0</v>
      </c>
      <c r="K66" s="23">
        <f>COUNTIF(TT!$D$194:$D$206,TALLY!A66)</f>
        <v>0</v>
      </c>
      <c r="L66" s="23">
        <f>COUNTIF(TT!$D$215:$D$226,TALLY!A66)</f>
        <v>0</v>
      </c>
      <c r="M66" s="23">
        <f>COUNTIF(TT!$D$234:$D$243,TALLY!A66)</f>
        <v>0</v>
      </c>
      <c r="N66" s="23">
        <f>COUNTIF(TT!$D$250:$D$262,TALLY!A66)</f>
        <v>1</v>
      </c>
      <c r="O66" s="23">
        <f>COUNTIF(TT!$D$270:$D$277,TALLY!A66)</f>
        <v>0</v>
      </c>
      <c r="P66" s="25">
        <f>COUNTIF(TT!$D$284:$D$293,TALLY!A66)</f>
        <v>0</v>
      </c>
      <c r="Q66" s="25">
        <f>COUNTIF(TT!$D$300:$D$313,TALLY!A66)</f>
        <v>1</v>
      </c>
      <c r="R66" s="25">
        <f>COUNTIF(TT!$D$320:$D$333,TALLY!A66)</f>
        <v>0</v>
      </c>
      <c r="S66" s="25">
        <f>COUNTIF(TT!$D$342:$D$352,TALLY!A66)</f>
        <v>0</v>
      </c>
      <c r="T66" s="25">
        <f>COUNTIF(TT!$D$359:$D$376,TALLY!A66)</f>
        <v>0</v>
      </c>
      <c r="U66" s="25">
        <f>COUNTIF(TT!$D$383:$D$398,TALLY!A66)</f>
        <v>1</v>
      </c>
      <c r="V66" s="25">
        <f>COUNTIF(TT!$D$405:$D$424,TALLY!A66)</f>
        <v>0</v>
      </c>
      <c r="W66" s="23">
        <f>COUNTIF(TT!$D$432:$D$442,TALLY!A66)</f>
        <v>0</v>
      </c>
      <c r="X66" s="23">
        <f>COUNTIF(TT!$D$449:$D$460,TALLY!A66)</f>
        <v>0</v>
      </c>
      <c r="Y66" s="23">
        <f>COUNTIF(TT!$D$467:$D$476,TALLY!A66)</f>
        <v>1</v>
      </c>
      <c r="Z66" s="23">
        <f>COUNTIF(TT!$D$483:$D$500,TALLY!A66)</f>
        <v>0</v>
      </c>
      <c r="AA66" s="23">
        <f>COUNTIF(TT!$D$507:$D$522,TALLY!A66)</f>
        <v>0</v>
      </c>
      <c r="AB66" s="23">
        <f>COUNTIF(TT!$D$529:$D$540,TALLY!A66)</f>
        <v>0</v>
      </c>
      <c r="AC66" s="23">
        <f>COUNTIF(TT!$D$546:$D$555,TALLY!A66)</f>
        <v>0</v>
      </c>
      <c r="AD66" s="25">
        <f>COUNTIF(TT!$D$563:$D$573,TALLY!A66)</f>
        <v>0</v>
      </c>
      <c r="AE66" s="25">
        <f>COUNTIF(TT!$D$582:$D$609,TALLY!A66)</f>
        <v>1</v>
      </c>
      <c r="AF66" s="25">
        <f>COUNTIF(TT!$D$615:$D$626,TALLY!A66)</f>
        <v>0</v>
      </c>
      <c r="AG66" s="25">
        <f>COUNTIF(TT!$D$635:$D$648,TALLY!A66)</f>
        <v>0</v>
      </c>
      <c r="AH66" s="25">
        <f>COUNTIF(TT!$D$655:$D$668,TALLY!A66)</f>
        <v>0</v>
      </c>
      <c r="AI66" s="25">
        <f>COUNTIF(TT!$D$675:$D$687,TALLY!A66)</f>
        <v>1</v>
      </c>
      <c r="AJ66" s="25"/>
      <c r="AK66" s="24" t="s">
        <v>8</v>
      </c>
      <c r="AL66" s="23">
        <f t="shared" si="6"/>
        <v>2</v>
      </c>
      <c r="AM66" s="23">
        <f t="shared" si="7"/>
        <v>1</v>
      </c>
      <c r="AN66" s="23">
        <f t="shared" si="8"/>
        <v>2</v>
      </c>
      <c r="AO66" s="23">
        <f t="shared" si="9"/>
        <v>1</v>
      </c>
      <c r="AP66" s="23">
        <f t="shared" si="10"/>
        <v>2</v>
      </c>
      <c r="AQ66">
        <f t="shared" si="11"/>
        <v>8</v>
      </c>
    </row>
    <row r="67" spans="1:43" x14ac:dyDescent="0.35">
      <c r="A67" s="24" t="s">
        <v>94</v>
      </c>
      <c r="B67" s="25">
        <f>COUNTIF(TT!$D$4:$D$25,TALLY!A67)</f>
        <v>0</v>
      </c>
      <c r="C67" s="25">
        <f>COUNTIF(TT!$D$33:$D$50,TALLY!A67)</f>
        <v>0</v>
      </c>
      <c r="D67" s="25">
        <f>COUNTIF(TT!$D$57:$D$75,TALLY!A67)</f>
        <v>1</v>
      </c>
      <c r="E67" s="25">
        <f>COUNTIF(TT!$D$82:$D$95,TALLY!A67)</f>
        <v>0</v>
      </c>
      <c r="F67" s="25">
        <f>COUNTIF(TT!$D$103:$D$112,TALLY!A67)</f>
        <v>0</v>
      </c>
      <c r="G67" s="25">
        <f>COUNTIF(TT!$D$120:$D$130,TALLY!A67)</f>
        <v>0</v>
      </c>
      <c r="H67" s="25">
        <f>COUNTIF(TT!$D$138:$D$153,TALLY!A67)</f>
        <v>0</v>
      </c>
      <c r="I67" s="23">
        <f>COUNTIF(TT!$D$160:$D$170,TALLY!A67)</f>
        <v>0</v>
      </c>
      <c r="J67" s="23">
        <f>COUNTIF(TT!$D$177:$D$187,TALLY!A67)</f>
        <v>0</v>
      </c>
      <c r="K67" s="23">
        <f>COUNTIF(TT!$D$194:$D$206,TALLY!A67)</f>
        <v>0</v>
      </c>
      <c r="L67" s="23">
        <f>COUNTIF(TT!$D$215:$D$226,TALLY!A67)</f>
        <v>0</v>
      </c>
      <c r="M67" s="23">
        <f>COUNTIF(TT!$D$234:$D$243,TALLY!A67)</f>
        <v>0</v>
      </c>
      <c r="N67" s="23">
        <f>COUNTIF(TT!$D$250:$D$262,TALLY!A67)</f>
        <v>0</v>
      </c>
      <c r="O67" s="23">
        <f>COUNTIF(TT!$D$270:$D$277,TALLY!A67)</f>
        <v>0</v>
      </c>
      <c r="P67" s="25">
        <f>COUNTIF(TT!$D$284:$D$293,TALLY!A67)</f>
        <v>0</v>
      </c>
      <c r="Q67" s="25">
        <f>COUNTIF(TT!$D$300:$D$313,TALLY!A67)</f>
        <v>0</v>
      </c>
      <c r="R67" s="25">
        <f>COUNTIF(TT!$D$320:$D$333,TALLY!A67)</f>
        <v>0</v>
      </c>
      <c r="S67" s="25">
        <f>COUNTIF(TT!$D$342:$D$352,TALLY!A67)</f>
        <v>0</v>
      </c>
      <c r="T67" s="25">
        <f>COUNTIF(TT!$D$359:$D$376,TALLY!A67)</f>
        <v>0</v>
      </c>
      <c r="U67" s="25">
        <f>COUNTIF(TT!$D$383:$D$398,TALLY!A67)</f>
        <v>1</v>
      </c>
      <c r="V67" s="25">
        <f>COUNTIF(TT!$D$405:$D$424,TALLY!A67)</f>
        <v>0</v>
      </c>
      <c r="W67" s="23">
        <f>COUNTIF(TT!$D$432:$D$442,TALLY!A67)</f>
        <v>0</v>
      </c>
      <c r="X67" s="23">
        <f>COUNTIF(TT!$D$449:$D$460,TALLY!A67)</f>
        <v>0</v>
      </c>
      <c r="Y67" s="23">
        <f>COUNTIF(TT!$D$467:$D$476,TALLY!A67)</f>
        <v>0</v>
      </c>
      <c r="Z67" s="23">
        <f>COUNTIF(TT!$D$483:$D$500,TALLY!A67)</f>
        <v>0</v>
      </c>
      <c r="AA67" s="23">
        <f>COUNTIF(TT!$D$507:$D$522,TALLY!A67)</f>
        <v>1</v>
      </c>
      <c r="AB67" s="23">
        <f>COUNTIF(TT!$D$529:$D$540,TALLY!A67)</f>
        <v>0</v>
      </c>
      <c r="AC67" s="23">
        <f>COUNTIF(TT!$D$546:$D$555,TALLY!A67)</f>
        <v>0</v>
      </c>
      <c r="AD67" s="25">
        <f>COUNTIF(TT!$D$563:$D$573,TALLY!A67)</f>
        <v>0</v>
      </c>
      <c r="AE67" s="25">
        <f>COUNTIF(TT!$D$582:$D$609,TALLY!A67)</f>
        <v>0</v>
      </c>
      <c r="AF67" s="25">
        <f>COUNTIF(TT!$D$615:$D$626,TALLY!A67)</f>
        <v>1</v>
      </c>
      <c r="AG67" s="25">
        <f>COUNTIF(TT!$D$635:$D$648,TALLY!A67)</f>
        <v>0</v>
      </c>
      <c r="AH67" s="25">
        <f>COUNTIF(TT!$D$655:$D$668,TALLY!A67)</f>
        <v>0</v>
      </c>
      <c r="AI67" s="25">
        <f>COUNTIF(TT!$D$675:$D$687,TALLY!A67)</f>
        <v>0</v>
      </c>
      <c r="AJ67" s="25"/>
      <c r="AK67" s="24" t="s">
        <v>94</v>
      </c>
      <c r="AL67" s="23">
        <f t="shared" si="6"/>
        <v>1</v>
      </c>
      <c r="AM67" s="23">
        <f t="shared" si="7"/>
        <v>0</v>
      </c>
      <c r="AN67" s="23">
        <f t="shared" si="8"/>
        <v>1</v>
      </c>
      <c r="AO67" s="23">
        <f t="shared" si="9"/>
        <v>1</v>
      </c>
      <c r="AP67" s="23">
        <f t="shared" si="10"/>
        <v>1</v>
      </c>
      <c r="AQ67">
        <f t="shared" si="11"/>
        <v>4</v>
      </c>
    </row>
    <row r="68" spans="1:43" x14ac:dyDescent="0.35">
      <c r="A68" s="24" t="s">
        <v>130</v>
      </c>
      <c r="B68" s="25">
        <f>COUNTIF(TT!$D$4:$D$25,TALLY!A68)</f>
        <v>0</v>
      </c>
      <c r="C68" s="25">
        <f>COUNTIF(TT!$D$33:$D$50,TALLY!A68)</f>
        <v>0</v>
      </c>
      <c r="D68" s="25">
        <f>COUNTIF(TT!$D$57:$D$75,TALLY!A68)</f>
        <v>0</v>
      </c>
      <c r="E68" s="25">
        <f>COUNTIF(TT!$D$82:$D$95,TALLY!A68)</f>
        <v>1</v>
      </c>
      <c r="F68" s="25">
        <f>COUNTIF(TT!$D$103:$D$112,TALLY!A68)</f>
        <v>0</v>
      </c>
      <c r="G68" s="25">
        <f>COUNTIF(TT!$D$120:$D$130,TALLY!A68)</f>
        <v>0</v>
      </c>
      <c r="H68" s="25">
        <f>COUNTIF(TT!$D$138:$D$153,TALLY!A68)</f>
        <v>0</v>
      </c>
      <c r="I68" s="23">
        <f>COUNTIF(TT!$D$160:$D$170,TALLY!A68)</f>
        <v>0</v>
      </c>
      <c r="J68" s="23">
        <f>COUNTIF(TT!$D$177:$D$187,TALLY!A68)</f>
        <v>0</v>
      </c>
      <c r="K68" s="23">
        <f>COUNTIF(TT!$D$194:$D$206,TALLY!A68)</f>
        <v>1</v>
      </c>
      <c r="L68" s="23">
        <f>COUNTIF(TT!$D$215:$D$226,TALLY!A68)</f>
        <v>0</v>
      </c>
      <c r="M68" s="23">
        <f>COUNTIF(TT!$D$234:$D$243,TALLY!A68)</f>
        <v>0</v>
      </c>
      <c r="N68" s="23">
        <f>COUNTIF(TT!$D$250:$D$262,TALLY!A68)</f>
        <v>0</v>
      </c>
      <c r="O68" s="23">
        <f>COUNTIF(TT!$D$270:$D$277,TALLY!A68)</f>
        <v>0</v>
      </c>
      <c r="P68" s="25">
        <f>COUNTIF(TT!$D$284:$D$293,TALLY!A68)</f>
        <v>0</v>
      </c>
      <c r="Q68" s="25">
        <f>COUNTIF(TT!$D$300:$D$313,TALLY!A68)</f>
        <v>0</v>
      </c>
      <c r="R68" s="25">
        <f>COUNTIF(TT!$D$320:$D$333,TALLY!A68)</f>
        <v>1</v>
      </c>
      <c r="S68" s="25">
        <f>COUNTIF(TT!$D$342:$D$352,TALLY!A68)</f>
        <v>0</v>
      </c>
      <c r="T68" s="25">
        <f>COUNTIF(TT!$D$359:$D$376,TALLY!A68)</f>
        <v>0</v>
      </c>
      <c r="U68" s="25">
        <f>COUNTIF(TT!$D$383:$D$398,TALLY!A68)</f>
        <v>0</v>
      </c>
      <c r="V68" s="25">
        <f>COUNTIF(TT!$D$405:$D$424,TALLY!A68)</f>
        <v>0</v>
      </c>
      <c r="W68" s="23">
        <f>COUNTIF(TT!$D$432:$D$442,TALLY!A68)</f>
        <v>0</v>
      </c>
      <c r="X68" s="23">
        <f>COUNTIF(TT!$D$449:$D$460,TALLY!A68)</f>
        <v>0</v>
      </c>
      <c r="Y68" s="23">
        <f>COUNTIF(TT!$D$467:$D$476,TALLY!A68)</f>
        <v>0</v>
      </c>
      <c r="Z68" s="23">
        <f>COUNTIF(TT!$D$483:$D$500,TALLY!A68)</f>
        <v>1</v>
      </c>
      <c r="AA68" s="23">
        <f>COUNTIF(TT!$D$507:$D$522,TALLY!A68)</f>
        <v>0</v>
      </c>
      <c r="AB68" s="23">
        <f>COUNTIF(TT!$D$529:$D$540,TALLY!A68)</f>
        <v>0</v>
      </c>
      <c r="AC68" s="23">
        <f>COUNTIF(TT!$D$546:$D$555,TALLY!A68)</f>
        <v>0</v>
      </c>
      <c r="AD68" s="25">
        <f>COUNTIF(TT!$D$563:$D$573,TALLY!A68)</f>
        <v>0</v>
      </c>
      <c r="AE68" s="25">
        <f>COUNTIF(TT!$D$582:$D$609,TALLY!A68)</f>
        <v>0</v>
      </c>
      <c r="AF68" s="25">
        <f>COUNTIF(TT!$D$615:$D$626,TALLY!A68)</f>
        <v>0</v>
      </c>
      <c r="AG68" s="25">
        <f>COUNTIF(TT!$D$635:$D$648,TALLY!A68)</f>
        <v>0</v>
      </c>
      <c r="AH68" s="25">
        <f>COUNTIF(TT!$D$655:$D$668,TALLY!A68)</f>
        <v>0</v>
      </c>
      <c r="AI68" s="25">
        <f>COUNTIF(TT!$D$675:$D$687,TALLY!A68)</f>
        <v>0</v>
      </c>
      <c r="AJ68" s="25"/>
      <c r="AK68" s="24" t="s">
        <v>130</v>
      </c>
      <c r="AL68" s="23">
        <f t="shared" ref="AL68:AL75" si="12">SUM($B68:$H68)</f>
        <v>1</v>
      </c>
      <c r="AM68" s="23">
        <f t="shared" ref="AM68:AM75" si="13">SUM(I68:O68)</f>
        <v>1</v>
      </c>
      <c r="AN68" s="23">
        <f t="shared" ref="AN68:AN75" si="14">SUM(P68:V68)</f>
        <v>1</v>
      </c>
      <c r="AO68" s="23">
        <f t="shared" ref="AO68:AO75" si="15">SUM(W68:AA68)</f>
        <v>1</v>
      </c>
      <c r="AP68" s="23">
        <f t="shared" ref="AP68:AP75" si="16">SUM(AD68:AJ68)</f>
        <v>0</v>
      </c>
      <c r="AQ68">
        <f t="shared" ref="AQ68:AQ75" si="17">SUM(AL68:AP68)</f>
        <v>4</v>
      </c>
    </row>
    <row r="69" spans="1:43" x14ac:dyDescent="0.35">
      <c r="A69" s="24" t="s">
        <v>96</v>
      </c>
      <c r="B69" s="25">
        <f>COUNTIF(TT!$D$4:$D$25,TALLY!A69)</f>
        <v>0</v>
      </c>
      <c r="C69" s="25">
        <f>COUNTIF(TT!$D$33:$D$50,TALLY!A69)</f>
        <v>0</v>
      </c>
      <c r="D69" s="25">
        <f>COUNTIF(TT!$D$57:$D$75,TALLY!A69)</f>
        <v>0</v>
      </c>
      <c r="E69" s="25">
        <f>COUNTIF(TT!$D$82:$D$95,TALLY!A69)</f>
        <v>0</v>
      </c>
      <c r="F69" s="25">
        <f>COUNTIF(TT!$D$103:$D$112,TALLY!A69)</f>
        <v>0</v>
      </c>
      <c r="G69" s="25">
        <f>COUNTIF(TT!$D$120:$D$130,TALLY!A69)</f>
        <v>0</v>
      </c>
      <c r="H69" s="25">
        <f>COUNTIF(TT!$D$138:$D$153,TALLY!A69)</f>
        <v>1</v>
      </c>
      <c r="I69" s="23">
        <f>COUNTIF(TT!$D$160:$D$170,TALLY!A69)</f>
        <v>0</v>
      </c>
      <c r="J69" s="23">
        <f>COUNTIF(TT!$D$177:$D$187,TALLY!A69)</f>
        <v>0</v>
      </c>
      <c r="K69" s="23">
        <f>COUNTIF(TT!$D$194:$D$206,TALLY!A69)</f>
        <v>0</v>
      </c>
      <c r="L69" s="23">
        <f>COUNTIF(TT!$D$215:$D$226,TALLY!A69)</f>
        <v>1</v>
      </c>
      <c r="M69" s="23">
        <f>COUNTIF(TT!$D$234:$D$243,TALLY!A69)</f>
        <v>0</v>
      </c>
      <c r="N69" s="23">
        <f>COUNTIF(TT!$D$250:$D$262,TALLY!A69)</f>
        <v>0</v>
      </c>
      <c r="O69" s="23">
        <f>COUNTIF(TT!$D$270:$D$277,TALLY!A69)</f>
        <v>0</v>
      </c>
      <c r="P69" s="25">
        <f>COUNTIF(TT!$D$284:$D$293,TALLY!A69)</f>
        <v>0</v>
      </c>
      <c r="Q69" s="25">
        <f>COUNTIF(TT!$D$300:$D$313,TALLY!A69)</f>
        <v>0</v>
      </c>
      <c r="R69" s="25">
        <f>COUNTIF(TT!$D$320:$D$333,TALLY!A69)</f>
        <v>0</v>
      </c>
      <c r="S69" s="25">
        <f>COUNTIF(TT!$D$342:$D$352,TALLY!A69)</f>
        <v>0</v>
      </c>
      <c r="T69" s="25">
        <f>COUNTIF(TT!$D$359:$D$376,TALLY!A69)</f>
        <v>1</v>
      </c>
      <c r="U69" s="25">
        <f>COUNTIF(TT!$D$383:$D$398,TALLY!A69)</f>
        <v>0</v>
      </c>
      <c r="V69" s="25">
        <f>COUNTIF(TT!$D$405:$D$424,TALLY!A69)</f>
        <v>0</v>
      </c>
      <c r="W69" s="23">
        <f>COUNTIF(TT!$D$432:$D$442,TALLY!A69)</f>
        <v>0</v>
      </c>
      <c r="X69" s="23">
        <f>COUNTIF(TT!$D$449:$D$460,TALLY!A69)</f>
        <v>0</v>
      </c>
      <c r="Y69" s="23">
        <f>COUNTIF(TT!$D$467:$D$476,TALLY!A69)</f>
        <v>0</v>
      </c>
      <c r="Z69" s="23">
        <f>COUNTIF(TT!$D$483:$D$500,TALLY!A69)</f>
        <v>0</v>
      </c>
      <c r="AA69" s="23">
        <f>COUNTIF(TT!$D$507:$D$522,TALLY!A69)</f>
        <v>0</v>
      </c>
      <c r="AB69" s="23">
        <f>COUNTIF(TT!$D$529:$D$540,TALLY!A69)</f>
        <v>0</v>
      </c>
      <c r="AC69" s="23">
        <f>COUNTIF(TT!$D$546:$D$555,TALLY!A69)</f>
        <v>0</v>
      </c>
      <c r="AD69" s="25">
        <f>COUNTIF(TT!$D$563:$D$573,TALLY!A69)</f>
        <v>0</v>
      </c>
      <c r="AE69" s="25">
        <f>COUNTIF(TT!$D$582:$D$609,TALLY!A69)</f>
        <v>1</v>
      </c>
      <c r="AF69" s="25">
        <f>COUNTIF(TT!$D$615:$D$626,TALLY!A69)</f>
        <v>0</v>
      </c>
      <c r="AG69" s="25">
        <f>COUNTIF(TT!$D$635:$D$648,TALLY!A69)</f>
        <v>0</v>
      </c>
      <c r="AH69" s="25">
        <f>COUNTIF(TT!$D$655:$D$668,TALLY!A69)</f>
        <v>0</v>
      </c>
      <c r="AI69" s="25">
        <f>COUNTIF(TT!$D$675:$D$687,TALLY!A69)</f>
        <v>0</v>
      </c>
      <c r="AJ69" s="25"/>
      <c r="AK69" s="24" t="s">
        <v>96</v>
      </c>
      <c r="AL69" s="23">
        <f t="shared" si="12"/>
        <v>1</v>
      </c>
      <c r="AM69" s="23">
        <f t="shared" si="13"/>
        <v>1</v>
      </c>
      <c r="AN69" s="23">
        <f t="shared" si="14"/>
        <v>1</v>
      </c>
      <c r="AO69" s="23">
        <f t="shared" si="15"/>
        <v>0</v>
      </c>
      <c r="AP69" s="23">
        <f t="shared" si="16"/>
        <v>1</v>
      </c>
      <c r="AQ69">
        <f t="shared" si="17"/>
        <v>4</v>
      </c>
    </row>
    <row r="70" spans="1:43" x14ac:dyDescent="0.35">
      <c r="A70" s="24" t="s">
        <v>91</v>
      </c>
      <c r="B70" s="25">
        <f>COUNTIF(TT!$D$4:$D$25,TALLY!A70)</f>
        <v>1</v>
      </c>
      <c r="C70" s="25">
        <f>COUNTIF(TT!$D$33:$D$50,TALLY!A70)</f>
        <v>0</v>
      </c>
      <c r="D70" s="25">
        <f>COUNTIF(TT!$D$57:$D$75,TALLY!A70)</f>
        <v>0</v>
      </c>
      <c r="E70" s="25">
        <f>COUNTIF(TT!$D$82:$D$95,TALLY!A70)</f>
        <v>1</v>
      </c>
      <c r="F70" s="25">
        <f>COUNTIF(TT!$D$103:$D$112,TALLY!A70)</f>
        <v>0</v>
      </c>
      <c r="G70" s="25">
        <f>COUNTIF(TT!$D$120:$D$130,TALLY!A70)</f>
        <v>0</v>
      </c>
      <c r="H70" s="25">
        <f>COUNTIF(TT!$D$138:$D$153,TALLY!A70)</f>
        <v>0</v>
      </c>
      <c r="I70" s="23">
        <f>COUNTIF(TT!$D$160:$D$170,TALLY!A70)</f>
        <v>0</v>
      </c>
      <c r="J70" s="23">
        <f>COUNTIF(TT!$D$177:$D$187,TALLY!A70)</f>
        <v>0</v>
      </c>
      <c r="K70" s="23">
        <f>COUNTIF(TT!$D$194:$D$206,TALLY!A70)</f>
        <v>0</v>
      </c>
      <c r="L70" s="23">
        <f>COUNTIF(TT!$D$215:$D$226,TALLY!A70)</f>
        <v>0</v>
      </c>
      <c r="M70" s="23">
        <f>COUNTIF(TT!$D$234:$D$243,TALLY!A70)</f>
        <v>0</v>
      </c>
      <c r="N70" s="23">
        <f>COUNTIF(TT!$D$250:$D$262,TALLY!A70)</f>
        <v>1</v>
      </c>
      <c r="O70" s="23">
        <f>COUNTIF(TT!$D$270:$D$277,TALLY!A70)</f>
        <v>0</v>
      </c>
      <c r="P70" s="25">
        <f>COUNTIF(TT!$D$284:$D$293,TALLY!A70)</f>
        <v>0</v>
      </c>
      <c r="Q70" s="25">
        <f>COUNTIF(TT!$D$300:$D$313,TALLY!A70)</f>
        <v>0</v>
      </c>
      <c r="R70" s="25">
        <f>COUNTIF(TT!$D$320:$D$333,TALLY!A70)</f>
        <v>1</v>
      </c>
      <c r="S70" s="25">
        <f>COUNTIF(TT!$D$342:$D$352,TALLY!A70)</f>
        <v>0</v>
      </c>
      <c r="T70" s="25">
        <f>COUNTIF(TT!$D$359:$D$376,TALLY!A70)</f>
        <v>1</v>
      </c>
      <c r="U70" s="25">
        <f>COUNTIF(TT!$D$383:$D$398,TALLY!A70)</f>
        <v>1</v>
      </c>
      <c r="V70" s="25">
        <f>COUNTIF(TT!$D$405:$D$424,TALLY!A70)</f>
        <v>0</v>
      </c>
      <c r="W70" s="23">
        <f>COUNTIF(TT!$D$432:$D$442,TALLY!A70)</f>
        <v>0</v>
      </c>
      <c r="X70" s="23">
        <f>COUNTIF(TT!$D$449:$D$460,TALLY!A70)</f>
        <v>1</v>
      </c>
      <c r="Y70" s="23">
        <f>COUNTIF(TT!$D$467:$D$476,TALLY!A70)</f>
        <v>0</v>
      </c>
      <c r="Z70" s="23">
        <f>COUNTIF(TT!$D$483:$D$500,TALLY!A70)</f>
        <v>1</v>
      </c>
      <c r="AA70" s="23">
        <f>COUNTIF(TT!$D$507:$D$522,TALLY!A70)</f>
        <v>1</v>
      </c>
      <c r="AB70" s="23">
        <f>COUNTIF(TT!$D$529:$D$540,TALLY!A70)</f>
        <v>0</v>
      </c>
      <c r="AC70" s="23">
        <f>COUNTIF(TT!$D$546:$D$555,TALLY!A70)</f>
        <v>0</v>
      </c>
      <c r="AD70" s="25">
        <f>COUNTIF(TT!$D$563:$D$573,TALLY!A70)</f>
        <v>0</v>
      </c>
      <c r="AE70" s="25">
        <f>COUNTIF(TT!$D$582:$D$609,TALLY!A70)</f>
        <v>1</v>
      </c>
      <c r="AF70" s="25">
        <f>COUNTIF(TT!$D$615:$D$626,TALLY!A70)</f>
        <v>0</v>
      </c>
      <c r="AG70" s="25">
        <f>COUNTIF(TT!$D$635:$D$648,TALLY!A70)</f>
        <v>0</v>
      </c>
      <c r="AH70" s="25">
        <f>COUNTIF(TT!$D$655:$D$668,TALLY!A70)</f>
        <v>0</v>
      </c>
      <c r="AI70" s="25">
        <f>COUNTIF(TT!$D$675:$D$687,TALLY!A70)</f>
        <v>1</v>
      </c>
      <c r="AJ70" s="25"/>
      <c r="AK70" s="24" t="s">
        <v>91</v>
      </c>
      <c r="AL70" s="23">
        <f t="shared" si="12"/>
        <v>2</v>
      </c>
      <c r="AM70" s="23">
        <f t="shared" si="13"/>
        <v>1</v>
      </c>
      <c r="AN70" s="23">
        <f t="shared" si="14"/>
        <v>3</v>
      </c>
      <c r="AO70" s="23">
        <f t="shared" si="15"/>
        <v>3</v>
      </c>
      <c r="AP70" s="23">
        <f t="shared" si="16"/>
        <v>2</v>
      </c>
      <c r="AQ70">
        <f t="shared" si="17"/>
        <v>11</v>
      </c>
    </row>
    <row r="71" spans="1:43" x14ac:dyDescent="0.35">
      <c r="A71" s="24" t="s">
        <v>105</v>
      </c>
      <c r="B71" s="25">
        <f>COUNTIF(TT!$D$4:$D$25,TALLY!A71)</f>
        <v>0</v>
      </c>
      <c r="C71" s="25">
        <f>COUNTIF(TT!$D$33:$D$50,TALLY!A71)</f>
        <v>0</v>
      </c>
      <c r="D71" s="25">
        <f>COUNTIF(TT!$D$57:$D$75,TALLY!A71)</f>
        <v>0</v>
      </c>
      <c r="E71" s="25">
        <f>COUNTIF(TT!$D$82:$D$95,TALLY!A71)</f>
        <v>0</v>
      </c>
      <c r="F71" s="25">
        <f>COUNTIF(TT!$D$103:$D$112,TALLY!A71)</f>
        <v>0</v>
      </c>
      <c r="G71" s="25">
        <f>COUNTIF(TT!$D$120:$D$130,TALLY!A71)</f>
        <v>0</v>
      </c>
      <c r="H71" s="25">
        <f>COUNTIF(TT!$D$138:$D$153,TALLY!A71)</f>
        <v>1</v>
      </c>
      <c r="I71" s="23">
        <f>COUNTIF(TT!$D$160:$D$170,TALLY!A71)</f>
        <v>0</v>
      </c>
      <c r="J71" s="23">
        <f>COUNTIF(TT!$D$177:$D$187,TALLY!A71)</f>
        <v>0</v>
      </c>
      <c r="K71" s="23">
        <f>COUNTIF(TT!$D$194:$D$206,TALLY!A71)</f>
        <v>0</v>
      </c>
      <c r="L71" s="23">
        <f>COUNTIF(TT!$D$215:$D$226,TALLY!A71)</f>
        <v>0</v>
      </c>
      <c r="M71" s="23">
        <f>COUNTIF(TT!$D$234:$D$243,TALLY!A71)</f>
        <v>1</v>
      </c>
      <c r="N71" s="23">
        <f>COUNTIF(TT!$D$250:$D$262,TALLY!A71)</f>
        <v>0</v>
      </c>
      <c r="O71" s="23">
        <f>COUNTIF(TT!$D$270:$D$277,TALLY!A71)</f>
        <v>0</v>
      </c>
      <c r="P71" s="25">
        <f>COUNTIF(TT!$D$284:$D$293,TALLY!A71)</f>
        <v>0</v>
      </c>
      <c r="Q71" s="25">
        <f>COUNTIF(TT!$D$300:$D$313,TALLY!A71)</f>
        <v>0</v>
      </c>
      <c r="R71" s="25">
        <f>COUNTIF(TT!$D$320:$D$333,TALLY!A71)</f>
        <v>0</v>
      </c>
      <c r="S71" s="25">
        <f>COUNTIF(TT!$D$342:$D$352,TALLY!A71)</f>
        <v>0</v>
      </c>
      <c r="T71" s="25">
        <f>COUNTIF(TT!$D$359:$D$376,TALLY!A71)</f>
        <v>0</v>
      </c>
      <c r="U71" s="25">
        <f>COUNTIF(TT!$D$383:$D$398,TALLY!A71)</f>
        <v>0</v>
      </c>
      <c r="V71" s="25">
        <f>COUNTIF(TT!$D$405:$D$424,TALLY!A71)</f>
        <v>0</v>
      </c>
      <c r="W71" s="23">
        <f>COUNTIF(TT!$D$432:$D$442,TALLY!A71)</f>
        <v>0</v>
      </c>
      <c r="X71" s="23">
        <f>COUNTIF(TT!$D$449:$D$460,TALLY!A71)</f>
        <v>0</v>
      </c>
      <c r="Y71" s="23">
        <f>COUNTIF(TT!$D$467:$D$476,TALLY!A71)</f>
        <v>0</v>
      </c>
      <c r="Z71" s="23">
        <f>COUNTIF(TT!$D$483:$D$500,TALLY!A71)</f>
        <v>0</v>
      </c>
      <c r="AA71" s="23">
        <f>COUNTIF(TT!$D$507:$D$522,TALLY!A71)</f>
        <v>0</v>
      </c>
      <c r="AB71" s="23">
        <f>COUNTIF(TT!$D$529:$D$540,TALLY!A71)</f>
        <v>1</v>
      </c>
      <c r="AC71" s="23">
        <f>COUNTIF(TT!$D$546:$D$555,TALLY!A71)</f>
        <v>0</v>
      </c>
      <c r="AD71" s="25">
        <f>COUNTIF(TT!$D$563:$D$573,TALLY!A71)</f>
        <v>0</v>
      </c>
      <c r="AE71" s="25">
        <f>COUNTIF(TT!$D$582:$D$609,TALLY!A71)</f>
        <v>0</v>
      </c>
      <c r="AF71" s="25">
        <f>COUNTIF(TT!$D$615:$D$626,TALLY!A71)</f>
        <v>0</v>
      </c>
      <c r="AG71" s="25">
        <f>COUNTIF(TT!$D$635:$D$648,TALLY!A71)</f>
        <v>1</v>
      </c>
      <c r="AH71" s="25">
        <f>COUNTIF(TT!$D$655:$D$668,TALLY!A71)</f>
        <v>0</v>
      </c>
      <c r="AI71" s="25">
        <f>COUNTIF(TT!$D$675:$D$687,TALLY!A71)</f>
        <v>0</v>
      </c>
      <c r="AJ71" s="25"/>
      <c r="AK71" s="24" t="s">
        <v>105</v>
      </c>
      <c r="AL71" s="23">
        <f t="shared" si="12"/>
        <v>1</v>
      </c>
      <c r="AM71" s="23">
        <f t="shared" si="13"/>
        <v>1</v>
      </c>
      <c r="AN71" s="23">
        <f t="shared" si="14"/>
        <v>0</v>
      </c>
      <c r="AO71" s="23">
        <f t="shared" si="15"/>
        <v>0</v>
      </c>
      <c r="AP71" s="23">
        <f t="shared" si="16"/>
        <v>1</v>
      </c>
      <c r="AQ71">
        <f t="shared" si="17"/>
        <v>3</v>
      </c>
    </row>
    <row r="72" spans="1:43" x14ac:dyDescent="0.35">
      <c r="A72" s="24" t="s">
        <v>107</v>
      </c>
      <c r="B72" s="25">
        <f>COUNTIF(TT!$D$4:$D$25,TALLY!A72)</f>
        <v>0</v>
      </c>
      <c r="C72" s="25">
        <f>COUNTIF(TT!$D$33:$D$50,TALLY!A72)</f>
        <v>0</v>
      </c>
      <c r="D72" s="25">
        <f>COUNTIF(TT!$D$57:$D$75,TALLY!A72)</f>
        <v>0</v>
      </c>
      <c r="E72" s="25">
        <f>COUNTIF(TT!$D$82:$D$95,TALLY!A72)</f>
        <v>0</v>
      </c>
      <c r="F72" s="25">
        <f>COUNTIF(TT!$D$103:$D$112,TALLY!A72)</f>
        <v>0</v>
      </c>
      <c r="G72" s="25">
        <f>COUNTIF(TT!$D$120:$D$130,TALLY!A72)</f>
        <v>0</v>
      </c>
      <c r="H72" s="25">
        <f>COUNTIF(TT!$D$138:$D$153,TALLY!A72)</f>
        <v>1</v>
      </c>
      <c r="I72" s="23">
        <f>COUNTIF(TT!$D$160:$D$170,TALLY!A72)</f>
        <v>0</v>
      </c>
      <c r="J72" s="23">
        <f>COUNTIF(TT!$D$177:$D$187,TALLY!A72)</f>
        <v>0</v>
      </c>
      <c r="K72" s="23">
        <f>COUNTIF(TT!$D$194:$D$206,TALLY!A72)</f>
        <v>0</v>
      </c>
      <c r="L72" s="23">
        <f>COUNTIF(TT!$D$215:$D$226,TALLY!A72)</f>
        <v>0</v>
      </c>
      <c r="M72" s="23">
        <f>COUNTIF(TT!$D$234:$D$243,TALLY!A72)</f>
        <v>0</v>
      </c>
      <c r="N72" s="23">
        <f>COUNTIF(TT!$D$250:$D$262,TALLY!A72)</f>
        <v>0</v>
      </c>
      <c r="O72" s="23">
        <f>COUNTIF(TT!$D$270:$D$277,TALLY!A72)</f>
        <v>0</v>
      </c>
      <c r="P72" s="25">
        <f>COUNTIF(TT!$D$284:$D$293,TALLY!A72)</f>
        <v>0</v>
      </c>
      <c r="Q72" s="25">
        <f>COUNTIF(TT!$D$300:$D$313,TALLY!A72)</f>
        <v>0</v>
      </c>
      <c r="R72" s="25">
        <f>COUNTIF(TT!$D$320:$D$333,TALLY!A72)</f>
        <v>0</v>
      </c>
      <c r="S72" s="25">
        <f>COUNTIF(TT!$D$342:$D$352,TALLY!A72)</f>
        <v>1</v>
      </c>
      <c r="T72" s="25">
        <f>COUNTIF(TT!$D$359:$D$376,TALLY!A72)</f>
        <v>0</v>
      </c>
      <c r="U72" s="25">
        <f>COUNTIF(TT!$D$383:$D$398,TALLY!A72)</f>
        <v>0</v>
      </c>
      <c r="V72" s="25">
        <f>COUNTIF(TT!$D$405:$D$424,TALLY!A72)</f>
        <v>0</v>
      </c>
      <c r="W72" s="23">
        <f>COUNTIF(TT!$D$432:$D$442,TALLY!A72)</f>
        <v>0</v>
      </c>
      <c r="X72" s="23">
        <f>COUNTIF(TT!$D$449:$D$460,TALLY!A72)</f>
        <v>0</v>
      </c>
      <c r="Y72" s="23">
        <f>COUNTIF(TT!$D$467:$D$476,TALLY!A72)</f>
        <v>0</v>
      </c>
      <c r="Z72" s="23">
        <f>COUNTIF(TT!$D$483:$D$500,TALLY!A72)</f>
        <v>0</v>
      </c>
      <c r="AA72" s="23">
        <f>COUNTIF(TT!$D$507:$D$522,TALLY!A72)</f>
        <v>0</v>
      </c>
      <c r="AB72" s="23">
        <f>COUNTIF(TT!$D$529:$D$540,TALLY!A72)</f>
        <v>1</v>
      </c>
      <c r="AC72" s="23">
        <f>COUNTIF(TT!$D$546:$D$555,TALLY!A72)</f>
        <v>0</v>
      </c>
      <c r="AD72" s="25">
        <f>COUNTIF(TT!$D$563:$D$573,TALLY!A72)</f>
        <v>0</v>
      </c>
      <c r="AE72" s="25">
        <f>COUNTIF(TT!$D$582:$D$609,TALLY!A72)</f>
        <v>0</v>
      </c>
      <c r="AF72" s="25">
        <f>COUNTIF(TT!$D$615:$D$626,TALLY!A72)</f>
        <v>0</v>
      </c>
      <c r="AG72" s="25">
        <f>COUNTIF(TT!$D$635:$D$648,TALLY!A72)</f>
        <v>1</v>
      </c>
      <c r="AH72" s="25">
        <f>COUNTIF(TT!$D$655:$D$668,TALLY!A72)</f>
        <v>0</v>
      </c>
      <c r="AI72" s="25">
        <f>COUNTIF(TT!$D$675:$D$687,TALLY!A72)</f>
        <v>0</v>
      </c>
      <c r="AJ72" s="25"/>
      <c r="AK72" s="24" t="s">
        <v>107</v>
      </c>
      <c r="AL72" s="23">
        <f t="shared" si="12"/>
        <v>1</v>
      </c>
      <c r="AM72" s="23">
        <f t="shared" si="13"/>
        <v>0</v>
      </c>
      <c r="AN72" s="23">
        <f t="shared" si="14"/>
        <v>1</v>
      </c>
      <c r="AO72" s="23">
        <f t="shared" si="15"/>
        <v>0</v>
      </c>
      <c r="AP72" s="23">
        <f t="shared" si="16"/>
        <v>1</v>
      </c>
      <c r="AQ72">
        <f t="shared" si="17"/>
        <v>3</v>
      </c>
    </row>
    <row r="73" spans="1:43" x14ac:dyDescent="0.35">
      <c r="A73" s="24" t="s">
        <v>35</v>
      </c>
      <c r="B73" s="25">
        <f>COUNTIF(TT!$D$4:$D$25,TALLY!A73)</f>
        <v>1</v>
      </c>
      <c r="C73" s="25">
        <f>COUNTIF(TT!$D$33:$D$50,TALLY!A73)</f>
        <v>0</v>
      </c>
      <c r="D73" s="25">
        <f>COUNTIF(TT!$D$57:$D$75,TALLY!A73)</f>
        <v>0</v>
      </c>
      <c r="E73" s="25">
        <f>COUNTIF(TT!$D$82:$D$95,TALLY!A73)</f>
        <v>0</v>
      </c>
      <c r="F73" s="25">
        <f>COUNTIF(TT!$D$103:$D$112,TALLY!A73)</f>
        <v>0</v>
      </c>
      <c r="G73" s="25">
        <f>COUNTIF(TT!$D$120:$D$130,TALLY!A73)</f>
        <v>0</v>
      </c>
      <c r="H73" s="25">
        <f>COUNTIF(TT!$D$138:$D$153,TALLY!A73)</f>
        <v>0</v>
      </c>
      <c r="I73" s="23">
        <f>COUNTIF(TT!$D$160:$D$170,TALLY!A73)</f>
        <v>0</v>
      </c>
      <c r="J73" s="23">
        <f>COUNTIF(TT!$D$177:$D$187,TALLY!A73)</f>
        <v>0</v>
      </c>
      <c r="K73" s="23">
        <f>COUNTIF(TT!$D$194:$D$206,TALLY!A73)</f>
        <v>0</v>
      </c>
      <c r="L73" s="23">
        <f>COUNTIF(TT!$D$215:$D$226,TALLY!A73)</f>
        <v>0</v>
      </c>
      <c r="M73" s="23">
        <f>COUNTIF(TT!$D$234:$D$243,TALLY!A73)</f>
        <v>0</v>
      </c>
      <c r="N73" s="23">
        <f>COUNTIF(TT!$D$250:$D$262,TALLY!A73)</f>
        <v>1</v>
      </c>
      <c r="O73" s="23">
        <f>COUNTIF(TT!$D$270:$D$277,TALLY!A73)</f>
        <v>0</v>
      </c>
      <c r="P73" s="25">
        <f>COUNTIF(TT!$D$284:$D$293,TALLY!A73)</f>
        <v>0</v>
      </c>
      <c r="Q73" s="25">
        <f>COUNTIF(TT!$D$300:$D$313,TALLY!A73)</f>
        <v>0</v>
      </c>
      <c r="R73" s="25">
        <f>COUNTIF(TT!$D$320:$D$333,TALLY!A73)</f>
        <v>0</v>
      </c>
      <c r="S73" s="25">
        <f>COUNTIF(TT!$D$342:$D$352,TALLY!A73)</f>
        <v>0</v>
      </c>
      <c r="T73" s="25">
        <f>COUNTIF(TT!$D$359:$D$376,TALLY!A73)</f>
        <v>0</v>
      </c>
      <c r="U73" s="25">
        <f>COUNTIF(TT!$D$383:$D$398,TALLY!A73)</f>
        <v>1</v>
      </c>
      <c r="V73" s="25">
        <f>COUNTIF(TT!$D$405:$D$424,TALLY!A73)</f>
        <v>0</v>
      </c>
      <c r="W73" s="23">
        <f>COUNTIF(TT!$D$432:$D$442,TALLY!A73)</f>
        <v>0</v>
      </c>
      <c r="X73" s="23">
        <f>COUNTIF(TT!$D$449:$D$460,TALLY!A73)</f>
        <v>0</v>
      </c>
      <c r="Y73" s="23">
        <f>COUNTIF(TT!$D$467:$D$476,TALLY!A73)</f>
        <v>0</v>
      </c>
      <c r="Z73" s="23">
        <f>COUNTIF(TT!$D$483:$D$500,TALLY!A73)</f>
        <v>1</v>
      </c>
      <c r="AA73" s="23">
        <f>COUNTIF(TT!$D$507:$D$522,TALLY!A73)</f>
        <v>0</v>
      </c>
      <c r="AB73" s="23">
        <f>COUNTIF(TT!$D$529:$D$540,TALLY!A73)</f>
        <v>0</v>
      </c>
      <c r="AC73" s="23">
        <f>COUNTIF(TT!$D$546:$D$555,TALLY!A73)</f>
        <v>0</v>
      </c>
      <c r="AD73" s="25">
        <f>COUNTIF(TT!$D$563:$D$573,TALLY!A73)</f>
        <v>0</v>
      </c>
      <c r="AE73" s="25">
        <f>COUNTIF(TT!$D$582:$D$609,TALLY!A73)</f>
        <v>0</v>
      </c>
      <c r="AF73" s="25">
        <f>COUNTIF(TT!$D$615:$D$626,TALLY!A73)</f>
        <v>0</v>
      </c>
      <c r="AG73" s="25">
        <f>COUNTIF(TT!$D$635:$D$648,TALLY!A73)</f>
        <v>0</v>
      </c>
      <c r="AH73" s="25">
        <f>COUNTIF(TT!$D$655:$D$668,TALLY!A73)</f>
        <v>1</v>
      </c>
      <c r="AI73" s="25">
        <f>COUNTIF(TT!$D$675:$D$687,TALLY!A73)</f>
        <v>0</v>
      </c>
      <c r="AJ73" s="25"/>
      <c r="AK73" s="24" t="s">
        <v>35</v>
      </c>
      <c r="AL73" s="23">
        <f t="shared" si="12"/>
        <v>1</v>
      </c>
      <c r="AM73" s="23">
        <f t="shared" si="13"/>
        <v>1</v>
      </c>
      <c r="AN73" s="23">
        <f t="shared" si="14"/>
        <v>1</v>
      </c>
      <c r="AO73" s="23">
        <f t="shared" si="15"/>
        <v>1</v>
      </c>
      <c r="AP73" s="23">
        <f t="shared" si="16"/>
        <v>1</v>
      </c>
      <c r="AQ73">
        <f t="shared" si="17"/>
        <v>5</v>
      </c>
    </row>
    <row r="74" spans="1:43" x14ac:dyDescent="0.35">
      <c r="A74" s="24" t="s">
        <v>53</v>
      </c>
      <c r="B74" s="25">
        <f>COUNTIF(TT!$D$4:$D$25,TALLY!A74)</f>
        <v>0</v>
      </c>
      <c r="C74" s="25">
        <f>COUNTIF(TT!$D$33:$D$50,TALLY!A74)</f>
        <v>1</v>
      </c>
      <c r="D74" s="25">
        <f>COUNTIF(TT!$D$57:$D$75,TALLY!A74)</f>
        <v>0</v>
      </c>
      <c r="E74" s="25">
        <f>COUNTIF(TT!$D$82:$D$95,TALLY!A74)</f>
        <v>0</v>
      </c>
      <c r="F74" s="25">
        <f>COUNTIF(TT!$D$103:$D$112,TALLY!A74)</f>
        <v>0</v>
      </c>
      <c r="G74" s="25">
        <f>COUNTIF(TT!$D$120:$D$130,TALLY!A74)</f>
        <v>1</v>
      </c>
      <c r="H74" s="25">
        <f>COUNTIF(TT!$D$138:$D$153,TALLY!A74)</f>
        <v>0</v>
      </c>
      <c r="I74" s="23">
        <f>COUNTIF(TT!$D$160:$D$170,TALLY!A74)</f>
        <v>0</v>
      </c>
      <c r="J74" s="23">
        <f>COUNTIF(TT!$D$177:$D$187,TALLY!A74)</f>
        <v>0</v>
      </c>
      <c r="K74" s="23">
        <f>COUNTIF(TT!$D$194:$D$206,TALLY!A74)</f>
        <v>0</v>
      </c>
      <c r="L74" s="23">
        <f>COUNTIF(TT!$D$215:$D$226,TALLY!A74)</f>
        <v>1</v>
      </c>
      <c r="M74" s="23">
        <f>COUNTIF(TT!$D$234:$D$243,TALLY!A74)</f>
        <v>0</v>
      </c>
      <c r="N74" s="23">
        <f>COUNTIF(TT!$D$250:$D$262,TALLY!A74)</f>
        <v>0</v>
      </c>
      <c r="O74" s="23">
        <f>COUNTIF(TT!$D$270:$D$277,TALLY!A74)</f>
        <v>1</v>
      </c>
      <c r="P74" s="25">
        <f>COUNTIF(TT!$D$284:$D$293,TALLY!A74)</f>
        <v>1</v>
      </c>
      <c r="Q74" s="25">
        <f>COUNTIF(TT!$D$300:$D$313,TALLY!A74)</f>
        <v>0</v>
      </c>
      <c r="R74" s="25">
        <f>COUNTIF(TT!$D$320:$D$333,TALLY!A74)</f>
        <v>0</v>
      </c>
      <c r="S74" s="25">
        <f>COUNTIF(TT!$D$342:$D$352,TALLY!A74)</f>
        <v>0</v>
      </c>
      <c r="T74" s="25">
        <f>COUNTIF(TT!$D$359:$D$376,TALLY!A74)</f>
        <v>0</v>
      </c>
      <c r="U74" s="25">
        <f>COUNTIF(TT!$D$383:$D$398,TALLY!A74)</f>
        <v>1</v>
      </c>
      <c r="V74" s="25">
        <f>COUNTIF(TT!$D$405:$D$424,TALLY!A74)</f>
        <v>0</v>
      </c>
      <c r="W74" s="23">
        <f>COUNTIF(TT!$D$432:$D$442,TALLY!A74)</f>
        <v>0</v>
      </c>
      <c r="X74" s="23">
        <f>COUNTIF(TT!$D$449:$D$460,TALLY!A74)</f>
        <v>1</v>
      </c>
      <c r="Y74" s="23">
        <f>COUNTIF(TT!$D$467:$D$476,TALLY!A74)</f>
        <v>0</v>
      </c>
      <c r="Z74" s="23">
        <f>COUNTIF(TT!$D$483:$D$500,TALLY!A74)</f>
        <v>0</v>
      </c>
      <c r="AA74" s="23">
        <f>COUNTIF(TT!$D$507:$D$522,TALLY!A74)</f>
        <v>0</v>
      </c>
      <c r="AB74" s="23">
        <f>COUNTIF(TT!$D$529:$D$540,TALLY!A74)</f>
        <v>0</v>
      </c>
      <c r="AC74" s="23">
        <f>COUNTIF(TT!$D$546:$D$555,TALLY!A74)</f>
        <v>1</v>
      </c>
      <c r="AD74" s="25">
        <f>COUNTIF(TT!$D$563:$D$573,TALLY!A74)</f>
        <v>1</v>
      </c>
      <c r="AE74" s="25">
        <f>COUNTIF(TT!$D$582:$D$609,TALLY!A74)</f>
        <v>0</v>
      </c>
      <c r="AF74" s="25">
        <f>COUNTIF(TT!$D$615:$D$626,TALLY!A74)</f>
        <v>0</v>
      </c>
      <c r="AG74" s="25">
        <f>COUNTIF(TT!$D$635:$D$648,TALLY!A74)</f>
        <v>1</v>
      </c>
      <c r="AH74" s="25">
        <f>COUNTIF(TT!$D$655:$D$668,TALLY!A74)</f>
        <v>0</v>
      </c>
      <c r="AI74" s="25">
        <f>COUNTIF(TT!$D$675:$D$687,TALLY!A74)</f>
        <v>0</v>
      </c>
      <c r="AJ74" s="25"/>
      <c r="AK74" s="24" t="s">
        <v>53</v>
      </c>
      <c r="AL74" s="23">
        <f t="shared" si="12"/>
        <v>2</v>
      </c>
      <c r="AM74" s="23">
        <f t="shared" si="13"/>
        <v>2</v>
      </c>
      <c r="AN74" s="23">
        <f t="shared" si="14"/>
        <v>2</v>
      </c>
      <c r="AO74" s="23">
        <f t="shared" si="15"/>
        <v>1</v>
      </c>
      <c r="AP74" s="23">
        <f t="shared" si="16"/>
        <v>2</v>
      </c>
      <c r="AQ74">
        <f t="shared" si="17"/>
        <v>9</v>
      </c>
    </row>
    <row r="75" spans="1:43" x14ac:dyDescent="0.35">
      <c r="A75" s="24" t="s">
        <v>55</v>
      </c>
      <c r="B75" s="25">
        <f>COUNTIF(TT!$D$4:$D$25,TALLY!A75)</f>
        <v>0</v>
      </c>
      <c r="C75" s="25">
        <f>COUNTIF(TT!$D$33:$D$50,TALLY!A75)</f>
        <v>1</v>
      </c>
      <c r="D75" s="25">
        <f>COUNTIF(TT!$D$57:$D$75,TALLY!A75)</f>
        <v>0</v>
      </c>
      <c r="E75" s="25">
        <f>COUNTIF(TT!$D$82:$D$95,TALLY!A75)</f>
        <v>0</v>
      </c>
      <c r="F75" s="25">
        <f>COUNTIF(TT!$D$103:$D$112,TALLY!A75)</f>
        <v>0</v>
      </c>
      <c r="G75" s="25">
        <f>COUNTIF(TT!$D$120:$D$130,TALLY!A75)</f>
        <v>0</v>
      </c>
      <c r="H75" s="25">
        <f>COUNTIF(TT!$D$138:$D$153,TALLY!A75)</f>
        <v>0</v>
      </c>
      <c r="I75" s="23">
        <f>COUNTIF(TT!$D$160:$D$170,TALLY!A75)</f>
        <v>0</v>
      </c>
      <c r="J75" s="23">
        <f>COUNTIF(TT!$D$177:$D$187,TALLY!A75)</f>
        <v>0</v>
      </c>
      <c r="K75" s="23">
        <f>COUNTIF(TT!$D$194:$D$206,TALLY!A75)</f>
        <v>0</v>
      </c>
      <c r="L75" s="23">
        <f>COUNTIF(TT!$D$215:$D$226,TALLY!A75)</f>
        <v>0</v>
      </c>
      <c r="M75" s="23">
        <f>COUNTIF(TT!$D$234:$D$243,TALLY!A75)</f>
        <v>1</v>
      </c>
      <c r="N75" s="23">
        <f>COUNTIF(TT!$D$250:$D$262,TALLY!A75)</f>
        <v>0</v>
      </c>
      <c r="O75" s="23">
        <f>COUNTIF(TT!$D$270:$D$277,TALLY!A75)</f>
        <v>0</v>
      </c>
      <c r="P75" s="25">
        <f>COUNTIF(TT!$D$284:$D$293,TALLY!A75)</f>
        <v>0</v>
      </c>
      <c r="Q75" s="25">
        <f>COUNTIF(TT!$D$300:$D$313,TALLY!A75)</f>
        <v>0</v>
      </c>
      <c r="R75" s="25">
        <f>COUNTIF(TT!$D$320:$D$333,TALLY!A75)</f>
        <v>0</v>
      </c>
      <c r="S75" s="25">
        <f>COUNTIF(TT!$D$342:$D$352,TALLY!A75)</f>
        <v>0</v>
      </c>
      <c r="T75" s="25">
        <f>COUNTIF(TT!$D$359:$D$376,TALLY!A75)</f>
        <v>0</v>
      </c>
      <c r="U75" s="25">
        <f>COUNTIF(TT!$D$383:$D$398,TALLY!A75)</f>
        <v>0</v>
      </c>
      <c r="V75" s="25">
        <f>COUNTIF(TT!$D$405:$D$424,TALLY!A75)</f>
        <v>1</v>
      </c>
      <c r="W75" s="23">
        <f>COUNTIF(TT!$D$432:$D$442,TALLY!A75)</f>
        <v>0</v>
      </c>
      <c r="X75" s="23">
        <f>COUNTIF(TT!$D$449:$D$460,TALLY!A75)</f>
        <v>0</v>
      </c>
      <c r="Y75" s="23">
        <f>COUNTIF(TT!$D$467:$D$476,TALLY!A75)</f>
        <v>0</v>
      </c>
      <c r="Z75" s="23">
        <f>COUNTIF(TT!$D$483:$D$500,TALLY!A75)</f>
        <v>0</v>
      </c>
      <c r="AA75" s="23">
        <f>COUNTIF(TT!$D$507:$D$522,TALLY!A75)</f>
        <v>1</v>
      </c>
      <c r="AB75" s="23">
        <f>COUNTIF(TT!$D$529:$D$540,TALLY!A75)</f>
        <v>0</v>
      </c>
      <c r="AC75" s="23">
        <f>COUNTIF(TT!$D$546:$D$555,TALLY!A75)</f>
        <v>0</v>
      </c>
      <c r="AD75" s="25">
        <f>COUNTIF(TT!$D$563:$D$573,TALLY!A75)</f>
        <v>0</v>
      </c>
      <c r="AE75" s="25">
        <f>COUNTIF(TT!$D$582:$D$609,TALLY!A75)</f>
        <v>0</v>
      </c>
      <c r="AF75" s="25">
        <f>COUNTIF(TT!$D$615:$D$626,TALLY!A75)</f>
        <v>0</v>
      </c>
      <c r="AG75" s="25">
        <f>COUNTIF(TT!$D$635:$D$648,TALLY!A75)</f>
        <v>1</v>
      </c>
      <c r="AH75" s="25">
        <f>COUNTIF(TT!$D$655:$D$668,TALLY!A75)</f>
        <v>0</v>
      </c>
      <c r="AI75" s="25">
        <f>COUNTIF(TT!$D$675:$D$687,TALLY!A75)</f>
        <v>0</v>
      </c>
      <c r="AJ75" s="25"/>
      <c r="AK75" s="24" t="s">
        <v>55</v>
      </c>
      <c r="AL75" s="23">
        <f t="shared" si="12"/>
        <v>1</v>
      </c>
      <c r="AM75" s="23">
        <f t="shared" si="13"/>
        <v>1</v>
      </c>
      <c r="AN75" s="23">
        <f t="shared" si="14"/>
        <v>1</v>
      </c>
      <c r="AO75" s="23">
        <f t="shared" si="15"/>
        <v>1</v>
      </c>
      <c r="AP75" s="23">
        <f t="shared" si="16"/>
        <v>1</v>
      </c>
      <c r="AQ75">
        <f t="shared" si="17"/>
        <v>5</v>
      </c>
    </row>
  </sheetData>
  <mergeCells count="5">
    <mergeCell ref="W1:AC1"/>
    <mergeCell ref="AD1:AJ1"/>
    <mergeCell ref="B1:H1"/>
    <mergeCell ref="I1:O1"/>
    <mergeCell ref="P1:V1"/>
  </mergeCells>
  <conditionalFormatting sqref="B2:AJ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AJ75">
    <cfRule type="cellIs" dxfId="4" priority="4" operator="greaterThan">
      <formula>1</formula>
    </cfRule>
  </conditionalFormatting>
  <conditionalFormatting sqref="AL4:AP75">
    <cfRule type="cellIs" dxfId="3" priority="5" operator="greaterThan">
      <formula>1</formula>
    </cfRule>
  </conditionalFormatting>
  <conditionalFormatting sqref="AL4:AP76">
    <cfRule type="cellIs" dxfId="2" priority="1" operator="equal">
      <formula>3</formula>
    </cfRule>
  </conditionalFormatting>
  <pageMargins left="0.7" right="0.7" top="0.75" bottom="0.75" header="0.3" footer="0.3"/>
  <pageSetup scale="90" orientation="landscape" r:id="rId1"/>
  <rowBreaks count="1" manualBreakCount="1">
    <brk id="39" max="54" man="1"/>
  </rowBreaks>
  <colBreaks count="1" manualBreakCount="1">
    <brk id="36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D909-1DD9-480D-929A-F89AE5E193C3}">
  <dimension ref="A1:F549"/>
  <sheetViews>
    <sheetView topLeftCell="A204" zoomScale="140" zoomScaleNormal="140" workbookViewId="0">
      <selection activeCell="C220" sqref="C220"/>
    </sheetView>
  </sheetViews>
  <sheetFormatPr defaultRowHeight="14.5" x14ac:dyDescent="0.35"/>
  <cols>
    <col min="1" max="1" width="25.453125" customWidth="1"/>
    <col min="2" max="2" width="52.26953125" customWidth="1"/>
    <col min="3" max="3" width="48.1796875" customWidth="1"/>
    <col min="4" max="4" width="14.81640625" bestFit="1" customWidth="1"/>
    <col min="5" max="5" width="21.453125" customWidth="1"/>
    <col min="6" max="6" width="15.7265625" customWidth="1"/>
  </cols>
  <sheetData>
    <row r="1" spans="1:6" x14ac:dyDescent="0.35">
      <c r="B1" t="s">
        <v>824</v>
      </c>
      <c r="C1" t="s">
        <v>823</v>
      </c>
      <c r="D1" t="s">
        <v>822</v>
      </c>
      <c r="E1" t="s">
        <v>826</v>
      </c>
      <c r="F1" t="s">
        <v>825</v>
      </c>
    </row>
    <row r="2" spans="1:6" x14ac:dyDescent="0.35">
      <c r="A2" t="str">
        <f t="shared" ref="A2:A65" si="0">CONCATENATE(F2,",",E2)</f>
        <v>AE 158,ED1-AE</v>
      </c>
      <c r="B2" t="s">
        <v>511</v>
      </c>
      <c r="C2" t="str" cm="1">
        <f t="array" ref="C2:C549">VLOOKUP(A2:A549,'Combined Data'!A1:C547,2,FALSE)</f>
        <v>Introduction To Information Technology</v>
      </c>
      <c r="D2">
        <v>157</v>
      </c>
      <c r="E2" t="s">
        <v>101</v>
      </c>
      <c r="F2" t="s">
        <v>194</v>
      </c>
    </row>
    <row r="3" spans="1:6" x14ac:dyDescent="0.35">
      <c r="A3" t="str">
        <f t="shared" si="0"/>
        <v>AE 162,ED1-AE</v>
      </c>
      <c r="B3" t="s">
        <v>821</v>
      </c>
      <c r="C3" t="str">
        <v>Basic Agriculture</v>
      </c>
      <c r="D3">
        <v>157</v>
      </c>
      <c r="E3" t="s">
        <v>101</v>
      </c>
      <c r="F3" t="s">
        <v>102</v>
      </c>
    </row>
    <row r="4" spans="1:6" x14ac:dyDescent="0.35">
      <c r="A4" t="str">
        <f t="shared" si="0"/>
        <v>AE 196,ED1-AE</v>
      </c>
      <c r="B4" t="s">
        <v>820</v>
      </c>
      <c r="C4" t="str">
        <v>Engineering Workshop Practice</v>
      </c>
      <c r="D4">
        <v>157</v>
      </c>
      <c r="E4" t="s">
        <v>101</v>
      </c>
      <c r="F4" t="s">
        <v>273</v>
      </c>
    </row>
    <row r="5" spans="1:6" x14ac:dyDescent="0.35">
      <c r="A5" t="str">
        <f t="shared" si="0"/>
        <v>EE 152,ED1-AE</v>
      </c>
      <c r="B5" t="s">
        <v>456</v>
      </c>
      <c r="C5" t="str">
        <v>Basic Electronics</v>
      </c>
      <c r="D5">
        <v>157</v>
      </c>
      <c r="E5" t="s">
        <v>101</v>
      </c>
      <c r="F5" t="s">
        <v>321</v>
      </c>
    </row>
    <row r="6" spans="1:6" x14ac:dyDescent="0.35">
      <c r="A6" t="str">
        <f t="shared" si="0"/>
        <v>ENGL 158,ED1-AE</v>
      </c>
      <c r="B6" t="s">
        <v>454</v>
      </c>
      <c r="C6" t="str">
        <v>Communication Skills II</v>
      </c>
      <c r="D6">
        <v>157</v>
      </c>
      <c r="E6" t="s">
        <v>101</v>
      </c>
      <c r="F6" t="s">
        <v>376</v>
      </c>
    </row>
    <row r="7" spans="1:6" x14ac:dyDescent="0.35">
      <c r="A7" t="str">
        <f t="shared" si="0"/>
        <v>MATH 152,ED1-AE</v>
      </c>
      <c r="B7" t="s">
        <v>453</v>
      </c>
      <c r="C7" t="str">
        <v>Calculus With Analysis</v>
      </c>
      <c r="D7">
        <v>157</v>
      </c>
      <c r="E7" t="s">
        <v>101</v>
      </c>
      <c r="F7" t="s">
        <v>190</v>
      </c>
    </row>
    <row r="8" spans="1:6" x14ac:dyDescent="0.35">
      <c r="A8" t="str">
        <f t="shared" si="0"/>
        <v>ME 160,ED1-AE</v>
      </c>
      <c r="B8" t="s">
        <v>534</v>
      </c>
      <c r="C8" t="str">
        <v>Engineering Drawing</v>
      </c>
      <c r="D8">
        <v>157</v>
      </c>
      <c r="E8" t="s">
        <v>101</v>
      </c>
      <c r="F8" t="s">
        <v>175</v>
      </c>
    </row>
    <row r="9" spans="1:6" x14ac:dyDescent="0.35">
      <c r="A9" t="str">
        <f t="shared" si="0"/>
        <v>ME 162,ED1-AE</v>
      </c>
      <c r="B9" t="s">
        <v>491</v>
      </c>
      <c r="C9" t="str">
        <v>Basic Mechanics</v>
      </c>
      <c r="D9">
        <v>157</v>
      </c>
      <c r="E9" t="s">
        <v>101</v>
      </c>
      <c r="F9" t="s">
        <v>290</v>
      </c>
    </row>
    <row r="10" spans="1:6" x14ac:dyDescent="0.35">
      <c r="A10" t="str">
        <f t="shared" si="0"/>
        <v>EE 252,ED2-AE</v>
      </c>
      <c r="B10" t="s">
        <v>559</v>
      </c>
      <c r="C10" t="str">
        <v>Electrical Engineering Machines</v>
      </c>
      <c r="D10">
        <v>111</v>
      </c>
      <c r="E10" t="s">
        <v>51</v>
      </c>
      <c r="F10" t="s">
        <v>354</v>
      </c>
    </row>
    <row r="11" spans="1:6" x14ac:dyDescent="0.35">
      <c r="A11" t="str">
        <f t="shared" si="0"/>
        <v>ENGL 264,ED2-AE</v>
      </c>
      <c r="B11" t="s">
        <v>621</v>
      </c>
      <c r="C11" t="str">
        <v>Literature In English II</v>
      </c>
      <c r="D11">
        <v>111</v>
      </c>
      <c r="E11" t="s">
        <v>51</v>
      </c>
      <c r="F11" t="s">
        <v>259</v>
      </c>
    </row>
    <row r="12" spans="1:6" x14ac:dyDescent="0.35">
      <c r="A12" t="str">
        <f t="shared" si="0"/>
        <v>GE 286,ED2-AE</v>
      </c>
      <c r="B12" t="s">
        <v>819</v>
      </c>
      <c r="C12" t="str">
        <v>Principles Of Surveying</v>
      </c>
      <c r="D12">
        <v>111</v>
      </c>
      <c r="E12" t="s">
        <v>51</v>
      </c>
      <c r="F12" t="s">
        <v>52</v>
      </c>
    </row>
    <row r="13" spans="1:6" x14ac:dyDescent="0.35">
      <c r="A13" t="str">
        <f t="shared" si="0"/>
        <v>MATH 252,ED2-AE</v>
      </c>
      <c r="B13" t="s">
        <v>443</v>
      </c>
      <c r="C13" t="str">
        <v>Calculus With Several Variables</v>
      </c>
      <c r="D13">
        <v>111</v>
      </c>
      <c r="E13" t="s">
        <v>51</v>
      </c>
      <c r="F13" t="s">
        <v>112</v>
      </c>
    </row>
    <row r="14" spans="1:6" x14ac:dyDescent="0.35">
      <c r="A14" t="str">
        <f t="shared" si="0"/>
        <v>ME 262,ED2-AE</v>
      </c>
      <c r="B14" t="s">
        <v>818</v>
      </c>
      <c r="C14" t="str">
        <v>Theory Of Machines</v>
      </c>
      <c r="D14">
        <v>111</v>
      </c>
      <c r="E14" t="s">
        <v>51</v>
      </c>
      <c r="F14" t="s">
        <v>170</v>
      </c>
    </row>
    <row r="15" spans="1:6" x14ac:dyDescent="0.35">
      <c r="A15" t="str">
        <f t="shared" si="0"/>
        <v>ME 282,ED2-AE</v>
      </c>
      <c r="B15" t="s">
        <v>817</v>
      </c>
      <c r="C15" t="str">
        <v>Mechanical Engineering Materials II</v>
      </c>
      <c r="D15">
        <v>111</v>
      </c>
      <c r="E15" t="s">
        <v>51</v>
      </c>
      <c r="F15" t="s">
        <v>402</v>
      </c>
    </row>
    <row r="16" spans="1:6" x14ac:dyDescent="0.35">
      <c r="A16" t="str">
        <f t="shared" si="0"/>
        <v>ME 296,ED2-AE</v>
      </c>
      <c r="B16" t="s">
        <v>560</v>
      </c>
      <c r="C16" t="str">
        <v>Mechanical Engineering Lab. II</v>
      </c>
      <c r="D16">
        <v>111</v>
      </c>
      <c r="E16" t="s">
        <v>51</v>
      </c>
      <c r="F16" t="s">
        <v>561</v>
      </c>
    </row>
    <row r="17" spans="1:6" x14ac:dyDescent="0.35">
      <c r="A17" t="str">
        <f t="shared" si="0"/>
        <v>AE 352,ED3-AE</v>
      </c>
      <c r="B17" t="s">
        <v>816</v>
      </c>
      <c r="C17" t="str">
        <v>Soil Mechanics Application To Mechanisation</v>
      </c>
      <c r="D17">
        <v>108</v>
      </c>
      <c r="E17" t="s">
        <v>88</v>
      </c>
      <c r="F17" t="s">
        <v>237</v>
      </c>
    </row>
    <row r="18" spans="1:6" x14ac:dyDescent="0.35">
      <c r="A18" t="str">
        <f t="shared" si="0"/>
        <v>AE 356,ED3-AE</v>
      </c>
      <c r="B18" t="s">
        <v>815</v>
      </c>
      <c r="C18" t="str">
        <v>Farm Power And Machinery</v>
      </c>
      <c r="D18">
        <v>108</v>
      </c>
      <c r="E18" t="s">
        <v>88</v>
      </c>
      <c r="F18" t="s">
        <v>142</v>
      </c>
    </row>
    <row r="19" spans="1:6" x14ac:dyDescent="0.35">
      <c r="A19" t="str">
        <f t="shared" si="0"/>
        <v>AE 358,ED3-AE</v>
      </c>
      <c r="B19" t="s">
        <v>814</v>
      </c>
      <c r="C19" t="str">
        <v>Renewable Energy Systems And Management</v>
      </c>
      <c r="D19">
        <v>108</v>
      </c>
      <c r="E19" t="s">
        <v>88</v>
      </c>
      <c r="F19" t="s">
        <v>375</v>
      </c>
    </row>
    <row r="20" spans="1:6" x14ac:dyDescent="0.35">
      <c r="A20" t="str">
        <f t="shared" si="0"/>
        <v>AE 360,ED3-AE</v>
      </c>
      <c r="B20" t="s">
        <v>813</v>
      </c>
      <c r="C20" t="str">
        <v>Rural Engineering</v>
      </c>
      <c r="D20">
        <v>108</v>
      </c>
      <c r="E20" t="s">
        <v>88</v>
      </c>
      <c r="F20" t="s">
        <v>294</v>
      </c>
    </row>
    <row r="21" spans="1:6" x14ac:dyDescent="0.35">
      <c r="A21" t="str">
        <f t="shared" si="0"/>
        <v>AE 362,ED3-AE</v>
      </c>
      <c r="B21" t="s">
        <v>812</v>
      </c>
      <c r="C21" t="str">
        <v>Research Methods For Engineers</v>
      </c>
      <c r="D21">
        <v>108</v>
      </c>
      <c r="E21" t="s">
        <v>88</v>
      </c>
      <c r="F21" t="s">
        <v>89</v>
      </c>
    </row>
    <row r="22" spans="1:6" x14ac:dyDescent="0.35">
      <c r="A22" t="str">
        <f t="shared" si="0"/>
        <v>ME 366,ED3-AE</v>
      </c>
      <c r="B22" t="s">
        <v>554</v>
      </c>
      <c r="C22" t="str">
        <v>Heat Transfer</v>
      </c>
      <c r="D22">
        <v>108</v>
      </c>
      <c r="E22" t="s">
        <v>88</v>
      </c>
      <c r="F22" t="s">
        <v>331</v>
      </c>
    </row>
    <row r="23" spans="1:6" x14ac:dyDescent="0.35">
      <c r="A23" t="str">
        <f t="shared" si="0"/>
        <v>ME 374,ED3-AE</v>
      </c>
      <c r="B23" t="s">
        <v>811</v>
      </c>
      <c r="C23" t="str">
        <v>Machine Design II</v>
      </c>
      <c r="D23">
        <v>108</v>
      </c>
      <c r="E23" t="s">
        <v>88</v>
      </c>
      <c r="F23" t="s">
        <v>78</v>
      </c>
    </row>
    <row r="24" spans="1:6" x14ac:dyDescent="0.35">
      <c r="A24" t="str">
        <f t="shared" si="0"/>
        <v>ME 376,ED3-AE</v>
      </c>
      <c r="B24" t="s">
        <v>810</v>
      </c>
      <c r="C24" t="str">
        <v>Introduction To Cad/Cam</v>
      </c>
      <c r="D24">
        <v>108</v>
      </c>
      <c r="E24" t="s">
        <v>88</v>
      </c>
      <c r="F24" t="s">
        <v>179</v>
      </c>
    </row>
    <row r="25" spans="1:6" x14ac:dyDescent="0.35">
      <c r="A25" t="str">
        <f t="shared" si="0"/>
        <v>AE 452,ED4-AE</v>
      </c>
      <c r="B25" t="s">
        <v>809</v>
      </c>
      <c r="C25" t="str">
        <v>Soil And Water Engineering II</v>
      </c>
      <c r="D25">
        <v>125</v>
      </c>
      <c r="E25" t="s">
        <v>109</v>
      </c>
      <c r="F25" t="s">
        <v>164</v>
      </c>
    </row>
    <row r="26" spans="1:6" x14ac:dyDescent="0.35">
      <c r="A26" t="str">
        <f t="shared" si="0"/>
        <v>AE 458,ED4-AE</v>
      </c>
      <c r="B26" t="s">
        <v>808</v>
      </c>
      <c r="C26" t="str">
        <v>Crop Losses And Their Control</v>
      </c>
      <c r="D26">
        <v>125</v>
      </c>
      <c r="E26" t="s">
        <v>109</v>
      </c>
      <c r="F26" t="s">
        <v>257</v>
      </c>
    </row>
    <row r="27" spans="1:6" x14ac:dyDescent="0.35">
      <c r="A27" t="str">
        <f t="shared" si="0"/>
        <v>AE 460,ED4-AE</v>
      </c>
      <c r="B27" t="s">
        <v>807</v>
      </c>
      <c r="C27" t="str">
        <v>Maintenance And Repairs Of Agric. Machinery</v>
      </c>
      <c r="D27">
        <v>125</v>
      </c>
      <c r="E27" t="s">
        <v>109</v>
      </c>
      <c r="F27" t="s">
        <v>312</v>
      </c>
    </row>
    <row r="28" spans="1:6" x14ac:dyDescent="0.35">
      <c r="A28" t="str">
        <f t="shared" si="0"/>
        <v>AE 464,ED4-AE</v>
      </c>
      <c r="B28" t="s">
        <v>806</v>
      </c>
      <c r="C28" t="str">
        <v>Crop Storage And Storage Structures</v>
      </c>
      <c r="D28">
        <v>125</v>
      </c>
      <c r="E28" t="s">
        <v>109</v>
      </c>
      <c r="F28" t="s">
        <v>110</v>
      </c>
    </row>
    <row r="29" spans="1:6" x14ac:dyDescent="0.35">
      <c r="A29" t="str">
        <f t="shared" si="0"/>
        <v>AE 482,ED4-AE</v>
      </c>
      <c r="B29" t="s">
        <v>805</v>
      </c>
      <c r="C29" t="str">
        <v>Farm Machinery Design</v>
      </c>
      <c r="D29">
        <v>125</v>
      </c>
      <c r="E29" t="s">
        <v>109</v>
      </c>
      <c r="F29" t="s">
        <v>357</v>
      </c>
    </row>
    <row r="30" spans="1:6" x14ac:dyDescent="0.35">
      <c r="A30" t="str">
        <f t="shared" si="0"/>
        <v>ME 492,ED4-AE</v>
      </c>
      <c r="B30" t="s">
        <v>423</v>
      </c>
      <c r="C30" t="str">
        <v>Management And Entrepreneurship Development</v>
      </c>
      <c r="D30">
        <v>125</v>
      </c>
      <c r="E30" t="s">
        <v>109</v>
      </c>
      <c r="F30" t="s">
        <v>424</v>
      </c>
    </row>
    <row r="31" spans="1:6" x14ac:dyDescent="0.35">
      <c r="A31" t="str">
        <f t="shared" si="0"/>
        <v>AERO 174,ED1-AERO</v>
      </c>
      <c r="B31" t="s">
        <v>804</v>
      </c>
      <c r="C31" t="str">
        <v>Aerospace Design Project I</v>
      </c>
      <c r="D31">
        <v>75</v>
      </c>
      <c r="E31" t="s">
        <v>157</v>
      </c>
      <c r="F31" t="s">
        <v>158</v>
      </c>
    </row>
    <row r="32" spans="1:6" x14ac:dyDescent="0.35">
      <c r="A32" t="str">
        <f t="shared" si="0"/>
        <v>EE 152,ED1-AERO</v>
      </c>
      <c r="B32" t="s">
        <v>456</v>
      </c>
      <c r="C32" t="str">
        <v>Basic Electronics</v>
      </c>
      <c r="D32">
        <v>75</v>
      </c>
      <c r="E32" t="s">
        <v>157</v>
      </c>
      <c r="F32" t="s">
        <v>321</v>
      </c>
    </row>
    <row r="33" spans="1:6" x14ac:dyDescent="0.35">
      <c r="A33" t="str">
        <f t="shared" si="0"/>
        <v>ENGL 158,ED1-AERO</v>
      </c>
      <c r="B33" t="s">
        <v>454</v>
      </c>
      <c r="C33" t="str">
        <v>Communication Skills II</v>
      </c>
      <c r="D33">
        <v>75</v>
      </c>
      <c r="E33" t="s">
        <v>157</v>
      </c>
      <c r="F33" t="s">
        <v>376</v>
      </c>
    </row>
    <row r="34" spans="1:6" x14ac:dyDescent="0.35">
      <c r="A34" t="str">
        <f t="shared" si="0"/>
        <v>MATH 152,ED1-AERO</v>
      </c>
      <c r="B34" t="s">
        <v>453</v>
      </c>
      <c r="C34" t="str">
        <v>Calculus With Analysis</v>
      </c>
      <c r="D34">
        <v>75</v>
      </c>
      <c r="E34" t="s">
        <v>157</v>
      </c>
      <c r="F34" t="s">
        <v>190</v>
      </c>
    </row>
    <row r="35" spans="1:6" x14ac:dyDescent="0.35">
      <c r="A35" t="str">
        <f t="shared" si="0"/>
        <v>ME 158,ED1-AERO</v>
      </c>
      <c r="B35" t="s">
        <v>803</v>
      </c>
      <c r="C35" t="str">
        <v>Engineering Graphics</v>
      </c>
      <c r="D35">
        <v>75</v>
      </c>
      <c r="E35" t="s">
        <v>157</v>
      </c>
      <c r="F35" t="s">
        <v>299</v>
      </c>
    </row>
    <row r="36" spans="1:6" x14ac:dyDescent="0.35">
      <c r="A36" t="str">
        <f t="shared" si="0"/>
        <v>ME 164,ED1-AERO</v>
      </c>
      <c r="B36" t="s">
        <v>789</v>
      </c>
      <c r="C36" t="str">
        <v>Engineering Mechanics I:Statics</v>
      </c>
      <c r="D36">
        <v>75</v>
      </c>
      <c r="E36" t="s">
        <v>157</v>
      </c>
      <c r="F36" t="s">
        <v>239</v>
      </c>
    </row>
    <row r="37" spans="1:6" x14ac:dyDescent="0.35">
      <c r="A37" t="str">
        <f t="shared" si="0"/>
        <v>ME 168,ED1-AERO</v>
      </c>
      <c r="B37" t="s">
        <v>569</v>
      </c>
      <c r="C37" t="str">
        <v>Computer Programming For Engineers</v>
      </c>
      <c r="D37">
        <v>75</v>
      </c>
      <c r="E37" t="s">
        <v>157</v>
      </c>
      <c r="F37" t="s">
        <v>81</v>
      </c>
    </row>
    <row r="38" spans="1:6" x14ac:dyDescent="0.35">
      <c r="A38" t="str">
        <f t="shared" si="0"/>
        <v>AERO 256,ED2-AERO</v>
      </c>
      <c r="B38" t="s">
        <v>802</v>
      </c>
      <c r="C38" t="str">
        <v>Aerospace Structures</v>
      </c>
      <c r="D38">
        <v>76</v>
      </c>
      <c r="E38" t="s">
        <v>13</v>
      </c>
      <c r="F38" t="s">
        <v>171</v>
      </c>
    </row>
    <row r="39" spans="1:6" x14ac:dyDescent="0.35">
      <c r="A39" t="str">
        <f t="shared" si="0"/>
        <v>AERO 274,ED2-AERO</v>
      </c>
      <c r="B39" t="s">
        <v>801</v>
      </c>
      <c r="C39" t="str">
        <v>Aerospace Design Project II</v>
      </c>
      <c r="D39">
        <v>76</v>
      </c>
      <c r="E39" t="s">
        <v>13</v>
      </c>
      <c r="F39" t="s">
        <v>86</v>
      </c>
    </row>
    <row r="40" spans="1:6" x14ac:dyDescent="0.35">
      <c r="A40" t="str">
        <f t="shared" si="0"/>
        <v>ENGL 264,ED2-AERO</v>
      </c>
      <c r="B40" t="s">
        <v>621</v>
      </c>
      <c r="C40" t="str">
        <v>Literature In English II</v>
      </c>
      <c r="D40">
        <v>76</v>
      </c>
      <c r="E40" t="s">
        <v>13</v>
      </c>
      <c r="F40" t="s">
        <v>259</v>
      </c>
    </row>
    <row r="41" spans="1:6" x14ac:dyDescent="0.35">
      <c r="A41" t="str">
        <f t="shared" si="0"/>
        <v>MATH 252,ED2-AERO</v>
      </c>
      <c r="B41" t="s">
        <v>443</v>
      </c>
      <c r="C41" t="str">
        <v>Calculus With Several Variables</v>
      </c>
      <c r="D41">
        <v>76</v>
      </c>
      <c r="E41" t="s">
        <v>13</v>
      </c>
      <c r="F41" t="s">
        <v>112</v>
      </c>
    </row>
    <row r="42" spans="1:6" x14ac:dyDescent="0.35">
      <c r="A42" t="str">
        <f t="shared" si="0"/>
        <v>ME 258,ED2-AERO</v>
      </c>
      <c r="B42" t="s">
        <v>800</v>
      </c>
      <c r="C42" t="str">
        <v>Computer-Aided Design And Modelling</v>
      </c>
      <c r="D42">
        <v>76</v>
      </c>
      <c r="E42" t="s">
        <v>13</v>
      </c>
      <c r="F42" t="s">
        <v>387</v>
      </c>
    </row>
    <row r="43" spans="1:6" x14ac:dyDescent="0.35">
      <c r="A43" t="str">
        <f t="shared" si="0"/>
        <v>ME 264,ED2-AERO</v>
      </c>
      <c r="B43" t="s">
        <v>565</v>
      </c>
      <c r="C43" t="str">
        <v>Mechanisms Synthesis And Analysis I</v>
      </c>
      <c r="D43">
        <v>76</v>
      </c>
      <c r="E43" t="s">
        <v>13</v>
      </c>
      <c r="F43" t="s">
        <v>323</v>
      </c>
    </row>
    <row r="44" spans="1:6" x14ac:dyDescent="0.35">
      <c r="A44" t="str">
        <f t="shared" si="0"/>
        <v>ME 266,ED2-AERO</v>
      </c>
      <c r="B44" t="s">
        <v>564</v>
      </c>
      <c r="C44" t="str">
        <v>Thermodynamics I</v>
      </c>
      <c r="D44">
        <v>76</v>
      </c>
      <c r="E44" t="s">
        <v>13</v>
      </c>
      <c r="F44" t="s">
        <v>14</v>
      </c>
    </row>
    <row r="45" spans="1:6" x14ac:dyDescent="0.35">
      <c r="A45" t="str">
        <f t="shared" si="0"/>
        <v>AERO 362,ED3-AERO</v>
      </c>
      <c r="B45" t="s">
        <v>798</v>
      </c>
      <c r="C45" t="str">
        <v>Air Vehicle Stability And Control</v>
      </c>
      <c r="D45">
        <v>63</v>
      </c>
      <c r="E45" t="s">
        <v>117</v>
      </c>
      <c r="F45" t="s">
        <v>799</v>
      </c>
    </row>
    <row r="46" spans="1:6" x14ac:dyDescent="0.35">
      <c r="A46" t="str">
        <f t="shared" si="0"/>
        <v>AERO 368,ED3-AERO</v>
      </c>
      <c r="B46" t="s">
        <v>797</v>
      </c>
      <c r="C46" t="str">
        <v>Propulsion</v>
      </c>
      <c r="D46">
        <v>63</v>
      </c>
      <c r="E46" t="s">
        <v>117</v>
      </c>
      <c r="F46" t="s">
        <v>154</v>
      </c>
    </row>
    <row r="47" spans="1:6" x14ac:dyDescent="0.35">
      <c r="A47" t="str">
        <f t="shared" si="0"/>
        <v>AERO 374,ED3-AERO</v>
      </c>
      <c r="B47" t="s">
        <v>796</v>
      </c>
      <c r="C47" t="str">
        <v>Aircraft Performance And Design</v>
      </c>
      <c r="D47">
        <v>63</v>
      </c>
      <c r="E47" t="s">
        <v>117</v>
      </c>
      <c r="F47" t="s">
        <v>118</v>
      </c>
    </row>
    <row r="48" spans="1:6" ht="12" customHeight="1" x14ac:dyDescent="0.35">
      <c r="A48" t="str">
        <f t="shared" si="0"/>
        <v>AERO 396,ED3-AERO</v>
      </c>
      <c r="B48" t="s">
        <v>794</v>
      </c>
      <c r="C48" t="str">
        <v>Aerospace Engineering Lab II</v>
      </c>
      <c r="D48">
        <v>63</v>
      </c>
      <c r="E48" t="s">
        <v>117</v>
      </c>
      <c r="F48" t="s">
        <v>795</v>
      </c>
    </row>
    <row r="49" spans="1:6" x14ac:dyDescent="0.35">
      <c r="A49" t="str">
        <f t="shared" si="0"/>
        <v>ME 362,ED3-AERO</v>
      </c>
      <c r="B49" t="s">
        <v>555</v>
      </c>
      <c r="C49" t="str">
        <v>Vibrations I</v>
      </c>
      <c r="D49">
        <v>63</v>
      </c>
      <c r="E49" t="s">
        <v>117</v>
      </c>
      <c r="F49" t="s">
        <v>253</v>
      </c>
    </row>
    <row r="50" spans="1:6" x14ac:dyDescent="0.35">
      <c r="A50" t="str">
        <f t="shared" si="0"/>
        <v>ME 366,ED3-AERO</v>
      </c>
      <c r="B50" t="s">
        <v>554</v>
      </c>
      <c r="C50" t="str">
        <v>Heat Transfer</v>
      </c>
      <c r="D50">
        <v>63</v>
      </c>
      <c r="E50" t="s">
        <v>117</v>
      </c>
      <c r="F50" t="s">
        <v>331</v>
      </c>
    </row>
    <row r="51" spans="1:6" x14ac:dyDescent="0.35">
      <c r="A51" t="str">
        <f t="shared" si="0"/>
        <v>ME 392,ED3-AERO</v>
      </c>
      <c r="B51" t="s">
        <v>552</v>
      </c>
      <c r="C51" t="str">
        <v>Industrial Engineering And Ergonomics</v>
      </c>
      <c r="D51">
        <v>63</v>
      </c>
      <c r="E51" t="s">
        <v>117</v>
      </c>
      <c r="F51" t="s">
        <v>202</v>
      </c>
    </row>
    <row r="52" spans="1:6" x14ac:dyDescent="0.35">
      <c r="A52" t="str">
        <f t="shared" si="0"/>
        <v>AERO 452,ED4-AERO</v>
      </c>
      <c r="B52" t="s">
        <v>793</v>
      </c>
      <c r="C52" t="str">
        <v>Aerodynamics II</v>
      </c>
      <c r="D52">
        <v>75</v>
      </c>
      <c r="E52" t="s">
        <v>93</v>
      </c>
      <c r="F52" t="s">
        <v>198</v>
      </c>
    </row>
    <row r="53" spans="1:6" x14ac:dyDescent="0.35">
      <c r="A53" t="str">
        <f t="shared" si="0"/>
        <v>AERO 456,ED4-AERO</v>
      </c>
      <c r="B53" t="s">
        <v>792</v>
      </c>
      <c r="C53" t="str">
        <v>Applied Meteorology</v>
      </c>
      <c r="D53">
        <v>75</v>
      </c>
      <c r="E53" t="s">
        <v>93</v>
      </c>
      <c r="F53" t="s">
        <v>172</v>
      </c>
    </row>
    <row r="54" spans="1:6" x14ac:dyDescent="0.35">
      <c r="A54" t="str">
        <f t="shared" si="0"/>
        <v>AERO 492,ED4-AERO</v>
      </c>
      <c r="B54" t="s">
        <v>791</v>
      </c>
      <c r="C54" t="str">
        <v>Aerospace Safety And Air Security</v>
      </c>
      <c r="D54">
        <v>75</v>
      </c>
      <c r="E54" t="s">
        <v>93</v>
      </c>
      <c r="F54" t="s">
        <v>127</v>
      </c>
    </row>
    <row r="55" spans="1:6" x14ac:dyDescent="0.35">
      <c r="A55" t="str">
        <f t="shared" si="0"/>
        <v>ME 456,ED4-AERO</v>
      </c>
      <c r="B55" t="s">
        <v>548</v>
      </c>
      <c r="C55" t="str">
        <v>Introduction To Finite Element</v>
      </c>
      <c r="D55">
        <v>2</v>
      </c>
      <c r="E55" t="s">
        <v>93</v>
      </c>
      <c r="F55" t="s">
        <v>125</v>
      </c>
    </row>
    <row r="56" spans="1:6" x14ac:dyDescent="0.35">
      <c r="A56" t="str">
        <f t="shared" si="0"/>
        <v>ME 462,ED4-AERO</v>
      </c>
      <c r="B56" t="s">
        <v>547</v>
      </c>
      <c r="C56" t="str">
        <v>Mechanisms Synthesis And Analysis II</v>
      </c>
      <c r="D56">
        <v>17</v>
      </c>
      <c r="E56" t="s">
        <v>93</v>
      </c>
      <c r="F56" t="s">
        <v>292</v>
      </c>
    </row>
    <row r="57" spans="1:6" x14ac:dyDescent="0.35">
      <c r="A57" t="str">
        <f t="shared" si="0"/>
        <v>ME 468,ED4-AERO</v>
      </c>
      <c r="B57" t="s">
        <v>544</v>
      </c>
      <c r="C57" t="str">
        <v>Internal Combustion Engines</v>
      </c>
      <c r="D57">
        <v>8</v>
      </c>
      <c r="E57" t="s">
        <v>93</v>
      </c>
      <c r="F57" t="s">
        <v>92</v>
      </c>
    </row>
    <row r="58" spans="1:6" x14ac:dyDescent="0.35">
      <c r="A58" t="str">
        <f t="shared" si="0"/>
        <v>ME 472,ED4-AERO</v>
      </c>
      <c r="B58" t="s">
        <v>543</v>
      </c>
      <c r="C58" t="str">
        <v>Machine Shop And Factory Design</v>
      </c>
      <c r="D58">
        <v>2</v>
      </c>
      <c r="E58" t="s">
        <v>93</v>
      </c>
      <c r="F58" t="s">
        <v>215</v>
      </c>
    </row>
    <row r="59" spans="1:6" x14ac:dyDescent="0.35">
      <c r="A59" t="str">
        <f t="shared" si="0"/>
        <v>ME 492,ED4-AERO</v>
      </c>
      <c r="B59" t="s">
        <v>790</v>
      </c>
      <c r="C59" t="str">
        <v>Management And Entrepreneurship Development</v>
      </c>
      <c r="D59">
        <v>75</v>
      </c>
      <c r="E59" t="s">
        <v>93</v>
      </c>
      <c r="F59" t="s">
        <v>424</v>
      </c>
    </row>
    <row r="60" spans="1:6" x14ac:dyDescent="0.35">
      <c r="A60" t="str">
        <f t="shared" si="0"/>
        <v>ME 496,ED4-AERO</v>
      </c>
      <c r="B60" t="s">
        <v>535</v>
      </c>
      <c r="C60" t="str">
        <v>Human Factors And Ergonomics</v>
      </c>
      <c r="D60">
        <v>14</v>
      </c>
      <c r="E60" t="s">
        <v>93</v>
      </c>
      <c r="F60" t="s">
        <v>361</v>
      </c>
    </row>
    <row r="61" spans="1:6" x14ac:dyDescent="0.35">
      <c r="A61" t="str">
        <f t="shared" si="0"/>
        <v>EE 152,ED1-AUTO</v>
      </c>
      <c r="B61" t="s">
        <v>456</v>
      </c>
      <c r="C61" t="str">
        <v>Basic Electronics</v>
      </c>
      <c r="D61">
        <v>78</v>
      </c>
      <c r="E61" t="s">
        <v>15</v>
      </c>
      <c r="F61" t="s">
        <v>321</v>
      </c>
    </row>
    <row r="62" spans="1:6" x14ac:dyDescent="0.35">
      <c r="A62" t="str">
        <f t="shared" si="0"/>
        <v>ENGL 158,ED1-AUTO</v>
      </c>
      <c r="B62" t="s">
        <v>454</v>
      </c>
      <c r="C62" t="str">
        <v>Communication Skills II</v>
      </c>
      <c r="D62">
        <v>78</v>
      </c>
      <c r="E62" t="s">
        <v>15</v>
      </c>
      <c r="F62" t="s">
        <v>376</v>
      </c>
    </row>
    <row r="63" spans="1:6" x14ac:dyDescent="0.35">
      <c r="A63" t="str">
        <f t="shared" si="0"/>
        <v>MATH 152,ED1-AUTO</v>
      </c>
      <c r="B63" t="s">
        <v>453</v>
      </c>
      <c r="C63" t="str">
        <v>Calculus With Analysis</v>
      </c>
      <c r="D63">
        <v>78</v>
      </c>
      <c r="E63" t="s">
        <v>15</v>
      </c>
      <c r="F63" t="s">
        <v>190</v>
      </c>
    </row>
    <row r="64" spans="1:6" x14ac:dyDescent="0.35">
      <c r="A64" t="str">
        <f t="shared" si="0"/>
        <v>ME 160,ED1-AUTO</v>
      </c>
      <c r="B64" t="s">
        <v>534</v>
      </c>
      <c r="C64" t="str">
        <v>Engineering Drawing</v>
      </c>
      <c r="D64">
        <v>78</v>
      </c>
      <c r="E64" t="s">
        <v>15</v>
      </c>
      <c r="F64" t="s">
        <v>175</v>
      </c>
    </row>
    <row r="65" spans="1:6" x14ac:dyDescent="0.35">
      <c r="A65" t="str">
        <f t="shared" si="0"/>
        <v>ME 164,ED1-AUTO</v>
      </c>
      <c r="B65" t="s">
        <v>789</v>
      </c>
      <c r="C65" t="str">
        <v>Engineering Mechanics I:Statics</v>
      </c>
      <c r="D65">
        <v>78</v>
      </c>
      <c r="E65" t="s">
        <v>15</v>
      </c>
      <c r="F65" t="s">
        <v>239</v>
      </c>
    </row>
    <row r="66" spans="1:6" x14ac:dyDescent="0.35">
      <c r="A66" t="str">
        <f t="shared" ref="A66:A133" si="1">CONCATENATE(F66,",",E66)</f>
        <v>ME 174,ED1-AUTO</v>
      </c>
      <c r="B66" t="s">
        <v>567</v>
      </c>
      <c r="C66" t="str">
        <v xml:space="preserve">Product Design And Manufacturing </v>
      </c>
      <c r="D66">
        <v>78</v>
      </c>
      <c r="E66" t="s">
        <v>15</v>
      </c>
      <c r="F66" t="s">
        <v>568</v>
      </c>
    </row>
    <row r="67" spans="1:6" x14ac:dyDescent="0.35">
      <c r="A67" t="str">
        <f t="shared" si="1"/>
        <v>AME 156,ED1-AUTO</v>
      </c>
      <c r="B67" t="s">
        <v>1371</v>
      </c>
      <c r="C67" t="str">
        <v xml:space="preserve">Basic Thermodynamics </v>
      </c>
      <c r="D67">
        <v>78</v>
      </c>
      <c r="E67" t="s">
        <v>15</v>
      </c>
      <c r="F67" t="s">
        <v>1369</v>
      </c>
    </row>
    <row r="68" spans="1:6" x14ac:dyDescent="0.35">
      <c r="A68" t="str">
        <f t="shared" si="1"/>
        <v>AME 274,ED2-AUTO</v>
      </c>
      <c r="B68" t="s">
        <v>788</v>
      </c>
      <c r="C68" t="str">
        <v>Design Of Auto Machine Elements</v>
      </c>
      <c r="D68">
        <v>48</v>
      </c>
      <c r="E68" t="s">
        <v>11</v>
      </c>
      <c r="F68" t="s">
        <v>209</v>
      </c>
    </row>
    <row r="69" spans="1:6" x14ac:dyDescent="0.35">
      <c r="A69" t="str">
        <f t="shared" si="1"/>
        <v>AME 284,ED2-AUTO</v>
      </c>
      <c r="B69" t="s">
        <v>787</v>
      </c>
      <c r="C69" t="str">
        <v>AutomotIVe Electrical Systems And Electronics</v>
      </c>
      <c r="D69">
        <v>48</v>
      </c>
      <c r="E69" t="s">
        <v>11</v>
      </c>
      <c r="F69" t="s">
        <v>12</v>
      </c>
    </row>
    <row r="70" spans="1:6" x14ac:dyDescent="0.35">
      <c r="A70" t="str">
        <f t="shared" si="1"/>
        <v>AME 296,ED2-AUTO</v>
      </c>
      <c r="B70" t="s">
        <v>785</v>
      </c>
      <c r="C70" t="str">
        <v>Automobile Engineering Laboratory II</v>
      </c>
      <c r="D70">
        <v>48</v>
      </c>
      <c r="E70" t="s">
        <v>11</v>
      </c>
      <c r="F70" t="s">
        <v>786</v>
      </c>
    </row>
    <row r="71" spans="1:6" x14ac:dyDescent="0.35">
      <c r="A71" t="str">
        <f t="shared" si="1"/>
        <v>AME 384,ED3-AUTO</v>
      </c>
      <c r="B71" t="s">
        <v>774</v>
      </c>
      <c r="C71" t="str">
        <v>Microprocessors and Mechatronics Applications</v>
      </c>
      <c r="D71">
        <v>26</v>
      </c>
      <c r="E71" t="s">
        <v>150</v>
      </c>
      <c r="F71" t="s">
        <v>304</v>
      </c>
    </row>
    <row r="72" spans="1:6" x14ac:dyDescent="0.35">
      <c r="A72" t="str">
        <f t="shared" si="1"/>
        <v>MATH 252,ED2-AUTO</v>
      </c>
      <c r="B72" t="s">
        <v>443</v>
      </c>
      <c r="C72" t="str">
        <v>Calculus With Several Variables</v>
      </c>
      <c r="D72">
        <v>48</v>
      </c>
      <c r="E72" t="s">
        <v>11</v>
      </c>
      <c r="F72" t="s">
        <v>112</v>
      </c>
    </row>
    <row r="73" spans="1:6" x14ac:dyDescent="0.35">
      <c r="A73" t="str">
        <f t="shared" si="1"/>
        <v>ME 252,ED2-AUTO</v>
      </c>
      <c r="B73" t="s">
        <v>566</v>
      </c>
      <c r="C73" t="str">
        <v>Fluid Dynamics I</v>
      </c>
      <c r="D73">
        <v>48</v>
      </c>
      <c r="E73" t="s">
        <v>11</v>
      </c>
      <c r="F73" t="s">
        <v>339</v>
      </c>
    </row>
    <row r="74" spans="1:6" x14ac:dyDescent="0.35">
      <c r="A74" t="str">
        <f t="shared" si="1"/>
        <v>ME 264,ED2-AUTO</v>
      </c>
      <c r="B74" t="s">
        <v>565</v>
      </c>
      <c r="C74" t="str">
        <v>Mechanisms Synthesis And Analysis I</v>
      </c>
      <c r="D74">
        <v>48</v>
      </c>
      <c r="E74" t="s">
        <v>11</v>
      </c>
      <c r="F74" t="s">
        <v>323</v>
      </c>
    </row>
    <row r="75" spans="1:6" x14ac:dyDescent="0.35">
      <c r="A75" t="str">
        <f t="shared" si="1"/>
        <v>ME 270,ED2-AUTO</v>
      </c>
      <c r="B75" t="s">
        <v>604</v>
      </c>
      <c r="C75" t="str">
        <v>Manufacturing Technology</v>
      </c>
      <c r="D75">
        <v>48</v>
      </c>
      <c r="E75" t="s">
        <v>11</v>
      </c>
      <c r="F75" t="s">
        <v>148</v>
      </c>
    </row>
    <row r="76" spans="1:6" x14ac:dyDescent="0.35">
      <c r="A76" t="str">
        <f t="shared" si="1"/>
        <v>AME 356,ED3-AUTO</v>
      </c>
      <c r="B76" t="s">
        <v>783</v>
      </c>
      <c r="C76" t="str">
        <v>Land Vehicle Structures</v>
      </c>
      <c r="D76">
        <v>32</v>
      </c>
      <c r="E76" t="s">
        <v>150</v>
      </c>
      <c r="F76" t="s">
        <v>784</v>
      </c>
    </row>
    <row r="77" spans="1:6" x14ac:dyDescent="0.35">
      <c r="A77" t="str">
        <f t="shared" si="1"/>
        <v>AME 362,ED3-AUTO</v>
      </c>
      <c r="B77" t="s">
        <v>782</v>
      </c>
      <c r="C77" t="str">
        <v>Vibrations For Automobile Engineers</v>
      </c>
      <c r="D77">
        <v>32</v>
      </c>
      <c r="E77" t="s">
        <v>150</v>
      </c>
      <c r="F77" t="s">
        <v>252</v>
      </c>
    </row>
    <row r="78" spans="1:6" x14ac:dyDescent="0.35">
      <c r="A78" t="str">
        <f t="shared" si="1"/>
        <v>AME 368,ED3-AUTO</v>
      </c>
      <c r="B78" t="s">
        <v>781</v>
      </c>
      <c r="C78" t="str">
        <v>Automotive Spark-Ignition Engines</v>
      </c>
      <c r="D78">
        <v>32</v>
      </c>
      <c r="E78" t="s">
        <v>150</v>
      </c>
      <c r="F78" t="s">
        <v>399</v>
      </c>
    </row>
    <row r="79" spans="1:6" x14ac:dyDescent="0.35">
      <c r="A79" t="str">
        <f t="shared" si="1"/>
        <v>AME 376,ED3-AUTO</v>
      </c>
      <c r="B79" t="s">
        <v>779</v>
      </c>
      <c r="C79" t="str">
        <v>Automotive Chassis</v>
      </c>
      <c r="D79">
        <v>32</v>
      </c>
      <c r="E79" t="s">
        <v>150</v>
      </c>
      <c r="F79" t="s">
        <v>780</v>
      </c>
    </row>
    <row r="80" spans="1:6" x14ac:dyDescent="0.35">
      <c r="A80" t="str">
        <f t="shared" si="1"/>
        <v>AME 386,ED3-AUTO</v>
      </c>
      <c r="B80" t="s">
        <v>778</v>
      </c>
      <c r="C80" t="str">
        <v>Manual Power Train</v>
      </c>
      <c r="D80">
        <v>32</v>
      </c>
      <c r="E80" t="s">
        <v>150</v>
      </c>
      <c r="F80" t="s">
        <v>151</v>
      </c>
    </row>
    <row r="81" spans="1:6" x14ac:dyDescent="0.35">
      <c r="A81" t="str">
        <f t="shared" si="1"/>
        <v>AME 392,ED3-AUTO</v>
      </c>
      <c r="B81" t="s">
        <v>552</v>
      </c>
      <c r="C81" t="str">
        <v>Industrial Engineering And Ergonomics</v>
      </c>
      <c r="D81">
        <v>32</v>
      </c>
      <c r="E81" t="s">
        <v>150</v>
      </c>
      <c r="F81" t="s">
        <v>200</v>
      </c>
    </row>
    <row r="82" spans="1:6" x14ac:dyDescent="0.35">
      <c r="A82" t="str">
        <f t="shared" si="1"/>
        <v>AME 396,ED3-AUTO</v>
      </c>
      <c r="B82" t="s">
        <v>776</v>
      </c>
      <c r="C82" t="str">
        <v>Automobile Engineering Laboratory IV</v>
      </c>
      <c r="D82">
        <v>32</v>
      </c>
      <c r="E82" t="s">
        <v>150</v>
      </c>
      <c r="F82" t="s">
        <v>777</v>
      </c>
    </row>
    <row r="83" spans="1:6" x14ac:dyDescent="0.35">
      <c r="A83" t="str">
        <f t="shared" si="1"/>
        <v>ME 384,ED3-AUTO</v>
      </c>
      <c r="B83" t="s">
        <v>774</v>
      </c>
      <c r="C83" t="str">
        <v>Microprocessors And Mechatronics Applications</v>
      </c>
      <c r="D83">
        <v>32</v>
      </c>
      <c r="E83" t="s">
        <v>150</v>
      </c>
      <c r="F83" t="s">
        <v>775</v>
      </c>
    </row>
    <row r="84" spans="1:6" x14ac:dyDescent="0.35">
      <c r="A84" t="str">
        <f t="shared" si="1"/>
        <v>AME 476,ED4-AUTO</v>
      </c>
      <c r="B84" t="s">
        <v>773</v>
      </c>
      <c r="C84" t="str">
        <v>Modern Automobile Technology</v>
      </c>
      <c r="D84">
        <v>78</v>
      </c>
      <c r="E84" t="s">
        <v>126</v>
      </c>
      <c r="F84" t="s">
        <v>185</v>
      </c>
    </row>
    <row r="85" spans="1:6" x14ac:dyDescent="0.35">
      <c r="A85" t="str">
        <f t="shared" si="1"/>
        <v>AME 482,ED4-AUTO</v>
      </c>
      <c r="B85" t="s">
        <v>539</v>
      </c>
      <c r="C85" t="str">
        <v>Special Vehicle Design</v>
      </c>
      <c r="D85">
        <v>78</v>
      </c>
      <c r="E85" t="s">
        <v>126</v>
      </c>
      <c r="F85" t="s">
        <v>772</v>
      </c>
    </row>
    <row r="86" spans="1:6" x14ac:dyDescent="0.35">
      <c r="A86" t="str">
        <f t="shared" si="1"/>
        <v>AME 496,ED4-AUTO</v>
      </c>
      <c r="B86" t="s">
        <v>771</v>
      </c>
      <c r="C86" t="str">
        <v>Vehicle Maintenance And Regulation</v>
      </c>
      <c r="D86">
        <v>78</v>
      </c>
      <c r="E86" t="s">
        <v>126</v>
      </c>
      <c r="F86" t="s">
        <v>358</v>
      </c>
    </row>
    <row r="87" spans="1:6" x14ac:dyDescent="0.35">
      <c r="A87" t="str">
        <f t="shared" si="1"/>
        <v>AME 498,ED4-AUTO</v>
      </c>
      <c r="B87" t="s">
        <v>769</v>
      </c>
      <c r="C87" t="e">
        <v>#N/A</v>
      </c>
      <c r="D87">
        <v>78</v>
      </c>
      <c r="E87" t="s">
        <v>126</v>
      </c>
      <c r="F87" t="s">
        <v>770</v>
      </c>
    </row>
    <row r="88" spans="1:6" x14ac:dyDescent="0.35">
      <c r="A88" t="str">
        <f t="shared" si="1"/>
        <v>ME 456,ED4-AUTO</v>
      </c>
      <c r="B88" t="s">
        <v>548</v>
      </c>
      <c r="C88" t="str">
        <v>Finite Element Methods</v>
      </c>
      <c r="D88">
        <v>78</v>
      </c>
      <c r="E88" t="s">
        <v>126</v>
      </c>
      <c r="F88" t="s">
        <v>125</v>
      </c>
    </row>
    <row r="89" spans="1:6" x14ac:dyDescent="0.35">
      <c r="A89" t="str">
        <f t="shared" si="1"/>
        <v>ME 492,ED4-AUTO</v>
      </c>
      <c r="B89" t="s">
        <v>423</v>
      </c>
      <c r="C89" t="str">
        <v>Management And Entrepreneurship Development</v>
      </c>
      <c r="D89">
        <v>78</v>
      </c>
      <c r="E89" t="s">
        <v>126</v>
      </c>
      <c r="F89" t="s">
        <v>424</v>
      </c>
    </row>
    <row r="90" spans="1:6" x14ac:dyDescent="0.35">
      <c r="A90" t="str">
        <f t="shared" si="1"/>
        <v>COE 152,ED1-BME</v>
      </c>
      <c r="B90" t="s">
        <v>456</v>
      </c>
      <c r="C90" t="str">
        <v>Basic Electronics</v>
      </c>
      <c r="D90">
        <v>86</v>
      </c>
      <c r="E90" t="s">
        <v>22</v>
      </c>
      <c r="F90" t="s">
        <v>326</v>
      </c>
    </row>
    <row r="91" spans="1:6" x14ac:dyDescent="0.35">
      <c r="A91" t="str">
        <f t="shared" si="1"/>
        <v>ENGL 158,ED1-BME</v>
      </c>
      <c r="B91" t="s">
        <v>454</v>
      </c>
      <c r="C91" t="str">
        <v>Communication Skills II</v>
      </c>
      <c r="D91">
        <v>86</v>
      </c>
      <c r="E91" t="s">
        <v>22</v>
      </c>
      <c r="F91" t="s">
        <v>376</v>
      </c>
    </row>
    <row r="92" spans="1:6" x14ac:dyDescent="0.35">
      <c r="A92" t="str">
        <f t="shared" si="1"/>
        <v>COE 181,ED1-BME</v>
      </c>
      <c r="B92" t="s">
        <v>1387</v>
      </c>
      <c r="C92" t="str">
        <v>Applied Electricity</v>
      </c>
      <c r="D92">
        <v>86</v>
      </c>
      <c r="E92" t="s">
        <v>22</v>
      </c>
      <c r="F92" t="s">
        <v>1386</v>
      </c>
    </row>
    <row r="93" spans="1:6" x14ac:dyDescent="0.35">
      <c r="A93" t="str">
        <f t="shared" si="1"/>
        <v>MATH 152,ED1-BME</v>
      </c>
      <c r="B93" t="s">
        <v>453</v>
      </c>
      <c r="C93" t="str">
        <v>Calculus With Analysis</v>
      </c>
      <c r="D93">
        <v>86</v>
      </c>
      <c r="E93" t="s">
        <v>22</v>
      </c>
      <c r="F93" t="s">
        <v>190</v>
      </c>
    </row>
    <row r="94" spans="1:6" x14ac:dyDescent="0.35">
      <c r="A94" t="str">
        <f t="shared" si="1"/>
        <v>PHY 154,ED1-BME</v>
      </c>
      <c r="B94" t="s">
        <v>768</v>
      </c>
      <c r="C94" t="str">
        <v>Properties Of Matter</v>
      </c>
      <c r="D94">
        <v>86</v>
      </c>
      <c r="E94" t="s">
        <v>22</v>
      </c>
      <c r="F94" t="s">
        <v>139</v>
      </c>
    </row>
    <row r="95" spans="1:6" x14ac:dyDescent="0.35">
      <c r="A95" t="str">
        <f t="shared" si="1"/>
        <v>ME 161,ED1-BME</v>
      </c>
      <c r="B95" t="s">
        <v>1050</v>
      </c>
      <c r="C95" t="str">
        <v>Basic Mechanics</v>
      </c>
      <c r="D95">
        <v>86</v>
      </c>
      <c r="E95" t="s">
        <v>22</v>
      </c>
      <c r="F95" t="s">
        <v>1388</v>
      </c>
    </row>
    <row r="96" spans="1:6" x14ac:dyDescent="0.35">
      <c r="A96" t="str">
        <f t="shared" si="1"/>
        <v>SOC 152,ED1-BME</v>
      </c>
      <c r="B96" t="s">
        <v>767</v>
      </c>
      <c r="C96" t="str">
        <v>Introduction To Sociology II</v>
      </c>
      <c r="D96">
        <v>86</v>
      </c>
      <c r="E96" t="s">
        <v>22</v>
      </c>
      <c r="F96" t="s">
        <v>156</v>
      </c>
    </row>
    <row r="97" spans="1:6" x14ac:dyDescent="0.35">
      <c r="A97" t="str">
        <f t="shared" si="1"/>
        <v>BME 161,ED1-BME</v>
      </c>
      <c r="B97" t="s">
        <v>1392</v>
      </c>
      <c r="C97" t="str">
        <v>Cell Biology</v>
      </c>
      <c r="D97">
        <v>86</v>
      </c>
      <c r="E97" t="s">
        <v>22</v>
      </c>
      <c r="F97" t="s">
        <v>1390</v>
      </c>
    </row>
    <row r="98" spans="1:6" x14ac:dyDescent="0.35">
      <c r="A98" t="str">
        <f t="shared" si="1"/>
        <v>SSN 166,ED1-BME</v>
      </c>
      <c r="B98" t="s">
        <v>766</v>
      </c>
      <c r="C98" t="str">
        <v>Biochemistry</v>
      </c>
      <c r="D98">
        <v>86</v>
      </c>
      <c r="E98" t="s">
        <v>22</v>
      </c>
      <c r="F98" t="s">
        <v>274</v>
      </c>
    </row>
    <row r="99" spans="1:6" x14ac:dyDescent="0.35">
      <c r="A99" t="str">
        <f t="shared" si="1"/>
        <v>ME 166,ED1-BME</v>
      </c>
      <c r="B99" t="s">
        <v>564</v>
      </c>
      <c r="C99" t="str">
        <v>THERMODYNAMICS I</v>
      </c>
      <c r="D99">
        <v>86</v>
      </c>
      <c r="E99" t="s">
        <v>22</v>
      </c>
      <c r="F99" t="s">
        <v>267</v>
      </c>
    </row>
    <row r="100" spans="1:6" x14ac:dyDescent="0.35">
      <c r="A100" t="str">
        <f t="shared" si="1"/>
        <v>BME 166,ED1-BME</v>
      </c>
      <c r="B100" t="s">
        <v>766</v>
      </c>
      <c r="C100" t="str">
        <v>Biochemistry</v>
      </c>
      <c r="D100">
        <v>86</v>
      </c>
      <c r="E100" t="s">
        <v>22</v>
      </c>
      <c r="F100" t="s">
        <v>1393</v>
      </c>
    </row>
    <row r="101" spans="1:6" x14ac:dyDescent="0.35">
      <c r="A101" t="str">
        <f t="shared" si="1"/>
        <v>ACF 256,ED2-BME</v>
      </c>
      <c r="B101" t="s">
        <v>446</v>
      </c>
      <c r="C101" t="str">
        <v>Financial Accounting II</v>
      </c>
      <c r="D101">
        <v>11</v>
      </c>
      <c r="E101" t="s">
        <v>42</v>
      </c>
      <c r="F101" t="s">
        <v>447</v>
      </c>
    </row>
    <row r="102" spans="1:6" x14ac:dyDescent="0.35">
      <c r="A102" t="str">
        <f t="shared" si="1"/>
        <v>BME 252,ED2-BME</v>
      </c>
      <c r="B102" t="s">
        <v>765</v>
      </c>
      <c r="C102" t="str">
        <v>Biomedical Engineering Design II</v>
      </c>
      <c r="D102">
        <v>94</v>
      </c>
      <c r="E102" t="s">
        <v>42</v>
      </c>
      <c r="F102" t="s">
        <v>236</v>
      </c>
    </row>
    <row r="103" spans="1:6" x14ac:dyDescent="0.35">
      <c r="A103" t="str">
        <f t="shared" si="1"/>
        <v>BME 286,ED2-BME</v>
      </c>
      <c r="B103" t="s">
        <v>764</v>
      </c>
      <c r="C103" t="str">
        <v>Anatomy And Physiology For Engineers II</v>
      </c>
      <c r="D103">
        <v>94</v>
      </c>
      <c r="E103" t="s">
        <v>42</v>
      </c>
      <c r="F103" t="s">
        <v>285</v>
      </c>
    </row>
    <row r="104" spans="1:6" x14ac:dyDescent="0.35">
      <c r="A104" t="str">
        <f t="shared" si="1"/>
        <v>BME 288,ED2-BME</v>
      </c>
      <c r="B104" t="s">
        <v>763</v>
      </c>
      <c r="C104" t="str">
        <v>Chemical Pathology</v>
      </c>
      <c r="D104">
        <v>94</v>
      </c>
      <c r="E104" t="s">
        <v>42</v>
      </c>
      <c r="F104" t="s">
        <v>314</v>
      </c>
    </row>
    <row r="105" spans="1:6" x14ac:dyDescent="0.35">
      <c r="A105" t="str">
        <f t="shared" si="1"/>
        <v>COE 254,ED2-BME</v>
      </c>
      <c r="B105" t="s">
        <v>718</v>
      </c>
      <c r="C105" t="str">
        <v>Object-Oriented Programming</v>
      </c>
      <c r="D105">
        <v>94</v>
      </c>
      <c r="E105" t="s">
        <v>42</v>
      </c>
      <c r="F105" t="s">
        <v>364</v>
      </c>
    </row>
    <row r="106" spans="1:6" x14ac:dyDescent="0.35">
      <c r="A106" t="str">
        <f t="shared" si="1"/>
        <v>COE 272,ED2-BME</v>
      </c>
      <c r="B106" t="s">
        <v>717</v>
      </c>
      <c r="C106" t="str">
        <v>Digital Systems Design I</v>
      </c>
      <c r="D106">
        <v>94</v>
      </c>
      <c r="E106" t="s">
        <v>42</v>
      </c>
      <c r="F106" t="s">
        <v>188</v>
      </c>
    </row>
    <row r="107" spans="1:6" x14ac:dyDescent="0.35">
      <c r="A107" t="str">
        <f t="shared" si="1"/>
        <v>ECON 152,ED2-BME</v>
      </c>
      <c r="B107" t="s">
        <v>633</v>
      </c>
      <c r="C107" t="str">
        <v>Elements Of Economics II</v>
      </c>
      <c r="D107">
        <v>9</v>
      </c>
      <c r="E107" t="s">
        <v>42</v>
      </c>
      <c r="F107" t="s">
        <v>229</v>
      </c>
    </row>
    <row r="108" spans="1:6" x14ac:dyDescent="0.35">
      <c r="A108" t="str">
        <f t="shared" si="1"/>
        <v>FC 182,ED2-BME</v>
      </c>
      <c r="B108" t="s">
        <v>444</v>
      </c>
      <c r="C108" t="str">
        <v>French For Communication II</v>
      </c>
      <c r="D108">
        <v>60</v>
      </c>
      <c r="E108" t="s">
        <v>42</v>
      </c>
      <c r="F108" t="s">
        <v>41</v>
      </c>
    </row>
    <row r="109" spans="1:6" x14ac:dyDescent="0.35">
      <c r="A109" t="str">
        <f t="shared" si="1"/>
        <v>MATH 252,ED2-BME</v>
      </c>
      <c r="B109" t="s">
        <v>443</v>
      </c>
      <c r="C109" t="str">
        <v>Calculus With Several Variables</v>
      </c>
      <c r="D109">
        <v>94</v>
      </c>
      <c r="E109" t="s">
        <v>42</v>
      </c>
      <c r="F109" t="s">
        <v>112</v>
      </c>
    </row>
    <row r="110" spans="1:6" x14ac:dyDescent="0.35">
      <c r="A110" t="str">
        <f t="shared" si="1"/>
        <v>BME 362,ED3-BME</v>
      </c>
      <c r="B110" t="s">
        <v>762</v>
      </c>
      <c r="C110" t="str">
        <v>Biomaterials I</v>
      </c>
      <c r="D110">
        <v>85</v>
      </c>
      <c r="E110" t="s">
        <v>75</v>
      </c>
      <c r="F110" t="s">
        <v>195</v>
      </c>
    </row>
    <row r="111" spans="1:6" x14ac:dyDescent="0.35">
      <c r="A111" t="str">
        <f t="shared" si="1"/>
        <v>BME 364,ED3-BME</v>
      </c>
      <c r="B111" t="s">
        <v>761</v>
      </c>
      <c r="C111" t="str">
        <v>Medical Imaging I</v>
      </c>
      <c r="D111">
        <v>85</v>
      </c>
      <c r="E111" t="s">
        <v>75</v>
      </c>
      <c r="F111" t="s">
        <v>298</v>
      </c>
    </row>
    <row r="112" spans="1:6" x14ac:dyDescent="0.35">
      <c r="A112" t="str">
        <f t="shared" si="1"/>
        <v>BME 366,ED3-BME</v>
      </c>
      <c r="B112" t="s">
        <v>760</v>
      </c>
      <c r="C112" t="str">
        <v>Biosignal Processes And Analysis</v>
      </c>
      <c r="D112">
        <v>85</v>
      </c>
      <c r="E112" t="s">
        <v>75</v>
      </c>
      <c r="F112" t="s">
        <v>181</v>
      </c>
    </row>
    <row r="113" spans="1:6" x14ac:dyDescent="0.35">
      <c r="A113" t="str">
        <f t="shared" si="1"/>
        <v>BME 372,ED3-BME</v>
      </c>
      <c r="B113" t="s">
        <v>759</v>
      </c>
      <c r="C113" t="str">
        <v>Bioinstrumentation I</v>
      </c>
      <c r="D113">
        <v>85</v>
      </c>
      <c r="E113" t="s">
        <v>75</v>
      </c>
      <c r="F113" t="s">
        <v>76</v>
      </c>
    </row>
    <row r="114" spans="1:6" x14ac:dyDescent="0.35">
      <c r="A114" t="str">
        <f t="shared" si="1"/>
        <v>BME 374,ED3-BME</v>
      </c>
      <c r="B114" t="s">
        <v>758</v>
      </c>
      <c r="C114" t="str">
        <v>Biomedical Optics</v>
      </c>
      <c r="D114">
        <v>85</v>
      </c>
      <c r="E114" t="s">
        <v>75</v>
      </c>
      <c r="F114" t="s">
        <v>398</v>
      </c>
    </row>
    <row r="115" spans="1:6" x14ac:dyDescent="0.35">
      <c r="A115" t="str">
        <f t="shared" si="1"/>
        <v>COE 358,ED3-BME</v>
      </c>
      <c r="B115" t="s">
        <v>710</v>
      </c>
      <c r="C115" t="str">
        <v>Embedded Systems</v>
      </c>
      <c r="D115">
        <v>85</v>
      </c>
      <c r="E115" t="s">
        <v>75</v>
      </c>
      <c r="F115" t="s">
        <v>261</v>
      </c>
    </row>
    <row r="116" spans="1:6" x14ac:dyDescent="0.35">
      <c r="A116" t="str">
        <f t="shared" si="1"/>
        <v>BME 454,ED4-BME</v>
      </c>
      <c r="B116" t="s">
        <v>757</v>
      </c>
      <c r="C116" t="str">
        <v>Medical Device Regulation</v>
      </c>
      <c r="D116">
        <v>62</v>
      </c>
      <c r="E116" t="s">
        <v>242</v>
      </c>
      <c r="F116" t="s">
        <v>243</v>
      </c>
    </row>
    <row r="117" spans="1:6" x14ac:dyDescent="0.35">
      <c r="A117" t="str">
        <f t="shared" si="1"/>
        <v>BME 462,ED4-BME</v>
      </c>
      <c r="B117" t="s">
        <v>756</v>
      </c>
      <c r="C117" t="str">
        <v>Biomechanics II</v>
      </c>
      <c r="D117">
        <v>62</v>
      </c>
      <c r="E117" t="s">
        <v>242</v>
      </c>
      <c r="F117" t="s">
        <v>388</v>
      </c>
    </row>
    <row r="118" spans="1:6" x14ac:dyDescent="0.35">
      <c r="A118" t="str">
        <f t="shared" si="1"/>
        <v>COE 472,ED4-BME</v>
      </c>
      <c r="B118" t="s">
        <v>425</v>
      </c>
      <c r="C118" t="str">
        <v>Digital Signal Processing</v>
      </c>
      <c r="D118">
        <v>62</v>
      </c>
      <c r="E118" t="s">
        <v>242</v>
      </c>
      <c r="F118" t="s">
        <v>699</v>
      </c>
    </row>
    <row r="119" spans="1:6" x14ac:dyDescent="0.35">
      <c r="A119" t="str">
        <f t="shared" si="1"/>
        <v>ME 492,ED4-BME</v>
      </c>
      <c r="B119" t="s">
        <v>755</v>
      </c>
      <c r="C119" t="str">
        <v>Entrepreneurship Development</v>
      </c>
      <c r="D119">
        <v>62</v>
      </c>
      <c r="E119" t="s">
        <v>242</v>
      </c>
      <c r="F119" t="s">
        <v>424</v>
      </c>
    </row>
    <row r="120" spans="1:6" x14ac:dyDescent="0.35">
      <c r="A120" t="str">
        <f t="shared" si="1"/>
        <v>ARC 156,ED1-CE</v>
      </c>
      <c r="B120" t="s">
        <v>754</v>
      </c>
      <c r="C120" t="str">
        <v>Introduction To Lighting And Acoustics</v>
      </c>
      <c r="D120">
        <v>51</v>
      </c>
      <c r="E120" t="s">
        <v>44</v>
      </c>
      <c r="F120" t="s">
        <v>159</v>
      </c>
    </row>
    <row r="121" spans="1:6" x14ac:dyDescent="0.35">
      <c r="A121" t="str">
        <f t="shared" si="1"/>
        <v>CE 154,ED1-CE</v>
      </c>
      <c r="B121" t="s">
        <v>753</v>
      </c>
      <c r="C121" t="str">
        <v>Properties Of CIVil Engineering Material</v>
      </c>
      <c r="D121">
        <v>260</v>
      </c>
      <c r="E121" t="s">
        <v>44</v>
      </c>
      <c r="F121" t="s">
        <v>247</v>
      </c>
    </row>
    <row r="122" spans="1:6" x14ac:dyDescent="0.35">
      <c r="A122" t="str">
        <f t="shared" si="1"/>
        <v>CE 156,ED1-CE</v>
      </c>
      <c r="B122" t="s">
        <v>667</v>
      </c>
      <c r="C122" t="str">
        <v>Elementary Fluids Mechanics</v>
      </c>
      <c r="D122">
        <v>260</v>
      </c>
      <c r="E122" t="s">
        <v>44</v>
      </c>
      <c r="F122" t="s">
        <v>295</v>
      </c>
    </row>
    <row r="123" spans="1:6" x14ac:dyDescent="0.35">
      <c r="A123" t="str">
        <f t="shared" si="1"/>
        <v>CE 164,ED1-CE</v>
      </c>
      <c r="B123" t="s">
        <v>666</v>
      </c>
      <c r="C123" t="str">
        <v>CIVil Engineering Drawing</v>
      </c>
      <c r="D123">
        <v>260</v>
      </c>
      <c r="E123" t="s">
        <v>44</v>
      </c>
      <c r="F123" t="s">
        <v>212</v>
      </c>
    </row>
    <row r="124" spans="1:6" x14ac:dyDescent="0.35">
      <c r="A124" t="str">
        <f t="shared" si="1"/>
        <v>ECON 152,ED1-CE</v>
      </c>
      <c r="B124" t="s">
        <v>714</v>
      </c>
      <c r="C124" t="str">
        <v>Introduction To Economics II</v>
      </c>
      <c r="D124">
        <v>32</v>
      </c>
      <c r="E124" t="s">
        <v>44</v>
      </c>
      <c r="F124" t="s">
        <v>229</v>
      </c>
    </row>
    <row r="125" spans="1:6" x14ac:dyDescent="0.35">
      <c r="A125" t="str">
        <f t="shared" si="1"/>
        <v>EE 152,ED1-CE</v>
      </c>
      <c r="B125" t="s">
        <v>456</v>
      </c>
      <c r="C125" t="str">
        <v>Basic Electronics</v>
      </c>
      <c r="D125">
        <v>260</v>
      </c>
      <c r="E125" t="s">
        <v>44</v>
      </c>
      <c r="F125" t="s">
        <v>321</v>
      </c>
    </row>
    <row r="126" spans="1:6" x14ac:dyDescent="0.35">
      <c r="A126" t="str">
        <f t="shared" si="1"/>
        <v>ENGL 158,ED1-CE</v>
      </c>
      <c r="B126" t="s">
        <v>454</v>
      </c>
      <c r="C126" t="str">
        <v>Communication Skills II</v>
      </c>
      <c r="D126">
        <v>260</v>
      </c>
      <c r="E126" t="s">
        <v>44</v>
      </c>
      <c r="F126" t="s">
        <v>376</v>
      </c>
    </row>
    <row r="127" spans="1:6" x14ac:dyDescent="0.35">
      <c r="A127" t="str">
        <f t="shared" si="1"/>
        <v>FC 182,ED1-CE</v>
      </c>
      <c r="B127" t="s">
        <v>444</v>
      </c>
      <c r="C127" t="str">
        <v>French For Communication II</v>
      </c>
      <c r="D127">
        <v>175</v>
      </c>
      <c r="E127" t="s">
        <v>44</v>
      </c>
      <c r="F127" t="s">
        <v>41</v>
      </c>
    </row>
    <row r="128" spans="1:6" x14ac:dyDescent="0.35">
      <c r="A128" t="str">
        <f t="shared" si="1"/>
        <v>MATH 152,ED1-CE</v>
      </c>
      <c r="B128" t="s">
        <v>443</v>
      </c>
      <c r="C128" t="str">
        <v>Calculus With Several Variables</v>
      </c>
      <c r="D128">
        <v>260</v>
      </c>
      <c r="E128" t="s">
        <v>44</v>
      </c>
      <c r="F128" t="s">
        <v>190</v>
      </c>
    </row>
    <row r="129" spans="1:6" x14ac:dyDescent="0.35">
      <c r="A129" t="str">
        <f t="shared" si="1"/>
        <v>CE 256,ED2-CE</v>
      </c>
      <c r="B129" t="s">
        <v>662</v>
      </c>
      <c r="C129" t="str">
        <v>Fluid Mechanics</v>
      </c>
      <c r="D129">
        <v>227</v>
      </c>
      <c r="E129" t="s">
        <v>64</v>
      </c>
      <c r="F129" t="s">
        <v>320</v>
      </c>
    </row>
    <row r="130" spans="1:6" x14ac:dyDescent="0.35">
      <c r="A130" t="str">
        <f t="shared" si="1"/>
        <v>CE 258,ED2-CE</v>
      </c>
      <c r="B130" t="s">
        <v>752</v>
      </c>
      <c r="C130" t="str">
        <v>Structural Analysis</v>
      </c>
      <c r="D130">
        <v>227</v>
      </c>
      <c r="E130" t="s">
        <v>64</v>
      </c>
      <c r="F130" t="s">
        <v>173</v>
      </c>
    </row>
    <row r="131" spans="1:6" x14ac:dyDescent="0.35">
      <c r="A131" t="str">
        <f t="shared" si="1"/>
        <v>CE 260,ED2-CE</v>
      </c>
      <c r="B131" t="s">
        <v>640</v>
      </c>
      <c r="C131" t="str">
        <v>Soil And Rock Mechanics</v>
      </c>
      <c r="D131">
        <v>227</v>
      </c>
      <c r="E131" t="s">
        <v>64</v>
      </c>
      <c r="F131" t="s">
        <v>359</v>
      </c>
    </row>
    <row r="132" spans="1:6" x14ac:dyDescent="0.35">
      <c r="A132" t="str">
        <f t="shared" si="1"/>
        <v>CE 262,ED2-CE</v>
      </c>
      <c r="B132" t="s">
        <v>750</v>
      </c>
      <c r="C132" t="str">
        <v>Soil And Rocks Mechanics Laboratory</v>
      </c>
      <c r="D132">
        <v>227</v>
      </c>
      <c r="E132" t="s">
        <v>64</v>
      </c>
      <c r="F132" t="s">
        <v>751</v>
      </c>
    </row>
    <row r="133" spans="1:6" x14ac:dyDescent="0.35">
      <c r="A133" t="str">
        <f t="shared" si="1"/>
        <v>CE 264,ED2-CE</v>
      </c>
      <c r="B133" t="s">
        <v>749</v>
      </c>
      <c r="C133" t="str">
        <v>Intro To Environmental Eng.</v>
      </c>
      <c r="D133">
        <v>227</v>
      </c>
      <c r="E133" t="s">
        <v>64</v>
      </c>
      <c r="F133" t="s">
        <v>224</v>
      </c>
    </row>
    <row r="134" spans="1:6" x14ac:dyDescent="0.35">
      <c r="A134" t="str">
        <f t="shared" ref="A134:A200" si="2">CONCATENATE(F134,",",E134)</f>
        <v>CE 272,ED2-CE</v>
      </c>
      <c r="B134" t="s">
        <v>748</v>
      </c>
      <c r="C134" t="str">
        <v>Principle Of Design</v>
      </c>
      <c r="D134">
        <v>227</v>
      </c>
      <c r="E134" t="s">
        <v>64</v>
      </c>
      <c r="F134" t="s">
        <v>329</v>
      </c>
    </row>
    <row r="135" spans="1:6" x14ac:dyDescent="0.35">
      <c r="A135" t="str">
        <f t="shared" si="2"/>
        <v>GE 282,ED2-CE</v>
      </c>
      <c r="B135" t="s">
        <v>641</v>
      </c>
      <c r="C135" t="str">
        <v>Large Scale Surveying</v>
      </c>
      <c r="D135">
        <v>227</v>
      </c>
      <c r="E135" t="s">
        <v>64</v>
      </c>
      <c r="F135" t="s">
        <v>63</v>
      </c>
    </row>
    <row r="136" spans="1:6" x14ac:dyDescent="0.35">
      <c r="A136" t="str">
        <f t="shared" si="2"/>
        <v>MATH 252,ED2-CE</v>
      </c>
      <c r="B136" t="s">
        <v>443</v>
      </c>
      <c r="C136" t="str">
        <v>Calculus With Several Variables</v>
      </c>
      <c r="D136">
        <v>227</v>
      </c>
      <c r="E136" t="s">
        <v>64</v>
      </c>
      <c r="F136" t="s">
        <v>112</v>
      </c>
    </row>
    <row r="137" spans="1:6" x14ac:dyDescent="0.35">
      <c r="A137" t="str">
        <f t="shared" si="2"/>
        <v>CE 352,ED3-CE</v>
      </c>
      <c r="B137" t="s">
        <v>747</v>
      </c>
      <c r="C137" t="str">
        <v>Steel And Timber Design</v>
      </c>
      <c r="D137">
        <v>254</v>
      </c>
      <c r="E137" t="s">
        <v>27</v>
      </c>
      <c r="F137" t="s">
        <v>128</v>
      </c>
    </row>
    <row r="138" spans="1:6" x14ac:dyDescent="0.35">
      <c r="A138" t="str">
        <f t="shared" si="2"/>
        <v>CE 356,ED3-CE</v>
      </c>
      <c r="B138" t="s">
        <v>746</v>
      </c>
      <c r="C138" t="str">
        <v>Hydraulic Engineering</v>
      </c>
      <c r="D138">
        <v>254</v>
      </c>
      <c r="E138" t="s">
        <v>27</v>
      </c>
      <c r="F138" t="s">
        <v>297</v>
      </c>
    </row>
    <row r="139" spans="1:6" x14ac:dyDescent="0.35">
      <c r="A139" t="str">
        <f t="shared" si="2"/>
        <v>CE 360,ED3-CE</v>
      </c>
      <c r="B139" t="s">
        <v>649</v>
      </c>
      <c r="C139" t="str">
        <v>Foundation Engineering</v>
      </c>
      <c r="D139">
        <v>254</v>
      </c>
      <c r="E139" t="s">
        <v>27</v>
      </c>
      <c r="F139" t="s">
        <v>369</v>
      </c>
    </row>
    <row r="140" spans="1:6" x14ac:dyDescent="0.35">
      <c r="A140" t="str">
        <f t="shared" si="2"/>
        <v>CE 364,ED3-CE</v>
      </c>
      <c r="B140" t="s">
        <v>745</v>
      </c>
      <c r="C140" t="str">
        <v>Environmental Quality Engineering</v>
      </c>
      <c r="D140">
        <v>254</v>
      </c>
      <c r="E140" t="s">
        <v>27</v>
      </c>
      <c r="F140" t="s">
        <v>341</v>
      </c>
    </row>
    <row r="141" spans="1:6" x14ac:dyDescent="0.35">
      <c r="A141" t="str">
        <f t="shared" si="2"/>
        <v>CE 368,ED3-CE</v>
      </c>
      <c r="B141" t="s">
        <v>744</v>
      </c>
      <c r="C141" t="str">
        <v>Highway Engineering</v>
      </c>
      <c r="D141">
        <v>254</v>
      </c>
      <c r="E141" t="s">
        <v>27</v>
      </c>
      <c r="F141" t="s">
        <v>225</v>
      </c>
    </row>
    <row r="142" spans="1:6" x14ac:dyDescent="0.35">
      <c r="A142" t="str">
        <f t="shared" si="2"/>
        <v>CE 376,ED3-CE</v>
      </c>
      <c r="B142" t="s">
        <v>743</v>
      </c>
      <c r="C142" t="str">
        <v>Quantities And Cost Estimation In CIVil Engineering</v>
      </c>
      <c r="D142">
        <v>254</v>
      </c>
      <c r="E142" t="s">
        <v>27</v>
      </c>
      <c r="F142" t="s">
        <v>28</v>
      </c>
    </row>
    <row r="143" spans="1:6" x14ac:dyDescent="0.35">
      <c r="A143" t="str">
        <f t="shared" si="2"/>
        <v>CE 378,ED3-CE</v>
      </c>
      <c r="B143" t="s">
        <v>742</v>
      </c>
      <c r="C143" t="str">
        <v>Integrated Design</v>
      </c>
      <c r="D143">
        <v>254</v>
      </c>
      <c r="E143" t="s">
        <v>27</v>
      </c>
      <c r="F143" t="s">
        <v>87</v>
      </c>
    </row>
    <row r="144" spans="1:6" x14ac:dyDescent="0.35">
      <c r="A144" t="str">
        <f t="shared" si="2"/>
        <v>CE 390,ED3-CE</v>
      </c>
      <c r="B144" t="s">
        <v>740</v>
      </c>
      <c r="C144" t="str">
        <v>Road Design And Material Evoloution Laboratory</v>
      </c>
      <c r="D144">
        <v>254</v>
      </c>
      <c r="E144" t="s">
        <v>27</v>
      </c>
      <c r="F144" t="s">
        <v>741</v>
      </c>
    </row>
    <row r="145" spans="1:6" x14ac:dyDescent="0.35">
      <c r="A145" t="str">
        <f t="shared" si="2"/>
        <v>CE 452,ED4-CE</v>
      </c>
      <c r="B145" t="s">
        <v>1380</v>
      </c>
      <c r="C145" t="str">
        <v>Computer Applications in Civil Engineering</v>
      </c>
      <c r="D145">
        <v>254</v>
      </c>
      <c r="E145" t="s">
        <v>84</v>
      </c>
      <c r="F145" t="s">
        <v>1377</v>
      </c>
    </row>
    <row r="146" spans="1:6" x14ac:dyDescent="0.35">
      <c r="A146" t="str">
        <f t="shared" si="2"/>
        <v>CE 456,ED4-CE</v>
      </c>
      <c r="B146" t="s">
        <v>739</v>
      </c>
      <c r="C146" t="str">
        <v>Structural Dynamics</v>
      </c>
      <c r="D146">
        <v>59</v>
      </c>
      <c r="E146" t="s">
        <v>84</v>
      </c>
      <c r="F146" t="s">
        <v>160</v>
      </c>
    </row>
    <row r="147" spans="1:6" x14ac:dyDescent="0.35">
      <c r="A147" t="str">
        <f t="shared" si="2"/>
        <v>CE 458,ED4-CE</v>
      </c>
      <c r="B147" t="s">
        <v>738</v>
      </c>
      <c r="C147" t="str">
        <v>Water Resources Engineering II</v>
      </c>
      <c r="D147">
        <v>255</v>
      </c>
      <c r="E147" t="s">
        <v>84</v>
      </c>
      <c r="F147" t="s">
        <v>211</v>
      </c>
    </row>
    <row r="148" spans="1:6" x14ac:dyDescent="0.35">
      <c r="A148" t="str">
        <f t="shared" si="2"/>
        <v>CE 462,ED4-CE</v>
      </c>
      <c r="B148" t="s">
        <v>737</v>
      </c>
      <c r="C148" t="str">
        <v>Construction Management</v>
      </c>
      <c r="D148">
        <v>255</v>
      </c>
      <c r="E148" t="s">
        <v>84</v>
      </c>
      <c r="F148" t="s">
        <v>386</v>
      </c>
    </row>
    <row r="149" spans="1:6" x14ac:dyDescent="0.35">
      <c r="A149" t="str">
        <f t="shared" si="2"/>
        <v>CE 464,ED4-CE</v>
      </c>
      <c r="B149" t="s">
        <v>736</v>
      </c>
      <c r="C149" t="str">
        <v>Environmental Quality Engineering II</v>
      </c>
      <c r="D149">
        <v>255</v>
      </c>
      <c r="E149" t="s">
        <v>84</v>
      </c>
      <c r="F149" t="s">
        <v>288</v>
      </c>
    </row>
    <row r="150" spans="1:6" x14ac:dyDescent="0.35">
      <c r="A150" t="str">
        <f t="shared" si="2"/>
        <v>CE 468,ED4-CE</v>
      </c>
      <c r="B150" t="s">
        <v>735</v>
      </c>
      <c r="C150" t="str">
        <v>Transportation Engineering</v>
      </c>
      <c r="D150">
        <v>55</v>
      </c>
      <c r="E150" t="s">
        <v>84</v>
      </c>
      <c r="F150" t="s">
        <v>85</v>
      </c>
    </row>
    <row r="151" spans="1:6" x14ac:dyDescent="0.35">
      <c r="A151" t="str">
        <f t="shared" si="2"/>
        <v>CE 476,ED4-CE</v>
      </c>
      <c r="B151" t="s">
        <v>734</v>
      </c>
      <c r="C151" t="str">
        <v>System Engineering II</v>
      </c>
      <c r="D151">
        <v>39</v>
      </c>
      <c r="E151" t="s">
        <v>84</v>
      </c>
      <c r="F151" t="s">
        <v>342</v>
      </c>
    </row>
    <row r="152" spans="1:6" x14ac:dyDescent="0.35">
      <c r="A152" t="str">
        <f t="shared" si="2"/>
        <v>CE 478,ED4-CE</v>
      </c>
      <c r="B152" t="s">
        <v>648</v>
      </c>
      <c r="C152" t="str">
        <v>Ground Engineering</v>
      </c>
      <c r="D152">
        <v>40</v>
      </c>
      <c r="E152" t="s">
        <v>84</v>
      </c>
      <c r="F152" t="s">
        <v>256</v>
      </c>
    </row>
    <row r="153" spans="1:6" x14ac:dyDescent="0.35">
      <c r="A153" t="str">
        <f t="shared" si="2"/>
        <v>CE 480,ED4-CE</v>
      </c>
      <c r="B153" t="s">
        <v>732</v>
      </c>
      <c r="C153" t="str">
        <v>Finite Element Analysis</v>
      </c>
      <c r="D153">
        <v>9</v>
      </c>
      <c r="E153" t="s">
        <v>84</v>
      </c>
      <c r="F153" t="s">
        <v>733</v>
      </c>
    </row>
    <row r="154" spans="1:6" x14ac:dyDescent="0.35">
      <c r="A154" t="str">
        <f t="shared" si="2"/>
        <v>CHE 156,ED1-CHE</v>
      </c>
      <c r="B154" t="s">
        <v>489</v>
      </c>
      <c r="C154" t="str">
        <v>Physical Chemistry For Engineers</v>
      </c>
      <c r="D154">
        <v>155</v>
      </c>
      <c r="E154" t="s">
        <v>60</v>
      </c>
      <c r="F154" t="s">
        <v>231</v>
      </c>
    </row>
    <row r="155" spans="1:6" x14ac:dyDescent="0.35">
      <c r="A155" t="str">
        <f t="shared" si="2"/>
        <v>CHE 158,ED1-CHE</v>
      </c>
      <c r="B155" t="s">
        <v>511</v>
      </c>
      <c r="C155" t="str">
        <v>Introduction To Information Technology</v>
      </c>
      <c r="D155">
        <v>155</v>
      </c>
      <c r="E155" t="s">
        <v>60</v>
      </c>
      <c r="F155" t="s">
        <v>61</v>
      </c>
    </row>
    <row r="156" spans="1:6" x14ac:dyDescent="0.35">
      <c r="A156" t="str">
        <f t="shared" si="2"/>
        <v>EE 152,ED1-CHE</v>
      </c>
      <c r="B156" t="s">
        <v>456</v>
      </c>
      <c r="C156" t="str">
        <v>Basic Electronics</v>
      </c>
      <c r="D156">
        <v>155</v>
      </c>
      <c r="E156" t="s">
        <v>60</v>
      </c>
      <c r="F156" t="s">
        <v>321</v>
      </c>
    </row>
    <row r="157" spans="1:6" x14ac:dyDescent="0.35">
      <c r="A157" t="str">
        <f t="shared" si="2"/>
        <v>ENGL 158,ED1-CHE</v>
      </c>
      <c r="B157" t="s">
        <v>731</v>
      </c>
      <c r="C157" t="str">
        <v>Communication Skills II</v>
      </c>
      <c r="D157">
        <v>155</v>
      </c>
      <c r="E157" t="s">
        <v>60</v>
      </c>
      <c r="F157" t="s">
        <v>376</v>
      </c>
    </row>
    <row r="158" spans="1:6" x14ac:dyDescent="0.35">
      <c r="A158" t="str">
        <f t="shared" si="2"/>
        <v>MATH 152,ED1-CHE</v>
      </c>
      <c r="B158" t="s">
        <v>453</v>
      </c>
      <c r="C158" t="str">
        <v>Calculus With Analysis</v>
      </c>
      <c r="D158">
        <v>155</v>
      </c>
      <c r="E158" t="s">
        <v>60</v>
      </c>
      <c r="F158" t="s">
        <v>190</v>
      </c>
    </row>
    <row r="159" spans="1:6" x14ac:dyDescent="0.35">
      <c r="A159" t="str">
        <f t="shared" si="2"/>
        <v>ME 162,ED1-CHE</v>
      </c>
      <c r="B159" t="s">
        <v>491</v>
      </c>
      <c r="C159" t="str">
        <v>Basic Mechanics</v>
      </c>
      <c r="D159">
        <v>155</v>
      </c>
      <c r="E159" t="s">
        <v>60</v>
      </c>
      <c r="F159" t="s">
        <v>290</v>
      </c>
    </row>
    <row r="160" spans="1:6" x14ac:dyDescent="0.35">
      <c r="A160" t="str">
        <f t="shared" si="2"/>
        <v>PHY 170,ED1-CHE</v>
      </c>
      <c r="B160" t="s">
        <v>488</v>
      </c>
      <c r="C160" t="str">
        <v>General Physics</v>
      </c>
      <c r="D160">
        <v>155</v>
      </c>
      <c r="E160" t="s">
        <v>60</v>
      </c>
      <c r="F160" t="s">
        <v>205</v>
      </c>
    </row>
    <row r="161" spans="1:6" x14ac:dyDescent="0.35">
      <c r="A161" t="str">
        <f t="shared" si="2"/>
        <v>CHE 250,ED2-CHE</v>
      </c>
      <c r="B161" t="s">
        <v>510</v>
      </c>
      <c r="C161" t="str">
        <v>Strength Of Materials For Chemical Engineers</v>
      </c>
      <c r="D161">
        <v>119</v>
      </c>
      <c r="E161" t="s">
        <v>71</v>
      </c>
      <c r="F161" t="s">
        <v>124</v>
      </c>
    </row>
    <row r="162" spans="1:6" x14ac:dyDescent="0.35">
      <c r="A162" t="str">
        <f t="shared" si="2"/>
        <v>CHE 252,ED2-CHE</v>
      </c>
      <c r="B162" t="s">
        <v>509</v>
      </c>
      <c r="C162" t="str">
        <v>Chemical Process Calculations II</v>
      </c>
      <c r="D162">
        <v>119</v>
      </c>
      <c r="E162" t="s">
        <v>71</v>
      </c>
      <c r="F162" t="s">
        <v>234</v>
      </c>
    </row>
    <row r="163" spans="1:6" x14ac:dyDescent="0.35">
      <c r="A163" t="str">
        <f t="shared" si="2"/>
        <v>CHE 254,ED2-CHE</v>
      </c>
      <c r="B163" t="s">
        <v>508</v>
      </c>
      <c r="C163" t="str">
        <v>Chemical Engineering Thermodynamics II</v>
      </c>
      <c r="D163">
        <v>119</v>
      </c>
      <c r="E163" t="s">
        <v>71</v>
      </c>
      <c r="F163" t="s">
        <v>70</v>
      </c>
    </row>
    <row r="164" spans="1:6" x14ac:dyDescent="0.35">
      <c r="A164" t="str">
        <f t="shared" si="2"/>
        <v>CHE 256,ED2-CHE</v>
      </c>
      <c r="B164" t="s">
        <v>486</v>
      </c>
      <c r="C164" t="str">
        <v>Heat Transport Processes</v>
      </c>
      <c r="D164">
        <v>119</v>
      </c>
      <c r="E164" t="s">
        <v>71</v>
      </c>
      <c r="F164" t="s">
        <v>183</v>
      </c>
    </row>
    <row r="165" spans="1:6" x14ac:dyDescent="0.35">
      <c r="A165" t="str">
        <f t="shared" si="2"/>
        <v>CHE 258,ED2-CHE</v>
      </c>
      <c r="B165" t="s">
        <v>484</v>
      </c>
      <c r="C165" t="str">
        <v>Drawing For Engineers</v>
      </c>
      <c r="D165">
        <v>119</v>
      </c>
      <c r="E165" t="s">
        <v>71</v>
      </c>
      <c r="F165" t="s">
        <v>385</v>
      </c>
    </row>
    <row r="166" spans="1:6" x14ac:dyDescent="0.35">
      <c r="A166" t="str">
        <f t="shared" si="2"/>
        <v>CHEM 280,ED2-CHE</v>
      </c>
      <c r="B166" t="s">
        <v>507</v>
      </c>
      <c r="C166" t="str">
        <v>Practical Chemistry II</v>
      </c>
      <c r="D166">
        <v>119</v>
      </c>
      <c r="E166" t="s">
        <v>71</v>
      </c>
      <c r="F166" t="s">
        <v>330</v>
      </c>
    </row>
    <row r="167" spans="1:6" x14ac:dyDescent="0.35">
      <c r="A167" t="str">
        <f t="shared" si="2"/>
        <v>MATH 252,ED2-CHE</v>
      </c>
      <c r="B167" t="s">
        <v>487</v>
      </c>
      <c r="C167" t="str">
        <v>Calculus Of Several Variables</v>
      </c>
      <c r="D167">
        <v>119</v>
      </c>
      <c r="E167" t="s">
        <v>71</v>
      </c>
      <c r="F167" t="s">
        <v>112</v>
      </c>
    </row>
    <row r="168" spans="1:6" x14ac:dyDescent="0.35">
      <c r="A168" t="str">
        <f t="shared" si="2"/>
        <v>CHE 350,ED3-CHE</v>
      </c>
      <c r="B168" t="s">
        <v>506</v>
      </c>
      <c r="C168" t="str">
        <v>Materials Science</v>
      </c>
      <c r="D168">
        <v>114</v>
      </c>
      <c r="E168" t="s">
        <v>48</v>
      </c>
      <c r="F168" t="s">
        <v>347</v>
      </c>
    </row>
    <row r="169" spans="1:6" x14ac:dyDescent="0.35">
      <c r="A169" t="str">
        <f t="shared" si="2"/>
        <v>CHE 352,ED3-CHE</v>
      </c>
      <c r="B169" t="s">
        <v>730</v>
      </c>
      <c r="C169" t="str">
        <v>Chemical Reaction Engineering</v>
      </c>
      <c r="D169">
        <v>114</v>
      </c>
      <c r="E169" t="s">
        <v>48</v>
      </c>
      <c r="F169" t="s">
        <v>287</v>
      </c>
    </row>
    <row r="170" spans="1:6" x14ac:dyDescent="0.35">
      <c r="A170" t="str">
        <f t="shared" si="2"/>
        <v>CHE 354,ED3-CHE</v>
      </c>
      <c r="B170" t="s">
        <v>729</v>
      </c>
      <c r="C170" t="str">
        <v>Simultaneous Heat/Mass Transfer</v>
      </c>
      <c r="D170">
        <v>114</v>
      </c>
      <c r="E170" t="s">
        <v>48</v>
      </c>
      <c r="F170" t="s">
        <v>318</v>
      </c>
    </row>
    <row r="171" spans="1:6" x14ac:dyDescent="0.35">
      <c r="A171" t="str">
        <f t="shared" si="2"/>
        <v>CHE 358,ED3-CHE</v>
      </c>
      <c r="B171" t="s">
        <v>505</v>
      </c>
      <c r="C171" t="str">
        <v>Numerical Methods For Chemical Engineers</v>
      </c>
      <c r="D171">
        <v>114</v>
      </c>
      <c r="E171" t="s">
        <v>48</v>
      </c>
      <c r="F171" t="s">
        <v>187</v>
      </c>
    </row>
    <row r="172" spans="1:6" x14ac:dyDescent="0.35">
      <c r="A172" t="str">
        <f t="shared" si="2"/>
        <v>CHE 362,ED3-CHE</v>
      </c>
      <c r="B172" t="s">
        <v>728</v>
      </c>
      <c r="C172" t="str">
        <v>Silicate Technology II</v>
      </c>
      <c r="D172">
        <v>33</v>
      </c>
      <c r="E172" t="s">
        <v>48</v>
      </c>
      <c r="F172" t="s">
        <v>233</v>
      </c>
    </row>
    <row r="173" spans="1:6" x14ac:dyDescent="0.35">
      <c r="A173" t="str">
        <f t="shared" si="2"/>
        <v>CHE 364,ED3-CHE</v>
      </c>
      <c r="B173" t="s">
        <v>727</v>
      </c>
      <c r="C173" t="str">
        <v>Packaging Technology</v>
      </c>
      <c r="D173">
        <v>40</v>
      </c>
      <c r="E173" t="s">
        <v>48</v>
      </c>
      <c r="F173" t="s">
        <v>135</v>
      </c>
    </row>
    <row r="174" spans="1:6" x14ac:dyDescent="0.35">
      <c r="A174" t="str">
        <f t="shared" si="2"/>
        <v>CHE 368,ED3-CHE</v>
      </c>
      <c r="B174" t="s">
        <v>726</v>
      </c>
      <c r="C174" t="str">
        <v>Food Processing Technology</v>
      </c>
      <c r="D174">
        <v>40</v>
      </c>
      <c r="E174" t="s">
        <v>48</v>
      </c>
      <c r="F174" t="s">
        <v>263</v>
      </c>
    </row>
    <row r="175" spans="1:6" x14ac:dyDescent="0.35">
      <c r="A175" t="str">
        <f t="shared" si="2"/>
        <v>ECON 152,ED3-CHE</v>
      </c>
      <c r="B175" t="s">
        <v>445</v>
      </c>
      <c r="C175" t="str">
        <v>Introductory Economics II</v>
      </c>
      <c r="D175">
        <v>37</v>
      </c>
      <c r="E175" t="s">
        <v>48</v>
      </c>
      <c r="F175" t="s">
        <v>229</v>
      </c>
    </row>
    <row r="176" spans="1:6" x14ac:dyDescent="0.35">
      <c r="A176" t="str">
        <f t="shared" si="2"/>
        <v>FC 182,ED3-CHE</v>
      </c>
      <c r="B176" t="s">
        <v>444</v>
      </c>
      <c r="C176" t="str">
        <v>French For Communication II</v>
      </c>
      <c r="D176">
        <v>45</v>
      </c>
      <c r="E176" t="s">
        <v>48</v>
      </c>
      <c r="F176" t="s">
        <v>41</v>
      </c>
    </row>
    <row r="177" spans="1:6" x14ac:dyDescent="0.35">
      <c r="A177" t="str">
        <f t="shared" si="2"/>
        <v>CHE 456,ED4-CHE</v>
      </c>
      <c r="B177" t="s">
        <v>496</v>
      </c>
      <c r="C177" t="str">
        <v>Process Control And Simulation</v>
      </c>
      <c r="D177">
        <v>126</v>
      </c>
      <c r="E177" t="s">
        <v>104</v>
      </c>
      <c r="F177" t="s">
        <v>103</v>
      </c>
    </row>
    <row r="178" spans="1:6" x14ac:dyDescent="0.35">
      <c r="A178" t="str">
        <f t="shared" si="2"/>
        <v>CHE 458,ED4-CHE</v>
      </c>
      <c r="B178" t="s">
        <v>495</v>
      </c>
      <c r="C178" t="str">
        <v>Entrepreneurship And Business Development</v>
      </c>
      <c r="D178">
        <v>126</v>
      </c>
      <c r="E178" t="s">
        <v>104</v>
      </c>
      <c r="F178" t="s">
        <v>165</v>
      </c>
    </row>
    <row r="179" spans="1:6" x14ac:dyDescent="0.35">
      <c r="A179" t="str">
        <f t="shared" si="2"/>
        <v>CHE 466,ED4-CHE</v>
      </c>
      <c r="B179" t="s">
        <v>724</v>
      </c>
      <c r="C179" t="str">
        <v>Pulp And Paper Technology</v>
      </c>
      <c r="D179">
        <v>50</v>
      </c>
      <c r="E179" t="s">
        <v>104</v>
      </c>
      <c r="F179" t="s">
        <v>725</v>
      </c>
    </row>
    <row r="180" spans="1:6" x14ac:dyDescent="0.35">
      <c r="A180" t="str">
        <f t="shared" si="2"/>
        <v>CHE 468,ED4-CHE</v>
      </c>
      <c r="B180" t="s">
        <v>723</v>
      </c>
      <c r="C180" t="str">
        <v>Environmental Eng. Technology</v>
      </c>
      <c r="D180">
        <v>50</v>
      </c>
      <c r="E180" t="s">
        <v>104</v>
      </c>
      <c r="F180" t="s">
        <v>311</v>
      </c>
    </row>
    <row r="181" spans="1:6" x14ac:dyDescent="0.35">
      <c r="A181" t="str">
        <f t="shared" si="2"/>
        <v>CHE 466,ED4-CHE</v>
      </c>
      <c r="C181" t="str">
        <v>Pulp And Paper Technology</v>
      </c>
      <c r="D181">
        <v>50</v>
      </c>
      <c r="E181" t="s">
        <v>104</v>
      </c>
      <c r="F181" t="s">
        <v>725</v>
      </c>
    </row>
    <row r="182" spans="1:6" x14ac:dyDescent="0.35">
      <c r="A182" t="str">
        <f t="shared" si="2"/>
        <v>CHE 470,ED4-CHE</v>
      </c>
      <c r="B182" t="s">
        <v>722</v>
      </c>
      <c r="C182" t="str">
        <v>Pharmaceutical Technology</v>
      </c>
      <c r="D182">
        <v>71</v>
      </c>
      <c r="E182" t="s">
        <v>104</v>
      </c>
      <c r="F182" t="s">
        <v>391</v>
      </c>
    </row>
    <row r="183" spans="1:6" x14ac:dyDescent="0.35">
      <c r="A183" t="str">
        <f t="shared" si="2"/>
        <v>PCE 464,ED4-CHE</v>
      </c>
      <c r="B183" t="s">
        <v>721</v>
      </c>
      <c r="C183" t="str">
        <v>Refining Processes Technology</v>
      </c>
      <c r="D183">
        <v>70</v>
      </c>
      <c r="E183" t="s">
        <v>104</v>
      </c>
      <c r="F183" t="s">
        <v>269</v>
      </c>
    </row>
    <row r="184" spans="1:6" x14ac:dyDescent="0.35">
      <c r="A184" t="str">
        <f t="shared" si="2"/>
        <v>COE 152,ED1-COE</v>
      </c>
      <c r="B184" t="s">
        <v>456</v>
      </c>
      <c r="C184" t="str">
        <v>Basic Electronics</v>
      </c>
      <c r="D184">
        <v>255</v>
      </c>
      <c r="E184" t="s">
        <v>20</v>
      </c>
      <c r="F184" t="s">
        <v>326</v>
      </c>
    </row>
    <row r="185" spans="1:6" x14ac:dyDescent="0.35">
      <c r="A185" t="str">
        <f t="shared" si="2"/>
        <v>COE 158,ED1-COE</v>
      </c>
      <c r="B185" t="s">
        <v>511</v>
      </c>
      <c r="C185" t="str">
        <v>Introduction To Information Technology</v>
      </c>
      <c r="D185">
        <v>255</v>
      </c>
      <c r="E185" t="s">
        <v>20</v>
      </c>
      <c r="F185" t="s">
        <v>21</v>
      </c>
    </row>
    <row r="186" spans="1:6" x14ac:dyDescent="0.35">
      <c r="A186" t="str">
        <f t="shared" si="2"/>
        <v>EE 156,ED1-COE</v>
      </c>
      <c r="B186" t="s">
        <v>720</v>
      </c>
      <c r="C186" t="str">
        <v>Electrical Eng. Drawing</v>
      </c>
      <c r="D186">
        <v>255</v>
      </c>
      <c r="E186" t="s">
        <v>20</v>
      </c>
      <c r="F186" t="s">
        <v>226</v>
      </c>
    </row>
    <row r="187" spans="1:6" x14ac:dyDescent="0.35">
      <c r="A187" t="str">
        <f t="shared" si="2"/>
        <v>EE 172,ED1-COE</v>
      </c>
      <c r="B187" t="s">
        <v>719</v>
      </c>
      <c r="C187" t="str">
        <v>Electrical Machines</v>
      </c>
      <c r="D187">
        <v>255</v>
      </c>
      <c r="E187" t="s">
        <v>20</v>
      </c>
      <c r="F187" t="s">
        <v>280</v>
      </c>
    </row>
    <row r="188" spans="1:6" x14ac:dyDescent="0.35">
      <c r="A188" t="str">
        <f t="shared" si="2"/>
        <v>ENGL 158,ED1-COE</v>
      </c>
      <c r="B188" t="s">
        <v>454</v>
      </c>
      <c r="C188" t="str">
        <v>Communication Skills II</v>
      </c>
      <c r="D188">
        <v>255</v>
      </c>
      <c r="E188" t="s">
        <v>20</v>
      </c>
      <c r="F188" t="s">
        <v>376</v>
      </c>
    </row>
    <row r="189" spans="1:6" x14ac:dyDescent="0.35">
      <c r="A189" t="str">
        <f t="shared" si="2"/>
        <v>MATH 152,ED1-COE</v>
      </c>
      <c r="B189" t="s">
        <v>453</v>
      </c>
      <c r="C189" t="str">
        <v>Calculus With Analysis</v>
      </c>
      <c r="D189">
        <v>255</v>
      </c>
      <c r="E189" t="s">
        <v>20</v>
      </c>
      <c r="F189" t="s">
        <v>190</v>
      </c>
    </row>
    <row r="190" spans="1:6" x14ac:dyDescent="0.35">
      <c r="A190" t="str">
        <f t="shared" si="2"/>
        <v>coe 382,ED1-COE</v>
      </c>
      <c r="B190" t="s">
        <v>1384</v>
      </c>
      <c r="C190" t="str">
        <v xml:space="preserve">Digital System Design II      </v>
      </c>
      <c r="D190">
        <v>255</v>
      </c>
      <c r="E190" t="s">
        <v>20</v>
      </c>
      <c r="F190" t="s">
        <v>1383</v>
      </c>
    </row>
    <row r="191" spans="1:6" x14ac:dyDescent="0.35">
      <c r="A191" t="str">
        <f t="shared" si="2"/>
        <v>ACF 256,ED2-COE</v>
      </c>
      <c r="B191" t="s">
        <v>446</v>
      </c>
      <c r="C191" t="str">
        <v>Financial Accounting II</v>
      </c>
      <c r="D191">
        <v>36</v>
      </c>
      <c r="E191" t="s">
        <v>40</v>
      </c>
      <c r="F191" t="s">
        <v>447</v>
      </c>
    </row>
    <row r="192" spans="1:6" x14ac:dyDescent="0.35">
      <c r="A192" t="str">
        <f t="shared" si="2"/>
        <v>COE 254,ED2-COE</v>
      </c>
      <c r="B192" t="s">
        <v>718</v>
      </c>
      <c r="C192" t="str">
        <v>Object-Oriented Programming</v>
      </c>
      <c r="D192">
        <v>277</v>
      </c>
      <c r="E192" t="s">
        <v>40</v>
      </c>
      <c r="F192" t="s">
        <v>364</v>
      </c>
    </row>
    <row r="193" spans="1:6" x14ac:dyDescent="0.35">
      <c r="A193" t="str">
        <f t="shared" si="2"/>
        <v>COE 272,ED2-COE</v>
      </c>
      <c r="B193" t="s">
        <v>717</v>
      </c>
      <c r="C193" t="str">
        <v>Digital Systems Design I</v>
      </c>
      <c r="D193">
        <v>277</v>
      </c>
      <c r="E193" t="s">
        <v>40</v>
      </c>
      <c r="F193" t="s">
        <v>188</v>
      </c>
    </row>
    <row r="194" spans="1:6" x14ac:dyDescent="0.35">
      <c r="A194" t="str">
        <f t="shared" si="2"/>
        <v>COE 288,ED2-COE</v>
      </c>
      <c r="B194" t="s">
        <v>692</v>
      </c>
      <c r="C194" t="str">
        <v>Circuit Theory</v>
      </c>
      <c r="D194">
        <v>277</v>
      </c>
      <c r="E194" t="s">
        <v>40</v>
      </c>
      <c r="F194" t="s">
        <v>284</v>
      </c>
    </row>
    <row r="195" spans="1:6" x14ac:dyDescent="0.35">
      <c r="A195" t="str">
        <f t="shared" si="2"/>
        <v>COE 292,ED2-COE</v>
      </c>
      <c r="B195" t="s">
        <v>715</v>
      </c>
      <c r="C195" t="str">
        <v>Computer Engineering Lab II</v>
      </c>
      <c r="D195">
        <v>277</v>
      </c>
      <c r="E195" t="s">
        <v>40</v>
      </c>
      <c r="F195" t="s">
        <v>716</v>
      </c>
    </row>
    <row r="196" spans="1:6" x14ac:dyDescent="0.35">
      <c r="A196" t="str">
        <f t="shared" si="2"/>
        <v>ECON 152,ED2-COE</v>
      </c>
      <c r="B196" t="s">
        <v>714</v>
      </c>
      <c r="C196" t="str">
        <v>Introduction To Economics II</v>
      </c>
      <c r="D196">
        <v>20</v>
      </c>
      <c r="E196" t="s">
        <v>40</v>
      </c>
      <c r="F196" t="s">
        <v>229</v>
      </c>
    </row>
    <row r="197" spans="1:6" x14ac:dyDescent="0.35">
      <c r="A197" t="str">
        <f t="shared" si="2"/>
        <v>EE 288,ED2-COE</v>
      </c>
      <c r="B197" t="s">
        <v>455</v>
      </c>
      <c r="C197" t="str">
        <v>Electrical Measurement And Instrumentation</v>
      </c>
      <c r="D197">
        <v>277</v>
      </c>
      <c r="E197" t="s">
        <v>40</v>
      </c>
      <c r="F197" t="s">
        <v>83</v>
      </c>
    </row>
    <row r="198" spans="1:6" x14ac:dyDescent="0.35">
      <c r="A198" t="str">
        <f t="shared" si="2"/>
        <v>FC 182,ED2-COE</v>
      </c>
      <c r="B198" t="s">
        <v>713</v>
      </c>
      <c r="C198" t="str">
        <v>French For Communication II</v>
      </c>
      <c r="D198">
        <v>185</v>
      </c>
      <c r="E198" t="s">
        <v>40</v>
      </c>
      <c r="F198" t="s">
        <v>41</v>
      </c>
    </row>
    <row r="199" spans="1:6" x14ac:dyDescent="0.35">
      <c r="A199" t="str">
        <f t="shared" si="2"/>
        <v>MATH 252,ED2-COE</v>
      </c>
      <c r="B199" t="s">
        <v>443</v>
      </c>
      <c r="C199" t="str">
        <v>Calculus With Several Variables</v>
      </c>
      <c r="D199">
        <v>277</v>
      </c>
      <c r="E199" t="s">
        <v>40</v>
      </c>
      <c r="F199" t="s">
        <v>112</v>
      </c>
    </row>
    <row r="200" spans="1:6" x14ac:dyDescent="0.35">
      <c r="A200" t="str">
        <f t="shared" si="2"/>
        <v>TE 262,ED2-COE</v>
      </c>
      <c r="B200" t="s">
        <v>684</v>
      </c>
      <c r="C200" t="str">
        <v>Electromagnetic Fields</v>
      </c>
      <c r="D200">
        <v>277</v>
      </c>
      <c r="E200" t="s">
        <v>40</v>
      </c>
      <c r="F200" t="s">
        <v>119</v>
      </c>
    </row>
    <row r="201" spans="1:6" x14ac:dyDescent="0.35">
      <c r="A201" t="str">
        <f t="shared" ref="A201:A267" si="3">CONCATENATE(F201,",",E201)</f>
        <v>COE 354,ED3-COE</v>
      </c>
      <c r="B201" t="s">
        <v>712</v>
      </c>
      <c r="C201" t="str">
        <v>Operating Systems</v>
      </c>
      <c r="D201">
        <v>170</v>
      </c>
      <c r="E201" t="s">
        <v>73</v>
      </c>
      <c r="F201" t="s">
        <v>220</v>
      </c>
    </row>
    <row r="202" spans="1:6" x14ac:dyDescent="0.35">
      <c r="A202" t="str">
        <f t="shared" si="3"/>
        <v>COE 356,ED3-COE</v>
      </c>
      <c r="B202" t="s">
        <v>711</v>
      </c>
      <c r="C202" t="str">
        <v xml:space="preserve">Software Engineering I             </v>
      </c>
      <c r="D202">
        <v>170</v>
      </c>
      <c r="E202" t="s">
        <v>73</v>
      </c>
      <c r="F202" t="s">
        <v>134</v>
      </c>
    </row>
    <row r="203" spans="1:6" x14ac:dyDescent="0.35">
      <c r="A203" t="str">
        <f t="shared" si="3"/>
        <v>COE 358,ED3-COE</v>
      </c>
      <c r="B203" t="s">
        <v>710</v>
      </c>
      <c r="C203" t="str">
        <v>Embedded Systems</v>
      </c>
      <c r="D203">
        <v>170</v>
      </c>
      <c r="E203" t="s">
        <v>73</v>
      </c>
      <c r="F203" t="s">
        <v>261</v>
      </c>
    </row>
    <row r="204" spans="1:6" x14ac:dyDescent="0.35">
      <c r="A204" t="str">
        <f t="shared" si="3"/>
        <v>COE 368,ED3-COE</v>
      </c>
      <c r="B204" t="s">
        <v>709</v>
      </c>
      <c r="C204" t="str">
        <v>Database And Information Retrieval</v>
      </c>
      <c r="D204">
        <v>170</v>
      </c>
      <c r="E204" t="s">
        <v>73</v>
      </c>
      <c r="F204" t="s">
        <v>74</v>
      </c>
    </row>
    <row r="205" spans="1:6" x14ac:dyDescent="0.35">
      <c r="A205" t="str">
        <f t="shared" si="3"/>
        <v>COE 372,ED3-COE</v>
      </c>
      <c r="B205" t="s">
        <v>708</v>
      </c>
      <c r="C205" t="str">
        <v>Digital Systems Design II</v>
      </c>
      <c r="D205">
        <v>170</v>
      </c>
      <c r="E205" t="s">
        <v>73</v>
      </c>
      <c r="F205" t="s">
        <v>397</v>
      </c>
    </row>
    <row r="206" spans="1:6" x14ac:dyDescent="0.35">
      <c r="A206" t="str">
        <f t="shared" si="3"/>
        <v>COE 392,ED3-COE</v>
      </c>
      <c r="B206" t="s">
        <v>706</v>
      </c>
      <c r="C206" t="str">
        <v>Autotronic Lab.</v>
      </c>
      <c r="D206">
        <v>170</v>
      </c>
      <c r="E206" t="s">
        <v>73</v>
      </c>
      <c r="F206" t="s">
        <v>707</v>
      </c>
    </row>
    <row r="207" spans="1:6" x14ac:dyDescent="0.35">
      <c r="A207" t="str">
        <f t="shared" si="3"/>
        <v>COE 454,ED4-COE</v>
      </c>
      <c r="B207" t="s">
        <v>704</v>
      </c>
      <c r="C207" t="str">
        <v>Software Engineering</v>
      </c>
      <c r="D207">
        <v>76</v>
      </c>
      <c r="E207" t="s">
        <v>196</v>
      </c>
      <c r="F207" t="s">
        <v>705</v>
      </c>
    </row>
    <row r="208" spans="1:6" x14ac:dyDescent="0.35">
      <c r="A208" t="str">
        <f t="shared" si="3"/>
        <v>COE 456,ED4-COE</v>
      </c>
      <c r="B208" t="s">
        <v>702</v>
      </c>
      <c r="C208" t="str">
        <v>Secure Network Systems</v>
      </c>
      <c r="D208">
        <v>78</v>
      </c>
      <c r="E208" t="s">
        <v>196</v>
      </c>
      <c r="F208" t="s">
        <v>703</v>
      </c>
    </row>
    <row r="209" spans="1:6" x14ac:dyDescent="0.35">
      <c r="A209" t="str">
        <f t="shared" si="3"/>
        <v>COE 458,ED4-COE</v>
      </c>
      <c r="B209" t="s">
        <v>700</v>
      </c>
      <c r="C209" t="str">
        <v>Robotics And Computer Vision</v>
      </c>
      <c r="D209">
        <v>211</v>
      </c>
      <c r="E209" t="s">
        <v>196</v>
      </c>
      <c r="F209" t="s">
        <v>701</v>
      </c>
    </row>
    <row r="210" spans="1:6" x14ac:dyDescent="0.35">
      <c r="A210" t="str">
        <f t="shared" si="3"/>
        <v>COE 472,ED4-COE</v>
      </c>
      <c r="B210" t="s">
        <v>425</v>
      </c>
      <c r="C210" t="str">
        <v>Digital Signal Processing</v>
      </c>
      <c r="D210">
        <v>133</v>
      </c>
      <c r="E210" t="s">
        <v>196</v>
      </c>
      <c r="F210" t="s">
        <v>699</v>
      </c>
    </row>
    <row r="211" spans="1:6" x14ac:dyDescent="0.35">
      <c r="A211" t="str">
        <f t="shared" si="3"/>
        <v>COE 480,ED4-COE</v>
      </c>
      <c r="B211" t="s">
        <v>698</v>
      </c>
      <c r="C211" t="str">
        <v>Fault Diagnosis And Failure Tolerance</v>
      </c>
      <c r="D211">
        <v>60</v>
      </c>
      <c r="E211" t="s">
        <v>196</v>
      </c>
      <c r="F211" t="s">
        <v>197</v>
      </c>
    </row>
    <row r="212" spans="1:6" x14ac:dyDescent="0.35">
      <c r="A212" t="str">
        <f t="shared" si="3"/>
        <v>COE 486,ED4-COE</v>
      </c>
      <c r="B212" t="s">
        <v>697</v>
      </c>
      <c r="C212" t="str">
        <v>VLSI Circuit Design</v>
      </c>
      <c r="D212">
        <v>14</v>
      </c>
      <c r="E212" t="s">
        <v>196</v>
      </c>
      <c r="F212" t="s">
        <v>393</v>
      </c>
    </row>
    <row r="213" spans="1:6" x14ac:dyDescent="0.35">
      <c r="A213" t="str">
        <f t="shared" si="3"/>
        <v>ME 492,ED4-COE</v>
      </c>
      <c r="B213" t="s">
        <v>423</v>
      </c>
      <c r="C213" t="str">
        <v>Management And Entrepreneurship Development</v>
      </c>
      <c r="D213">
        <v>211</v>
      </c>
      <c r="E213" t="s">
        <v>196</v>
      </c>
      <c r="F213" t="s">
        <v>424</v>
      </c>
    </row>
    <row r="214" spans="1:6" x14ac:dyDescent="0.35">
      <c r="A214" t="str">
        <f t="shared" si="3"/>
        <v>COE 482,ED4-COE</v>
      </c>
      <c r="B214" t="s">
        <v>695</v>
      </c>
      <c r="C214" t="str">
        <v>Digital Control Systems</v>
      </c>
      <c r="D214">
        <v>211</v>
      </c>
      <c r="E214" t="s">
        <v>196</v>
      </c>
      <c r="F214" t="s">
        <v>696</v>
      </c>
    </row>
    <row r="215" spans="1:6" x14ac:dyDescent="0.35">
      <c r="A215" t="str">
        <f t="shared" si="3"/>
        <v>EE 158,ED1-EE</v>
      </c>
      <c r="B215" t="s">
        <v>1207</v>
      </c>
      <c r="C215" t="str">
        <v>Intro to Python &amp; Computer Networking</v>
      </c>
      <c r="D215">
        <v>378</v>
      </c>
      <c r="E215" t="s">
        <v>25</v>
      </c>
      <c r="F215" t="s">
        <v>694</v>
      </c>
    </row>
    <row r="216" spans="1:6" x14ac:dyDescent="0.35">
      <c r="A216" t="str">
        <f t="shared" si="3"/>
        <v>EE 152,ED1-EE</v>
      </c>
      <c r="B216" t="s">
        <v>456</v>
      </c>
      <c r="C216" t="str">
        <v>Basic Electronics</v>
      </c>
      <c r="D216">
        <v>378</v>
      </c>
      <c r="E216" t="s">
        <v>25</v>
      </c>
      <c r="F216" t="s">
        <v>321</v>
      </c>
    </row>
    <row r="217" spans="1:6" x14ac:dyDescent="0.35">
      <c r="A217" t="str">
        <f t="shared" si="3"/>
        <v>EE 166,ED1-EE</v>
      </c>
      <c r="B217" t="s">
        <v>692</v>
      </c>
      <c r="C217" t="str">
        <v>CIRCUIT THEORY</v>
      </c>
      <c r="D217">
        <v>378</v>
      </c>
      <c r="E217" t="s">
        <v>25</v>
      </c>
      <c r="F217" t="s">
        <v>693</v>
      </c>
    </row>
    <row r="218" spans="1:6" x14ac:dyDescent="0.35">
      <c r="A218" t="str">
        <f t="shared" si="3"/>
        <v>EE 188,ED1-EE</v>
      </c>
      <c r="B218" t="s">
        <v>691</v>
      </c>
      <c r="C218" t="str">
        <v>ELECTRICAL MEASUREMENTS &amp; INSTRUMENTATION</v>
      </c>
      <c r="D218">
        <v>378</v>
      </c>
      <c r="E218" t="s">
        <v>25</v>
      </c>
      <c r="F218" t="s">
        <v>169</v>
      </c>
    </row>
    <row r="219" spans="1:6" x14ac:dyDescent="0.35">
      <c r="A219" t="str">
        <f t="shared" si="3"/>
        <v>ENGL 158,ED1-EE</v>
      </c>
      <c r="B219" t="s">
        <v>454</v>
      </c>
      <c r="C219" t="str">
        <v>Communication Skills II</v>
      </c>
      <c r="D219">
        <v>378</v>
      </c>
      <c r="E219" t="s">
        <v>25</v>
      </c>
      <c r="F219" t="s">
        <v>376</v>
      </c>
    </row>
    <row r="220" spans="1:6" x14ac:dyDescent="0.35">
      <c r="A220" t="str">
        <f t="shared" si="3"/>
        <v>MATH 152,ED1-EE</v>
      </c>
      <c r="B220" t="s">
        <v>453</v>
      </c>
      <c r="C220" t="str">
        <v>Calculus With Analysis</v>
      </c>
      <c r="D220">
        <v>378</v>
      </c>
      <c r="E220" t="s">
        <v>25</v>
      </c>
      <c r="F220" t="s">
        <v>190</v>
      </c>
    </row>
    <row r="221" spans="1:6" x14ac:dyDescent="0.35">
      <c r="A221" t="str">
        <f t="shared" si="3"/>
        <v>EE 156,ED1-EE</v>
      </c>
      <c r="B221" t="s">
        <v>720</v>
      </c>
      <c r="C221" t="str">
        <v>Electrical Eng. Drawing</v>
      </c>
      <c r="D221">
        <v>378</v>
      </c>
      <c r="E221" t="s">
        <v>25</v>
      </c>
      <c r="F221" t="s">
        <v>226</v>
      </c>
    </row>
    <row r="222" spans="1:6" x14ac:dyDescent="0.35">
      <c r="A222" t="str">
        <f t="shared" si="3"/>
        <v>ME 166,ED1-EE</v>
      </c>
      <c r="B222" t="s">
        <v>690</v>
      </c>
      <c r="C222" t="str">
        <v>Applied Thermodynamics I</v>
      </c>
      <c r="D222">
        <v>378</v>
      </c>
      <c r="E222" t="s">
        <v>25</v>
      </c>
      <c r="F222" t="s">
        <v>267</v>
      </c>
    </row>
    <row r="223" spans="1:6" x14ac:dyDescent="0.35">
      <c r="A223" t="str">
        <f t="shared" si="3"/>
        <v>ECON 152,ED2-EE</v>
      </c>
      <c r="B223" t="s">
        <v>445</v>
      </c>
      <c r="C223" t="str">
        <v>Introductory Economics II</v>
      </c>
      <c r="D223">
        <v>60</v>
      </c>
      <c r="E223" t="s">
        <v>46</v>
      </c>
      <c r="F223" t="s">
        <v>229</v>
      </c>
    </row>
    <row r="224" spans="1:6" x14ac:dyDescent="0.35">
      <c r="A224" t="str">
        <f t="shared" si="3"/>
        <v>EE 262,ED2-EE</v>
      </c>
      <c r="B224" t="s">
        <v>689</v>
      </c>
      <c r="C224" t="str">
        <v>Synchronous Machines</v>
      </c>
      <c r="D224">
        <v>256</v>
      </c>
      <c r="E224" t="s">
        <v>46</v>
      </c>
      <c r="F224" t="s">
        <v>403</v>
      </c>
    </row>
    <row r="225" spans="1:6" x14ac:dyDescent="0.35">
      <c r="A225" t="str">
        <f t="shared" si="3"/>
        <v>EE 272,ED2-EE</v>
      </c>
      <c r="B225" t="s">
        <v>688</v>
      </c>
      <c r="C225" t="str">
        <v>Digital Systems</v>
      </c>
      <c r="D225">
        <v>256</v>
      </c>
      <c r="E225" t="s">
        <v>46</v>
      </c>
      <c r="F225" t="s">
        <v>266</v>
      </c>
    </row>
    <row r="226" spans="1:6" x14ac:dyDescent="0.35">
      <c r="A226" t="str">
        <f t="shared" si="3"/>
        <v>EE 288,ED2-EE</v>
      </c>
      <c r="B226" t="s">
        <v>687</v>
      </c>
      <c r="C226" t="str">
        <v>Electrical Measurements And Instrumentation</v>
      </c>
      <c r="D226">
        <v>256</v>
      </c>
      <c r="E226" t="s">
        <v>46</v>
      </c>
      <c r="F226" t="s">
        <v>83</v>
      </c>
    </row>
    <row r="227" spans="1:6" x14ac:dyDescent="0.35">
      <c r="A227" t="str">
        <f t="shared" si="3"/>
        <v>EE 292,ED2-EE</v>
      </c>
      <c r="B227" t="s">
        <v>685</v>
      </c>
      <c r="C227" t="str">
        <v>Electrical Engineering Lab. II</v>
      </c>
      <c r="D227">
        <v>256</v>
      </c>
      <c r="E227" t="s">
        <v>46</v>
      </c>
      <c r="F227" t="s">
        <v>686</v>
      </c>
    </row>
    <row r="228" spans="1:6" x14ac:dyDescent="0.35">
      <c r="A228" t="str">
        <f t="shared" si="3"/>
        <v>FC 182,ED2-EE</v>
      </c>
      <c r="B228" t="s">
        <v>444</v>
      </c>
      <c r="C228" t="str">
        <v>French For Communication II</v>
      </c>
      <c r="D228">
        <v>154</v>
      </c>
      <c r="E228" t="s">
        <v>46</v>
      </c>
      <c r="F228" t="s">
        <v>41</v>
      </c>
    </row>
    <row r="229" spans="1:6" x14ac:dyDescent="0.35">
      <c r="A229" t="str">
        <f t="shared" si="3"/>
        <v>MATH 252,ED2-EE</v>
      </c>
      <c r="B229" t="s">
        <v>443</v>
      </c>
      <c r="C229" t="str">
        <v>Calculus With Several Variables</v>
      </c>
      <c r="D229">
        <v>256</v>
      </c>
      <c r="E229" t="s">
        <v>46</v>
      </c>
      <c r="F229" t="s">
        <v>112</v>
      </c>
    </row>
    <row r="230" spans="1:6" x14ac:dyDescent="0.35">
      <c r="A230" t="str">
        <f t="shared" si="3"/>
        <v>TE 262,ED2-EE</v>
      </c>
      <c r="B230" t="s">
        <v>684</v>
      </c>
      <c r="C230" t="str">
        <v>Electromagnetic Field Theory</v>
      </c>
      <c r="D230">
        <v>256</v>
      </c>
      <c r="E230" t="s">
        <v>46</v>
      </c>
      <c r="F230" t="s">
        <v>119</v>
      </c>
    </row>
    <row r="231" spans="1:6" x14ac:dyDescent="0.35">
      <c r="A231" t="s">
        <v>1871</v>
      </c>
      <c r="B231" t="s">
        <v>1872</v>
      </c>
      <c r="C231" t="str">
        <v>Digital Computer Design</v>
      </c>
      <c r="D231">
        <v>29</v>
      </c>
      <c r="E231" t="s">
        <v>67</v>
      </c>
      <c r="F231" t="s">
        <v>396</v>
      </c>
    </row>
    <row r="232" spans="1:6" x14ac:dyDescent="0.35">
      <c r="A232" t="str">
        <f t="shared" si="3"/>
        <v>EE 360,ED3-EE</v>
      </c>
      <c r="B232" t="s">
        <v>683</v>
      </c>
      <c r="C232" t="str">
        <v>High Voltage Engineering</v>
      </c>
      <c r="D232">
        <v>126</v>
      </c>
      <c r="E232" t="s">
        <v>67</v>
      </c>
      <c r="F232" t="s">
        <v>308</v>
      </c>
    </row>
    <row r="233" spans="1:6" x14ac:dyDescent="0.35">
      <c r="A233" t="str">
        <f t="shared" si="3"/>
        <v>EE 362,ED3-EE</v>
      </c>
      <c r="B233" t="s">
        <v>682</v>
      </c>
      <c r="C233" t="str">
        <v>Substations And Transmission Line Design</v>
      </c>
      <c r="D233">
        <v>226</v>
      </c>
      <c r="E233" t="s">
        <v>67</v>
      </c>
      <c r="F233" t="s">
        <v>133</v>
      </c>
    </row>
    <row r="234" spans="1:6" x14ac:dyDescent="0.35">
      <c r="A234" t="str">
        <f t="shared" si="3"/>
        <v>EE 366,ED3-EE</v>
      </c>
      <c r="B234" t="s">
        <v>681</v>
      </c>
      <c r="C234" t="str">
        <v>Power Electronics</v>
      </c>
      <c r="D234">
        <v>226</v>
      </c>
      <c r="E234" t="s">
        <v>67</v>
      </c>
      <c r="F234" t="s">
        <v>235</v>
      </c>
    </row>
    <row r="235" spans="1:6" x14ac:dyDescent="0.35">
      <c r="A235" t="str">
        <f t="shared" si="3"/>
        <v>EE 368,ED3-EE</v>
      </c>
      <c r="B235" t="s">
        <v>680</v>
      </c>
      <c r="C235" t="str">
        <v>Power Systems Analysis</v>
      </c>
      <c r="D235">
        <v>226</v>
      </c>
      <c r="E235" t="s">
        <v>67</v>
      </c>
      <c r="F235" t="s">
        <v>68</v>
      </c>
    </row>
    <row r="236" spans="1:6" x14ac:dyDescent="0.35">
      <c r="A236" t="str">
        <f t="shared" si="3"/>
        <v>EE 380,ED3-EE</v>
      </c>
      <c r="B236" t="s">
        <v>678</v>
      </c>
      <c r="C236" t="str">
        <v>Digital Control Systems</v>
      </c>
      <c r="D236">
        <v>64</v>
      </c>
      <c r="E236" t="s">
        <v>67</v>
      </c>
      <c r="F236" t="s">
        <v>679</v>
      </c>
    </row>
    <row r="237" spans="1:6" x14ac:dyDescent="0.35">
      <c r="A237" t="str">
        <f t="shared" si="3"/>
        <v>EE 392,ED3-EE</v>
      </c>
      <c r="B237" t="s">
        <v>676</v>
      </c>
      <c r="C237" t="str">
        <v>Electrical Engineering Lab. III</v>
      </c>
      <c r="D237">
        <v>226</v>
      </c>
      <c r="E237" t="s">
        <v>67</v>
      </c>
      <c r="F237" t="s">
        <v>677</v>
      </c>
    </row>
    <row r="238" spans="1:6" x14ac:dyDescent="0.35">
      <c r="A238" t="str">
        <f t="shared" si="3"/>
        <v>TE 372,ED3-EE</v>
      </c>
      <c r="B238" t="s">
        <v>675</v>
      </c>
      <c r="C238" t="str">
        <v>Antennas And Propagation</v>
      </c>
      <c r="D238">
        <v>104</v>
      </c>
      <c r="E238" t="s">
        <v>67</v>
      </c>
      <c r="F238" t="s">
        <v>401</v>
      </c>
    </row>
    <row r="239" spans="1:6" x14ac:dyDescent="0.35">
      <c r="A239" t="str">
        <f t="shared" si="3"/>
        <v>TE 384,ED3-EE</v>
      </c>
      <c r="B239" t="s">
        <v>429</v>
      </c>
      <c r="C239" t="str">
        <v>Switching Engineering In Communication</v>
      </c>
      <c r="D239">
        <v>14</v>
      </c>
      <c r="E239" t="s">
        <v>67</v>
      </c>
      <c r="F239" t="s">
        <v>332</v>
      </c>
    </row>
    <row r="240" spans="1:6" x14ac:dyDescent="0.35">
      <c r="A240" t="str">
        <f t="shared" si="3"/>
        <v>TE 356,ED3-TEL</v>
      </c>
      <c r="B240" t="s">
        <v>429</v>
      </c>
      <c r="C240" t="str">
        <v>Switching Engineering In Communication</v>
      </c>
      <c r="D240">
        <v>103</v>
      </c>
      <c r="E240" t="s">
        <v>10</v>
      </c>
      <c r="F240" t="s">
        <v>1381</v>
      </c>
    </row>
    <row r="241" spans="1:6" x14ac:dyDescent="0.35">
      <c r="A241" t="str">
        <f t="shared" si="3"/>
        <v>TE 386,ED3-EE</v>
      </c>
      <c r="B241" t="s">
        <v>428</v>
      </c>
      <c r="C241" t="str">
        <v>Digital Communication Systems</v>
      </c>
      <c r="D241">
        <v>230</v>
      </c>
      <c r="E241" t="s">
        <v>67</v>
      </c>
      <c r="F241" t="s">
        <v>272</v>
      </c>
    </row>
    <row r="242" spans="1:6" x14ac:dyDescent="0.35">
      <c r="A242" t="str">
        <f t="shared" si="3"/>
        <v>COE 484,ED4-EE</v>
      </c>
      <c r="B242" t="s">
        <v>674</v>
      </c>
      <c r="C242" t="str">
        <v>Industrial Automatic Control</v>
      </c>
      <c r="D242">
        <v>200</v>
      </c>
      <c r="E242" t="s">
        <v>57</v>
      </c>
      <c r="F242" t="s">
        <v>283</v>
      </c>
    </row>
    <row r="243" spans="1:6" x14ac:dyDescent="0.35">
      <c r="A243" t="str">
        <f t="shared" si="3"/>
        <v>COE 486,ED4-EE</v>
      </c>
      <c r="B243" t="s">
        <v>673</v>
      </c>
      <c r="C243" t="str">
        <v>Introduction To VLSI</v>
      </c>
      <c r="D243">
        <v>7</v>
      </c>
      <c r="E243" t="s">
        <v>57</v>
      </c>
      <c r="F243" t="s">
        <v>393</v>
      </c>
    </row>
    <row r="244" spans="1:6" x14ac:dyDescent="0.35">
      <c r="A244" t="str">
        <f t="shared" si="3"/>
        <v>EE 462,ED4-EE</v>
      </c>
      <c r="B244" t="s">
        <v>672</v>
      </c>
      <c r="C244" t="str">
        <v>Electric DrIVes</v>
      </c>
      <c r="D244">
        <v>137</v>
      </c>
      <c r="E244" t="s">
        <v>57</v>
      </c>
      <c r="F244" t="s">
        <v>316</v>
      </c>
    </row>
    <row r="245" spans="1:6" x14ac:dyDescent="0.35">
      <c r="A245" t="str">
        <f t="shared" si="3"/>
        <v>EE 466,ED4-EE</v>
      </c>
      <c r="B245" t="s">
        <v>670</v>
      </c>
      <c r="C245" t="str">
        <v>Power Systems Planning And Optimization</v>
      </c>
      <c r="D245">
        <v>200</v>
      </c>
      <c r="E245" t="s">
        <v>57</v>
      </c>
      <c r="F245" t="s">
        <v>671</v>
      </c>
    </row>
    <row r="246" spans="1:6" x14ac:dyDescent="0.35">
      <c r="A246" t="str">
        <f t="shared" si="3"/>
        <v>EE 468,ED4-EE</v>
      </c>
      <c r="B246" t="s">
        <v>669</v>
      </c>
      <c r="C246" t="str">
        <v>Power Systems Protection</v>
      </c>
      <c r="D246">
        <v>200</v>
      </c>
      <c r="E246" t="s">
        <v>57</v>
      </c>
      <c r="F246" t="s">
        <v>352</v>
      </c>
    </row>
    <row r="247" spans="1:6" x14ac:dyDescent="0.35">
      <c r="A247" t="str">
        <f t="shared" si="3"/>
        <v>EE 472,ED4-EE</v>
      </c>
      <c r="B247" t="s">
        <v>425</v>
      </c>
      <c r="C247" t="str">
        <v>Digital Signal Processing</v>
      </c>
      <c r="D247">
        <v>17</v>
      </c>
      <c r="E247" t="s">
        <v>57</v>
      </c>
      <c r="F247" t="s">
        <v>144</v>
      </c>
    </row>
    <row r="248" spans="1:6" x14ac:dyDescent="0.35">
      <c r="A248" t="str">
        <f t="shared" si="3"/>
        <v>ME 492,ED4-EE</v>
      </c>
      <c r="B248" t="s">
        <v>668</v>
      </c>
      <c r="C248" t="str">
        <v>Entrepreneurship Development And Management</v>
      </c>
      <c r="D248">
        <v>200</v>
      </c>
      <c r="E248" t="s">
        <v>57</v>
      </c>
      <c r="F248" t="s">
        <v>424</v>
      </c>
    </row>
    <row r="249" spans="1:6" s="31" customFormat="1" x14ac:dyDescent="0.35">
      <c r="A249" s="31" t="str">
        <f t="shared" si="3"/>
        <v>TE 472,ED4-EE</v>
      </c>
      <c r="B249" s="31" t="s">
        <v>421</v>
      </c>
      <c r="C249" s="31" t="str">
        <v>Mobile And Satellite Communication System</v>
      </c>
      <c r="D249" s="31">
        <v>4</v>
      </c>
      <c r="E249" s="31" t="s">
        <v>57</v>
      </c>
      <c r="F249" s="31" t="s">
        <v>56</v>
      </c>
    </row>
    <row r="250" spans="1:6" x14ac:dyDescent="0.35">
      <c r="A250" t="str">
        <f t="shared" si="3"/>
        <v>CE 156,ED1-GEOL</v>
      </c>
      <c r="B250" t="s">
        <v>667</v>
      </c>
      <c r="C250" t="str">
        <v>Elementary Fluids Mechanics</v>
      </c>
      <c r="D250">
        <v>156</v>
      </c>
      <c r="E250" t="s">
        <v>45</v>
      </c>
      <c r="F250" t="s">
        <v>295</v>
      </c>
    </row>
    <row r="251" spans="1:6" x14ac:dyDescent="0.35">
      <c r="A251" t="str">
        <f t="shared" si="3"/>
        <v>CE 164,ED1-GEOL</v>
      </c>
      <c r="B251" t="s">
        <v>666</v>
      </c>
      <c r="C251" t="str">
        <v>CIVil Engineering Drawing</v>
      </c>
      <c r="D251">
        <v>156</v>
      </c>
      <c r="E251" t="s">
        <v>45</v>
      </c>
      <c r="F251" t="s">
        <v>212</v>
      </c>
    </row>
    <row r="252" spans="1:6" x14ac:dyDescent="0.35">
      <c r="A252" t="str">
        <f t="shared" si="3"/>
        <v>CSM 158,ED1-GEOL</v>
      </c>
      <c r="B252" t="s">
        <v>665</v>
      </c>
      <c r="C252" t="str">
        <v>Principles Of Accounting II</v>
      </c>
      <c r="D252">
        <v>27</v>
      </c>
      <c r="E252" t="s">
        <v>45</v>
      </c>
      <c r="F252" t="s">
        <v>635</v>
      </c>
    </row>
    <row r="253" spans="1:6" x14ac:dyDescent="0.35">
      <c r="A253" t="str">
        <f t="shared" si="3"/>
        <v>ECON 152,ED1-GEOL</v>
      </c>
      <c r="B253" t="s">
        <v>445</v>
      </c>
      <c r="C253" t="str">
        <v>Introductory Economics II</v>
      </c>
      <c r="D253">
        <v>27</v>
      </c>
      <c r="E253" t="s">
        <v>45</v>
      </c>
      <c r="F253" t="s">
        <v>229</v>
      </c>
    </row>
    <row r="254" spans="1:6" x14ac:dyDescent="0.35">
      <c r="A254" t="str">
        <f t="shared" si="3"/>
        <v>EE 152,ED1-GEOL</v>
      </c>
      <c r="B254" t="s">
        <v>456</v>
      </c>
      <c r="C254" t="str">
        <v>Basic Electronics</v>
      </c>
      <c r="D254">
        <v>156</v>
      </c>
      <c r="E254" t="s">
        <v>45</v>
      </c>
      <c r="F254" t="s">
        <v>321</v>
      </c>
    </row>
    <row r="255" spans="1:6" x14ac:dyDescent="0.35">
      <c r="A255" t="str">
        <f t="shared" si="3"/>
        <v>ENGL 158,ED1-GEOL</v>
      </c>
      <c r="B255" t="s">
        <v>454</v>
      </c>
      <c r="C255" t="str">
        <v>Communication Skills II</v>
      </c>
      <c r="D255">
        <v>156</v>
      </c>
      <c r="E255" t="s">
        <v>45</v>
      </c>
      <c r="F255" t="s">
        <v>376</v>
      </c>
    </row>
    <row r="256" spans="1:6" x14ac:dyDescent="0.35">
      <c r="A256" t="str">
        <f t="shared" si="3"/>
        <v>FC 182,ED1-GEOL</v>
      </c>
      <c r="B256" t="s">
        <v>444</v>
      </c>
      <c r="C256" t="str">
        <v>French For Communication II</v>
      </c>
      <c r="D256">
        <v>94</v>
      </c>
      <c r="E256" t="s">
        <v>45</v>
      </c>
      <c r="F256" t="s">
        <v>41</v>
      </c>
    </row>
    <row r="257" spans="1:6" x14ac:dyDescent="0.35">
      <c r="A257" t="str">
        <f t="shared" si="3"/>
        <v>GED 152,ED1-GEOL</v>
      </c>
      <c r="B257" t="s">
        <v>664</v>
      </c>
      <c r="C257" t="str">
        <v>Basic Mineral Science</v>
      </c>
      <c r="D257">
        <v>156</v>
      </c>
      <c r="E257" t="s">
        <v>45</v>
      </c>
      <c r="F257" t="s">
        <v>210</v>
      </c>
    </row>
    <row r="258" spans="1:6" x14ac:dyDescent="0.35">
      <c r="A258" t="str">
        <f t="shared" si="3"/>
        <v>GED 164,ED1-GEOL</v>
      </c>
      <c r="B258" t="s">
        <v>663</v>
      </c>
      <c r="C258" t="str">
        <v>Computer Applications</v>
      </c>
      <c r="D258">
        <v>156</v>
      </c>
      <c r="E258" t="s">
        <v>45</v>
      </c>
      <c r="F258" t="s">
        <v>349</v>
      </c>
    </row>
    <row r="259" spans="1:6" x14ac:dyDescent="0.35">
      <c r="A259" t="str">
        <f t="shared" si="3"/>
        <v>MATH 152,ED1-GEOL</v>
      </c>
      <c r="B259" t="s">
        <v>443</v>
      </c>
      <c r="C259" t="str">
        <v>Calculus With Several Variables</v>
      </c>
      <c r="D259">
        <v>156</v>
      </c>
      <c r="E259" t="s">
        <v>45</v>
      </c>
      <c r="F259" t="s">
        <v>190</v>
      </c>
    </row>
    <row r="260" spans="1:6" x14ac:dyDescent="0.35">
      <c r="A260" t="str">
        <f t="shared" si="3"/>
        <v>CE 256,ED2-GEOL</v>
      </c>
      <c r="B260" t="s">
        <v>662</v>
      </c>
      <c r="C260" t="str">
        <v>Fluid Mechanics</v>
      </c>
      <c r="D260">
        <v>156</v>
      </c>
      <c r="E260" t="s">
        <v>62</v>
      </c>
      <c r="F260" t="s">
        <v>320</v>
      </c>
    </row>
    <row r="261" spans="1:6" x14ac:dyDescent="0.35">
      <c r="A261" t="str">
        <f t="shared" si="3"/>
        <v>GE 282,ED2-GEOL</v>
      </c>
      <c r="B261" t="s">
        <v>641</v>
      </c>
      <c r="C261" t="str">
        <v>Large Scale Surveying</v>
      </c>
      <c r="D261">
        <v>156</v>
      </c>
      <c r="E261" t="s">
        <v>62</v>
      </c>
      <c r="F261" t="s">
        <v>63</v>
      </c>
    </row>
    <row r="262" spans="1:6" x14ac:dyDescent="0.35">
      <c r="A262" t="str">
        <f t="shared" si="3"/>
        <v>GED 252,ED2-GEOL</v>
      </c>
      <c r="B262" t="s">
        <v>661</v>
      </c>
      <c r="C262" t="str">
        <v>Stratigraphy</v>
      </c>
      <c r="D262">
        <v>156</v>
      </c>
      <c r="E262" t="s">
        <v>62</v>
      </c>
      <c r="F262" t="s">
        <v>384</v>
      </c>
    </row>
    <row r="263" spans="1:6" x14ac:dyDescent="0.35">
      <c r="A263" t="str">
        <f t="shared" si="3"/>
        <v>GED 254,ED2-GEOL</v>
      </c>
      <c r="B263" t="s">
        <v>660</v>
      </c>
      <c r="C263" t="str">
        <v>Rock Engineering</v>
      </c>
      <c r="D263">
        <v>156</v>
      </c>
      <c r="E263" t="s">
        <v>62</v>
      </c>
      <c r="F263" t="s">
        <v>232</v>
      </c>
    </row>
    <row r="264" spans="1:6" x14ac:dyDescent="0.35">
      <c r="A264" t="str">
        <f t="shared" si="3"/>
        <v>GED 258,ED2-GEOL</v>
      </c>
      <c r="B264" t="s">
        <v>659</v>
      </c>
      <c r="C264" t="str">
        <v>Optical Mineralogy</v>
      </c>
      <c r="D264">
        <v>156</v>
      </c>
      <c r="E264" t="s">
        <v>62</v>
      </c>
      <c r="F264" t="s">
        <v>140</v>
      </c>
    </row>
    <row r="265" spans="1:6" x14ac:dyDescent="0.35">
      <c r="A265" t="str">
        <f t="shared" si="3"/>
        <v>GED 262,ED2-GEOL</v>
      </c>
      <c r="B265" t="s">
        <v>658</v>
      </c>
      <c r="C265" t="str">
        <v>Introduction To Soil Mechanics</v>
      </c>
      <c r="D265">
        <v>156</v>
      </c>
      <c r="E265" t="s">
        <v>62</v>
      </c>
      <c r="F265" t="s">
        <v>353</v>
      </c>
    </row>
    <row r="266" spans="1:6" x14ac:dyDescent="0.35">
      <c r="A266" t="str">
        <f t="shared" si="3"/>
        <v>MATH 252,ED2-GEOL</v>
      </c>
      <c r="B266" t="s">
        <v>657</v>
      </c>
      <c r="C266" t="str">
        <v>Analysis IV</v>
      </c>
      <c r="D266">
        <v>156</v>
      </c>
      <c r="E266" t="s">
        <v>62</v>
      </c>
      <c r="F266" t="s">
        <v>112</v>
      </c>
    </row>
    <row r="267" spans="1:6" x14ac:dyDescent="0.35">
      <c r="A267" t="str">
        <f t="shared" si="3"/>
        <v>GED 342,ED3-GEOL</v>
      </c>
      <c r="B267" t="s">
        <v>656</v>
      </c>
      <c r="C267" t="str">
        <v>Mining Principles</v>
      </c>
      <c r="D267">
        <v>105</v>
      </c>
      <c r="E267" t="s">
        <v>217</v>
      </c>
      <c r="F267" t="s">
        <v>258</v>
      </c>
    </row>
    <row r="268" spans="1:6" x14ac:dyDescent="0.35">
      <c r="A268" t="str">
        <f t="shared" ref="A268:A332" si="4">CONCATENATE(F268,",",E268)</f>
        <v>GED 352,ED3-GEOL</v>
      </c>
      <c r="B268" t="s">
        <v>655</v>
      </c>
      <c r="C268" t="str">
        <v>Principles Of Geochemistry</v>
      </c>
      <c r="D268">
        <v>105</v>
      </c>
      <c r="E268" t="s">
        <v>217</v>
      </c>
      <c r="F268" t="s">
        <v>313</v>
      </c>
    </row>
    <row r="269" spans="1:6" x14ac:dyDescent="0.35">
      <c r="A269" t="str">
        <f t="shared" si="4"/>
        <v>GED 354,ED3-GEOL</v>
      </c>
      <c r="B269" t="s">
        <v>654</v>
      </c>
      <c r="C269" t="str">
        <v>Principles Of Geophysics</v>
      </c>
      <c r="D269">
        <v>105</v>
      </c>
      <c r="E269" t="s">
        <v>217</v>
      </c>
      <c r="F269" t="s">
        <v>343</v>
      </c>
    </row>
    <row r="270" spans="1:6" x14ac:dyDescent="0.35">
      <c r="A270" t="str">
        <f t="shared" si="4"/>
        <v>GED 364,ED3-GEOL</v>
      </c>
      <c r="B270" t="s">
        <v>653</v>
      </c>
      <c r="C270" t="str">
        <v>Structural Geology</v>
      </c>
      <c r="D270">
        <v>105</v>
      </c>
      <c r="E270" t="s">
        <v>217</v>
      </c>
      <c r="F270" t="s">
        <v>276</v>
      </c>
    </row>
    <row r="271" spans="1:6" x14ac:dyDescent="0.35">
      <c r="A271" t="str">
        <f t="shared" si="4"/>
        <v>GED 366,ED3-GEOL</v>
      </c>
      <c r="B271" t="s">
        <v>652</v>
      </c>
      <c r="C271" t="str">
        <v>Mineral Economics And Evaluation</v>
      </c>
      <c r="D271">
        <v>105</v>
      </c>
      <c r="E271" t="s">
        <v>217</v>
      </c>
      <c r="F271" t="s">
        <v>218</v>
      </c>
    </row>
    <row r="272" spans="1:6" x14ac:dyDescent="0.35">
      <c r="A272" t="str">
        <f>CONCATENATE(F272,",",E272)</f>
        <v>GED 368,ED3-GEOL</v>
      </c>
      <c r="B272" t="s">
        <v>650</v>
      </c>
      <c r="C272" t="str">
        <v>Gis Applications</v>
      </c>
      <c r="D272">
        <v>105</v>
      </c>
      <c r="E272" t="s">
        <v>217</v>
      </c>
      <c r="F272" t="s">
        <v>1416</v>
      </c>
    </row>
    <row r="273" spans="1:6" x14ac:dyDescent="0.35">
      <c r="A273" t="str">
        <f t="shared" si="4"/>
        <v>GED 368(B),ED3-GEOL</v>
      </c>
      <c r="B273" t="s">
        <v>650</v>
      </c>
      <c r="C273" t="e">
        <v>#N/A</v>
      </c>
      <c r="D273">
        <v>75</v>
      </c>
      <c r="E273" t="s">
        <v>217</v>
      </c>
      <c r="F273" t="s">
        <v>651</v>
      </c>
    </row>
    <row r="274" spans="1:6" x14ac:dyDescent="0.35">
      <c r="A274" t="str">
        <f t="shared" si="4"/>
        <v>GED 370,ED3-GEOL</v>
      </c>
      <c r="B274" t="s">
        <v>649</v>
      </c>
      <c r="C274" t="str">
        <v>Foundation Engineering</v>
      </c>
      <c r="D274">
        <v>105</v>
      </c>
      <c r="E274" t="s">
        <v>217</v>
      </c>
      <c r="F274" t="s">
        <v>368</v>
      </c>
    </row>
    <row r="275" spans="1:6" x14ac:dyDescent="0.35">
      <c r="A275" t="str">
        <f t="shared" si="4"/>
        <v>CE 478,ED4-GEOL</v>
      </c>
      <c r="B275" t="s">
        <v>648</v>
      </c>
      <c r="C275" t="str">
        <v>Ground Engineering</v>
      </c>
      <c r="D275">
        <v>2</v>
      </c>
      <c r="E275" t="s">
        <v>8</v>
      </c>
      <c r="F275" t="s">
        <v>256</v>
      </c>
    </row>
    <row r="276" spans="1:6" x14ac:dyDescent="0.35">
      <c r="A276" t="str">
        <f t="shared" si="4"/>
        <v>GED 452,ED4-GEOL</v>
      </c>
      <c r="B276" t="s">
        <v>647</v>
      </c>
      <c r="C276" t="str">
        <v>Advanced Engineering Geology</v>
      </c>
      <c r="D276">
        <v>142</v>
      </c>
      <c r="E276" t="s">
        <v>8</v>
      </c>
      <c r="F276" t="s">
        <v>346</v>
      </c>
    </row>
    <row r="277" spans="1:6" x14ac:dyDescent="0.35">
      <c r="A277" t="str">
        <f t="shared" si="4"/>
        <v>GED 454,ED4-GEOL</v>
      </c>
      <c r="B277" t="s">
        <v>646</v>
      </c>
      <c r="C277" t="str">
        <v>Environmental Geology</v>
      </c>
      <c r="D277">
        <v>142</v>
      </c>
      <c r="E277" t="s">
        <v>8</v>
      </c>
      <c r="F277" t="s">
        <v>291</v>
      </c>
    </row>
    <row r="278" spans="1:6" x14ac:dyDescent="0.35">
      <c r="A278" t="str">
        <f t="shared" si="4"/>
        <v>GED 462,ED4-GEOL</v>
      </c>
      <c r="B278" t="s">
        <v>645</v>
      </c>
      <c r="C278" t="str">
        <v>Economic Geology</v>
      </c>
      <c r="D278">
        <v>142</v>
      </c>
      <c r="E278" t="s">
        <v>8</v>
      </c>
      <c r="F278" t="s">
        <v>167</v>
      </c>
    </row>
    <row r="279" spans="1:6" x14ac:dyDescent="0.35">
      <c r="A279" t="str">
        <f t="shared" si="4"/>
        <v>GED 464,ED4-GEOL</v>
      </c>
      <c r="B279" t="s">
        <v>644</v>
      </c>
      <c r="C279" t="str">
        <v>Engineering Management</v>
      </c>
      <c r="D279">
        <v>142</v>
      </c>
      <c r="E279" t="s">
        <v>8</v>
      </c>
      <c r="F279" t="s">
        <v>9</v>
      </c>
    </row>
    <row r="280" spans="1:6" x14ac:dyDescent="0.35">
      <c r="A280" t="str">
        <f t="shared" si="4"/>
        <v>GED 466,ED4-GEOL</v>
      </c>
      <c r="B280" t="s">
        <v>477</v>
      </c>
      <c r="C280" t="str">
        <v>Petroleum Geology</v>
      </c>
      <c r="D280">
        <v>52</v>
      </c>
      <c r="E280" t="s">
        <v>8</v>
      </c>
      <c r="F280" t="s">
        <v>100</v>
      </c>
    </row>
    <row r="281" spans="1:6" x14ac:dyDescent="0.35">
      <c r="A281" t="str">
        <f t="shared" si="4"/>
        <v>GED 468,ED4-GEOL</v>
      </c>
      <c r="B281" t="s">
        <v>470</v>
      </c>
      <c r="C281" t="str">
        <v>Geostatistics</v>
      </c>
      <c r="D281">
        <v>79</v>
      </c>
      <c r="E281" t="s">
        <v>8</v>
      </c>
      <c r="F281" t="s">
        <v>213</v>
      </c>
    </row>
    <row r="282" spans="1:6" x14ac:dyDescent="0.35">
      <c r="A282" t="str">
        <f t="shared" si="4"/>
        <v>GED 476,ED4-GEOL</v>
      </c>
      <c r="B282" t="s">
        <v>643</v>
      </c>
      <c r="C282" t="str">
        <v>Groundwater Development</v>
      </c>
      <c r="D282">
        <v>142</v>
      </c>
      <c r="E282" t="s">
        <v>8</v>
      </c>
      <c r="F282" t="s">
        <v>389</v>
      </c>
    </row>
    <row r="283" spans="1:6" x14ac:dyDescent="0.35">
      <c r="A283" t="str">
        <f t="shared" si="4"/>
        <v>EE 152,ED1-GEOM</v>
      </c>
      <c r="B283" t="s">
        <v>456</v>
      </c>
      <c r="C283" t="str">
        <v>Basic Electronics</v>
      </c>
      <c r="D283">
        <v>139</v>
      </c>
      <c r="E283" t="s">
        <v>23</v>
      </c>
      <c r="F283" t="s">
        <v>321</v>
      </c>
    </row>
    <row r="284" spans="1:6" x14ac:dyDescent="0.35">
      <c r="A284" t="str">
        <f t="shared" si="4"/>
        <v>ENGL 158,ED1-GEOM</v>
      </c>
      <c r="B284" t="s">
        <v>454</v>
      </c>
      <c r="C284" t="str">
        <v>Communication Skills II</v>
      </c>
      <c r="D284">
        <v>139</v>
      </c>
      <c r="E284" t="s">
        <v>23</v>
      </c>
      <c r="F284" t="s">
        <v>376</v>
      </c>
    </row>
    <row r="285" spans="1:6" x14ac:dyDescent="0.35">
      <c r="A285" t="str">
        <f t="shared" si="4"/>
        <v>GE 152,ED1-GEOM</v>
      </c>
      <c r="B285" t="s">
        <v>642</v>
      </c>
      <c r="C285" t="str">
        <v>Reproduction Cartography</v>
      </c>
      <c r="D285">
        <v>139</v>
      </c>
      <c r="E285" t="s">
        <v>23</v>
      </c>
      <c r="F285" t="s">
        <v>241</v>
      </c>
    </row>
    <row r="286" spans="1:6" x14ac:dyDescent="0.35">
      <c r="A286" t="str">
        <f t="shared" si="4"/>
        <v>GE 158,ED1-GEOM</v>
      </c>
      <c r="B286" t="s">
        <v>511</v>
      </c>
      <c r="C286" t="str">
        <v>Introduction To Information Technology</v>
      </c>
      <c r="D286">
        <v>139</v>
      </c>
      <c r="E286" t="s">
        <v>23</v>
      </c>
      <c r="F286" t="s">
        <v>24</v>
      </c>
    </row>
    <row r="287" spans="1:6" x14ac:dyDescent="0.35">
      <c r="A287" t="str">
        <f t="shared" si="4"/>
        <v>GE 162,ED1-GEOM</v>
      </c>
      <c r="B287" t="s">
        <v>641</v>
      </c>
      <c r="C287" t="str">
        <v>Large Scale Surveying</v>
      </c>
      <c r="D287">
        <v>139</v>
      </c>
      <c r="E287" t="s">
        <v>23</v>
      </c>
      <c r="F287" t="s">
        <v>338</v>
      </c>
    </row>
    <row r="288" spans="1:6" x14ac:dyDescent="0.35">
      <c r="A288" t="str">
        <f t="shared" si="4"/>
        <v>MATH 152,ED1-GEOM</v>
      </c>
      <c r="B288" t="s">
        <v>453</v>
      </c>
      <c r="C288" t="str">
        <v>Calculus With Analysis</v>
      </c>
      <c r="D288">
        <v>139</v>
      </c>
      <c r="E288" t="s">
        <v>23</v>
      </c>
      <c r="F288" t="s">
        <v>190</v>
      </c>
    </row>
    <row r="289" spans="1:6" x14ac:dyDescent="0.35">
      <c r="A289" t="str">
        <f t="shared" si="4"/>
        <v>CE 260,ED2-GEOM</v>
      </c>
      <c r="B289" t="s">
        <v>640</v>
      </c>
      <c r="C289" t="str">
        <v>Soil And Rock Mechanics</v>
      </c>
      <c r="D289">
        <v>122</v>
      </c>
      <c r="E289" t="s">
        <v>65</v>
      </c>
      <c r="F289" t="s">
        <v>359</v>
      </c>
    </row>
    <row r="290" spans="1:6" x14ac:dyDescent="0.35">
      <c r="A290" t="str">
        <f t="shared" si="4"/>
        <v>ENGL 264,ED2-GEOM</v>
      </c>
      <c r="B290" t="s">
        <v>621</v>
      </c>
      <c r="C290" t="str">
        <v>Literature In English II</v>
      </c>
      <c r="D290">
        <v>122</v>
      </c>
      <c r="E290" t="s">
        <v>65</v>
      </c>
      <c r="F290" t="s">
        <v>259</v>
      </c>
    </row>
    <row r="291" spans="1:6" x14ac:dyDescent="0.35">
      <c r="A291" t="str">
        <f t="shared" si="4"/>
        <v>GE 262,ED2-GEOM</v>
      </c>
      <c r="B291" t="s">
        <v>639</v>
      </c>
      <c r="C291" t="str">
        <v>Principles Of Remote Sensing</v>
      </c>
      <c r="D291">
        <v>122</v>
      </c>
      <c r="E291" t="s">
        <v>65</v>
      </c>
      <c r="F291" t="s">
        <v>147</v>
      </c>
    </row>
    <row r="292" spans="1:6" x14ac:dyDescent="0.35">
      <c r="A292" t="str">
        <f t="shared" si="4"/>
        <v>GE 272,ED2-GEOM</v>
      </c>
      <c r="B292" t="s">
        <v>638</v>
      </c>
      <c r="C292" t="str">
        <v>Engineering Survey II</v>
      </c>
      <c r="D292">
        <v>122</v>
      </c>
      <c r="E292" t="s">
        <v>65</v>
      </c>
      <c r="F292" t="s">
        <v>392</v>
      </c>
    </row>
    <row r="293" spans="1:6" x14ac:dyDescent="0.35">
      <c r="A293" t="str">
        <f t="shared" si="4"/>
        <v>GE 284,ED2-GEOM</v>
      </c>
      <c r="B293" t="s">
        <v>637</v>
      </c>
      <c r="C293" t="str">
        <v xml:space="preserve">Hydrographic Surveying </v>
      </c>
      <c r="D293">
        <v>122</v>
      </c>
      <c r="E293" t="s">
        <v>65</v>
      </c>
      <c r="F293" t="s">
        <v>66</v>
      </c>
    </row>
    <row r="294" spans="1:6" x14ac:dyDescent="0.35">
      <c r="A294" t="str">
        <f t="shared" si="4"/>
        <v>MATH 252,ED2-GEOM</v>
      </c>
      <c r="B294" t="s">
        <v>443</v>
      </c>
      <c r="C294" t="str">
        <v>Calculus With Several Variables</v>
      </c>
      <c r="D294">
        <v>122</v>
      </c>
      <c r="E294" t="s">
        <v>65</v>
      </c>
      <c r="F294" t="s">
        <v>112</v>
      </c>
    </row>
    <row r="295" spans="1:6" x14ac:dyDescent="0.35">
      <c r="A295" t="str">
        <f t="shared" si="4"/>
        <v>CE 368,ED3-GEOM</v>
      </c>
      <c r="B295" t="s">
        <v>636</v>
      </c>
      <c r="C295" t="str">
        <v>Transportation And Highway II</v>
      </c>
      <c r="D295">
        <v>96</v>
      </c>
      <c r="E295" t="s">
        <v>47</v>
      </c>
      <c r="F295" t="s">
        <v>225</v>
      </c>
    </row>
    <row r="296" spans="1:6" x14ac:dyDescent="0.35">
      <c r="A296" t="str">
        <f t="shared" si="4"/>
        <v>CSM 158,ED3-GEOM</v>
      </c>
      <c r="B296" t="s">
        <v>634</v>
      </c>
      <c r="C296" t="str">
        <v>Accounting II</v>
      </c>
      <c r="D296">
        <v>19</v>
      </c>
      <c r="E296" t="s">
        <v>47</v>
      </c>
      <c r="F296" t="s">
        <v>635</v>
      </c>
    </row>
    <row r="297" spans="1:6" x14ac:dyDescent="0.35">
      <c r="A297" t="str">
        <f t="shared" si="4"/>
        <v>ECON 152,ED3-GEOM</v>
      </c>
      <c r="B297" t="s">
        <v>633</v>
      </c>
      <c r="C297" t="str">
        <v>Elements Of Economics II</v>
      </c>
      <c r="D297">
        <v>12</v>
      </c>
      <c r="E297" t="s">
        <v>47</v>
      </c>
      <c r="F297" t="s">
        <v>229</v>
      </c>
    </row>
    <row r="298" spans="1:6" x14ac:dyDescent="0.35">
      <c r="A298" t="str">
        <f t="shared" si="4"/>
        <v>FC 182,ED3-GEOM</v>
      </c>
      <c r="B298" t="s">
        <v>632</v>
      </c>
      <c r="C298" t="str">
        <v>French For Communication  II</v>
      </c>
      <c r="D298">
        <v>42</v>
      </c>
      <c r="E298" t="s">
        <v>47</v>
      </c>
      <c r="F298" t="s">
        <v>41</v>
      </c>
    </row>
    <row r="299" spans="1:6" x14ac:dyDescent="0.35">
      <c r="A299" t="str">
        <f t="shared" si="4"/>
        <v>GE 354,ED3-GEOM</v>
      </c>
      <c r="B299" t="s">
        <v>631</v>
      </c>
      <c r="C299" t="str">
        <v>Satellite Surveying</v>
      </c>
      <c r="D299">
        <v>96</v>
      </c>
      <c r="E299" t="s">
        <v>47</v>
      </c>
      <c r="F299" t="s">
        <v>129</v>
      </c>
    </row>
    <row r="300" spans="1:6" x14ac:dyDescent="0.35">
      <c r="A300" t="str">
        <f t="shared" si="4"/>
        <v>GE 362,ED3-GEOM</v>
      </c>
      <c r="B300" t="s">
        <v>630</v>
      </c>
      <c r="C300" t="str">
        <v>Principles Of Gis</v>
      </c>
      <c r="D300">
        <v>96</v>
      </c>
      <c r="E300" t="s">
        <v>47</v>
      </c>
      <c r="F300" t="s">
        <v>161</v>
      </c>
    </row>
    <row r="301" spans="1:6" x14ac:dyDescent="0.35">
      <c r="A301" t="str">
        <f t="shared" si="4"/>
        <v>GE 372,ED3-GEOM</v>
      </c>
      <c r="B301" t="s">
        <v>629</v>
      </c>
      <c r="C301" t="str">
        <v>Analysis Of Errors</v>
      </c>
      <c r="D301">
        <v>96</v>
      </c>
      <c r="E301" t="s">
        <v>47</v>
      </c>
      <c r="F301" t="s">
        <v>279</v>
      </c>
    </row>
    <row r="302" spans="1:6" x14ac:dyDescent="0.35">
      <c r="A302" t="str">
        <f t="shared" si="4"/>
        <v>PL 251/2,ED3-GEOM</v>
      </c>
      <c r="B302" t="s">
        <v>628</v>
      </c>
      <c r="C302" t="str">
        <v>Planning The Physical Environment</v>
      </c>
      <c r="D302">
        <v>96</v>
      </c>
      <c r="E302" t="s">
        <v>47</v>
      </c>
      <c r="F302" t="s">
        <v>336</v>
      </c>
    </row>
    <row r="303" spans="1:6" x14ac:dyDescent="0.35">
      <c r="A303" t="str">
        <f t="shared" si="4"/>
        <v>GE 464,ED4-GEOM</v>
      </c>
      <c r="B303" t="s">
        <v>627</v>
      </c>
      <c r="C303" t="str">
        <v>Database Systems</v>
      </c>
      <c r="D303">
        <v>107</v>
      </c>
      <c r="E303" t="s">
        <v>94</v>
      </c>
      <c r="F303" t="s">
        <v>310</v>
      </c>
    </row>
    <row r="304" spans="1:6" x14ac:dyDescent="0.35">
      <c r="A304" t="str">
        <f t="shared" si="4"/>
        <v>GE 472,ED4-GEOM</v>
      </c>
      <c r="B304" t="s">
        <v>626</v>
      </c>
      <c r="C304" t="str">
        <v>Land Law And Registration</v>
      </c>
      <c r="D304">
        <v>107</v>
      </c>
      <c r="E304" t="s">
        <v>94</v>
      </c>
      <c r="F304" t="s">
        <v>373</v>
      </c>
    </row>
    <row r="305" spans="1:6" x14ac:dyDescent="0.35">
      <c r="A305" t="str">
        <f t="shared" si="4"/>
        <v>GE 474,ED4-GEOM</v>
      </c>
      <c r="B305" t="s">
        <v>625</v>
      </c>
      <c r="C305" t="str">
        <v>Principles Of Valuation Of Land And Building</v>
      </c>
      <c r="D305">
        <v>107</v>
      </c>
      <c r="E305" t="s">
        <v>94</v>
      </c>
      <c r="F305" t="s">
        <v>95</v>
      </c>
    </row>
    <row r="306" spans="1:6" x14ac:dyDescent="0.35">
      <c r="A306" t="str">
        <f t="shared" si="4"/>
        <v>GE 476,ED4-GEOM</v>
      </c>
      <c r="B306" t="s">
        <v>624</v>
      </c>
      <c r="C306" t="str">
        <v>Professional Studies And Development</v>
      </c>
      <c r="D306">
        <v>107</v>
      </c>
      <c r="E306" t="s">
        <v>94</v>
      </c>
      <c r="F306" t="s">
        <v>145</v>
      </c>
    </row>
    <row r="307" spans="1:6" x14ac:dyDescent="0.35">
      <c r="A307" t="str">
        <f t="shared" si="4"/>
        <v>EE 152,ED1-IND</v>
      </c>
      <c r="B307" t="s">
        <v>456</v>
      </c>
      <c r="C307" t="str">
        <v>Basic Electronics</v>
      </c>
      <c r="D307">
        <v>88</v>
      </c>
      <c r="E307" t="s">
        <v>82</v>
      </c>
      <c r="F307" t="s">
        <v>321</v>
      </c>
    </row>
    <row r="308" spans="1:6" x14ac:dyDescent="0.35">
      <c r="A308" t="str">
        <f t="shared" si="4"/>
        <v>ENGL 158,ED1-IND</v>
      </c>
      <c r="B308" t="s">
        <v>454</v>
      </c>
      <c r="C308" t="str">
        <v>Communication Skills II</v>
      </c>
      <c r="D308">
        <v>88</v>
      </c>
      <c r="E308" t="s">
        <v>82</v>
      </c>
      <c r="F308" t="s">
        <v>376</v>
      </c>
    </row>
    <row r="309" spans="1:6" x14ac:dyDescent="0.35">
      <c r="A309" t="str">
        <f t="shared" si="4"/>
        <v>IE 174,ED1-IND</v>
      </c>
      <c r="B309" t="s">
        <v>622</v>
      </c>
      <c r="C309" t="str">
        <v>First Year Design Project</v>
      </c>
      <c r="D309">
        <v>88</v>
      </c>
      <c r="E309" t="s">
        <v>82</v>
      </c>
      <c r="F309" t="s">
        <v>623</v>
      </c>
    </row>
    <row r="310" spans="1:6" x14ac:dyDescent="0.35">
      <c r="A310" t="str">
        <f t="shared" si="4"/>
        <v>MATH 152,ED1-IND</v>
      </c>
      <c r="B310" t="s">
        <v>453</v>
      </c>
      <c r="C310" t="str">
        <v>Calculus With Analysis</v>
      </c>
      <c r="D310">
        <v>88</v>
      </c>
      <c r="E310" t="s">
        <v>82</v>
      </c>
      <c r="F310" t="s">
        <v>190</v>
      </c>
    </row>
    <row r="311" spans="1:6" x14ac:dyDescent="0.35">
      <c r="A311" t="str">
        <f t="shared" si="4"/>
        <v>ME 160,ED1-IND</v>
      </c>
      <c r="B311" t="s">
        <v>534</v>
      </c>
      <c r="C311" t="str">
        <v>Engineering Drawing</v>
      </c>
      <c r="D311">
        <v>88</v>
      </c>
      <c r="E311" t="s">
        <v>82</v>
      </c>
      <c r="F311" t="s">
        <v>175</v>
      </c>
    </row>
    <row r="312" spans="1:6" x14ac:dyDescent="0.35">
      <c r="A312" t="str">
        <f t="shared" si="4"/>
        <v>ME 164,ED1-IND</v>
      </c>
      <c r="B312" t="s">
        <v>607</v>
      </c>
      <c r="C312" t="str">
        <v>Statics Of Solid Mechanics</v>
      </c>
      <c r="D312">
        <v>88</v>
      </c>
      <c r="E312" t="s">
        <v>82</v>
      </c>
      <c r="F312" t="s">
        <v>239</v>
      </c>
    </row>
    <row r="313" spans="1:6" x14ac:dyDescent="0.35">
      <c r="A313" t="str">
        <f t="shared" si="4"/>
        <v>ME 168,ED1-IND</v>
      </c>
      <c r="B313" t="s">
        <v>569</v>
      </c>
      <c r="C313" t="str">
        <v>Computer Programming For Engineers</v>
      </c>
      <c r="D313">
        <v>88</v>
      </c>
      <c r="E313" t="s">
        <v>82</v>
      </c>
      <c r="F313" t="s">
        <v>81</v>
      </c>
    </row>
    <row r="314" spans="1:6" x14ac:dyDescent="0.35">
      <c r="A314" t="str">
        <f t="shared" si="4"/>
        <v>ENGL 264,ED2-IND</v>
      </c>
      <c r="B314" t="s">
        <v>621</v>
      </c>
      <c r="C314" t="str">
        <v>Literature In English II</v>
      </c>
      <c r="D314">
        <v>72</v>
      </c>
      <c r="E314" t="s">
        <v>17</v>
      </c>
      <c r="F314" t="s">
        <v>259</v>
      </c>
    </row>
    <row r="315" spans="1:6" x14ac:dyDescent="0.35">
      <c r="A315" t="str">
        <f t="shared" si="4"/>
        <v>IE 296,ED2-IND</v>
      </c>
      <c r="B315" t="s">
        <v>619</v>
      </c>
      <c r="C315" t="str">
        <v>Industrial Engineeging Laboratory II</v>
      </c>
      <c r="D315">
        <v>72</v>
      </c>
      <c r="E315" t="s">
        <v>17</v>
      </c>
      <c r="F315" t="s">
        <v>620</v>
      </c>
    </row>
    <row r="316" spans="1:6" x14ac:dyDescent="0.35">
      <c r="A316" t="str">
        <f t="shared" si="4"/>
        <v>MATH 252,ED2-IND</v>
      </c>
      <c r="B316" t="s">
        <v>443</v>
      </c>
      <c r="C316" t="str">
        <v>Calculus With Several Variables</v>
      </c>
      <c r="D316">
        <v>72</v>
      </c>
      <c r="E316" t="s">
        <v>17</v>
      </c>
      <c r="F316" t="s">
        <v>112</v>
      </c>
    </row>
    <row r="317" spans="1:6" x14ac:dyDescent="0.35">
      <c r="A317" t="str">
        <f t="shared" si="4"/>
        <v>ME 252,ED2-IND</v>
      </c>
      <c r="B317" t="s">
        <v>566</v>
      </c>
      <c r="C317" t="str">
        <v>Fluid Dynamics I</v>
      </c>
      <c r="D317">
        <v>72</v>
      </c>
      <c r="E317" t="s">
        <v>17</v>
      </c>
      <c r="F317" t="s">
        <v>339</v>
      </c>
    </row>
    <row r="318" spans="1:6" x14ac:dyDescent="0.35">
      <c r="A318" t="str">
        <f t="shared" si="4"/>
        <v>ME 264,ED2-IND</v>
      </c>
      <c r="B318" t="s">
        <v>565</v>
      </c>
      <c r="C318" t="str">
        <v>Mechanisms Synthesis And Analysis I</v>
      </c>
      <c r="D318">
        <v>72</v>
      </c>
      <c r="E318" t="s">
        <v>17</v>
      </c>
      <c r="F318" t="s">
        <v>323</v>
      </c>
    </row>
    <row r="319" spans="1:6" x14ac:dyDescent="0.35">
      <c r="A319" t="str">
        <f t="shared" si="4"/>
        <v>ME 266,ED2-IND</v>
      </c>
      <c r="B319" t="s">
        <v>564</v>
      </c>
      <c r="C319" t="str">
        <v>Thermodynamics I</v>
      </c>
      <c r="D319">
        <v>72</v>
      </c>
      <c r="E319" t="s">
        <v>17</v>
      </c>
      <c r="F319" t="s">
        <v>14</v>
      </c>
    </row>
    <row r="320" spans="1:6" x14ac:dyDescent="0.35">
      <c r="A320" t="str">
        <f t="shared" si="4"/>
        <v>IE 274,ED2-IND</v>
      </c>
      <c r="B320" t="s">
        <v>1674</v>
      </c>
      <c r="C320" t="str">
        <v>Second Year Design Project</v>
      </c>
      <c r="D320">
        <v>72</v>
      </c>
      <c r="E320" t="s">
        <v>17</v>
      </c>
      <c r="F320" t="s">
        <v>208</v>
      </c>
    </row>
    <row r="321" spans="1:6" x14ac:dyDescent="0.35">
      <c r="A321" t="str">
        <f t="shared" si="4"/>
        <v>ME 270,ED2-IND</v>
      </c>
      <c r="B321" t="s">
        <v>604</v>
      </c>
      <c r="C321" t="str">
        <v>Manufacturing Technology</v>
      </c>
      <c r="D321">
        <v>72</v>
      </c>
      <c r="E321" t="s">
        <v>17</v>
      </c>
      <c r="F321" t="s">
        <v>148</v>
      </c>
    </row>
    <row r="322" spans="1:6" x14ac:dyDescent="0.35">
      <c r="A322" t="str">
        <f t="shared" si="4"/>
        <v>IE 354,ED3-IND</v>
      </c>
      <c r="B322" t="s">
        <v>618</v>
      </c>
      <c r="C322" t="str">
        <v>Logistics And Supply Chain Engineering</v>
      </c>
      <c r="D322">
        <v>69</v>
      </c>
      <c r="E322" t="s">
        <v>137</v>
      </c>
      <c r="F322" t="s">
        <v>277</v>
      </c>
    </row>
    <row r="323" spans="1:6" x14ac:dyDescent="0.35">
      <c r="A323" t="str">
        <f t="shared" si="4"/>
        <v>IE 356,ED3-IND</v>
      </c>
      <c r="B323" t="s">
        <v>617</v>
      </c>
      <c r="C323" t="str">
        <v>Reliability Engineering</v>
      </c>
      <c r="D323">
        <v>69</v>
      </c>
      <c r="E323" t="s">
        <v>137</v>
      </c>
      <c r="F323" t="s">
        <v>174</v>
      </c>
    </row>
    <row r="324" spans="1:6" x14ac:dyDescent="0.35">
      <c r="A324" t="str">
        <f t="shared" si="4"/>
        <v>IE 358,ED3-IND</v>
      </c>
      <c r="B324" t="s">
        <v>616</v>
      </c>
      <c r="C324" t="str">
        <v>Computer-Aided Design And Manufacturing</v>
      </c>
      <c r="D324">
        <v>69</v>
      </c>
      <c r="E324" t="s">
        <v>137</v>
      </c>
      <c r="F324" t="s">
        <v>249</v>
      </c>
    </row>
    <row r="325" spans="1:6" x14ac:dyDescent="0.35">
      <c r="A325" t="str">
        <f t="shared" si="4"/>
        <v>IE 360,ED3-IND</v>
      </c>
      <c r="B325" t="s">
        <v>615</v>
      </c>
      <c r="C325" t="str">
        <v>Quality Assurance</v>
      </c>
      <c r="D325">
        <v>69</v>
      </c>
      <c r="E325" t="s">
        <v>137</v>
      </c>
      <c r="F325" t="s">
        <v>138</v>
      </c>
    </row>
    <row r="326" spans="1:6" x14ac:dyDescent="0.35">
      <c r="A326" t="str">
        <f t="shared" si="4"/>
        <v>IE 362,ED3-IND</v>
      </c>
      <c r="B326" t="s">
        <v>613</v>
      </c>
      <c r="C326" t="str">
        <v>Industrial Engineering Lab III</v>
      </c>
      <c r="D326">
        <v>69</v>
      </c>
      <c r="E326" t="s">
        <v>137</v>
      </c>
      <c r="F326" t="s">
        <v>614</v>
      </c>
    </row>
    <row r="327" spans="1:6" x14ac:dyDescent="0.35">
      <c r="A327" t="str">
        <f t="shared" si="4"/>
        <v>IE 366,ED3-IND</v>
      </c>
      <c r="B327" t="s">
        <v>612</v>
      </c>
      <c r="C327" t="str">
        <v>Advanced Manufacturing Technology I</v>
      </c>
      <c r="D327">
        <v>69</v>
      </c>
      <c r="E327" t="s">
        <v>137</v>
      </c>
      <c r="F327" t="s">
        <v>372</v>
      </c>
    </row>
    <row r="328" spans="1:6" x14ac:dyDescent="0.35">
      <c r="A328" t="str">
        <f t="shared" si="4"/>
        <v>IE 368,ED3-IND</v>
      </c>
      <c r="B328" t="s">
        <v>611</v>
      </c>
      <c r="C328" t="str">
        <v>Operations Research II</v>
      </c>
      <c r="D328">
        <v>69</v>
      </c>
      <c r="E328" t="s">
        <v>137</v>
      </c>
      <c r="F328" t="s">
        <v>219</v>
      </c>
    </row>
    <row r="329" spans="1:6" x14ac:dyDescent="0.35">
      <c r="A329" t="str">
        <f t="shared" si="4"/>
        <v>IE 452,ED4-IND</v>
      </c>
      <c r="B329" t="s">
        <v>610</v>
      </c>
      <c r="C329" t="str">
        <v>Automation And Production System</v>
      </c>
      <c r="D329">
        <v>121</v>
      </c>
      <c r="E329" t="s">
        <v>130</v>
      </c>
      <c r="F329" t="s">
        <v>281</v>
      </c>
    </row>
    <row r="330" spans="1:6" x14ac:dyDescent="0.35">
      <c r="A330" t="str">
        <f t="shared" si="4"/>
        <v>IE 454,ED4-IND</v>
      </c>
      <c r="B330" t="s">
        <v>541</v>
      </c>
      <c r="C330" t="str">
        <v>Production Planning And Control</v>
      </c>
      <c r="D330">
        <v>121</v>
      </c>
      <c r="E330" t="s">
        <v>130</v>
      </c>
      <c r="F330" t="s">
        <v>155</v>
      </c>
    </row>
    <row r="331" spans="1:6" x14ac:dyDescent="0.35">
      <c r="A331" t="str">
        <f t="shared" si="4"/>
        <v>IE 456,ED4-IND</v>
      </c>
      <c r="B331" t="s">
        <v>609</v>
      </c>
      <c r="C331" t="str">
        <v>Systems Integration</v>
      </c>
      <c r="D331">
        <v>121</v>
      </c>
      <c r="E331" t="s">
        <v>130</v>
      </c>
      <c r="F331" t="s">
        <v>131</v>
      </c>
    </row>
    <row r="332" spans="1:6" x14ac:dyDescent="0.35">
      <c r="A332" t="str">
        <f t="shared" si="4"/>
        <v>IE 458,ED4-IND</v>
      </c>
      <c r="B332" t="s">
        <v>535</v>
      </c>
      <c r="C332" t="str">
        <v>Human Factors And Ergonomics</v>
      </c>
      <c r="D332">
        <v>121</v>
      </c>
      <c r="E332" t="s">
        <v>130</v>
      </c>
      <c r="F332" t="s">
        <v>360</v>
      </c>
    </row>
    <row r="333" spans="1:6" x14ac:dyDescent="0.35">
      <c r="A333" t="str">
        <f t="shared" ref="A333:A397" si="5">CONCATENATE(F333,",",E333)</f>
        <v>ME 492,ED4-IND</v>
      </c>
      <c r="B333" t="s">
        <v>608</v>
      </c>
      <c r="C333" t="str">
        <v>Management And Entrepreneurship Development</v>
      </c>
      <c r="D333">
        <v>121</v>
      </c>
      <c r="E333" t="s">
        <v>130</v>
      </c>
      <c r="F333" t="s">
        <v>424</v>
      </c>
    </row>
    <row r="334" spans="1:6" x14ac:dyDescent="0.35">
      <c r="A334" t="str">
        <f t="shared" si="5"/>
        <v>ME 494,ED4-IND</v>
      </c>
      <c r="B334" t="s">
        <v>536</v>
      </c>
      <c r="C334" t="str">
        <v xml:space="preserve">Maintenance Engineering </v>
      </c>
      <c r="D334">
        <v>121</v>
      </c>
      <c r="E334" t="s">
        <v>130</v>
      </c>
      <c r="F334" t="s">
        <v>250</v>
      </c>
    </row>
    <row r="335" spans="1:6" x14ac:dyDescent="0.35">
      <c r="A335" t="str">
        <f t="shared" si="5"/>
        <v>EE 152,ED1-MARI</v>
      </c>
      <c r="B335" t="s">
        <v>456</v>
      </c>
      <c r="C335" t="str">
        <v>Basic Electronics</v>
      </c>
      <c r="D335">
        <v>37</v>
      </c>
      <c r="E335" t="s">
        <v>43</v>
      </c>
      <c r="F335" t="s">
        <v>321</v>
      </c>
    </row>
    <row r="336" spans="1:6" x14ac:dyDescent="0.35">
      <c r="A336" t="str">
        <f t="shared" si="5"/>
        <v>ENGL 158,ED1-MARI</v>
      </c>
      <c r="B336" t="s">
        <v>454</v>
      </c>
      <c r="C336" t="str">
        <v>Communication Skills II</v>
      </c>
      <c r="D336">
        <v>37</v>
      </c>
      <c r="E336" t="s">
        <v>43</v>
      </c>
      <c r="F336" t="s">
        <v>376</v>
      </c>
    </row>
    <row r="337" spans="1:6" x14ac:dyDescent="0.35">
      <c r="A337" t="str">
        <f t="shared" si="5"/>
        <v>FC 182,ED1-MARI</v>
      </c>
      <c r="B337" t="s">
        <v>444</v>
      </c>
      <c r="C337" t="str">
        <v>French For Communication II</v>
      </c>
      <c r="D337">
        <v>37</v>
      </c>
      <c r="E337" t="s">
        <v>43</v>
      </c>
      <c r="F337" t="s">
        <v>41</v>
      </c>
    </row>
    <row r="338" spans="1:6" x14ac:dyDescent="0.35">
      <c r="A338" t="str">
        <f t="shared" si="5"/>
        <v>MATH 152,ED1-MARI</v>
      </c>
      <c r="B338" t="s">
        <v>453</v>
      </c>
      <c r="C338" t="str">
        <v>Calculus With Analysis</v>
      </c>
      <c r="D338">
        <v>37</v>
      </c>
      <c r="E338" t="s">
        <v>43</v>
      </c>
      <c r="F338" t="s">
        <v>190</v>
      </c>
    </row>
    <row r="339" spans="1:6" x14ac:dyDescent="0.35">
      <c r="A339" t="str">
        <f t="shared" si="5"/>
        <v>ME 160,ED1-MARI</v>
      </c>
      <c r="B339" t="s">
        <v>534</v>
      </c>
      <c r="C339" t="str">
        <v>Engineering Drawing</v>
      </c>
      <c r="D339">
        <v>37</v>
      </c>
      <c r="E339" t="s">
        <v>43</v>
      </c>
      <c r="F339" t="s">
        <v>175</v>
      </c>
    </row>
    <row r="340" spans="1:6" x14ac:dyDescent="0.35">
      <c r="A340" t="str">
        <f t="shared" si="5"/>
        <v>ME 164,ED1-MARI</v>
      </c>
      <c r="B340" t="s">
        <v>607</v>
      </c>
      <c r="C340" t="str">
        <v>Statics Of Solid Mechanics</v>
      </c>
      <c r="D340">
        <v>37</v>
      </c>
      <c r="E340" t="s">
        <v>43</v>
      </c>
      <c r="F340" t="s">
        <v>239</v>
      </c>
    </row>
    <row r="341" spans="1:6" x14ac:dyDescent="0.35">
      <c r="A341" t="str">
        <f t="shared" si="5"/>
        <v>ME 168,ED1-MARI</v>
      </c>
      <c r="B341" t="s">
        <v>569</v>
      </c>
      <c r="C341" t="str">
        <v>Computer Programming For Engineers</v>
      </c>
      <c r="D341">
        <v>37</v>
      </c>
      <c r="E341" t="s">
        <v>43</v>
      </c>
      <c r="F341" t="s">
        <v>81</v>
      </c>
    </row>
    <row r="342" spans="1:6" x14ac:dyDescent="0.35">
      <c r="A342" t="str">
        <f t="shared" si="5"/>
        <v>MME 174,ED1-MARI</v>
      </c>
      <c r="B342" t="s">
        <v>605</v>
      </c>
      <c r="C342" t="str">
        <v>Marine Engineering Design Project I</v>
      </c>
      <c r="D342">
        <v>37</v>
      </c>
      <c r="E342" t="s">
        <v>43</v>
      </c>
      <c r="F342" t="s">
        <v>606</v>
      </c>
    </row>
    <row r="343" spans="1:6" x14ac:dyDescent="0.35">
      <c r="A343" t="str">
        <f t="shared" si="5"/>
        <v>MATH 252,ED2-MARI</v>
      </c>
      <c r="B343" t="s">
        <v>443</v>
      </c>
      <c r="C343" t="str">
        <v>Calculus With Several Variables</v>
      </c>
      <c r="D343">
        <v>41</v>
      </c>
      <c r="E343" t="s">
        <v>31</v>
      </c>
      <c r="F343" t="s">
        <v>112</v>
      </c>
    </row>
    <row r="344" spans="1:6" x14ac:dyDescent="0.35">
      <c r="A344" t="str">
        <f t="shared" si="5"/>
        <v>ME 252,ED2-MARI</v>
      </c>
      <c r="B344" t="s">
        <v>566</v>
      </c>
      <c r="C344" t="str">
        <v>Fluid Dynamics I</v>
      </c>
      <c r="D344">
        <v>41</v>
      </c>
      <c r="E344" t="s">
        <v>31</v>
      </c>
      <c r="F344" t="s">
        <v>339</v>
      </c>
    </row>
    <row r="345" spans="1:6" x14ac:dyDescent="0.35">
      <c r="A345" t="str">
        <f t="shared" si="5"/>
        <v>ME 270,ED2-MARI</v>
      </c>
      <c r="B345" t="s">
        <v>604</v>
      </c>
      <c r="C345" t="str">
        <v>Manufacturing Technology</v>
      </c>
      <c r="D345">
        <v>41</v>
      </c>
      <c r="E345" t="s">
        <v>31</v>
      </c>
      <c r="F345" t="s">
        <v>148</v>
      </c>
    </row>
    <row r="346" spans="1:6" x14ac:dyDescent="0.35">
      <c r="A346" t="str">
        <f t="shared" si="5"/>
        <v>MME 264,ED2-MARI</v>
      </c>
      <c r="B346" t="s">
        <v>603</v>
      </c>
      <c r="C346" t="str">
        <v>Marine Mechanisms, Systhesis And Analysis</v>
      </c>
      <c r="D346">
        <v>41</v>
      </c>
      <c r="E346" t="s">
        <v>31</v>
      </c>
      <c r="F346" t="s">
        <v>324</v>
      </c>
    </row>
    <row r="347" spans="1:6" x14ac:dyDescent="0.35">
      <c r="A347" t="str">
        <f t="shared" si="5"/>
        <v>MME 274,ED2-MARI</v>
      </c>
      <c r="B347" t="s">
        <v>1673</v>
      </c>
      <c r="C347" t="str">
        <v>Marine Engineering Design Project II</v>
      </c>
      <c r="D347">
        <v>41</v>
      </c>
      <c r="E347" t="s">
        <v>31</v>
      </c>
      <c r="F347" t="s">
        <v>207</v>
      </c>
    </row>
    <row r="348" spans="1:6" x14ac:dyDescent="0.35">
      <c r="A348" t="str">
        <f t="shared" si="5"/>
        <v>MME 292,ED2-MARI</v>
      </c>
      <c r="B348" t="s">
        <v>601</v>
      </c>
      <c r="C348" t="str">
        <v>Seamanship</v>
      </c>
      <c r="D348">
        <v>41</v>
      </c>
      <c r="E348" t="s">
        <v>31</v>
      </c>
      <c r="F348" t="s">
        <v>602</v>
      </c>
    </row>
    <row r="349" spans="1:6" x14ac:dyDescent="0.35">
      <c r="A349" t="str">
        <f t="shared" si="5"/>
        <v>MME 296,ED2-MARI</v>
      </c>
      <c r="B349" t="s">
        <v>599</v>
      </c>
      <c r="C349" t="str">
        <v>Marine Engineering Laboratory II</v>
      </c>
      <c r="D349">
        <v>41</v>
      </c>
      <c r="E349" t="s">
        <v>31</v>
      </c>
      <c r="F349" t="s">
        <v>600</v>
      </c>
    </row>
    <row r="350" spans="1:6" x14ac:dyDescent="0.35">
      <c r="A350" t="str">
        <f t="shared" si="5"/>
        <v>SES 172,ED2-MARI</v>
      </c>
      <c r="B350" t="s">
        <v>598</v>
      </c>
      <c r="C350" t="str">
        <v>Aquatic Strokes Development And Refinement</v>
      </c>
      <c r="D350">
        <v>41</v>
      </c>
      <c r="E350" t="s">
        <v>31</v>
      </c>
      <c r="F350" t="s">
        <v>32</v>
      </c>
    </row>
    <row r="351" spans="1:6" x14ac:dyDescent="0.35">
      <c r="A351" t="str">
        <f t="shared" si="5"/>
        <v>ME 352,ED3-MARI</v>
      </c>
      <c r="B351" t="s">
        <v>597</v>
      </c>
      <c r="C351" t="str">
        <v>Fluid Dynamics II</v>
      </c>
      <c r="D351">
        <v>23</v>
      </c>
      <c r="E351" t="s">
        <v>38</v>
      </c>
      <c r="F351" t="s">
        <v>558</v>
      </c>
    </row>
    <row r="352" spans="1:6" x14ac:dyDescent="0.35">
      <c r="A352" t="str">
        <f t="shared" si="5"/>
        <v>ME 362,ED3-MARI</v>
      </c>
      <c r="B352" t="s">
        <v>555</v>
      </c>
      <c r="C352" t="str">
        <v>Vibrations I</v>
      </c>
      <c r="D352">
        <v>23</v>
      </c>
      <c r="E352" t="s">
        <v>38</v>
      </c>
      <c r="F352" t="s">
        <v>253</v>
      </c>
    </row>
    <row r="353" spans="1:6" x14ac:dyDescent="0.35">
      <c r="A353" t="str">
        <f t="shared" si="5"/>
        <v>ME 366,ED3-MARI</v>
      </c>
      <c r="B353" t="s">
        <v>554</v>
      </c>
      <c r="C353" t="str">
        <v>Heat Transfer</v>
      </c>
      <c r="D353">
        <v>23</v>
      </c>
      <c r="E353" t="s">
        <v>38</v>
      </c>
      <c r="F353" t="s">
        <v>331</v>
      </c>
    </row>
    <row r="354" spans="1:6" x14ac:dyDescent="0.35">
      <c r="A354" t="str">
        <f t="shared" si="5"/>
        <v>MME 356,ED3-MARI</v>
      </c>
      <c r="B354" t="s">
        <v>596</v>
      </c>
      <c r="C354" t="str">
        <v>Strength Of Marine Materials II</v>
      </c>
      <c r="D354">
        <v>23</v>
      </c>
      <c r="E354" t="s">
        <v>38</v>
      </c>
      <c r="F354" t="s">
        <v>367</v>
      </c>
    </row>
    <row r="355" spans="1:6" x14ac:dyDescent="0.35">
      <c r="A355" t="str">
        <f t="shared" si="5"/>
        <v>MME 382,ED3-MARI</v>
      </c>
      <c r="B355" t="s">
        <v>594</v>
      </c>
      <c r="C355" t="str">
        <v>Naval Architecture I</v>
      </c>
      <c r="D355">
        <v>23</v>
      </c>
      <c r="E355" t="s">
        <v>38</v>
      </c>
      <c r="F355" t="s">
        <v>595</v>
      </c>
    </row>
    <row r="356" spans="1:6" x14ac:dyDescent="0.35">
      <c r="A356" t="str">
        <f t="shared" si="5"/>
        <v>MME 386,ED3-MARI</v>
      </c>
      <c r="B356" t="s">
        <v>593</v>
      </c>
      <c r="C356" t="str">
        <v>Marine Electrical Technology And Electrical Measurements</v>
      </c>
      <c r="D356">
        <v>23</v>
      </c>
      <c r="E356" t="s">
        <v>38</v>
      </c>
      <c r="F356" t="s">
        <v>39</v>
      </c>
    </row>
    <row r="357" spans="1:6" x14ac:dyDescent="0.35">
      <c r="A357" t="str">
        <f t="shared" si="5"/>
        <v>MME 392,ED3-MARI</v>
      </c>
      <c r="B357" t="s">
        <v>592</v>
      </c>
      <c r="C357" t="str">
        <v>Marine Industrial Engineering And Ergonomics</v>
      </c>
      <c r="D357">
        <v>23</v>
      </c>
      <c r="E357" t="s">
        <v>38</v>
      </c>
      <c r="F357" t="s">
        <v>199</v>
      </c>
    </row>
    <row r="358" spans="1:6" x14ac:dyDescent="0.35">
      <c r="A358" t="str">
        <f t="shared" si="5"/>
        <v>MME 396,ED3-MARI</v>
      </c>
      <c r="B358" t="s">
        <v>590</v>
      </c>
      <c r="C358" t="str">
        <v>Marine Engineering Laboratory III</v>
      </c>
      <c r="D358">
        <v>23</v>
      </c>
      <c r="E358" t="s">
        <v>38</v>
      </c>
      <c r="F358" t="s">
        <v>591</v>
      </c>
    </row>
    <row r="359" spans="1:6" x14ac:dyDescent="0.35">
      <c r="A359" t="str">
        <f t="shared" si="5"/>
        <v>MME 462,ED4-MARI</v>
      </c>
      <c r="B359" t="s">
        <v>588</v>
      </c>
      <c r="C359" t="str">
        <v>Marine Control Engineering And Automation</v>
      </c>
      <c r="D359">
        <v>68</v>
      </c>
      <c r="E359" t="s">
        <v>96</v>
      </c>
      <c r="F359" t="s">
        <v>589</v>
      </c>
    </row>
    <row r="360" spans="1:6" x14ac:dyDescent="0.35">
      <c r="A360" t="str">
        <f t="shared" si="5"/>
        <v>MME 476,ED4-MARI</v>
      </c>
      <c r="B360" t="s">
        <v>587</v>
      </c>
      <c r="C360" t="str">
        <v>Ship Construction</v>
      </c>
      <c r="D360">
        <v>68</v>
      </c>
      <c r="E360" t="s">
        <v>96</v>
      </c>
      <c r="F360" t="s">
        <v>149</v>
      </c>
    </row>
    <row r="361" spans="1:6" x14ac:dyDescent="0.35">
      <c r="A361" t="str">
        <f t="shared" si="5"/>
        <v>MME 482,ED4-MARI</v>
      </c>
      <c r="B361" t="s">
        <v>585</v>
      </c>
      <c r="C361" t="str">
        <v>Naval Architecture II</v>
      </c>
      <c r="D361">
        <v>68</v>
      </c>
      <c r="E361" t="s">
        <v>96</v>
      </c>
      <c r="F361" t="s">
        <v>586</v>
      </c>
    </row>
    <row r="362" spans="1:6" x14ac:dyDescent="0.35">
      <c r="A362" t="str">
        <f t="shared" si="5"/>
        <v>MME 486,ED4-MARI</v>
      </c>
      <c r="B362" t="s">
        <v>584</v>
      </c>
      <c r="C362" t="str">
        <v>Ship Safety, Environmental Protection And Safe Watch Keeping</v>
      </c>
      <c r="D362">
        <v>68</v>
      </c>
      <c r="E362" t="s">
        <v>96</v>
      </c>
      <c r="F362" t="s">
        <v>97</v>
      </c>
    </row>
    <row r="363" spans="1:6" x14ac:dyDescent="0.35">
      <c r="A363" t="str">
        <f t="shared" si="5"/>
        <v>MME 492,ED4-MARI</v>
      </c>
      <c r="B363" t="s">
        <v>583</v>
      </c>
      <c r="C363" t="str">
        <v>Ship Operation, Regulation And Management</v>
      </c>
      <c r="D363">
        <v>68</v>
      </c>
      <c r="E363" t="s">
        <v>96</v>
      </c>
      <c r="F363" t="s">
        <v>319</v>
      </c>
    </row>
    <row r="364" spans="1:6" x14ac:dyDescent="0.35">
      <c r="A364" t="str">
        <f t="shared" si="5"/>
        <v>MME 494,ED4-MARI</v>
      </c>
      <c r="B364" t="s">
        <v>582</v>
      </c>
      <c r="C364" t="str">
        <v>Marine Maintenance Engineering</v>
      </c>
      <c r="D364">
        <v>68</v>
      </c>
      <c r="E364" t="s">
        <v>96</v>
      </c>
      <c r="F364" t="s">
        <v>251</v>
      </c>
    </row>
    <row r="365" spans="1:6" x14ac:dyDescent="0.35">
      <c r="A365" t="str">
        <f t="shared" si="5"/>
        <v>METE 154,ED1-MSE</v>
      </c>
      <c r="B365" t="s">
        <v>532</v>
      </c>
      <c r="C365" t="str">
        <v>Environmental Science</v>
      </c>
      <c r="D365">
        <v>84</v>
      </c>
      <c r="E365" t="s">
        <v>177</v>
      </c>
      <c r="F365" t="s">
        <v>228</v>
      </c>
    </row>
    <row r="366" spans="1:6" x14ac:dyDescent="0.35">
      <c r="A366" t="str">
        <f t="shared" si="5"/>
        <v>ENGL 158,ED1-MSE</v>
      </c>
      <c r="B366" t="s">
        <v>454</v>
      </c>
      <c r="C366" t="str">
        <v>Communication Skills II</v>
      </c>
      <c r="D366">
        <v>84</v>
      </c>
      <c r="E366" t="s">
        <v>177</v>
      </c>
      <c r="F366" t="s">
        <v>376</v>
      </c>
    </row>
    <row r="367" spans="1:6" x14ac:dyDescent="0.35">
      <c r="A367" t="str">
        <f t="shared" si="5"/>
        <v>MATH 152,ED1-MSE</v>
      </c>
      <c r="B367" t="s">
        <v>453</v>
      </c>
      <c r="C367" t="str">
        <v>Calculus With Analysis</v>
      </c>
      <c r="D367">
        <v>84</v>
      </c>
      <c r="E367" t="s">
        <v>177</v>
      </c>
      <c r="F367" t="s">
        <v>190</v>
      </c>
    </row>
    <row r="368" spans="1:6" x14ac:dyDescent="0.35">
      <c r="A368" t="str">
        <f t="shared" si="5"/>
        <v>ME 160,ED1-MSE</v>
      </c>
      <c r="B368" t="s">
        <v>534</v>
      </c>
      <c r="C368" t="str">
        <v>Engineering Drawing</v>
      </c>
      <c r="D368">
        <v>84</v>
      </c>
      <c r="E368" t="s">
        <v>177</v>
      </c>
      <c r="F368" t="s">
        <v>175</v>
      </c>
    </row>
    <row r="369" spans="1:6" x14ac:dyDescent="0.35">
      <c r="A369" t="str">
        <f t="shared" si="5"/>
        <v>ME 162,ED1-MSE</v>
      </c>
      <c r="B369" t="s">
        <v>491</v>
      </c>
      <c r="C369" t="str">
        <v>Basic Mechanics</v>
      </c>
      <c r="D369">
        <v>84</v>
      </c>
      <c r="E369" t="s">
        <v>177</v>
      </c>
      <c r="F369" t="s">
        <v>290</v>
      </c>
    </row>
    <row r="370" spans="1:6" x14ac:dyDescent="0.35">
      <c r="A370" t="str">
        <f t="shared" si="5"/>
        <v>MSE 152,ED1-MSE</v>
      </c>
      <c r="B370" t="s">
        <v>581</v>
      </c>
      <c r="C370" t="str">
        <v>Kinetics Of Chemical Reactions</v>
      </c>
      <c r="D370">
        <v>84</v>
      </c>
      <c r="E370" t="s">
        <v>177</v>
      </c>
      <c r="F370" t="s">
        <v>240</v>
      </c>
    </row>
    <row r="371" spans="1:6" x14ac:dyDescent="0.35">
      <c r="A371" t="str">
        <f t="shared" si="5"/>
        <v>MSE 154,ED1-MSE</v>
      </c>
      <c r="B371" t="s">
        <v>531</v>
      </c>
      <c r="C371" t="str">
        <v>Optical and Thermal Behaviour of Materials</v>
      </c>
      <c r="D371">
        <v>84</v>
      </c>
      <c r="E371" t="s">
        <v>177</v>
      </c>
      <c r="F371" t="s">
        <v>328</v>
      </c>
    </row>
    <row r="372" spans="1:6" x14ac:dyDescent="0.35">
      <c r="A372" t="str">
        <f t="shared" si="5"/>
        <v>MATH 252,ED2-MSE</v>
      </c>
      <c r="B372" t="s">
        <v>443</v>
      </c>
      <c r="C372" t="str">
        <v>Calculus With Several Variables</v>
      </c>
      <c r="D372">
        <v>89</v>
      </c>
      <c r="E372" t="s">
        <v>113</v>
      </c>
      <c r="F372" t="s">
        <v>112</v>
      </c>
    </row>
    <row r="373" spans="1:6" x14ac:dyDescent="0.35">
      <c r="A373" t="str">
        <f t="shared" si="5"/>
        <v>MSE 252,ED2-MSE</v>
      </c>
      <c r="B373" t="s">
        <v>526</v>
      </c>
      <c r="C373" t="str">
        <v>Heat And Mass Transport</v>
      </c>
      <c r="D373">
        <v>89</v>
      </c>
      <c r="E373" t="s">
        <v>113</v>
      </c>
      <c r="F373" t="s">
        <v>163</v>
      </c>
    </row>
    <row r="374" spans="1:6" x14ac:dyDescent="0.35">
      <c r="A374" t="str">
        <f t="shared" si="5"/>
        <v>MSE 254,ED2-MSE</v>
      </c>
      <c r="B374" t="s">
        <v>580</v>
      </c>
      <c r="C374" t="str">
        <v>Materials Processing</v>
      </c>
      <c r="D374">
        <v>89</v>
      </c>
      <c r="E374" t="s">
        <v>113</v>
      </c>
      <c r="F374" t="s">
        <v>262</v>
      </c>
    </row>
    <row r="375" spans="1:6" x14ac:dyDescent="0.35">
      <c r="A375" t="str">
        <f t="shared" si="5"/>
        <v>MSE 256,ED2-MSE</v>
      </c>
      <c r="B375" t="s">
        <v>532</v>
      </c>
      <c r="C375" t="str">
        <v>Environmental Science</v>
      </c>
      <c r="D375">
        <v>89</v>
      </c>
      <c r="E375" t="s">
        <v>113</v>
      </c>
      <c r="F375" t="s">
        <v>227</v>
      </c>
    </row>
    <row r="376" spans="1:6" x14ac:dyDescent="0.35">
      <c r="A376" t="str">
        <f t="shared" si="5"/>
        <v>MSE 258,ED2-MSE</v>
      </c>
      <c r="B376" t="s">
        <v>523</v>
      </c>
      <c r="C376" t="str">
        <v>Physical Metallurgy Of Non-Ferrous Metals</v>
      </c>
      <c r="D376">
        <v>89</v>
      </c>
      <c r="E376" t="s">
        <v>113</v>
      </c>
      <c r="F376" t="s">
        <v>371</v>
      </c>
    </row>
    <row r="377" spans="1:6" x14ac:dyDescent="0.35">
      <c r="A377" t="str">
        <f t="shared" si="5"/>
        <v>MSE 260,ED2-MSE</v>
      </c>
      <c r="B377" t="s">
        <v>525</v>
      </c>
      <c r="C377" t="str">
        <v>Phase Transformations</v>
      </c>
      <c r="D377">
        <v>89</v>
      </c>
      <c r="E377" t="s">
        <v>113</v>
      </c>
      <c r="F377" t="s">
        <v>305</v>
      </c>
    </row>
    <row r="378" spans="1:6" x14ac:dyDescent="0.35">
      <c r="A378" t="str">
        <f t="shared" si="5"/>
        <v>MSE 262,ED2-MSE</v>
      </c>
      <c r="B378" t="s">
        <v>579</v>
      </c>
      <c r="C378" t="str">
        <v>Computer Programming And Application</v>
      </c>
      <c r="D378">
        <v>89</v>
      </c>
      <c r="E378" t="s">
        <v>113</v>
      </c>
      <c r="F378" t="s">
        <v>333</v>
      </c>
    </row>
    <row r="379" spans="1:6" x14ac:dyDescent="0.35">
      <c r="A379" t="str">
        <f t="shared" si="5"/>
        <v>MSE 352,ED3-MSE</v>
      </c>
      <c r="B379" t="s">
        <v>578</v>
      </c>
      <c r="C379" t="str">
        <v>Glass And Cement Technologies</v>
      </c>
      <c r="D379">
        <v>65</v>
      </c>
      <c r="E379" t="s">
        <v>33</v>
      </c>
      <c r="F379" t="s">
        <v>136</v>
      </c>
    </row>
    <row r="380" spans="1:6" x14ac:dyDescent="0.35">
      <c r="A380" t="str">
        <f t="shared" si="5"/>
        <v>MSE 354,ED3-MSE</v>
      </c>
      <c r="B380" t="s">
        <v>518</v>
      </c>
      <c r="C380" t="str">
        <v>Physical Metallurgy Of Ferrous Metals</v>
      </c>
      <c r="D380">
        <v>65</v>
      </c>
      <c r="E380" t="s">
        <v>33</v>
      </c>
      <c r="F380" t="s">
        <v>351</v>
      </c>
    </row>
    <row r="381" spans="1:6" x14ac:dyDescent="0.35">
      <c r="A381" t="str">
        <f t="shared" si="5"/>
        <v>MSE 356,ED3-MSE</v>
      </c>
      <c r="B381" t="s">
        <v>493</v>
      </c>
      <c r="C381" t="str">
        <v>Engineering Properties Of Polymers</v>
      </c>
      <c r="D381">
        <v>65</v>
      </c>
      <c r="E381" t="s">
        <v>33</v>
      </c>
      <c r="F381" t="s">
        <v>34</v>
      </c>
    </row>
    <row r="382" spans="1:6" x14ac:dyDescent="0.35">
      <c r="A382" t="str">
        <f t="shared" si="5"/>
        <v>MSE 358,ED3-MSE</v>
      </c>
      <c r="B382" t="s">
        <v>517</v>
      </c>
      <c r="C382" t="str">
        <v>Numerical Methods For Engineers</v>
      </c>
      <c r="D382">
        <v>65</v>
      </c>
      <c r="E382" t="s">
        <v>33</v>
      </c>
      <c r="F382" t="s">
        <v>121</v>
      </c>
    </row>
    <row r="383" spans="1:6" x14ac:dyDescent="0.35">
      <c r="A383" t="str">
        <f t="shared" si="5"/>
        <v>MSE 360,ED3-MSE</v>
      </c>
      <c r="B383" t="s">
        <v>577</v>
      </c>
      <c r="C383" t="str">
        <v>Mechanics Of Materials</v>
      </c>
      <c r="D383">
        <v>65</v>
      </c>
      <c r="E383" t="s">
        <v>33</v>
      </c>
      <c r="F383" t="s">
        <v>300</v>
      </c>
    </row>
    <row r="384" spans="1:6" x14ac:dyDescent="0.35">
      <c r="A384" t="str">
        <f t="shared" si="5"/>
        <v>MSE 362,ED3-MSE</v>
      </c>
      <c r="B384" t="s">
        <v>516</v>
      </c>
      <c r="C384" t="str">
        <v>Materials Joining Processes</v>
      </c>
      <c r="D384">
        <v>65</v>
      </c>
      <c r="E384" t="s">
        <v>33</v>
      </c>
      <c r="F384" t="s">
        <v>203</v>
      </c>
    </row>
    <row r="385" spans="1:6" x14ac:dyDescent="0.35">
      <c r="A385" t="str">
        <f t="shared" si="5"/>
        <v>MSE 364,ED3-MSE</v>
      </c>
      <c r="B385" t="s">
        <v>575</v>
      </c>
      <c r="C385" t="str">
        <v>Materials Characterization Laboratory</v>
      </c>
      <c r="D385">
        <v>65</v>
      </c>
      <c r="E385" t="s">
        <v>33</v>
      </c>
      <c r="F385" t="s">
        <v>576</v>
      </c>
    </row>
    <row r="386" spans="1:6" x14ac:dyDescent="0.35">
      <c r="A386" t="str">
        <f t="shared" si="5"/>
        <v>MSE 396,ED3-MSE</v>
      </c>
      <c r="B386" t="s">
        <v>521</v>
      </c>
      <c r="C386" t="str">
        <v>Third Year Design Project</v>
      </c>
      <c r="D386">
        <v>65</v>
      </c>
      <c r="E386" t="s">
        <v>33</v>
      </c>
      <c r="F386" t="s">
        <v>574</v>
      </c>
    </row>
    <row r="387" spans="1:6" x14ac:dyDescent="0.35">
      <c r="A387" t="str">
        <f t="shared" si="5"/>
        <v>ME 492,ED4-MSE</v>
      </c>
      <c r="B387" t="s">
        <v>423</v>
      </c>
      <c r="C387" t="str">
        <v>Management And Entrepreneurship Development</v>
      </c>
      <c r="D387">
        <v>115</v>
      </c>
      <c r="E387" t="s">
        <v>107</v>
      </c>
      <c r="F387" t="s">
        <v>424</v>
      </c>
    </row>
    <row r="388" spans="1:6" x14ac:dyDescent="0.35">
      <c r="A388" t="str">
        <f t="shared" si="5"/>
        <v>MSE 452,ED4-MSE</v>
      </c>
      <c r="B388" t="s">
        <v>573</v>
      </c>
      <c r="C388" t="str">
        <v>Waste Management</v>
      </c>
      <c r="D388">
        <v>115</v>
      </c>
      <c r="E388" t="s">
        <v>107</v>
      </c>
      <c r="F388" t="s">
        <v>108</v>
      </c>
    </row>
    <row r="389" spans="1:6" x14ac:dyDescent="0.35">
      <c r="A389" t="str">
        <f t="shared" si="5"/>
        <v>MSE 454,ED4-MSE</v>
      </c>
      <c r="B389" t="s">
        <v>572</v>
      </c>
      <c r="C389" t="str">
        <v>Surface Treatment Of Materials</v>
      </c>
      <c r="D389">
        <v>115</v>
      </c>
      <c r="E389" t="s">
        <v>107</v>
      </c>
      <c r="F389" t="s">
        <v>244</v>
      </c>
    </row>
    <row r="390" spans="1:6" x14ac:dyDescent="0.35">
      <c r="A390" t="str">
        <f t="shared" si="5"/>
        <v>MSE 456,ED4-MSE</v>
      </c>
      <c r="B390" t="s">
        <v>513</v>
      </c>
      <c r="C390" t="str">
        <v>Materials Quality Control, Assurrance And Selection</v>
      </c>
      <c r="D390">
        <v>115</v>
      </c>
      <c r="E390" t="s">
        <v>107</v>
      </c>
      <c r="F390" t="s">
        <v>180</v>
      </c>
    </row>
    <row r="391" spans="1:6" x14ac:dyDescent="0.35">
      <c r="A391" t="str">
        <f t="shared" si="5"/>
        <v>MSE 458,ED4-MSE</v>
      </c>
      <c r="B391" t="s">
        <v>571</v>
      </c>
      <c r="C391" t="str">
        <v>Process Dynamics And Control</v>
      </c>
      <c r="D391">
        <v>115</v>
      </c>
      <c r="E391" t="s">
        <v>107</v>
      </c>
      <c r="F391" t="s">
        <v>315</v>
      </c>
    </row>
    <row r="392" spans="1:6" x14ac:dyDescent="0.35">
      <c r="A392" t="str">
        <f t="shared" si="5"/>
        <v>EE 152,ED1-ME</v>
      </c>
      <c r="B392" t="s">
        <v>456</v>
      </c>
      <c r="C392" t="str">
        <v>Basic Electronics</v>
      </c>
      <c r="D392">
        <v>244</v>
      </c>
      <c r="E392" t="s">
        <v>176</v>
      </c>
      <c r="F392" t="s">
        <v>321</v>
      </c>
    </row>
    <row r="393" spans="1:6" x14ac:dyDescent="0.35">
      <c r="A393" t="str">
        <f t="shared" si="5"/>
        <v>ENGL 158,ED1-ME</v>
      </c>
      <c r="B393" t="s">
        <v>454</v>
      </c>
      <c r="C393" t="str">
        <v>Communication Skills II</v>
      </c>
      <c r="D393">
        <v>244</v>
      </c>
      <c r="E393" t="s">
        <v>176</v>
      </c>
      <c r="F393" t="s">
        <v>376</v>
      </c>
    </row>
    <row r="394" spans="1:6" x14ac:dyDescent="0.35">
      <c r="A394" t="str">
        <f t="shared" si="5"/>
        <v>MATH 152,ED1-ME</v>
      </c>
      <c r="B394" t="s">
        <v>453</v>
      </c>
      <c r="C394" t="str">
        <v>Calculus With Analysis</v>
      </c>
      <c r="D394">
        <v>244</v>
      </c>
      <c r="E394" t="s">
        <v>176</v>
      </c>
      <c r="F394" t="s">
        <v>190</v>
      </c>
    </row>
    <row r="395" spans="1:6" x14ac:dyDescent="0.35">
      <c r="A395" t="str">
        <f t="shared" si="5"/>
        <v>ME 160,ED1-ME</v>
      </c>
      <c r="B395" t="s">
        <v>534</v>
      </c>
      <c r="C395" t="str">
        <v>Engineering Drawing</v>
      </c>
      <c r="D395">
        <v>244</v>
      </c>
      <c r="E395" t="s">
        <v>176</v>
      </c>
      <c r="F395" t="s">
        <v>175</v>
      </c>
    </row>
    <row r="396" spans="1:6" x14ac:dyDescent="0.35">
      <c r="A396" t="str">
        <f t="shared" si="5"/>
        <v>ME 164,ED1-ME</v>
      </c>
      <c r="B396" t="s">
        <v>570</v>
      </c>
      <c r="C396" t="str">
        <v xml:space="preserve">Engineering Mechanics I: Statics </v>
      </c>
      <c r="D396">
        <v>244</v>
      </c>
      <c r="E396" t="s">
        <v>176</v>
      </c>
      <c r="F396" t="s">
        <v>239</v>
      </c>
    </row>
    <row r="397" spans="1:6" x14ac:dyDescent="0.35">
      <c r="A397" t="str">
        <f t="shared" si="5"/>
        <v>ME 168,ED1-ME</v>
      </c>
      <c r="B397" t="s">
        <v>569</v>
      </c>
      <c r="C397" t="str">
        <v>Computer Programming For Engineers</v>
      </c>
      <c r="D397">
        <v>244</v>
      </c>
      <c r="E397" t="s">
        <v>176</v>
      </c>
      <c r="F397" t="s">
        <v>81</v>
      </c>
    </row>
    <row r="398" spans="1:6" x14ac:dyDescent="0.35">
      <c r="A398" t="str">
        <f t="shared" ref="A398:A465" si="6">CONCATENATE(F398,",",E398)</f>
        <v>ME 174,ED1-ME</v>
      </c>
      <c r="B398" t="s">
        <v>567</v>
      </c>
      <c r="C398" t="str">
        <v xml:space="preserve">Product Design And Manufacturing </v>
      </c>
      <c r="D398">
        <v>244</v>
      </c>
      <c r="E398" t="s">
        <v>176</v>
      </c>
      <c r="F398" t="s">
        <v>568</v>
      </c>
    </row>
    <row r="399" spans="1:6" x14ac:dyDescent="0.35">
      <c r="A399" t="str">
        <f t="shared" si="6"/>
        <v>MATH 252,ED2-ME</v>
      </c>
      <c r="B399" t="s">
        <v>443</v>
      </c>
      <c r="C399" t="str">
        <v>Calculus With Several Variables</v>
      </c>
      <c r="D399">
        <v>237</v>
      </c>
      <c r="E399" t="s">
        <v>16</v>
      </c>
      <c r="F399" t="s">
        <v>112</v>
      </c>
    </row>
    <row r="400" spans="1:6" x14ac:dyDescent="0.35">
      <c r="A400" t="str">
        <f t="shared" si="6"/>
        <v>ME 252,ED2-ME</v>
      </c>
      <c r="B400" t="s">
        <v>566</v>
      </c>
      <c r="C400" t="str">
        <v>Fluid Dynamics I</v>
      </c>
      <c r="D400">
        <v>237</v>
      </c>
      <c r="E400" t="s">
        <v>16</v>
      </c>
      <c r="F400" t="s">
        <v>339</v>
      </c>
    </row>
    <row r="401" spans="1:6" x14ac:dyDescent="0.35">
      <c r="A401" t="str">
        <f t="shared" si="6"/>
        <v>ME 264,ED2-ME</v>
      </c>
      <c r="B401" t="s">
        <v>565</v>
      </c>
      <c r="C401" t="str">
        <v>Mechanisms Synthesis And Analysis I</v>
      </c>
      <c r="D401">
        <v>237</v>
      </c>
      <c r="E401" t="s">
        <v>16</v>
      </c>
      <c r="F401" t="s">
        <v>323</v>
      </c>
    </row>
    <row r="402" spans="1:6" x14ac:dyDescent="0.35">
      <c r="A402" t="str">
        <f t="shared" si="6"/>
        <v>ME 266,ED2-ME</v>
      </c>
      <c r="B402" t="s">
        <v>564</v>
      </c>
      <c r="C402" t="str">
        <v>Thermodynamics I</v>
      </c>
      <c r="D402">
        <v>237</v>
      </c>
      <c r="E402" t="s">
        <v>16</v>
      </c>
      <c r="F402" t="s">
        <v>14</v>
      </c>
    </row>
    <row r="403" spans="1:6" x14ac:dyDescent="0.35">
      <c r="A403" t="str">
        <f t="shared" si="6"/>
        <v>ME 274,ED2-ME</v>
      </c>
      <c r="B403" t="s">
        <v>562</v>
      </c>
      <c r="C403" t="str">
        <v xml:space="preserve">Machine Design Project </v>
      </c>
      <c r="D403">
        <v>237</v>
      </c>
      <c r="E403" t="s">
        <v>16</v>
      </c>
      <c r="F403" t="s">
        <v>563</v>
      </c>
    </row>
    <row r="404" spans="1:6" x14ac:dyDescent="0.35">
      <c r="A404" t="str">
        <f t="shared" si="6"/>
        <v>ME 292,ED2-ME</v>
      </c>
      <c r="B404" t="s">
        <v>552</v>
      </c>
      <c r="C404" t="str">
        <v>Industrial Engineering And Ergonomics</v>
      </c>
      <c r="D404">
        <v>237</v>
      </c>
      <c r="E404" t="s">
        <v>16</v>
      </c>
      <c r="F404" t="s">
        <v>201</v>
      </c>
    </row>
    <row r="405" spans="1:6" x14ac:dyDescent="0.35">
      <c r="A405" t="str">
        <f t="shared" si="6"/>
        <v>ME 296,ED2-ME</v>
      </c>
      <c r="B405" t="s">
        <v>560</v>
      </c>
      <c r="C405" t="str">
        <v>Mechanical Engineering Lab. II</v>
      </c>
      <c r="D405">
        <v>237</v>
      </c>
      <c r="E405" t="s">
        <v>16</v>
      </c>
      <c r="F405" t="s">
        <v>561</v>
      </c>
    </row>
    <row r="406" spans="1:6" x14ac:dyDescent="0.35">
      <c r="A406" t="str">
        <f t="shared" si="6"/>
        <v>EE 252,ED3-ME</v>
      </c>
      <c r="B406" t="s">
        <v>559</v>
      </c>
      <c r="C406" t="str">
        <v>Electrical Engineering Machines</v>
      </c>
      <c r="D406">
        <v>147</v>
      </c>
      <c r="E406" t="s">
        <v>77</v>
      </c>
      <c r="F406" t="s">
        <v>354</v>
      </c>
    </row>
    <row r="407" spans="1:6" x14ac:dyDescent="0.35">
      <c r="A407" t="str">
        <f t="shared" si="6"/>
        <v>ME 352,ED3-ME</v>
      </c>
      <c r="B407" t="s">
        <v>557</v>
      </c>
      <c r="C407" t="str">
        <v>Fluid Dynamics  II</v>
      </c>
      <c r="D407">
        <v>147</v>
      </c>
      <c r="E407" t="s">
        <v>77</v>
      </c>
      <c r="F407" t="s">
        <v>558</v>
      </c>
    </row>
    <row r="408" spans="1:6" x14ac:dyDescent="0.35">
      <c r="A408" t="str">
        <f t="shared" si="6"/>
        <v>ME 356,ED3-ME</v>
      </c>
      <c r="B408" t="s">
        <v>556</v>
      </c>
      <c r="C408" t="str">
        <v>Strength Of Materials II</v>
      </c>
      <c r="D408">
        <v>147</v>
      </c>
      <c r="E408" t="s">
        <v>77</v>
      </c>
      <c r="F408" t="s">
        <v>122</v>
      </c>
    </row>
    <row r="409" spans="1:6" x14ac:dyDescent="0.35">
      <c r="A409" t="str">
        <f t="shared" si="6"/>
        <v>ME 370,ED3-ME</v>
      </c>
      <c r="B409" t="s">
        <v>604</v>
      </c>
      <c r="C409" t="str">
        <v>Manufacturing Technology</v>
      </c>
      <c r="D409">
        <v>147</v>
      </c>
      <c r="E409" t="s">
        <v>77</v>
      </c>
      <c r="F409" t="s">
        <v>1372</v>
      </c>
    </row>
    <row r="410" spans="1:6" x14ac:dyDescent="0.35">
      <c r="A410" t="str">
        <f t="shared" si="6"/>
        <v>ME 362,ED3-ME</v>
      </c>
      <c r="B410" t="s">
        <v>555</v>
      </c>
      <c r="C410" t="str">
        <v>Vibrations I</v>
      </c>
      <c r="D410">
        <v>147</v>
      </c>
      <c r="E410" t="s">
        <v>77</v>
      </c>
      <c r="F410" t="s">
        <v>253</v>
      </c>
    </row>
    <row r="411" spans="1:6" x14ac:dyDescent="0.35">
      <c r="A411" t="str">
        <f t="shared" si="6"/>
        <v>ME 366,ED3-ME</v>
      </c>
      <c r="B411" t="s">
        <v>554</v>
      </c>
      <c r="C411" t="str">
        <v>Heat Transfer</v>
      </c>
      <c r="D411">
        <v>147</v>
      </c>
      <c r="E411" t="s">
        <v>77</v>
      </c>
      <c r="F411" t="s">
        <v>331</v>
      </c>
    </row>
    <row r="412" spans="1:6" x14ac:dyDescent="0.35">
      <c r="A412" t="str">
        <f t="shared" si="6"/>
        <v>ME 374,ED3-ME</v>
      </c>
      <c r="B412" t="s">
        <v>553</v>
      </c>
      <c r="C412" t="str">
        <v>Machine Elements Design II</v>
      </c>
      <c r="D412">
        <v>147</v>
      </c>
      <c r="E412" t="s">
        <v>77</v>
      </c>
      <c r="F412" t="s">
        <v>78</v>
      </c>
    </row>
    <row r="413" spans="1:6" x14ac:dyDescent="0.35">
      <c r="A413" t="str">
        <f t="shared" si="6"/>
        <v>ME 392,ED3-ME</v>
      </c>
      <c r="B413" t="s">
        <v>552</v>
      </c>
      <c r="C413" t="str">
        <v xml:space="preserve">Industrial Engineering And Ergonomics </v>
      </c>
      <c r="D413">
        <v>147</v>
      </c>
      <c r="E413" t="s">
        <v>77</v>
      </c>
      <c r="F413" t="s">
        <v>202</v>
      </c>
    </row>
    <row r="414" spans="1:6" x14ac:dyDescent="0.35">
      <c r="A414" t="str">
        <f t="shared" si="6"/>
        <v>ME 396,ED3-ME</v>
      </c>
      <c r="B414" t="s">
        <v>550</v>
      </c>
      <c r="C414" t="str">
        <v>Mechanical Engineering Laboratory IV</v>
      </c>
      <c r="D414">
        <v>147</v>
      </c>
      <c r="E414" t="s">
        <v>77</v>
      </c>
      <c r="F414" t="s">
        <v>551</v>
      </c>
    </row>
    <row r="415" spans="1:6" x14ac:dyDescent="0.35">
      <c r="A415" t="str">
        <f t="shared" si="6"/>
        <v>ME 452,ED4-ME</v>
      </c>
      <c r="B415" t="s">
        <v>549</v>
      </c>
      <c r="C415" t="str">
        <v>Fluid Machinery</v>
      </c>
      <c r="D415">
        <v>184</v>
      </c>
      <c r="E415" t="s">
        <v>91</v>
      </c>
      <c r="F415" t="s">
        <v>186</v>
      </c>
    </row>
    <row r="416" spans="1:6" x14ac:dyDescent="0.35">
      <c r="A416" t="str">
        <f t="shared" si="6"/>
        <v>ME 456,ED4-ME</v>
      </c>
      <c r="B416" t="s">
        <v>548</v>
      </c>
      <c r="C416" t="str">
        <v>Introduction To Finite Element</v>
      </c>
      <c r="D416">
        <v>5</v>
      </c>
      <c r="E416" t="s">
        <v>91</v>
      </c>
      <c r="F416" t="s">
        <v>125</v>
      </c>
    </row>
    <row r="417" spans="1:6" x14ac:dyDescent="0.35">
      <c r="A417" t="str">
        <f t="shared" si="6"/>
        <v>ME 462,ED4-ME</v>
      </c>
      <c r="B417" t="s">
        <v>547</v>
      </c>
      <c r="C417" t="str">
        <v>Mechanisms Synthesis And Analysis II</v>
      </c>
      <c r="D417">
        <v>4</v>
      </c>
      <c r="E417" t="s">
        <v>91</v>
      </c>
      <c r="F417" t="s">
        <v>292</v>
      </c>
    </row>
    <row r="418" spans="1:6" x14ac:dyDescent="0.35">
      <c r="A418" t="str">
        <f t="shared" si="6"/>
        <v>ged 162,ED4-ME</v>
      </c>
      <c r="B418" t="s">
        <v>545</v>
      </c>
      <c r="C418" t="e">
        <v>#N/A</v>
      </c>
      <c r="D418">
        <v>184</v>
      </c>
      <c r="E418" t="s">
        <v>91</v>
      </c>
      <c r="F418" t="s">
        <v>1413</v>
      </c>
    </row>
    <row r="419" spans="1:6" x14ac:dyDescent="0.35">
      <c r="A419" t="str">
        <f t="shared" si="6"/>
        <v>ME 468,ED4-ME</v>
      </c>
      <c r="B419" t="s">
        <v>544</v>
      </c>
      <c r="C419" t="str">
        <v>Internal Combustion Engines</v>
      </c>
      <c r="D419">
        <v>72</v>
      </c>
      <c r="E419" t="s">
        <v>91</v>
      </c>
      <c r="F419" t="s">
        <v>92</v>
      </c>
    </row>
    <row r="420" spans="1:6" x14ac:dyDescent="0.35">
      <c r="A420" t="str">
        <f t="shared" si="6"/>
        <v>ME 472,ED4-ME</v>
      </c>
      <c r="B420" t="s">
        <v>543</v>
      </c>
      <c r="C420" t="str">
        <v>Machine Shop And Factory Design</v>
      </c>
      <c r="D420">
        <v>54</v>
      </c>
      <c r="E420" t="s">
        <v>91</v>
      </c>
      <c r="F420" t="s">
        <v>215</v>
      </c>
    </row>
    <row r="421" spans="1:6" x14ac:dyDescent="0.35">
      <c r="A421" t="str">
        <f t="shared" si="6"/>
        <v>ME 474,ED4-ME</v>
      </c>
      <c r="B421" t="s">
        <v>541</v>
      </c>
      <c r="C421" t="str">
        <v>Production Planning And Control</v>
      </c>
      <c r="D421">
        <v>7</v>
      </c>
      <c r="E421" t="s">
        <v>91</v>
      </c>
      <c r="F421" t="s">
        <v>542</v>
      </c>
    </row>
    <row r="422" spans="1:6" x14ac:dyDescent="0.35">
      <c r="A422" t="str">
        <f t="shared" si="6"/>
        <v>ME 474,ED4-AERO</v>
      </c>
      <c r="C422" t="str">
        <v>Production Planning And Control</v>
      </c>
      <c r="D422">
        <v>14</v>
      </c>
      <c r="E422" t="s">
        <v>93</v>
      </c>
      <c r="F422" t="s">
        <v>542</v>
      </c>
    </row>
    <row r="423" spans="1:6" x14ac:dyDescent="0.35">
      <c r="A423" t="str">
        <f t="shared" si="6"/>
        <v>ME 476,ED4-ME</v>
      </c>
      <c r="B423" t="s">
        <v>539</v>
      </c>
      <c r="C423" t="str">
        <v>Special Vehicle Design (AME 482)</v>
      </c>
      <c r="D423">
        <v>44</v>
      </c>
      <c r="E423" t="s">
        <v>91</v>
      </c>
      <c r="F423" t="s">
        <v>540</v>
      </c>
    </row>
    <row r="424" spans="1:6" x14ac:dyDescent="0.35">
      <c r="A424" t="str">
        <f t="shared" si="6"/>
        <v>ME 478,ED4-ME</v>
      </c>
      <c r="B424" t="s">
        <v>538</v>
      </c>
      <c r="C424" t="str">
        <v>Production Engineering II</v>
      </c>
      <c r="D424">
        <v>53</v>
      </c>
      <c r="E424" t="s">
        <v>91</v>
      </c>
      <c r="F424" t="s">
        <v>394</v>
      </c>
    </row>
    <row r="425" spans="1:6" x14ac:dyDescent="0.35">
      <c r="A425" t="str">
        <f t="shared" si="6"/>
        <v>ME 482,ED4-ME</v>
      </c>
      <c r="B425" t="s">
        <v>537</v>
      </c>
      <c r="C425" t="str">
        <v>Mechanical Engineering Materials III</v>
      </c>
      <c r="D425">
        <v>4</v>
      </c>
      <c r="E425" t="s">
        <v>91</v>
      </c>
      <c r="F425" t="s">
        <v>223</v>
      </c>
    </row>
    <row r="426" spans="1:6" x14ac:dyDescent="0.35">
      <c r="A426" t="str">
        <f t="shared" si="6"/>
        <v>ME 492,ED4-ME</v>
      </c>
      <c r="B426" t="s">
        <v>423</v>
      </c>
      <c r="C426" t="str">
        <v>Management And Entrepreneurship Development</v>
      </c>
      <c r="D426">
        <v>184</v>
      </c>
      <c r="E426" t="s">
        <v>91</v>
      </c>
      <c r="F426" t="s">
        <v>424</v>
      </c>
    </row>
    <row r="427" spans="1:6" x14ac:dyDescent="0.35">
      <c r="A427" t="str">
        <f t="shared" si="6"/>
        <v>ME 464,ED4-ME</v>
      </c>
      <c r="C427" t="str">
        <v>Instrumentation</v>
      </c>
      <c r="D427">
        <v>184</v>
      </c>
      <c r="E427" t="s">
        <v>91</v>
      </c>
      <c r="F427" t="s">
        <v>546</v>
      </c>
    </row>
    <row r="428" spans="1:6" x14ac:dyDescent="0.35">
      <c r="A428" t="str">
        <f t="shared" si="6"/>
        <v>ME 494,ED4-ME</v>
      </c>
      <c r="B428" t="s">
        <v>536</v>
      </c>
      <c r="C428" t="str">
        <v>Maintenance Engineering</v>
      </c>
      <c r="D428">
        <v>184</v>
      </c>
      <c r="E428" t="s">
        <v>91</v>
      </c>
      <c r="F428" t="s">
        <v>250</v>
      </c>
    </row>
    <row r="429" spans="1:6" x14ac:dyDescent="0.35">
      <c r="A429" t="str">
        <f t="shared" si="6"/>
        <v>ME 496,ED4-ME</v>
      </c>
      <c r="B429" t="s">
        <v>535</v>
      </c>
      <c r="C429" t="str">
        <v>Human Factors And Ergonomics</v>
      </c>
      <c r="D429">
        <v>4</v>
      </c>
      <c r="E429" t="s">
        <v>91</v>
      </c>
      <c r="F429" t="s">
        <v>361</v>
      </c>
    </row>
    <row r="430" spans="1:6" x14ac:dyDescent="0.35">
      <c r="A430" t="str">
        <f t="shared" si="6"/>
        <v>ENGL 158,ED1-METE</v>
      </c>
      <c r="B430" t="s">
        <v>454</v>
      </c>
      <c r="C430" t="str">
        <v>Communication Skills II</v>
      </c>
      <c r="D430">
        <v>61</v>
      </c>
      <c r="E430" t="s">
        <v>18</v>
      </c>
      <c r="F430" t="s">
        <v>376</v>
      </c>
    </row>
    <row r="431" spans="1:6" x14ac:dyDescent="0.35">
      <c r="A431" t="str">
        <f t="shared" si="6"/>
        <v>MATH 152,ED1-METE</v>
      </c>
      <c r="B431" t="s">
        <v>453</v>
      </c>
      <c r="C431" t="str">
        <v>Calculus With Analysis</v>
      </c>
      <c r="D431">
        <v>61</v>
      </c>
      <c r="E431" t="s">
        <v>18</v>
      </c>
      <c r="F431" t="s">
        <v>190</v>
      </c>
    </row>
    <row r="432" spans="1:6" x14ac:dyDescent="0.35">
      <c r="A432" t="str">
        <f t="shared" si="6"/>
        <v>ME 160,ED1-METE</v>
      </c>
      <c r="B432" t="s">
        <v>534</v>
      </c>
      <c r="C432" t="str">
        <v>Engineering Drawing</v>
      </c>
      <c r="D432">
        <v>61</v>
      </c>
      <c r="E432" t="s">
        <v>18</v>
      </c>
      <c r="F432" t="s">
        <v>175</v>
      </c>
    </row>
    <row r="433" spans="1:6" x14ac:dyDescent="0.35">
      <c r="A433" t="str">
        <f t="shared" si="6"/>
        <v>ME 162,ED1-METE</v>
      </c>
      <c r="B433" t="s">
        <v>491</v>
      </c>
      <c r="C433" t="str">
        <v>Basic Mechanics</v>
      </c>
      <c r="D433">
        <v>61</v>
      </c>
      <c r="E433" t="s">
        <v>18</v>
      </c>
      <c r="F433" t="s">
        <v>290</v>
      </c>
    </row>
    <row r="434" spans="1:6" x14ac:dyDescent="0.35">
      <c r="A434" t="str">
        <f t="shared" si="6"/>
        <v>METE 152,ED1-METE</v>
      </c>
      <c r="B434" t="s">
        <v>533</v>
      </c>
      <c r="C434" t="str">
        <v>Chemistry For Metallurgical Engineers</v>
      </c>
      <c r="D434">
        <v>61</v>
      </c>
      <c r="E434" t="s">
        <v>18</v>
      </c>
      <c r="F434" t="s">
        <v>19</v>
      </c>
    </row>
    <row r="435" spans="1:6" x14ac:dyDescent="0.35">
      <c r="A435" t="str">
        <f t="shared" si="6"/>
        <v>METE 154,ED1-METE</v>
      </c>
      <c r="B435" t="s">
        <v>532</v>
      </c>
      <c r="C435" t="str">
        <v>Environmental Science</v>
      </c>
      <c r="D435">
        <v>61</v>
      </c>
      <c r="E435" t="s">
        <v>18</v>
      </c>
      <c r="F435" t="s">
        <v>228</v>
      </c>
    </row>
    <row r="436" spans="1:6" x14ac:dyDescent="0.35">
      <c r="A436" t="str">
        <f t="shared" si="6"/>
        <v>MSE 154,ED1-METE</v>
      </c>
      <c r="B436" t="s">
        <v>531</v>
      </c>
      <c r="C436" t="str">
        <v>Optical and Thermal Behaviour of Materials</v>
      </c>
      <c r="D436">
        <v>61</v>
      </c>
      <c r="E436" t="s">
        <v>18</v>
      </c>
      <c r="F436" t="s">
        <v>328</v>
      </c>
    </row>
    <row r="437" spans="1:6" x14ac:dyDescent="0.35">
      <c r="A437" t="str">
        <f>CONCATENATE(F437,",",E437)</f>
        <v>GED 162,ED1-METE</v>
      </c>
      <c r="B437" t="s">
        <v>1376</v>
      </c>
      <c r="C437" t="str">
        <v>Basic Geology</v>
      </c>
      <c r="D437">
        <v>61</v>
      </c>
      <c r="E437" t="s">
        <v>18</v>
      </c>
      <c r="F437" t="s">
        <v>1395</v>
      </c>
    </row>
    <row r="438" spans="1:6" x14ac:dyDescent="0.35">
      <c r="A438" t="str">
        <f t="shared" si="6"/>
        <v>MATH 252,ED2-METE</v>
      </c>
      <c r="B438" t="s">
        <v>443</v>
      </c>
      <c r="C438" t="str">
        <v>Calculus With Several Variables</v>
      </c>
      <c r="D438">
        <v>86</v>
      </c>
      <c r="E438" t="s">
        <v>111</v>
      </c>
      <c r="F438" t="s">
        <v>112</v>
      </c>
    </row>
    <row r="439" spans="1:6" x14ac:dyDescent="0.35">
      <c r="A439" t="str">
        <f t="shared" si="6"/>
        <v>METE 252,ED2-METE</v>
      </c>
      <c r="B439" t="s">
        <v>530</v>
      </c>
      <c r="C439" t="str">
        <v>Metallurgical Rate Processes/Surface Phenomena</v>
      </c>
      <c r="D439">
        <v>86</v>
      </c>
      <c r="E439" t="s">
        <v>111</v>
      </c>
      <c r="F439" t="s">
        <v>182</v>
      </c>
    </row>
    <row r="440" spans="1:6" x14ac:dyDescent="0.35">
      <c r="A440" t="str">
        <f t="shared" si="6"/>
        <v>METE 254,ED2-METE</v>
      </c>
      <c r="B440" t="s">
        <v>529</v>
      </c>
      <c r="C440" t="str">
        <v>Ore Beneficiation</v>
      </c>
      <c r="D440">
        <v>86</v>
      </c>
      <c r="E440" t="s">
        <v>111</v>
      </c>
      <c r="F440" t="s">
        <v>116</v>
      </c>
    </row>
    <row r="441" spans="1:6" x14ac:dyDescent="0.35">
      <c r="A441" t="str">
        <f t="shared" si="6"/>
        <v>METE 256,ED2-METE</v>
      </c>
      <c r="B441" t="s">
        <v>528</v>
      </c>
      <c r="C441" t="str">
        <v>Assaying</v>
      </c>
      <c r="D441">
        <v>86</v>
      </c>
      <c r="E441" t="s">
        <v>111</v>
      </c>
      <c r="F441" t="s">
        <v>214</v>
      </c>
    </row>
    <row r="442" spans="1:6" x14ac:dyDescent="0.35">
      <c r="A442" t="str">
        <f t="shared" si="6"/>
        <v>METE 258,ED2-METE</v>
      </c>
      <c r="B442" t="s">
        <v>527</v>
      </c>
      <c r="C442" t="str">
        <v>Computer Programming And Applications</v>
      </c>
      <c r="D442">
        <v>86</v>
      </c>
      <c r="E442" t="s">
        <v>111</v>
      </c>
      <c r="F442" t="s">
        <v>334</v>
      </c>
    </row>
    <row r="443" spans="1:6" x14ac:dyDescent="0.35">
      <c r="A443" t="str">
        <f t="shared" si="6"/>
        <v>MSE 252,ED2-METE</v>
      </c>
      <c r="B443" t="s">
        <v>526</v>
      </c>
      <c r="C443" t="str">
        <v>Heat And Mass Transport</v>
      </c>
      <c r="D443">
        <v>86</v>
      </c>
      <c r="E443" t="s">
        <v>111</v>
      </c>
      <c r="F443" t="s">
        <v>163</v>
      </c>
    </row>
    <row r="444" spans="1:6" x14ac:dyDescent="0.35">
      <c r="A444" t="str">
        <f t="shared" si="6"/>
        <v>MSE 260,ED2-METE</v>
      </c>
      <c r="B444" t="s">
        <v>525</v>
      </c>
      <c r="C444" t="str">
        <v>Phase Transformations</v>
      </c>
      <c r="D444">
        <v>86</v>
      </c>
      <c r="E444" t="s">
        <v>111</v>
      </c>
      <c r="F444" t="s">
        <v>305</v>
      </c>
    </row>
    <row r="445" spans="1:6" x14ac:dyDescent="0.35">
      <c r="A445" t="str">
        <f t="shared" si="6"/>
        <v>METE 352,ED3-METE</v>
      </c>
      <c r="B445" t="s">
        <v>524</v>
      </c>
      <c r="C445" t="str">
        <v>Hydrometallurgical Applications</v>
      </c>
      <c r="D445">
        <v>55</v>
      </c>
      <c r="E445" t="s">
        <v>120</v>
      </c>
      <c r="F445" t="s">
        <v>289</v>
      </c>
    </row>
    <row r="446" spans="1:6" x14ac:dyDescent="0.35">
      <c r="A446" t="str">
        <f t="shared" si="6"/>
        <v>METE 354,ED3-METE</v>
      </c>
      <c r="B446" t="s">
        <v>523</v>
      </c>
      <c r="C446" t="str">
        <v>Physical Metallurgy Of Non-Ferrous Metals</v>
      </c>
      <c r="D446">
        <v>55</v>
      </c>
      <c r="E446" t="s">
        <v>120</v>
      </c>
      <c r="F446" t="s">
        <v>370</v>
      </c>
    </row>
    <row r="447" spans="1:6" x14ac:dyDescent="0.35">
      <c r="A447" t="str">
        <f t="shared" si="6"/>
        <v>METE 356,ED3-METE</v>
      </c>
      <c r="B447" t="s">
        <v>521</v>
      </c>
      <c r="C447" t="str">
        <v>Third Year Design Project</v>
      </c>
      <c r="D447">
        <v>55</v>
      </c>
      <c r="E447" t="s">
        <v>120</v>
      </c>
      <c r="F447" t="s">
        <v>522</v>
      </c>
    </row>
    <row r="448" spans="1:6" x14ac:dyDescent="0.35">
      <c r="A448" t="str">
        <f t="shared" si="6"/>
        <v>METE 358,ED3-METE</v>
      </c>
      <c r="B448" t="s">
        <v>519</v>
      </c>
      <c r="C448" t="str">
        <v>Metallurgical Characterization Laboratory</v>
      </c>
      <c r="D448">
        <v>55</v>
      </c>
      <c r="E448" t="s">
        <v>120</v>
      </c>
      <c r="F448" t="s">
        <v>520</v>
      </c>
    </row>
    <row r="449" spans="1:6" x14ac:dyDescent="0.35">
      <c r="A449" t="str">
        <f t="shared" si="6"/>
        <v>METE 362,ED3-METE</v>
      </c>
      <c r="B449" t="s">
        <v>518</v>
      </c>
      <c r="C449" t="str">
        <v>Physical Metallurgy Of Ferrous Metals</v>
      </c>
      <c r="D449">
        <v>55</v>
      </c>
      <c r="E449" t="s">
        <v>120</v>
      </c>
      <c r="F449" t="s">
        <v>350</v>
      </c>
    </row>
    <row r="450" spans="1:6" x14ac:dyDescent="0.35">
      <c r="A450" t="str">
        <f t="shared" si="6"/>
        <v>MSE 358,ED3-METE</v>
      </c>
      <c r="B450" t="s">
        <v>517</v>
      </c>
      <c r="C450" t="str">
        <v>Numerical Methods For Engineers</v>
      </c>
      <c r="D450">
        <v>55</v>
      </c>
      <c r="E450" t="s">
        <v>120</v>
      </c>
      <c r="F450" t="s">
        <v>121</v>
      </c>
    </row>
    <row r="451" spans="1:6" x14ac:dyDescent="0.35">
      <c r="A451" t="str">
        <f t="shared" si="6"/>
        <v>MSE 362,ED3-METE</v>
      </c>
      <c r="B451" t="s">
        <v>516</v>
      </c>
      <c r="C451" t="str">
        <v>Materials Joining Processes</v>
      </c>
      <c r="D451">
        <v>55</v>
      </c>
      <c r="E451" t="s">
        <v>120</v>
      </c>
      <c r="F451" t="s">
        <v>203</v>
      </c>
    </row>
    <row r="452" spans="1:6" x14ac:dyDescent="0.35">
      <c r="A452" t="str">
        <f t="shared" si="6"/>
        <v>ME 492,ED4-METE</v>
      </c>
      <c r="B452" t="s">
        <v>423</v>
      </c>
      <c r="C452" t="str">
        <v>Management And Entrepreneurship Development</v>
      </c>
      <c r="D452">
        <v>65</v>
      </c>
      <c r="E452" t="s">
        <v>105</v>
      </c>
      <c r="F452" t="s">
        <v>424</v>
      </c>
    </row>
    <row r="453" spans="1:6" x14ac:dyDescent="0.35">
      <c r="A453" t="str">
        <f t="shared" si="6"/>
        <v>METE 452,ED4-METE</v>
      </c>
      <c r="B453" t="s">
        <v>515</v>
      </c>
      <c r="C453" t="str">
        <v>Electrometallurgy</v>
      </c>
      <c r="D453">
        <v>65</v>
      </c>
      <c r="E453" t="s">
        <v>105</v>
      </c>
      <c r="F453" t="s">
        <v>383</v>
      </c>
    </row>
    <row r="454" spans="1:6" x14ac:dyDescent="0.35">
      <c r="A454" t="str">
        <f t="shared" si="6"/>
        <v>METE 454,ED4-METE</v>
      </c>
      <c r="B454" t="s">
        <v>514</v>
      </c>
      <c r="C454" t="str">
        <v>Metallurgical waste Management</v>
      </c>
      <c r="D454">
        <v>65</v>
      </c>
      <c r="E454" t="s">
        <v>105</v>
      </c>
      <c r="F454" t="s">
        <v>106</v>
      </c>
    </row>
    <row r="455" spans="1:6" x14ac:dyDescent="0.35">
      <c r="A455" t="str">
        <f t="shared" si="6"/>
        <v>MSE 456,ED4-METE</v>
      </c>
      <c r="B455" t="s">
        <v>513</v>
      </c>
      <c r="C455" t="str">
        <v>Materials Quality Control, Assurrance And Selection</v>
      </c>
      <c r="D455">
        <v>65</v>
      </c>
      <c r="E455" t="s">
        <v>105</v>
      </c>
      <c r="F455" t="s">
        <v>180</v>
      </c>
    </row>
    <row r="456" spans="1:6" x14ac:dyDescent="0.35">
      <c r="A456" t="str">
        <f t="shared" si="6"/>
        <v>MSE 458,ED4-METE</v>
      </c>
      <c r="B456" t="s">
        <v>512</v>
      </c>
      <c r="C456" t="str">
        <v>Process Dynanics And Control</v>
      </c>
      <c r="D456">
        <v>65</v>
      </c>
      <c r="E456" t="s">
        <v>105</v>
      </c>
      <c r="F456" t="s">
        <v>315</v>
      </c>
    </row>
    <row r="457" spans="1:6" x14ac:dyDescent="0.35">
      <c r="A457" t="str">
        <f t="shared" si="6"/>
        <v>CHE 156,ED1-PCE</v>
      </c>
      <c r="B457" t="s">
        <v>489</v>
      </c>
      <c r="C457" t="str">
        <v>Physical Chemistry For Engineers</v>
      </c>
      <c r="D457">
        <v>59</v>
      </c>
      <c r="E457" t="s">
        <v>58</v>
      </c>
      <c r="F457" t="s">
        <v>231</v>
      </c>
    </row>
    <row r="458" spans="1:6" x14ac:dyDescent="0.35">
      <c r="A458" t="str">
        <f t="shared" si="6"/>
        <v>EE 152,ED1-PCE</v>
      </c>
      <c r="B458" t="s">
        <v>456</v>
      </c>
      <c r="C458" t="str">
        <v>Basic Electronics</v>
      </c>
      <c r="D458">
        <v>59</v>
      </c>
      <c r="E458" t="s">
        <v>58</v>
      </c>
      <c r="F458" t="s">
        <v>321</v>
      </c>
    </row>
    <row r="459" spans="1:6" x14ac:dyDescent="0.35">
      <c r="A459" t="str">
        <f t="shared" si="6"/>
        <v>ENGL 158,ED1-PCE</v>
      </c>
      <c r="B459" t="s">
        <v>454</v>
      </c>
      <c r="C459" t="str">
        <v>Communication Skills II</v>
      </c>
      <c r="D459">
        <v>59</v>
      </c>
      <c r="E459" t="s">
        <v>58</v>
      </c>
      <c r="F459" t="s">
        <v>376</v>
      </c>
    </row>
    <row r="460" spans="1:6" x14ac:dyDescent="0.35">
      <c r="A460" t="str">
        <f t="shared" si="6"/>
        <v>MATH 152,ED1-PCE</v>
      </c>
      <c r="B460" t="s">
        <v>487</v>
      </c>
      <c r="C460" t="str">
        <v>Calculus With Analysis</v>
      </c>
      <c r="D460">
        <v>59</v>
      </c>
      <c r="E460" t="s">
        <v>58</v>
      </c>
      <c r="F460" t="s">
        <v>190</v>
      </c>
    </row>
    <row r="461" spans="1:6" x14ac:dyDescent="0.35">
      <c r="A461" t="str">
        <f t="shared" si="6"/>
        <v>ME 162,ED1-PCE</v>
      </c>
      <c r="B461" t="s">
        <v>491</v>
      </c>
      <c r="C461" t="str">
        <v>Basic Mechanics</v>
      </c>
      <c r="D461">
        <v>59</v>
      </c>
      <c r="E461" t="s">
        <v>58</v>
      </c>
      <c r="F461" t="s">
        <v>290</v>
      </c>
    </row>
    <row r="462" spans="1:6" x14ac:dyDescent="0.35">
      <c r="A462" t="str">
        <f t="shared" si="6"/>
        <v>PCE 158,ED1-PCE</v>
      </c>
      <c r="B462" t="s">
        <v>511</v>
      </c>
      <c r="C462" t="str">
        <v>Introduction To Information Technology</v>
      </c>
      <c r="D462">
        <v>59</v>
      </c>
      <c r="E462" t="s">
        <v>58</v>
      </c>
      <c r="F462" t="s">
        <v>59</v>
      </c>
    </row>
    <row r="463" spans="1:6" x14ac:dyDescent="0.35">
      <c r="A463" t="str">
        <f t="shared" si="6"/>
        <v>PHY 170,ED1-PCE</v>
      </c>
      <c r="B463" t="s">
        <v>488</v>
      </c>
      <c r="C463" t="str">
        <v>General Physics</v>
      </c>
      <c r="D463">
        <v>59</v>
      </c>
      <c r="E463" t="s">
        <v>58</v>
      </c>
      <c r="F463" t="s">
        <v>205</v>
      </c>
    </row>
    <row r="464" spans="1:6" x14ac:dyDescent="0.35">
      <c r="A464" t="str">
        <f t="shared" si="6"/>
        <v>CHE 250,ED2-PCE</v>
      </c>
      <c r="B464" t="s">
        <v>510</v>
      </c>
      <c r="C464" t="str">
        <v>Strength Of Materials For Chemical Engineers</v>
      </c>
      <c r="D464">
        <v>59</v>
      </c>
      <c r="E464" t="s">
        <v>69</v>
      </c>
      <c r="F464" t="s">
        <v>124</v>
      </c>
    </row>
    <row r="465" spans="1:6" x14ac:dyDescent="0.35">
      <c r="A465" t="str">
        <f t="shared" si="6"/>
        <v>CHE 252,ED2-PCE</v>
      </c>
      <c r="B465" t="s">
        <v>509</v>
      </c>
      <c r="C465" t="str">
        <v>Chemical Process Calculations II</v>
      </c>
      <c r="D465">
        <v>59</v>
      </c>
      <c r="E465" t="s">
        <v>69</v>
      </c>
      <c r="F465" t="s">
        <v>234</v>
      </c>
    </row>
    <row r="466" spans="1:6" x14ac:dyDescent="0.35">
      <c r="A466" t="str">
        <f t="shared" ref="A466:A529" si="7">CONCATENATE(F466,",",E466)</f>
        <v>CHE 254,ED2-PCE</v>
      </c>
      <c r="B466" t="s">
        <v>508</v>
      </c>
      <c r="C466" t="str">
        <v>Chemical Engineering Thermodynamics II</v>
      </c>
      <c r="D466">
        <v>59</v>
      </c>
      <c r="E466" t="s">
        <v>69</v>
      </c>
      <c r="F466" t="s">
        <v>70</v>
      </c>
    </row>
    <row r="467" spans="1:6" x14ac:dyDescent="0.35">
      <c r="A467" t="str">
        <f t="shared" si="7"/>
        <v>CHE 256,ED2-PCE</v>
      </c>
      <c r="B467" t="s">
        <v>486</v>
      </c>
      <c r="C467" t="str">
        <v>Heat Transport Processes</v>
      </c>
      <c r="D467">
        <v>59</v>
      </c>
      <c r="E467" t="s">
        <v>69</v>
      </c>
      <c r="F467" t="s">
        <v>183</v>
      </c>
    </row>
    <row r="468" spans="1:6" x14ac:dyDescent="0.35">
      <c r="A468" t="str">
        <f t="shared" si="7"/>
        <v>CHE 258,ED2-PCE</v>
      </c>
      <c r="B468" t="s">
        <v>484</v>
      </c>
      <c r="C468" t="str">
        <v>Drawing For Engineers</v>
      </c>
      <c r="D468">
        <v>59</v>
      </c>
      <c r="E468" t="s">
        <v>69</v>
      </c>
      <c r="F468" t="s">
        <v>385</v>
      </c>
    </row>
    <row r="469" spans="1:6" x14ac:dyDescent="0.35">
      <c r="A469" t="str">
        <f t="shared" si="7"/>
        <v>CHEM 280,ED2-PCE</v>
      </c>
      <c r="B469" t="s">
        <v>507</v>
      </c>
      <c r="C469" t="str">
        <v>Practical Chemistry II</v>
      </c>
      <c r="D469">
        <v>59</v>
      </c>
      <c r="E469" t="s">
        <v>69</v>
      </c>
      <c r="F469" t="s">
        <v>330</v>
      </c>
    </row>
    <row r="470" spans="1:6" x14ac:dyDescent="0.35">
      <c r="A470" t="str">
        <f t="shared" si="7"/>
        <v>MATH 252,ED2-PCE</v>
      </c>
      <c r="B470" t="s">
        <v>487</v>
      </c>
      <c r="C470" t="str">
        <v>Calculus Of Several Variables</v>
      </c>
      <c r="D470">
        <v>59</v>
      </c>
      <c r="E470" t="s">
        <v>69</v>
      </c>
      <c r="F470" t="s">
        <v>112</v>
      </c>
    </row>
    <row r="471" spans="1:6" x14ac:dyDescent="0.35">
      <c r="A471" t="str">
        <f t="shared" si="7"/>
        <v>CHE 350,ED3-PCE</v>
      </c>
      <c r="B471" t="s">
        <v>506</v>
      </c>
      <c r="C471" t="str">
        <v>Materials Science</v>
      </c>
      <c r="D471">
        <v>62</v>
      </c>
      <c r="E471" t="s">
        <v>79</v>
      </c>
      <c r="F471" t="s">
        <v>347</v>
      </c>
    </row>
    <row r="472" spans="1:6" x14ac:dyDescent="0.35">
      <c r="A472" t="str">
        <f t="shared" si="7"/>
        <v>CHE 358,ED3-PCE</v>
      </c>
      <c r="B472" t="s">
        <v>505</v>
      </c>
      <c r="C472" t="str">
        <v>Numerical Methods For Chemical Engineers</v>
      </c>
      <c r="D472">
        <v>62</v>
      </c>
      <c r="E472" t="s">
        <v>79</v>
      </c>
      <c r="F472" t="s">
        <v>187</v>
      </c>
    </row>
    <row r="473" spans="1:6" x14ac:dyDescent="0.35">
      <c r="A473" t="str">
        <f t="shared" si="7"/>
        <v>CHE 366,ED3-PCE</v>
      </c>
      <c r="B473" t="s">
        <v>504</v>
      </c>
      <c r="C473" t="str">
        <v>Renewable Energy Resources</v>
      </c>
      <c r="D473">
        <v>15</v>
      </c>
      <c r="E473" t="s">
        <v>79</v>
      </c>
      <c r="F473" t="s">
        <v>141</v>
      </c>
    </row>
    <row r="474" spans="1:6" x14ac:dyDescent="0.35">
      <c r="A474" t="str">
        <f t="shared" si="7"/>
        <v>CHE 370,ED3-PCE</v>
      </c>
      <c r="B474" t="s">
        <v>503</v>
      </c>
      <c r="C474" t="str">
        <v>Environmental Impact Assessment</v>
      </c>
      <c r="D474">
        <v>42</v>
      </c>
      <c r="E474" t="s">
        <v>79</v>
      </c>
      <c r="F474" t="s">
        <v>216</v>
      </c>
    </row>
    <row r="475" spans="1:6" x14ac:dyDescent="0.35">
      <c r="A475" t="str">
        <f t="shared" si="7"/>
        <v>PCE 350,ED3-PCE</v>
      </c>
      <c r="B475" t="s">
        <v>502</v>
      </c>
      <c r="C475" t="str">
        <v>Kinetics And Reactions Engineering</v>
      </c>
      <c r="D475">
        <v>62</v>
      </c>
      <c r="E475" t="s">
        <v>79</v>
      </c>
      <c r="F475" t="s">
        <v>255</v>
      </c>
    </row>
    <row r="476" spans="1:6" x14ac:dyDescent="0.35">
      <c r="A476" t="str">
        <f t="shared" si="7"/>
        <v>PCE 352,ED3-PCE</v>
      </c>
      <c r="B476" t="s">
        <v>501</v>
      </c>
      <c r="C476" t="str">
        <v>Separation Processes II</v>
      </c>
      <c r="D476">
        <v>62</v>
      </c>
      <c r="E476" t="s">
        <v>79</v>
      </c>
      <c r="F476" t="s">
        <v>275</v>
      </c>
    </row>
    <row r="477" spans="1:6" x14ac:dyDescent="0.35">
      <c r="A477" t="str">
        <f t="shared" si="7"/>
        <v>PCE 354,ED3-PCE</v>
      </c>
      <c r="B477" t="s">
        <v>499</v>
      </c>
      <c r="C477" t="str">
        <v>Petrochemical Engineering Laboratory II</v>
      </c>
      <c r="D477">
        <v>62</v>
      </c>
      <c r="E477" t="s">
        <v>79</v>
      </c>
      <c r="F477" t="s">
        <v>500</v>
      </c>
    </row>
    <row r="478" spans="1:6" x14ac:dyDescent="0.35">
      <c r="A478" t="str">
        <f t="shared" si="7"/>
        <v>PETE 354,ED3-PCE</v>
      </c>
      <c r="B478" t="s">
        <v>498</v>
      </c>
      <c r="C478" t="str">
        <v>Petroleum Production Engineering</v>
      </c>
      <c r="D478">
        <v>62</v>
      </c>
      <c r="E478" t="s">
        <v>79</v>
      </c>
      <c r="F478" t="s">
        <v>80</v>
      </c>
    </row>
    <row r="479" spans="1:6" x14ac:dyDescent="0.35">
      <c r="A479" t="str">
        <f t="shared" si="7"/>
        <v>PETE 450,ED3-PCE</v>
      </c>
      <c r="B479" t="s">
        <v>497</v>
      </c>
      <c r="C479" t="str">
        <v>Natural Gas Engineering</v>
      </c>
      <c r="D479">
        <v>62</v>
      </c>
      <c r="E479" t="s">
        <v>79</v>
      </c>
      <c r="F479" t="s">
        <v>374</v>
      </c>
    </row>
    <row r="480" spans="1:6" x14ac:dyDescent="0.35">
      <c r="A480" t="str">
        <f t="shared" si="7"/>
        <v>CHE 456,ED4-PCE</v>
      </c>
      <c r="B480" t="s">
        <v>496</v>
      </c>
      <c r="C480" t="str">
        <v>Process Control And Simulation</v>
      </c>
      <c r="D480">
        <v>104</v>
      </c>
      <c r="E480" t="s">
        <v>35</v>
      </c>
      <c r="F480" t="s">
        <v>103</v>
      </c>
    </row>
    <row r="481" spans="1:6" x14ac:dyDescent="0.35">
      <c r="A481" t="str">
        <f t="shared" si="7"/>
        <v>CHE 458,ED4-PCE</v>
      </c>
      <c r="B481" t="s">
        <v>495</v>
      </c>
      <c r="C481" t="str">
        <v>Entrepreneurship And Business Development</v>
      </c>
      <c r="D481">
        <v>104</v>
      </c>
      <c r="E481" t="s">
        <v>35</v>
      </c>
      <c r="F481" t="s">
        <v>165</v>
      </c>
    </row>
    <row r="482" spans="1:6" x14ac:dyDescent="0.35">
      <c r="A482" t="str">
        <f t="shared" si="7"/>
        <v>CHE 464,ED4-PCE</v>
      </c>
      <c r="B482" t="s">
        <v>494</v>
      </c>
      <c r="C482" t="str">
        <v>Adsorption Separation Process Technology</v>
      </c>
      <c r="D482">
        <v>50</v>
      </c>
      <c r="E482" t="s">
        <v>35</v>
      </c>
      <c r="F482" t="s">
        <v>395</v>
      </c>
    </row>
    <row r="483" spans="1:6" x14ac:dyDescent="0.35">
      <c r="A483" t="str">
        <f t="shared" si="7"/>
        <v>MSE 356,ED4-PCE</v>
      </c>
      <c r="B483" t="s">
        <v>493</v>
      </c>
      <c r="C483" t="str">
        <v>Engineering Properties Of Polymers</v>
      </c>
      <c r="D483">
        <v>47</v>
      </c>
      <c r="E483" t="s">
        <v>35</v>
      </c>
      <c r="F483" t="s">
        <v>34</v>
      </c>
    </row>
    <row r="484" spans="1:6" x14ac:dyDescent="0.35">
      <c r="A484" t="str">
        <f t="shared" si="7"/>
        <v>PCE 450,ED4-PCE</v>
      </c>
      <c r="B484" t="s">
        <v>492</v>
      </c>
      <c r="C484" t="str">
        <v>Petroleum Refining Engineering</v>
      </c>
      <c r="D484">
        <v>104</v>
      </c>
      <c r="E484" t="s">
        <v>35</v>
      </c>
      <c r="F484" t="s">
        <v>270</v>
      </c>
    </row>
    <row r="485" spans="1:6" x14ac:dyDescent="0.35">
      <c r="A485" t="str">
        <f t="shared" si="7"/>
        <v>EE 152,ED1-PETE</v>
      </c>
      <c r="B485" t="s">
        <v>456</v>
      </c>
      <c r="C485" t="str">
        <v>Basic Electronics</v>
      </c>
      <c r="D485">
        <v>97</v>
      </c>
      <c r="E485" t="s">
        <v>98</v>
      </c>
      <c r="F485" t="s">
        <v>321</v>
      </c>
    </row>
    <row r="486" spans="1:6" x14ac:dyDescent="0.35">
      <c r="A486" t="str">
        <f t="shared" si="7"/>
        <v>ENGL 158,ED1-PETE</v>
      </c>
      <c r="B486" t="s">
        <v>454</v>
      </c>
      <c r="C486" t="str">
        <v>Communication Skills II</v>
      </c>
      <c r="D486">
        <v>97</v>
      </c>
      <c r="E486" t="s">
        <v>98</v>
      </c>
      <c r="F486" t="s">
        <v>376</v>
      </c>
    </row>
    <row r="487" spans="1:6" x14ac:dyDescent="0.35">
      <c r="A487" t="str">
        <f t="shared" si="7"/>
        <v>MATH 152,ED1-PETE</v>
      </c>
      <c r="B487" t="s">
        <v>453</v>
      </c>
      <c r="C487" t="str">
        <v>Calculus With Analysis</v>
      </c>
      <c r="D487">
        <v>97</v>
      </c>
      <c r="E487" t="s">
        <v>98</v>
      </c>
      <c r="F487" t="s">
        <v>190</v>
      </c>
    </row>
    <row r="488" spans="1:6" x14ac:dyDescent="0.35">
      <c r="A488" t="str">
        <f t="shared" si="7"/>
        <v>ME 162,ED1-PETE</v>
      </c>
      <c r="B488" t="s">
        <v>491</v>
      </c>
      <c r="C488" t="str">
        <v>Basic Mechanics</v>
      </c>
      <c r="D488">
        <v>97</v>
      </c>
      <c r="E488" t="s">
        <v>98</v>
      </c>
      <c r="F488" t="s">
        <v>290</v>
      </c>
    </row>
    <row r="489" spans="1:6" x14ac:dyDescent="0.35">
      <c r="A489" t="str">
        <f t="shared" si="7"/>
        <v>PE 154,ED1-PETE</v>
      </c>
      <c r="B489" t="s">
        <v>490</v>
      </c>
      <c r="C489" t="str">
        <v>Introduction To Petroleum Engineering</v>
      </c>
      <c r="D489">
        <v>97</v>
      </c>
      <c r="E489" t="s">
        <v>98</v>
      </c>
      <c r="F489" t="s">
        <v>99</v>
      </c>
    </row>
    <row r="490" spans="1:6" x14ac:dyDescent="0.35">
      <c r="A490" t="str">
        <f t="shared" si="7"/>
        <v>PE 156,ED1-PETE</v>
      </c>
      <c r="B490" t="s">
        <v>489</v>
      </c>
      <c r="C490" t="str">
        <v>Physical Chemistry For Engineers</v>
      </c>
      <c r="D490">
        <v>97</v>
      </c>
      <c r="E490" t="s">
        <v>98</v>
      </c>
      <c r="F490" t="s">
        <v>152</v>
      </c>
    </row>
    <row r="491" spans="1:6" x14ac:dyDescent="0.35">
      <c r="A491" t="str">
        <f t="shared" si="7"/>
        <v>PHY 170,ED1-PETE</v>
      </c>
      <c r="B491" t="s">
        <v>488</v>
      </c>
      <c r="C491" t="str">
        <v>General Physics</v>
      </c>
      <c r="D491">
        <v>97</v>
      </c>
      <c r="E491" t="s">
        <v>98</v>
      </c>
      <c r="F491" t="s">
        <v>205</v>
      </c>
    </row>
    <row r="492" spans="1:6" x14ac:dyDescent="0.35">
      <c r="A492" t="str">
        <f t="shared" si="7"/>
        <v>MATH 252,ED2-PETE</v>
      </c>
      <c r="B492" t="s">
        <v>487</v>
      </c>
      <c r="C492" t="str">
        <v>Calculus Of Several Variables</v>
      </c>
      <c r="D492">
        <v>82</v>
      </c>
      <c r="E492" t="s">
        <v>36</v>
      </c>
      <c r="F492" t="s">
        <v>112</v>
      </c>
    </row>
    <row r="493" spans="1:6" x14ac:dyDescent="0.35">
      <c r="A493" t="str">
        <f t="shared" si="7"/>
        <v>PE 252,ED2-PETE</v>
      </c>
      <c r="B493" t="s">
        <v>486</v>
      </c>
      <c r="C493" t="str">
        <v>Heat Transport Processes</v>
      </c>
      <c r="D493">
        <v>82</v>
      </c>
      <c r="E493" t="s">
        <v>36</v>
      </c>
      <c r="F493" t="s">
        <v>193</v>
      </c>
    </row>
    <row r="494" spans="1:6" x14ac:dyDescent="0.35">
      <c r="A494" t="str">
        <f t="shared" si="7"/>
        <v>PE 254,ED2-PETE</v>
      </c>
      <c r="B494" t="s">
        <v>484</v>
      </c>
      <c r="C494" t="str">
        <v>Drawing For Engineers</v>
      </c>
      <c r="D494">
        <v>82</v>
      </c>
      <c r="E494" t="s">
        <v>36</v>
      </c>
      <c r="F494" t="s">
        <v>485</v>
      </c>
    </row>
    <row r="495" spans="1:6" x14ac:dyDescent="0.35">
      <c r="A495" t="str">
        <f t="shared" si="7"/>
        <v>PE 256,ED2-PETE</v>
      </c>
      <c r="B495" t="s">
        <v>483</v>
      </c>
      <c r="C495" t="str">
        <v>Regional Geology</v>
      </c>
      <c r="D495">
        <v>82</v>
      </c>
      <c r="E495" t="s">
        <v>36</v>
      </c>
      <c r="F495" t="s">
        <v>309</v>
      </c>
    </row>
    <row r="496" spans="1:6" x14ac:dyDescent="0.35">
      <c r="A496" t="str">
        <f t="shared" si="7"/>
        <v>PE 258,ED2-PETE</v>
      </c>
      <c r="B496" t="s">
        <v>482</v>
      </c>
      <c r="C496" t="str">
        <v>Petroleum Engineering Thermodynamics II</v>
      </c>
      <c r="D496">
        <v>82</v>
      </c>
      <c r="E496" t="s">
        <v>36</v>
      </c>
      <c r="F496" t="s">
        <v>248</v>
      </c>
    </row>
    <row r="497" spans="1:6" x14ac:dyDescent="0.35">
      <c r="A497" t="str">
        <f t="shared" si="7"/>
        <v>PE 260,ED2-PETE</v>
      </c>
      <c r="B497" t="s">
        <v>481</v>
      </c>
      <c r="C497" t="str">
        <v>Reservoir Fluid Properties</v>
      </c>
      <c r="D497">
        <v>82</v>
      </c>
      <c r="E497" t="s">
        <v>36</v>
      </c>
      <c r="F497" t="s">
        <v>37</v>
      </c>
    </row>
    <row r="498" spans="1:6" x14ac:dyDescent="0.35">
      <c r="A498" t="str">
        <f t="shared" si="7"/>
        <v>PE 262,ED2-PETE</v>
      </c>
      <c r="B498" t="s">
        <v>480</v>
      </c>
      <c r="C498" t="str">
        <v>Computer Programming In Oil And Gas</v>
      </c>
      <c r="D498">
        <v>82</v>
      </c>
      <c r="E498" t="s">
        <v>36</v>
      </c>
      <c r="F498" t="s">
        <v>348</v>
      </c>
    </row>
    <row r="499" spans="1:6" x14ac:dyDescent="0.35">
      <c r="A499" t="str">
        <f t="shared" si="7"/>
        <v>PE 264,ED2-PETE</v>
      </c>
      <c r="B499" t="s">
        <v>479</v>
      </c>
      <c r="C499" t="str">
        <v>Principles Of Land Surveying And Hydrographic Science</v>
      </c>
      <c r="D499">
        <v>82</v>
      </c>
      <c r="E499" t="s">
        <v>36</v>
      </c>
      <c r="F499" t="s">
        <v>123</v>
      </c>
    </row>
    <row r="500" spans="1:6" x14ac:dyDescent="0.35">
      <c r="A500" t="str">
        <f t="shared" si="7"/>
        <v>PE 350,ED3-PETE</v>
      </c>
      <c r="B500" t="s">
        <v>478</v>
      </c>
      <c r="C500" t="str">
        <v>Numerical Methods For Petroleum Engineers</v>
      </c>
      <c r="D500">
        <v>103</v>
      </c>
      <c r="E500" t="s">
        <v>29</v>
      </c>
      <c r="F500" t="s">
        <v>30</v>
      </c>
    </row>
    <row r="501" spans="1:6" x14ac:dyDescent="0.35">
      <c r="A501" t="str">
        <f t="shared" si="7"/>
        <v>PE 352,ED3-PETE</v>
      </c>
      <c r="B501" t="s">
        <v>477</v>
      </c>
      <c r="C501" t="str">
        <v>Petroleum Geology</v>
      </c>
      <c r="D501">
        <v>103</v>
      </c>
      <c r="E501" t="s">
        <v>29</v>
      </c>
      <c r="F501" t="s">
        <v>363</v>
      </c>
    </row>
    <row r="502" spans="1:6" x14ac:dyDescent="0.35">
      <c r="A502" t="str">
        <f t="shared" si="7"/>
        <v>PE 354,ED3-PETE</v>
      </c>
      <c r="B502" t="s">
        <v>476</v>
      </c>
      <c r="C502" t="str">
        <v>Drilling Engineering II</v>
      </c>
      <c r="D502">
        <v>103</v>
      </c>
      <c r="E502" t="s">
        <v>29</v>
      </c>
      <c r="F502" t="s">
        <v>278</v>
      </c>
    </row>
    <row r="503" spans="1:6" x14ac:dyDescent="0.35">
      <c r="A503" t="str">
        <f t="shared" si="7"/>
        <v>PE 356,ED3-PETE</v>
      </c>
      <c r="B503" t="s">
        <v>474</v>
      </c>
      <c r="C503" t="str">
        <v>Petroleum Engineering Lab II</v>
      </c>
      <c r="D503">
        <v>103</v>
      </c>
      <c r="E503" t="s">
        <v>29</v>
      </c>
      <c r="F503" t="s">
        <v>475</v>
      </c>
    </row>
    <row r="504" spans="1:6" x14ac:dyDescent="0.35">
      <c r="A504" t="str">
        <f t="shared" si="7"/>
        <v>PE 358,ED3-PETE</v>
      </c>
      <c r="B504" t="s">
        <v>473</v>
      </c>
      <c r="C504" t="str">
        <v>Petroleum Production Engineering II</v>
      </c>
      <c r="D504">
        <v>103</v>
      </c>
      <c r="E504" t="s">
        <v>29</v>
      </c>
      <c r="F504" t="s">
        <v>264</v>
      </c>
    </row>
    <row r="505" spans="1:6" x14ac:dyDescent="0.35">
      <c r="A505" t="str">
        <f t="shared" si="7"/>
        <v>PE 360,ED3-PETE</v>
      </c>
      <c r="B505" t="s">
        <v>472</v>
      </c>
      <c r="C505" t="str">
        <v>Well Testing</v>
      </c>
      <c r="D505">
        <v>103</v>
      </c>
      <c r="E505" t="s">
        <v>29</v>
      </c>
      <c r="F505" t="s">
        <v>204</v>
      </c>
    </row>
    <row r="506" spans="1:6" x14ac:dyDescent="0.35">
      <c r="A506" t="str">
        <f t="shared" si="7"/>
        <v>PE 362,ED3-PETE</v>
      </c>
      <c r="B506" t="s">
        <v>470</v>
      </c>
      <c r="C506" t="str">
        <v>Geostatistics</v>
      </c>
      <c r="D506">
        <v>103</v>
      </c>
      <c r="E506" t="s">
        <v>29</v>
      </c>
      <c r="F506" t="s">
        <v>471</v>
      </c>
    </row>
    <row r="507" spans="1:6" x14ac:dyDescent="0.35">
      <c r="A507" t="str">
        <f t="shared" si="7"/>
        <v>PE 364,ED3-PETE</v>
      </c>
      <c r="B507" t="s">
        <v>469</v>
      </c>
      <c r="C507" t="str">
        <v>Oil &amp; Gas Geophysics</v>
      </c>
      <c r="D507">
        <v>103</v>
      </c>
      <c r="E507" t="s">
        <v>29</v>
      </c>
      <c r="F507" t="s">
        <v>153</v>
      </c>
    </row>
    <row r="508" spans="1:6" x14ac:dyDescent="0.35">
      <c r="A508" t="str">
        <f t="shared" si="7"/>
        <v>PE 366,ED3-PETE</v>
      </c>
      <c r="B508" t="s">
        <v>468</v>
      </c>
      <c r="C508" t="str">
        <v>Health Safety And Environment</v>
      </c>
      <c r="D508">
        <v>103</v>
      </c>
      <c r="E508" t="s">
        <v>29</v>
      </c>
      <c r="F508" t="s">
        <v>356</v>
      </c>
    </row>
    <row r="509" spans="1:6" x14ac:dyDescent="0.35">
      <c r="A509" t="str">
        <f t="shared" si="7"/>
        <v>PE 450,ED4-PETE</v>
      </c>
      <c r="B509" t="s">
        <v>467</v>
      </c>
      <c r="C509" t="str">
        <v>Reservoir Recovery Techniques</v>
      </c>
      <c r="D509">
        <v>158</v>
      </c>
      <c r="E509" t="s">
        <v>53</v>
      </c>
      <c r="F509" t="s">
        <v>301</v>
      </c>
    </row>
    <row r="510" spans="1:6" x14ac:dyDescent="0.35">
      <c r="A510" t="str">
        <f t="shared" si="7"/>
        <v>PE 452,ED4-PETE</v>
      </c>
      <c r="B510" t="s">
        <v>466</v>
      </c>
      <c r="C510" t="str">
        <v>Petroleum Project Evaluation</v>
      </c>
      <c r="D510">
        <v>158</v>
      </c>
      <c r="E510" t="s">
        <v>53</v>
      </c>
      <c r="F510" t="s">
        <v>222</v>
      </c>
    </row>
    <row r="511" spans="1:6" x14ac:dyDescent="0.35">
      <c r="A511" t="str">
        <f t="shared" si="7"/>
        <v>PE 456,ED4-PETE</v>
      </c>
      <c r="B511" t="s">
        <v>465</v>
      </c>
      <c r="C511" t="str">
        <v>Well Completion And Stimulation</v>
      </c>
      <c r="D511">
        <v>158</v>
      </c>
      <c r="E511" t="s">
        <v>53</v>
      </c>
      <c r="F511" t="s">
        <v>54</v>
      </c>
    </row>
    <row r="512" spans="1:6" x14ac:dyDescent="0.35">
      <c r="A512" t="str">
        <f t="shared" si="7"/>
        <v>PE 458,ED4-PETE</v>
      </c>
      <c r="B512" t="s">
        <v>464</v>
      </c>
      <c r="C512" t="str">
        <v>Oilfield Geochemistry</v>
      </c>
      <c r="D512">
        <v>158</v>
      </c>
      <c r="E512" t="s">
        <v>53</v>
      </c>
      <c r="F512" t="s">
        <v>184</v>
      </c>
    </row>
    <row r="513" spans="1:6" x14ac:dyDescent="0.35">
      <c r="A513" t="str">
        <f t="shared" si="7"/>
        <v>PE 464,ED4-PETE</v>
      </c>
      <c r="B513" t="s">
        <v>463</v>
      </c>
      <c r="C513" t="str">
        <v>Refining Process Technology</v>
      </c>
      <c r="D513">
        <v>117</v>
      </c>
      <c r="E513" t="s">
        <v>53</v>
      </c>
      <c r="F513" t="s">
        <v>268</v>
      </c>
    </row>
    <row r="514" spans="1:6" x14ac:dyDescent="0.35">
      <c r="A514" t="str">
        <f t="shared" si="7"/>
        <v>PE 466,ED4-PETE</v>
      </c>
      <c r="B514" t="s">
        <v>462</v>
      </c>
      <c r="C514" t="str">
        <v>Fundamentals Of Petroleum Law</v>
      </c>
      <c r="D514">
        <v>158</v>
      </c>
      <c r="E514" t="s">
        <v>53</v>
      </c>
      <c r="F514" t="s">
        <v>325</v>
      </c>
    </row>
    <row r="515" spans="1:6" x14ac:dyDescent="0.35">
      <c r="A515" t="str">
        <f t="shared" si="7"/>
        <v>PE 468,ED4-PETE</v>
      </c>
      <c r="B515" t="s">
        <v>461</v>
      </c>
      <c r="C515" t="str">
        <v>Petroleum Business: Structures, Logistics</v>
      </c>
      <c r="D515">
        <v>158</v>
      </c>
      <c r="E515" t="s">
        <v>53</v>
      </c>
      <c r="F515" t="s">
        <v>143</v>
      </c>
    </row>
    <row r="516" spans="1:6" x14ac:dyDescent="0.35">
      <c r="A516" t="str">
        <f t="shared" si="7"/>
        <v>PE 472,ED4-PETE</v>
      </c>
      <c r="B516" t="s">
        <v>460</v>
      </c>
      <c r="C516" t="str">
        <v>Natural Gas Engineering II</v>
      </c>
      <c r="D516">
        <v>158</v>
      </c>
      <c r="E516" t="s">
        <v>53</v>
      </c>
      <c r="F516" t="s">
        <v>379</v>
      </c>
    </row>
    <row r="517" spans="1:6" x14ac:dyDescent="0.35">
      <c r="A517" t="str">
        <f t="shared" si="7"/>
        <v>PE 474,ED4-PETE</v>
      </c>
      <c r="B517" t="s">
        <v>459</v>
      </c>
      <c r="C517" t="str">
        <v>Pipeline Engineering</v>
      </c>
      <c r="D517">
        <v>4</v>
      </c>
      <c r="E517" t="s">
        <v>53</v>
      </c>
      <c r="F517" t="s">
        <v>337</v>
      </c>
    </row>
    <row r="518" spans="1:6" x14ac:dyDescent="0.35">
      <c r="A518" t="str">
        <f t="shared" si="7"/>
        <v>PE 476,ED4-PETE</v>
      </c>
      <c r="B518" t="s">
        <v>457</v>
      </c>
      <c r="C518" t="str">
        <v>Energy And Climate Change</v>
      </c>
      <c r="D518">
        <v>158</v>
      </c>
      <c r="E518" t="s">
        <v>53</v>
      </c>
      <c r="F518" t="s">
        <v>458</v>
      </c>
    </row>
    <row r="519" spans="1:6" x14ac:dyDescent="0.35">
      <c r="A519" t="str">
        <f t="shared" si="7"/>
        <v>EE 152,ED1-TEL</v>
      </c>
      <c r="B519" t="s">
        <v>456</v>
      </c>
      <c r="C519" t="str">
        <v>Basic Electronics</v>
      </c>
      <c r="D519">
        <v>180</v>
      </c>
      <c r="E519" t="s">
        <v>168</v>
      </c>
      <c r="F519" t="s">
        <v>321</v>
      </c>
    </row>
    <row r="520" spans="1:6" x14ac:dyDescent="0.35">
      <c r="A520" t="str">
        <f t="shared" si="7"/>
        <v>EE 188,ED1-TEL</v>
      </c>
      <c r="B520" t="s">
        <v>455</v>
      </c>
      <c r="C520" t="str">
        <v>Electrical Measurement And Instrumentation</v>
      </c>
      <c r="D520">
        <v>180</v>
      </c>
      <c r="E520" t="s">
        <v>168</v>
      </c>
      <c r="F520" t="s">
        <v>169</v>
      </c>
    </row>
    <row r="521" spans="1:6" x14ac:dyDescent="0.35">
      <c r="A521" t="str">
        <f t="shared" si="7"/>
        <v>ENGL 158,ED1-TEL</v>
      </c>
      <c r="B521" t="s">
        <v>454</v>
      </c>
      <c r="C521" t="str">
        <v>Communication Skills II</v>
      </c>
      <c r="D521">
        <v>180</v>
      </c>
      <c r="E521" t="s">
        <v>168</v>
      </c>
      <c r="F521" t="s">
        <v>376</v>
      </c>
    </row>
    <row r="522" spans="1:6" x14ac:dyDescent="0.35">
      <c r="A522" t="str">
        <f t="shared" si="7"/>
        <v>MATH 152,ED1-TEL</v>
      </c>
      <c r="B522" t="s">
        <v>453</v>
      </c>
      <c r="C522" t="str">
        <v>Calculus With Analysis</v>
      </c>
      <c r="D522">
        <v>180</v>
      </c>
      <c r="E522" t="s">
        <v>168</v>
      </c>
      <c r="F522" t="s">
        <v>190</v>
      </c>
    </row>
    <row r="523" spans="1:6" x14ac:dyDescent="0.35">
      <c r="A523" t="str">
        <f t="shared" si="7"/>
        <v>PSYC 154,ED1-TEL</v>
      </c>
      <c r="B523" t="s">
        <v>451</v>
      </c>
      <c r="C523" t="str">
        <v>Introduction To Psychology</v>
      </c>
      <c r="D523">
        <v>180</v>
      </c>
      <c r="E523" t="s">
        <v>168</v>
      </c>
      <c r="F523" t="s">
        <v>452</v>
      </c>
    </row>
    <row r="524" spans="1:6" x14ac:dyDescent="0.35">
      <c r="A524" t="str">
        <f t="shared" si="7"/>
        <v>TE 152,ED1-TEL</v>
      </c>
      <c r="B524" t="s">
        <v>450</v>
      </c>
      <c r="C524" t="str">
        <v>Engineering Research And Technical Report Writing</v>
      </c>
      <c r="D524">
        <v>180</v>
      </c>
      <c r="E524" t="s">
        <v>168</v>
      </c>
      <c r="F524" t="s">
        <v>307</v>
      </c>
    </row>
    <row r="525" spans="1:6" x14ac:dyDescent="0.35">
      <c r="A525" t="str">
        <f t="shared" si="7"/>
        <v>TE 156,ED1-TEL</v>
      </c>
      <c r="B525" t="s">
        <v>449</v>
      </c>
      <c r="C525" t="str">
        <v>Introduction To Communication Networks</v>
      </c>
      <c r="D525">
        <v>180</v>
      </c>
      <c r="E525" t="s">
        <v>168</v>
      </c>
      <c r="F525" t="s">
        <v>238</v>
      </c>
    </row>
    <row r="526" spans="1:6" x14ac:dyDescent="0.35">
      <c r="A526" t="str">
        <f t="shared" si="7"/>
        <v>TE 158,ED1-TEL</v>
      </c>
      <c r="B526" t="s">
        <v>448</v>
      </c>
      <c r="C526" t="str">
        <v>Introduction To Programming - I</v>
      </c>
      <c r="D526">
        <v>180</v>
      </c>
      <c r="E526" t="s">
        <v>168</v>
      </c>
      <c r="F526" t="s">
        <v>345</v>
      </c>
    </row>
    <row r="527" spans="1:6" x14ac:dyDescent="0.35">
      <c r="A527" t="str">
        <f t="shared" si="7"/>
        <v>ACF 256,ED2-TEL</v>
      </c>
      <c r="B527" t="s">
        <v>446</v>
      </c>
      <c r="C527" t="str">
        <v>Financial Accounting II</v>
      </c>
      <c r="D527">
        <v>28</v>
      </c>
      <c r="E527" t="s">
        <v>49</v>
      </c>
      <c r="F527" t="s">
        <v>447</v>
      </c>
    </row>
    <row r="528" spans="1:6" x14ac:dyDescent="0.35">
      <c r="A528" t="str">
        <f t="shared" si="7"/>
        <v>ECON 152,ED2-TEL</v>
      </c>
      <c r="B528" t="s">
        <v>445</v>
      </c>
      <c r="C528" t="str">
        <v>Introductory Economics II</v>
      </c>
      <c r="D528">
        <v>7</v>
      </c>
      <c r="E528" t="s">
        <v>49</v>
      </c>
      <c r="F528" t="s">
        <v>229</v>
      </c>
    </row>
    <row r="529" spans="1:6" x14ac:dyDescent="0.35">
      <c r="A529" t="str">
        <f t="shared" si="7"/>
        <v>FC 182,ED2-TEL</v>
      </c>
      <c r="B529" t="s">
        <v>444</v>
      </c>
      <c r="C529" t="str">
        <v>French For Communication II</v>
      </c>
      <c r="D529">
        <v>101</v>
      </c>
      <c r="E529" t="s">
        <v>49</v>
      </c>
      <c r="F529" t="s">
        <v>41</v>
      </c>
    </row>
    <row r="530" spans="1:6" x14ac:dyDescent="0.35">
      <c r="A530" t="str">
        <f t="shared" ref="A530:A549" si="8">CONCATENATE(F530,",",E530)</f>
        <v>MATH 252,ED2-TEL</v>
      </c>
      <c r="B530" t="s">
        <v>443</v>
      </c>
      <c r="C530" t="str">
        <v>Calculus With Several Variables</v>
      </c>
      <c r="D530">
        <v>147</v>
      </c>
      <c r="E530" t="s">
        <v>49</v>
      </c>
      <c r="F530" t="s">
        <v>112</v>
      </c>
    </row>
    <row r="531" spans="1:6" x14ac:dyDescent="0.35">
      <c r="A531" t="str">
        <f t="shared" si="8"/>
        <v>TE 252,ED2-TEL</v>
      </c>
      <c r="B531" t="s">
        <v>442</v>
      </c>
      <c r="C531" t="str">
        <v>Fundamentals of Data Science</v>
      </c>
      <c r="D531">
        <v>147</v>
      </c>
      <c r="E531" t="s">
        <v>49</v>
      </c>
      <c r="F531" t="s">
        <v>265</v>
      </c>
    </row>
    <row r="532" spans="1:6" x14ac:dyDescent="0.35">
      <c r="A532" t="str">
        <f t="shared" si="8"/>
        <v>TE 254,ED2-TEL</v>
      </c>
      <c r="B532" t="s">
        <v>441</v>
      </c>
      <c r="C532" t="str">
        <v>Electromagnetic Field Theory</v>
      </c>
      <c r="D532">
        <v>147</v>
      </c>
      <c r="E532" t="s">
        <v>49</v>
      </c>
      <c r="F532" t="s">
        <v>340</v>
      </c>
    </row>
    <row r="533" spans="1:6" x14ac:dyDescent="0.35">
      <c r="A533" t="str">
        <f t="shared" si="8"/>
        <v>TE 256,ED2-TEL</v>
      </c>
      <c r="B533" t="s">
        <v>433</v>
      </c>
      <c r="C533" t="str">
        <v>Communication Circuits</v>
      </c>
      <c r="D533">
        <v>147</v>
      </c>
      <c r="E533" t="s">
        <v>49</v>
      </c>
      <c r="F533" t="s">
        <v>440</v>
      </c>
    </row>
    <row r="534" spans="1:6" x14ac:dyDescent="0.35">
      <c r="A534" t="str">
        <f t="shared" si="8"/>
        <v>TE 258,ED2-TEL</v>
      </c>
      <c r="B534" t="s">
        <v>439</v>
      </c>
      <c r="C534" t="str">
        <v>Microprocessors</v>
      </c>
      <c r="D534">
        <v>147</v>
      </c>
      <c r="E534" t="s">
        <v>49</v>
      </c>
      <c r="F534" t="s">
        <v>400</v>
      </c>
    </row>
    <row r="535" spans="1:6" x14ac:dyDescent="0.35">
      <c r="A535" t="str">
        <f t="shared" si="8"/>
        <v>TE 292,ED2-TEL</v>
      </c>
      <c r="B535" t="s">
        <v>437</v>
      </c>
      <c r="C535" t="str">
        <v xml:space="preserve">Digital Electronics &amp; Microprocessor Lab </v>
      </c>
      <c r="D535">
        <v>147</v>
      </c>
      <c r="E535" t="s">
        <v>49</v>
      </c>
      <c r="F535" t="s">
        <v>438</v>
      </c>
    </row>
    <row r="536" spans="1:6" x14ac:dyDescent="0.35">
      <c r="A536" t="str">
        <f t="shared" si="8"/>
        <v>TE 374,ED3-TEL</v>
      </c>
      <c r="B536" t="s">
        <v>435</v>
      </c>
      <c r="C536" t="str">
        <v>COMPUTER NETWORKING</v>
      </c>
      <c r="D536">
        <v>142</v>
      </c>
      <c r="E536" t="s">
        <v>10</v>
      </c>
      <c r="F536" t="s">
        <v>436</v>
      </c>
    </row>
    <row r="537" spans="1:6" x14ac:dyDescent="0.35">
      <c r="A537" t="str">
        <f t="shared" si="8"/>
        <v>TE 354,ED3-TEL</v>
      </c>
      <c r="B537" t="s">
        <v>433</v>
      </c>
      <c r="C537" t="str">
        <v>ANTENNA THEORY AND DESIGN</v>
      </c>
      <c r="D537">
        <v>142</v>
      </c>
      <c r="E537" t="s">
        <v>10</v>
      </c>
      <c r="F537" t="s">
        <v>434</v>
      </c>
    </row>
    <row r="538" spans="1:6" x14ac:dyDescent="0.35">
      <c r="A538" t="str">
        <f t="shared" si="8"/>
        <v>TE 372,ED3-TEL</v>
      </c>
      <c r="B538" t="s">
        <v>432</v>
      </c>
      <c r="C538" t="str">
        <v>ENGINEERING PROJECT DESIGN AND MANAGEMENT</v>
      </c>
      <c r="D538">
        <v>142</v>
      </c>
      <c r="E538" t="s">
        <v>10</v>
      </c>
      <c r="F538" t="s">
        <v>401</v>
      </c>
    </row>
    <row r="539" spans="1:6" x14ac:dyDescent="0.35">
      <c r="A539" t="str">
        <f t="shared" si="8"/>
        <v>TE 352,ED3-TEL</v>
      </c>
      <c r="B539" t="s">
        <v>430</v>
      </c>
      <c r="C539" t="str">
        <v>Data Communication Principles</v>
      </c>
      <c r="D539">
        <v>142</v>
      </c>
      <c r="E539" t="s">
        <v>10</v>
      </c>
      <c r="F539" t="s">
        <v>431</v>
      </c>
    </row>
    <row r="540" spans="1:6" x14ac:dyDescent="0.35">
      <c r="A540" t="str">
        <f t="shared" si="8"/>
        <v>TE 356,ED3-TEL</v>
      </c>
      <c r="B540" t="s">
        <v>839</v>
      </c>
      <c r="C540" t="str">
        <v>Switching Engineering In Communication</v>
      </c>
      <c r="D540">
        <v>142</v>
      </c>
      <c r="E540" t="s">
        <v>10</v>
      </c>
      <c r="F540" t="s">
        <v>1381</v>
      </c>
    </row>
    <row r="541" spans="1:6" x14ac:dyDescent="0.35">
      <c r="A541" t="str">
        <f t="shared" si="8"/>
        <v>TE 386,ED3-TEL</v>
      </c>
      <c r="B541" t="s">
        <v>428</v>
      </c>
      <c r="C541" t="str">
        <v>Digital Communication Systems</v>
      </c>
      <c r="D541">
        <v>142</v>
      </c>
      <c r="E541" t="s">
        <v>10</v>
      </c>
      <c r="F541" t="s">
        <v>272</v>
      </c>
    </row>
    <row r="542" spans="1:6" x14ac:dyDescent="0.35">
      <c r="A542" t="str">
        <f t="shared" si="8"/>
        <v>TE 358,ED3-TEL</v>
      </c>
      <c r="B542" t="s">
        <v>836</v>
      </c>
      <c r="C542" t="str">
        <v>Digital Communication Systems</v>
      </c>
      <c r="D542">
        <v>142</v>
      </c>
      <c r="E542" t="s">
        <v>10</v>
      </c>
      <c r="F542" t="s">
        <v>1382</v>
      </c>
    </row>
    <row r="543" spans="1:6" x14ac:dyDescent="0.35">
      <c r="A543" t="str">
        <f t="shared" si="8"/>
        <v>TE 392,ED3-TEL</v>
      </c>
      <c r="B543" t="s">
        <v>426</v>
      </c>
      <c r="C543" t="str">
        <v>Telecommunication Lab IV</v>
      </c>
      <c r="D543">
        <v>142</v>
      </c>
      <c r="E543" t="s">
        <v>10</v>
      </c>
      <c r="F543" t="s">
        <v>427</v>
      </c>
    </row>
    <row r="544" spans="1:6" x14ac:dyDescent="0.35">
      <c r="A544" t="str">
        <f t="shared" si="8"/>
        <v>EE 472,ED4-TEL</v>
      </c>
      <c r="B544" t="s">
        <v>425</v>
      </c>
      <c r="C544" t="str">
        <v>Digital Signal Processing</v>
      </c>
      <c r="D544">
        <v>141</v>
      </c>
      <c r="E544" t="s">
        <v>55</v>
      </c>
      <c r="F544" t="s">
        <v>144</v>
      </c>
    </row>
    <row r="545" spans="1:6" x14ac:dyDescent="0.35">
      <c r="A545" t="str">
        <f t="shared" si="8"/>
        <v>ME 492,ED4-TEL</v>
      </c>
      <c r="B545" t="s">
        <v>423</v>
      </c>
      <c r="C545" t="str">
        <v>Management And Entrepreneurship Development</v>
      </c>
      <c r="D545">
        <v>141</v>
      </c>
      <c r="E545" t="s">
        <v>55</v>
      </c>
      <c r="F545" t="s">
        <v>424</v>
      </c>
    </row>
    <row r="546" spans="1:6" x14ac:dyDescent="0.35">
      <c r="A546" t="str">
        <f t="shared" si="8"/>
        <v>TE 462,ED4-TEL</v>
      </c>
      <c r="B546" t="s">
        <v>422</v>
      </c>
      <c r="C546" t="str">
        <v>Telecommunication Policy</v>
      </c>
      <c r="D546">
        <v>141</v>
      </c>
      <c r="E546" t="s">
        <v>55</v>
      </c>
      <c r="F546" t="s">
        <v>286</v>
      </c>
    </row>
    <row r="547" spans="1:6" x14ac:dyDescent="0.35">
      <c r="A547" t="str">
        <f t="shared" si="8"/>
        <v>TE 472,ED4-TEL</v>
      </c>
      <c r="B547" t="s">
        <v>421</v>
      </c>
      <c r="C547" t="str">
        <v>Mobile And Satellite Communication System</v>
      </c>
      <c r="D547">
        <v>141</v>
      </c>
      <c r="E547" t="s">
        <v>55</v>
      </c>
      <c r="F547" t="s">
        <v>56</v>
      </c>
    </row>
    <row r="548" spans="1:6" x14ac:dyDescent="0.35">
      <c r="A548" t="str">
        <f t="shared" si="8"/>
        <v>TE 474,ED4-TEL</v>
      </c>
      <c r="B548" t="s">
        <v>420</v>
      </c>
      <c r="C548" t="str">
        <v>Microwave Engineering</v>
      </c>
      <c r="D548">
        <v>141</v>
      </c>
      <c r="E548" t="s">
        <v>55</v>
      </c>
      <c r="F548" t="s">
        <v>382</v>
      </c>
    </row>
    <row r="549" spans="1:6" x14ac:dyDescent="0.35">
      <c r="A549" t="str">
        <f t="shared" si="8"/>
        <v>TE 484,ED4-TEL</v>
      </c>
      <c r="B549" t="s">
        <v>419</v>
      </c>
      <c r="C549" t="str">
        <v>Network Planning</v>
      </c>
      <c r="D549">
        <v>141</v>
      </c>
      <c r="E549" t="s">
        <v>55</v>
      </c>
      <c r="F549" t="s">
        <v>192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0039-EF86-4EAA-8496-78B753A2384F}">
  <dimension ref="A1:E547"/>
  <sheetViews>
    <sheetView topLeftCell="A164" zoomScale="130" zoomScaleNormal="130" workbookViewId="0">
      <selection activeCell="B178" sqref="B178"/>
    </sheetView>
  </sheetViews>
  <sheetFormatPr defaultColWidth="9.1796875" defaultRowHeight="14.5" x14ac:dyDescent="0.35"/>
  <cols>
    <col min="1" max="1" width="32.1796875" style="23" customWidth="1"/>
    <col min="2" max="2" width="46.7265625" style="23" customWidth="1"/>
    <col min="3" max="3" width="38.81640625" style="23" customWidth="1"/>
    <col min="4" max="4" width="22.54296875" style="23" customWidth="1"/>
    <col min="5" max="5" width="16.54296875" style="23" customWidth="1"/>
  </cols>
  <sheetData>
    <row r="1" spans="1:5" s="35" customFormat="1" x14ac:dyDescent="0.35">
      <c r="A1" s="32" t="str">
        <f t="shared" ref="A1:A64" si="0">CONCATENATE(E1,",",D1)</f>
        <v>ACF 256,ED2-BME</v>
      </c>
      <c r="B1" s="33" t="s">
        <v>1350</v>
      </c>
      <c r="C1" s="32" t="s">
        <v>1182</v>
      </c>
      <c r="D1" s="34" t="s">
        <v>42</v>
      </c>
      <c r="E1" s="32" t="s">
        <v>447</v>
      </c>
    </row>
    <row r="2" spans="1:5" s="35" customFormat="1" x14ac:dyDescent="0.35">
      <c r="A2" s="32" t="str">
        <f t="shared" si="0"/>
        <v>ACF 256,ED2-COE</v>
      </c>
      <c r="B2" s="33" t="s">
        <v>1350</v>
      </c>
      <c r="C2" s="32" t="s">
        <v>1182</v>
      </c>
      <c r="D2" s="34" t="s">
        <v>40</v>
      </c>
      <c r="E2" s="32" t="s">
        <v>447</v>
      </c>
    </row>
    <row r="3" spans="1:5" s="35" customFormat="1" x14ac:dyDescent="0.35">
      <c r="A3" s="32" t="str">
        <f t="shared" si="0"/>
        <v>ACF 256,ED2-TEL</v>
      </c>
      <c r="B3" s="33" t="s">
        <v>1350</v>
      </c>
      <c r="C3" s="32" t="s">
        <v>1182</v>
      </c>
      <c r="D3" s="34" t="s">
        <v>49</v>
      </c>
      <c r="E3" s="32" t="s">
        <v>447</v>
      </c>
    </row>
    <row r="4" spans="1:5" s="35" customFormat="1" ht="15" customHeight="1" x14ac:dyDescent="0.35">
      <c r="A4" s="32" t="str">
        <f t="shared" si="0"/>
        <v>AE 158,ED1-AE</v>
      </c>
      <c r="B4" s="33" t="s">
        <v>924</v>
      </c>
      <c r="C4" s="32" t="s">
        <v>1349</v>
      </c>
      <c r="D4" s="34" t="s">
        <v>101</v>
      </c>
      <c r="E4" s="32" t="s">
        <v>194</v>
      </c>
    </row>
    <row r="5" spans="1:5" s="35" customFormat="1" x14ac:dyDescent="0.35">
      <c r="A5" s="32" t="str">
        <f t="shared" si="0"/>
        <v>AE 162,ED1-AE</v>
      </c>
      <c r="B5" s="33" t="s">
        <v>1348</v>
      </c>
      <c r="C5" s="32" t="s">
        <v>1349</v>
      </c>
      <c r="D5" s="34" t="s">
        <v>101</v>
      </c>
      <c r="E5" s="32" t="s">
        <v>102</v>
      </c>
    </row>
    <row r="6" spans="1:5" s="35" customFormat="1" x14ac:dyDescent="0.35">
      <c r="A6" s="32" t="str">
        <f t="shared" si="0"/>
        <v>AE 196,ED1-AE</v>
      </c>
      <c r="B6" s="33" t="s">
        <v>1346</v>
      </c>
      <c r="C6" s="32" t="s">
        <v>1347</v>
      </c>
      <c r="D6" s="34" t="s">
        <v>101</v>
      </c>
      <c r="E6" s="32" t="s">
        <v>273</v>
      </c>
    </row>
    <row r="7" spans="1:5" s="35" customFormat="1" x14ac:dyDescent="0.35">
      <c r="A7" s="32" t="str">
        <f t="shared" si="0"/>
        <v>AE 352,ED3-AE</v>
      </c>
      <c r="B7" s="33" t="s">
        <v>1345</v>
      </c>
      <c r="C7" s="32" t="s">
        <v>1328</v>
      </c>
      <c r="D7" s="34" t="s">
        <v>88</v>
      </c>
      <c r="E7" s="32" t="s">
        <v>237</v>
      </c>
    </row>
    <row r="8" spans="1:5" s="35" customFormat="1" x14ac:dyDescent="0.35">
      <c r="A8" s="32" t="str">
        <f t="shared" si="0"/>
        <v>AE 356,ED3-AE</v>
      </c>
      <c r="B8" s="33" t="s">
        <v>1344</v>
      </c>
      <c r="C8" s="32" t="s">
        <v>1001</v>
      </c>
      <c r="D8" s="34" t="s">
        <v>88</v>
      </c>
      <c r="E8" s="32" t="s">
        <v>142</v>
      </c>
    </row>
    <row r="9" spans="1:5" s="35" customFormat="1" x14ac:dyDescent="0.35">
      <c r="A9" s="32" t="str">
        <f t="shared" si="0"/>
        <v>AE 358,ED3-AE</v>
      </c>
      <c r="B9" s="33" t="s">
        <v>1342</v>
      </c>
      <c r="C9" s="32" t="s">
        <v>1343</v>
      </c>
      <c r="D9" s="34" t="s">
        <v>88</v>
      </c>
      <c r="E9" s="32" t="s">
        <v>375</v>
      </c>
    </row>
    <row r="10" spans="1:5" s="35" customFormat="1" x14ac:dyDescent="0.35">
      <c r="A10" s="32" t="str">
        <f t="shared" si="0"/>
        <v>AE 360,ED3-AE</v>
      </c>
      <c r="B10" s="33" t="s">
        <v>1340</v>
      </c>
      <c r="C10" s="32" t="s">
        <v>1341</v>
      </c>
      <c r="D10" s="34" t="s">
        <v>88</v>
      </c>
      <c r="E10" s="32" t="s">
        <v>294</v>
      </c>
    </row>
    <row r="11" spans="1:5" s="35" customFormat="1" x14ac:dyDescent="0.35">
      <c r="A11" s="32" t="str">
        <f t="shared" si="0"/>
        <v>AE 362,ED3-AE</v>
      </c>
      <c r="B11" s="33" t="s">
        <v>1338</v>
      </c>
      <c r="C11" s="32" t="s">
        <v>1339</v>
      </c>
      <c r="D11" s="34" t="s">
        <v>88</v>
      </c>
      <c r="E11" s="32" t="s">
        <v>89</v>
      </c>
    </row>
    <row r="12" spans="1:5" s="35" customFormat="1" x14ac:dyDescent="0.35">
      <c r="A12" s="32" t="str">
        <f t="shared" si="0"/>
        <v>AE 452,ED4-AE</v>
      </c>
      <c r="B12" s="33" t="s">
        <v>1336</v>
      </c>
      <c r="C12" s="32" t="s">
        <v>1337</v>
      </c>
      <c r="D12" s="34" t="s">
        <v>109</v>
      </c>
      <c r="E12" s="32" t="s">
        <v>164</v>
      </c>
    </row>
    <row r="13" spans="1:5" s="35" customFormat="1" x14ac:dyDescent="0.35">
      <c r="A13" s="32" t="str">
        <f t="shared" si="0"/>
        <v>AE 458,ED4-AE</v>
      </c>
      <c r="B13" s="33" t="s">
        <v>1334</v>
      </c>
      <c r="C13" s="32" t="s">
        <v>1335</v>
      </c>
      <c r="D13" s="34" t="s">
        <v>109</v>
      </c>
      <c r="E13" s="32" t="s">
        <v>257</v>
      </c>
    </row>
    <row r="14" spans="1:5" s="35" customFormat="1" x14ac:dyDescent="0.35">
      <c r="A14" s="32" t="str">
        <f t="shared" si="0"/>
        <v>AE 460,ED4-AE</v>
      </c>
      <c r="B14" s="33" t="s">
        <v>1332</v>
      </c>
      <c r="C14" s="32" t="s">
        <v>1333</v>
      </c>
      <c r="D14" s="34" t="s">
        <v>109</v>
      </c>
      <c r="E14" s="32" t="s">
        <v>312</v>
      </c>
    </row>
    <row r="15" spans="1:5" s="35" customFormat="1" x14ac:dyDescent="0.35">
      <c r="A15" s="32" t="str">
        <f t="shared" si="0"/>
        <v>AE 464,ED4-AE</v>
      </c>
      <c r="B15" s="33" t="s">
        <v>1330</v>
      </c>
      <c r="C15" s="32" t="s">
        <v>1331</v>
      </c>
      <c r="D15" s="34" t="s">
        <v>109</v>
      </c>
      <c r="E15" s="32" t="s">
        <v>110</v>
      </c>
    </row>
    <row r="16" spans="1:5" s="35" customFormat="1" x14ac:dyDescent="0.35">
      <c r="A16" s="32" t="str">
        <f t="shared" si="0"/>
        <v>AE 482,ED4-AE</v>
      </c>
      <c r="B16" s="33" t="s">
        <v>1329</v>
      </c>
      <c r="C16" s="32" t="s">
        <v>1053</v>
      </c>
      <c r="D16" s="34" t="s">
        <v>109</v>
      </c>
      <c r="E16" s="32" t="s">
        <v>357</v>
      </c>
    </row>
    <row r="17" spans="1:5" s="35" customFormat="1" x14ac:dyDescent="0.35">
      <c r="A17" s="32" t="str">
        <f t="shared" si="0"/>
        <v>AERO 174,ED1-AERO</v>
      </c>
      <c r="B17" s="33" t="s">
        <v>1327</v>
      </c>
      <c r="C17" s="32" t="s">
        <v>980</v>
      </c>
      <c r="D17" s="34" t="s">
        <v>157</v>
      </c>
      <c r="E17" s="32" t="s">
        <v>158</v>
      </c>
    </row>
    <row r="18" spans="1:5" s="35" customFormat="1" x14ac:dyDescent="0.35">
      <c r="A18" s="32" t="str">
        <f t="shared" si="0"/>
        <v>AERO 256,ED2-AERO</v>
      </c>
      <c r="B18" s="33" t="s">
        <v>1326</v>
      </c>
      <c r="C18" s="32" t="s">
        <v>1322</v>
      </c>
      <c r="D18" s="34" t="s">
        <v>13</v>
      </c>
      <c r="E18" s="32" t="s">
        <v>171</v>
      </c>
    </row>
    <row r="19" spans="1:5" s="35" customFormat="1" x14ac:dyDescent="0.35">
      <c r="A19" s="32" t="str">
        <f t="shared" si="0"/>
        <v>AERO 274,ED2-AERO</v>
      </c>
      <c r="B19" s="33" t="s">
        <v>1325</v>
      </c>
      <c r="C19" s="32" t="s">
        <v>1014</v>
      </c>
      <c r="D19" s="34" t="s">
        <v>13</v>
      </c>
      <c r="E19" s="32" t="s">
        <v>86</v>
      </c>
    </row>
    <row r="20" spans="1:5" s="35" customFormat="1" x14ac:dyDescent="0.35">
      <c r="A20" s="32" t="str">
        <f t="shared" si="0"/>
        <v>AERO 362,ED3-AERO</v>
      </c>
      <c r="B20" s="33" t="s">
        <v>1324</v>
      </c>
      <c r="C20" s="32" t="s">
        <v>1402</v>
      </c>
      <c r="D20" s="34" t="s">
        <v>117</v>
      </c>
      <c r="E20" s="32" t="s">
        <v>799</v>
      </c>
    </row>
    <row r="21" spans="1:5" s="35" customFormat="1" x14ac:dyDescent="0.35">
      <c r="A21" s="32" t="str">
        <f t="shared" si="0"/>
        <v>AERO 368,ED3-AERO</v>
      </c>
      <c r="B21" s="33" t="s">
        <v>1323</v>
      </c>
      <c r="C21" s="32" t="s">
        <v>1319</v>
      </c>
      <c r="D21" s="34" t="s">
        <v>117</v>
      </c>
      <c r="E21" s="32" t="s">
        <v>154</v>
      </c>
    </row>
    <row r="22" spans="1:5" s="35" customFormat="1" x14ac:dyDescent="0.35">
      <c r="A22" s="32" t="str">
        <f t="shared" si="0"/>
        <v>AERO 374,ED3-AERO</v>
      </c>
      <c r="B22" s="33" t="s">
        <v>1321</v>
      </c>
      <c r="C22" s="32" t="s">
        <v>1322</v>
      </c>
      <c r="D22" s="34" t="s">
        <v>117</v>
      </c>
      <c r="E22" s="32" t="s">
        <v>118</v>
      </c>
    </row>
    <row r="23" spans="1:5" s="35" customFormat="1" x14ac:dyDescent="0.35">
      <c r="A23" s="32" t="str">
        <f t="shared" si="0"/>
        <v>AERO 396,ED3-AERO</v>
      </c>
      <c r="B23" s="33" t="s">
        <v>1320</v>
      </c>
      <c r="C23" s="32" t="s">
        <v>1049</v>
      </c>
      <c r="D23" s="34" t="s">
        <v>117</v>
      </c>
      <c r="E23" s="32" t="s">
        <v>795</v>
      </c>
    </row>
    <row r="24" spans="1:5" s="35" customFormat="1" x14ac:dyDescent="0.35">
      <c r="A24" s="32" t="str">
        <f t="shared" si="0"/>
        <v>AERO 452,ED4-AERO</v>
      </c>
      <c r="B24" s="33" t="s">
        <v>1318</v>
      </c>
      <c r="C24" s="32" t="s">
        <v>1319</v>
      </c>
      <c r="D24" s="34" t="s">
        <v>93</v>
      </c>
      <c r="E24" s="32" t="s">
        <v>198</v>
      </c>
    </row>
    <row r="25" spans="1:5" s="35" customFormat="1" x14ac:dyDescent="0.35">
      <c r="A25" s="32" t="str">
        <f t="shared" si="0"/>
        <v>AERO 456,ED4-AERO</v>
      </c>
      <c r="B25" s="33" t="s">
        <v>1317</v>
      </c>
      <c r="C25" s="32" t="s">
        <v>1401</v>
      </c>
      <c r="D25" s="34" t="s">
        <v>93</v>
      </c>
      <c r="E25" s="32" t="s">
        <v>172</v>
      </c>
    </row>
    <row r="26" spans="1:5" s="35" customFormat="1" x14ac:dyDescent="0.35">
      <c r="A26" s="32" t="str">
        <f t="shared" si="0"/>
        <v>AERO 492,ED4-AERO</v>
      </c>
      <c r="B26" s="33" t="s">
        <v>1316</v>
      </c>
      <c r="C26" s="32" t="s">
        <v>959</v>
      </c>
      <c r="D26" s="34" t="s">
        <v>93</v>
      </c>
      <c r="E26" s="32" t="s">
        <v>127</v>
      </c>
    </row>
    <row r="27" spans="1:5" s="35" customFormat="1" x14ac:dyDescent="0.35">
      <c r="A27" s="32" t="str">
        <f t="shared" si="0"/>
        <v>AME 274,ED2-AUTO</v>
      </c>
      <c r="B27" s="33" t="s">
        <v>1315</v>
      </c>
      <c r="C27" s="32" t="s">
        <v>980</v>
      </c>
      <c r="D27" s="34" t="s">
        <v>11</v>
      </c>
      <c r="E27" s="32" t="s">
        <v>209</v>
      </c>
    </row>
    <row r="28" spans="1:5" s="35" customFormat="1" x14ac:dyDescent="0.35">
      <c r="A28" s="32" t="str">
        <f t="shared" si="0"/>
        <v>AME 284,ED2-AUTO</v>
      </c>
      <c r="B28" s="33" t="s">
        <v>1314</v>
      </c>
      <c r="C28" s="32" t="s">
        <v>1307</v>
      </c>
      <c r="D28" s="34" t="s">
        <v>11</v>
      </c>
      <c r="E28" s="32" t="s">
        <v>12</v>
      </c>
    </row>
    <row r="29" spans="1:5" s="35" customFormat="1" x14ac:dyDescent="0.35">
      <c r="A29" s="32" t="str">
        <f t="shared" si="0"/>
        <v>AME 296,ED2-AUTO</v>
      </c>
      <c r="B29" s="33" t="s">
        <v>1313</v>
      </c>
      <c r="C29" s="32" t="s">
        <v>1307</v>
      </c>
      <c r="D29" s="34" t="s">
        <v>11</v>
      </c>
      <c r="E29" s="32" t="s">
        <v>786</v>
      </c>
    </row>
    <row r="30" spans="1:5" s="35" customFormat="1" x14ac:dyDescent="0.35">
      <c r="A30" s="32" t="str">
        <f t="shared" si="0"/>
        <v>AME 356,ED3-AUTO</v>
      </c>
      <c r="B30" s="33" t="s">
        <v>1312</v>
      </c>
      <c r="C30" s="32" t="s">
        <v>1307</v>
      </c>
      <c r="D30" s="34" t="s">
        <v>150</v>
      </c>
      <c r="E30" s="32" t="s">
        <v>784</v>
      </c>
    </row>
    <row r="31" spans="1:5" s="35" customFormat="1" x14ac:dyDescent="0.35">
      <c r="A31" s="32" t="str">
        <f t="shared" si="0"/>
        <v>AME 362,ED3-AUTO</v>
      </c>
      <c r="B31" s="33" t="s">
        <v>1311</v>
      </c>
      <c r="C31" s="32" t="s">
        <v>976</v>
      </c>
      <c r="D31" s="34" t="s">
        <v>150</v>
      </c>
      <c r="E31" s="32" t="s">
        <v>252</v>
      </c>
    </row>
    <row r="32" spans="1:5" s="35" customFormat="1" x14ac:dyDescent="0.35">
      <c r="A32" s="32" t="str">
        <f t="shared" si="0"/>
        <v>AME 368,ED3-AUTO</v>
      </c>
      <c r="B32" s="33" t="s">
        <v>1403</v>
      </c>
      <c r="C32" s="32" t="s">
        <v>1305</v>
      </c>
      <c r="D32" s="34" t="s">
        <v>150</v>
      </c>
      <c r="E32" s="32" t="s">
        <v>399</v>
      </c>
    </row>
    <row r="33" spans="1:5" s="35" customFormat="1" x14ac:dyDescent="0.35">
      <c r="A33" s="32" t="str">
        <f t="shared" si="0"/>
        <v>AME 376,ED3-AUTO</v>
      </c>
      <c r="B33" s="33" t="s">
        <v>1404</v>
      </c>
      <c r="C33" s="32" t="s">
        <v>1307</v>
      </c>
      <c r="D33" s="34" t="s">
        <v>150</v>
      </c>
      <c r="E33" s="32" t="s">
        <v>780</v>
      </c>
    </row>
    <row r="34" spans="1:5" s="35" customFormat="1" x14ac:dyDescent="0.35">
      <c r="A34" s="32" t="str">
        <f t="shared" si="0"/>
        <v>AME 386,ED3-AUTO</v>
      </c>
      <c r="B34" s="33" t="s">
        <v>1310</v>
      </c>
      <c r="C34" s="32" t="s">
        <v>1305</v>
      </c>
      <c r="D34" s="34" t="s">
        <v>150</v>
      </c>
      <c r="E34" s="32" t="s">
        <v>151</v>
      </c>
    </row>
    <row r="35" spans="1:5" s="35" customFormat="1" x14ac:dyDescent="0.35">
      <c r="A35" s="32" t="str">
        <f t="shared" si="0"/>
        <v>AME 392,ED3-AUTO</v>
      </c>
      <c r="B35" s="33" t="s">
        <v>1022</v>
      </c>
      <c r="C35" s="32" t="s">
        <v>971</v>
      </c>
      <c r="D35" s="34" t="s">
        <v>150</v>
      </c>
      <c r="E35" s="32" t="s">
        <v>200</v>
      </c>
    </row>
    <row r="36" spans="1:5" s="35" customFormat="1" ht="15" customHeight="1" x14ac:dyDescent="0.35">
      <c r="A36" s="32" t="str">
        <f t="shared" si="0"/>
        <v>AME 396,ED3-AUTO</v>
      </c>
      <c r="B36" s="33" t="s">
        <v>1309</v>
      </c>
      <c r="C36" s="32" t="s">
        <v>1307</v>
      </c>
      <c r="D36" s="34" t="s">
        <v>150</v>
      </c>
      <c r="E36" s="32" t="s">
        <v>777</v>
      </c>
    </row>
    <row r="37" spans="1:5" s="35" customFormat="1" x14ac:dyDescent="0.35">
      <c r="A37" s="32" t="str">
        <f t="shared" si="0"/>
        <v>AME 384,ED3-AUTO</v>
      </c>
      <c r="B37" s="33" t="s">
        <v>303</v>
      </c>
      <c r="C37" s="32" t="s">
        <v>994</v>
      </c>
      <c r="D37" s="34" t="s">
        <v>150</v>
      </c>
      <c r="E37" s="32" t="s">
        <v>304</v>
      </c>
    </row>
    <row r="38" spans="1:5" s="35" customFormat="1" x14ac:dyDescent="0.35">
      <c r="A38" s="32" t="str">
        <f t="shared" si="0"/>
        <v>AME 476,ED4-AUTO</v>
      </c>
      <c r="B38" s="33" t="s">
        <v>1308</v>
      </c>
      <c r="C38" s="32" t="s">
        <v>1307</v>
      </c>
      <c r="D38" s="34" t="s">
        <v>126</v>
      </c>
      <c r="E38" s="32" t="s">
        <v>185</v>
      </c>
    </row>
    <row r="39" spans="1:5" s="35" customFormat="1" x14ac:dyDescent="0.35">
      <c r="A39" s="32" t="str">
        <f t="shared" si="0"/>
        <v>AME 482,ED4-AUTO</v>
      </c>
      <c r="B39" s="33" t="s">
        <v>1306</v>
      </c>
      <c r="C39" s="32" t="s">
        <v>1307</v>
      </c>
      <c r="D39" s="34" t="s">
        <v>126</v>
      </c>
      <c r="E39" s="32" t="s">
        <v>772</v>
      </c>
    </row>
    <row r="40" spans="1:5" s="35" customFormat="1" x14ac:dyDescent="0.35">
      <c r="A40" s="32" t="str">
        <f t="shared" si="0"/>
        <v>AME 496,ED4-AUTO</v>
      </c>
      <c r="B40" s="33" t="s">
        <v>1304</v>
      </c>
      <c r="C40" s="32" t="s">
        <v>1305</v>
      </c>
      <c r="D40" s="34" t="s">
        <v>126</v>
      </c>
      <c r="E40" s="32" t="s">
        <v>358</v>
      </c>
    </row>
    <row r="41" spans="1:5" x14ac:dyDescent="0.35">
      <c r="A41" s="32" t="str">
        <f t="shared" si="0"/>
        <v>ARC 156,ED1-CE</v>
      </c>
      <c r="B41" s="33" t="s">
        <v>1302</v>
      </c>
      <c r="C41" s="32" t="s">
        <v>1303</v>
      </c>
      <c r="D41" s="34" t="s">
        <v>44</v>
      </c>
      <c r="E41" s="32" t="s">
        <v>159</v>
      </c>
    </row>
    <row r="42" spans="1:5" s="35" customFormat="1" x14ac:dyDescent="0.35">
      <c r="A42" s="32" t="str">
        <f t="shared" si="0"/>
        <v>BME 252,ED2-BME</v>
      </c>
      <c r="B42" s="33" t="s">
        <v>1301</v>
      </c>
      <c r="C42" s="32" t="s">
        <v>1210</v>
      </c>
      <c r="D42" s="34" t="s">
        <v>42</v>
      </c>
      <c r="E42" s="32" t="s">
        <v>236</v>
      </c>
    </row>
    <row r="43" spans="1:5" s="35" customFormat="1" x14ac:dyDescent="0.35">
      <c r="A43" s="32" t="str">
        <f t="shared" si="0"/>
        <v>BME 286,ED2-BME</v>
      </c>
      <c r="B43" s="33" t="s">
        <v>1299</v>
      </c>
      <c r="C43" s="32" t="s">
        <v>1300</v>
      </c>
      <c r="D43" s="34" t="s">
        <v>42</v>
      </c>
      <c r="E43" s="32" t="s">
        <v>285</v>
      </c>
    </row>
    <row r="44" spans="1:5" s="35" customFormat="1" x14ac:dyDescent="0.35">
      <c r="A44" s="32" t="str">
        <f t="shared" si="0"/>
        <v>BME 288,ED2-BME</v>
      </c>
      <c r="B44" s="33" t="s">
        <v>1297</v>
      </c>
      <c r="C44" s="32" t="s">
        <v>1298</v>
      </c>
      <c r="D44" s="34" t="s">
        <v>42</v>
      </c>
      <c r="E44" s="32" t="s">
        <v>314</v>
      </c>
    </row>
    <row r="45" spans="1:5" s="35" customFormat="1" x14ac:dyDescent="0.35">
      <c r="A45" s="32" t="str">
        <f t="shared" si="0"/>
        <v>BME 362,ED3-BME</v>
      </c>
      <c r="B45" s="33" t="s">
        <v>1296</v>
      </c>
      <c r="C45" s="32" t="s">
        <v>1209</v>
      </c>
      <c r="D45" s="34" t="s">
        <v>75</v>
      </c>
      <c r="E45" s="32" t="s">
        <v>195</v>
      </c>
    </row>
    <row r="46" spans="1:5" s="35" customFormat="1" x14ac:dyDescent="0.35">
      <c r="A46" s="32" t="str">
        <f t="shared" si="0"/>
        <v>BME 364,ED3-BME</v>
      </c>
      <c r="B46" s="33" t="s">
        <v>1295</v>
      </c>
      <c r="C46" s="32" t="s">
        <v>1291</v>
      </c>
      <c r="D46" s="34" t="s">
        <v>75</v>
      </c>
      <c r="E46" s="32" t="s">
        <v>298</v>
      </c>
    </row>
    <row r="47" spans="1:5" s="35" customFormat="1" x14ac:dyDescent="0.35">
      <c r="A47" s="32" t="str">
        <f t="shared" si="0"/>
        <v>BME 366,ED3-BME</v>
      </c>
      <c r="B47" s="33" t="s">
        <v>1293</v>
      </c>
      <c r="C47" s="32" t="s">
        <v>1294</v>
      </c>
      <c r="D47" s="34" t="s">
        <v>75</v>
      </c>
      <c r="E47" s="32" t="s">
        <v>181</v>
      </c>
    </row>
    <row r="48" spans="1:5" s="35" customFormat="1" x14ac:dyDescent="0.35">
      <c r="A48" s="32" t="str">
        <f t="shared" si="0"/>
        <v>BME 372,ED3-BME</v>
      </c>
      <c r="B48" s="33" t="s">
        <v>1292</v>
      </c>
      <c r="C48" s="32" t="s">
        <v>1289</v>
      </c>
      <c r="D48" s="34" t="s">
        <v>75</v>
      </c>
      <c r="E48" s="32" t="s">
        <v>76</v>
      </c>
    </row>
    <row r="49" spans="1:5" s="35" customFormat="1" x14ac:dyDescent="0.35">
      <c r="A49" s="32" t="str">
        <f t="shared" si="0"/>
        <v>BME 374,ED3-BME</v>
      </c>
      <c r="B49" s="33" t="s">
        <v>1290</v>
      </c>
      <c r="C49" s="32" t="s">
        <v>1291</v>
      </c>
      <c r="D49" s="34" t="s">
        <v>75</v>
      </c>
      <c r="E49" s="32" t="s">
        <v>398</v>
      </c>
    </row>
    <row r="50" spans="1:5" s="35" customFormat="1" x14ac:dyDescent="0.35">
      <c r="A50" s="32" t="str">
        <f t="shared" si="0"/>
        <v>BME 454,ED4-BME</v>
      </c>
      <c r="B50" s="33" t="s">
        <v>1288</v>
      </c>
      <c r="C50" s="32" t="s">
        <v>1289</v>
      </c>
      <c r="D50" s="34" t="s">
        <v>242</v>
      </c>
      <c r="E50" s="32" t="s">
        <v>243</v>
      </c>
    </row>
    <row r="51" spans="1:5" s="35" customFormat="1" x14ac:dyDescent="0.35">
      <c r="A51" s="32" t="str">
        <f t="shared" si="0"/>
        <v>BME 462,ED4-BME</v>
      </c>
      <c r="B51" s="33" t="s">
        <v>1287</v>
      </c>
      <c r="C51" s="32" t="s">
        <v>1209</v>
      </c>
      <c r="D51" s="34" t="s">
        <v>242</v>
      </c>
      <c r="E51" s="32" t="s">
        <v>388</v>
      </c>
    </row>
    <row r="52" spans="1:5" s="35" customFormat="1" x14ac:dyDescent="0.35">
      <c r="A52" s="32" t="str">
        <f t="shared" si="0"/>
        <v>CE 154,ED1-CE</v>
      </c>
      <c r="B52" s="33" t="s">
        <v>1285</v>
      </c>
      <c r="C52" s="32" t="s">
        <v>1286</v>
      </c>
      <c r="D52" s="34" t="s">
        <v>44</v>
      </c>
      <c r="E52" s="32" t="s">
        <v>247</v>
      </c>
    </row>
    <row r="53" spans="1:5" s="35" customFormat="1" x14ac:dyDescent="0.35">
      <c r="A53" s="32" t="str">
        <f t="shared" si="0"/>
        <v>CE 156,ED1-CE</v>
      </c>
      <c r="B53" s="33" t="s">
        <v>1283</v>
      </c>
      <c r="C53" s="32" t="s">
        <v>1284</v>
      </c>
      <c r="D53" s="34" t="s">
        <v>44</v>
      </c>
      <c r="E53" s="32" t="s">
        <v>295</v>
      </c>
    </row>
    <row r="54" spans="1:5" s="35" customFormat="1" x14ac:dyDescent="0.35">
      <c r="A54" s="32" t="str">
        <f t="shared" si="0"/>
        <v>CE 156,ED1-GEOL</v>
      </c>
      <c r="B54" s="33" t="s">
        <v>1283</v>
      </c>
      <c r="C54" s="32" t="s">
        <v>1284</v>
      </c>
      <c r="D54" s="34" t="s">
        <v>45</v>
      </c>
      <c r="E54" s="32" t="s">
        <v>295</v>
      </c>
    </row>
    <row r="55" spans="1:5" s="35" customFormat="1" x14ac:dyDescent="0.35">
      <c r="A55" s="32" t="str">
        <f t="shared" si="0"/>
        <v>CE 164,ED1-CE</v>
      </c>
      <c r="B55" s="33" t="s">
        <v>1282</v>
      </c>
      <c r="C55" s="32" t="s">
        <v>1246</v>
      </c>
      <c r="D55" s="34" t="s">
        <v>44</v>
      </c>
      <c r="E55" s="32" t="s">
        <v>212</v>
      </c>
    </row>
    <row r="56" spans="1:5" s="35" customFormat="1" x14ac:dyDescent="0.35">
      <c r="A56" s="32" t="str">
        <f t="shared" si="0"/>
        <v>CE 164,ED1-GEOL</v>
      </c>
      <c r="B56" s="33" t="s">
        <v>1282</v>
      </c>
      <c r="C56" s="32" t="s">
        <v>1246</v>
      </c>
      <c r="D56" s="34" t="s">
        <v>45</v>
      </c>
      <c r="E56" s="32" t="s">
        <v>212</v>
      </c>
    </row>
    <row r="57" spans="1:5" s="35" customFormat="1" x14ac:dyDescent="0.35">
      <c r="A57" s="32" t="str">
        <f t="shared" si="0"/>
        <v>CE 256,ED2-CE</v>
      </c>
      <c r="B57" s="33" t="s">
        <v>1281</v>
      </c>
      <c r="C57" s="32" t="s">
        <v>1254</v>
      </c>
      <c r="D57" s="34" t="s">
        <v>64</v>
      </c>
      <c r="E57" s="32" t="s">
        <v>320</v>
      </c>
    </row>
    <row r="58" spans="1:5" s="35" customFormat="1" x14ac:dyDescent="0.35">
      <c r="A58" s="32" t="str">
        <f t="shared" si="0"/>
        <v>CE 256,ED2-GEOL</v>
      </c>
      <c r="B58" s="33" t="s">
        <v>1281</v>
      </c>
      <c r="C58" s="32" t="s">
        <v>1254</v>
      </c>
      <c r="D58" s="34" t="s">
        <v>62</v>
      </c>
      <c r="E58" s="32" t="s">
        <v>320</v>
      </c>
    </row>
    <row r="59" spans="1:5" s="35" customFormat="1" x14ac:dyDescent="0.35">
      <c r="A59" s="32" t="str">
        <f t="shared" si="0"/>
        <v>CE 258,ED2-CE</v>
      </c>
      <c r="B59" s="33" t="s">
        <v>1279</v>
      </c>
      <c r="C59" s="32" t="s">
        <v>1280</v>
      </c>
      <c r="D59" s="34" t="s">
        <v>64</v>
      </c>
      <c r="E59" s="32" t="s">
        <v>173</v>
      </c>
    </row>
    <row r="60" spans="1:5" s="35" customFormat="1" x14ac:dyDescent="0.35">
      <c r="A60" s="32" t="str">
        <f t="shared" si="0"/>
        <v>CE 260,ED2-CE</v>
      </c>
      <c r="B60" s="33" t="s">
        <v>1276</v>
      </c>
      <c r="C60" s="32" t="s">
        <v>1278</v>
      </c>
      <c r="D60" s="34" t="s">
        <v>64</v>
      </c>
      <c r="E60" s="32" t="s">
        <v>359</v>
      </c>
    </row>
    <row r="61" spans="1:5" s="35" customFormat="1" x14ac:dyDescent="0.35">
      <c r="A61" s="32" t="str">
        <f t="shared" si="0"/>
        <v>CE 260,ED2-GEOM</v>
      </c>
      <c r="B61" s="33" t="s">
        <v>1276</v>
      </c>
      <c r="C61" s="32" t="s">
        <v>1277</v>
      </c>
      <c r="D61" s="34" t="s">
        <v>65</v>
      </c>
      <c r="E61" s="32" t="s">
        <v>359</v>
      </c>
    </row>
    <row r="62" spans="1:5" s="35" customFormat="1" ht="15" customHeight="1" x14ac:dyDescent="0.35">
      <c r="A62" s="32" t="str">
        <f t="shared" si="0"/>
        <v>CE 262,ED2-CE</v>
      </c>
      <c r="B62" s="33" t="s">
        <v>1274</v>
      </c>
      <c r="C62" s="32" t="s">
        <v>1275</v>
      </c>
      <c r="D62" s="34" t="s">
        <v>64</v>
      </c>
      <c r="E62" s="32" t="s">
        <v>751</v>
      </c>
    </row>
    <row r="63" spans="1:5" s="35" customFormat="1" x14ac:dyDescent="0.35">
      <c r="A63" s="32" t="str">
        <f t="shared" si="0"/>
        <v>CE 264,ED2-CE</v>
      </c>
      <c r="B63" s="33" t="s">
        <v>1272</v>
      </c>
      <c r="C63" s="32" t="s">
        <v>1273</v>
      </c>
      <c r="D63" s="34" t="s">
        <v>64</v>
      </c>
      <c r="E63" s="32" t="s">
        <v>224</v>
      </c>
    </row>
    <row r="64" spans="1:5" s="35" customFormat="1" x14ac:dyDescent="0.35">
      <c r="A64" s="32" t="str">
        <f t="shared" si="0"/>
        <v>CE 272,ED2-CE</v>
      </c>
      <c r="B64" s="33" t="s">
        <v>1271</v>
      </c>
      <c r="C64" s="32" t="s">
        <v>1259</v>
      </c>
      <c r="D64" s="34" t="s">
        <v>64</v>
      </c>
      <c r="E64" s="32" t="s">
        <v>329</v>
      </c>
    </row>
    <row r="65" spans="1:5" s="35" customFormat="1" x14ac:dyDescent="0.35">
      <c r="A65" s="32" t="str">
        <f t="shared" ref="A65:A134" si="1">CONCATENATE(E65,",",D65)</f>
        <v>CE 352,ED3-CE</v>
      </c>
      <c r="B65" s="33" t="s">
        <v>1269</v>
      </c>
      <c r="C65" s="32" t="s">
        <v>1270</v>
      </c>
      <c r="D65" s="34" t="s">
        <v>27</v>
      </c>
      <c r="E65" s="32" t="s">
        <v>128</v>
      </c>
    </row>
    <row r="66" spans="1:5" s="35" customFormat="1" x14ac:dyDescent="0.35">
      <c r="A66" s="32" t="str">
        <f t="shared" si="1"/>
        <v>CE 356,ED3-CE</v>
      </c>
      <c r="B66" s="33" t="s">
        <v>1267</v>
      </c>
      <c r="C66" s="32" t="s">
        <v>1268</v>
      </c>
      <c r="D66" s="34" t="s">
        <v>27</v>
      </c>
      <c r="E66" s="32" t="s">
        <v>297</v>
      </c>
    </row>
    <row r="67" spans="1:5" s="35" customFormat="1" x14ac:dyDescent="0.35">
      <c r="A67" s="32" t="str">
        <f t="shared" si="1"/>
        <v>CE 360,ED3-CE</v>
      </c>
      <c r="B67" s="33" t="s">
        <v>1091</v>
      </c>
      <c r="C67" s="32" t="s">
        <v>1266</v>
      </c>
      <c r="D67" s="34" t="s">
        <v>27</v>
      </c>
      <c r="E67" s="32" t="s">
        <v>369</v>
      </c>
    </row>
    <row r="68" spans="1:5" s="35" customFormat="1" x14ac:dyDescent="0.35">
      <c r="A68" s="32" t="str">
        <f t="shared" si="1"/>
        <v>CE 364,ED3-CE</v>
      </c>
      <c r="B68" s="33" t="s">
        <v>1264</v>
      </c>
      <c r="C68" s="32" t="s">
        <v>1265</v>
      </c>
      <c r="D68" s="34" t="s">
        <v>27</v>
      </c>
      <c r="E68" s="32" t="s">
        <v>341</v>
      </c>
    </row>
    <row r="69" spans="1:5" s="35" customFormat="1" x14ac:dyDescent="0.35">
      <c r="A69" s="32" t="str">
        <f t="shared" si="1"/>
        <v>CE 368,ED3-CE</v>
      </c>
      <c r="B69" s="33" t="s">
        <v>1263</v>
      </c>
      <c r="C69" s="32" t="s">
        <v>1257</v>
      </c>
      <c r="D69" s="34" t="s">
        <v>27</v>
      </c>
      <c r="E69" s="32" t="s">
        <v>225</v>
      </c>
    </row>
    <row r="70" spans="1:5" s="35" customFormat="1" x14ac:dyDescent="0.35">
      <c r="A70" s="32" t="str">
        <f t="shared" si="1"/>
        <v>CE 368,ED3-GEOM</v>
      </c>
      <c r="B70" s="33" t="s">
        <v>1261</v>
      </c>
      <c r="C70" s="32" t="s">
        <v>1262</v>
      </c>
      <c r="D70" s="34" t="s">
        <v>47</v>
      </c>
      <c r="E70" s="32" t="s">
        <v>225</v>
      </c>
    </row>
    <row r="71" spans="1:5" s="35" customFormat="1" x14ac:dyDescent="0.35">
      <c r="A71" s="32" t="str">
        <f t="shared" si="1"/>
        <v>CE 376,ED3-CE</v>
      </c>
      <c r="B71" s="33" t="s">
        <v>1260</v>
      </c>
      <c r="C71" s="32" t="s">
        <v>1246</v>
      </c>
      <c r="D71" s="34" t="s">
        <v>27</v>
      </c>
      <c r="E71" s="32" t="s">
        <v>28</v>
      </c>
    </row>
    <row r="72" spans="1:5" s="35" customFormat="1" x14ac:dyDescent="0.35">
      <c r="A72" s="32" t="str">
        <f t="shared" si="1"/>
        <v>CE 378,ED3-CE</v>
      </c>
      <c r="B72" s="33" t="s">
        <v>1258</v>
      </c>
      <c r="C72" s="32" t="s">
        <v>1259</v>
      </c>
      <c r="D72" s="34" t="s">
        <v>27</v>
      </c>
      <c r="E72" s="32" t="s">
        <v>87</v>
      </c>
    </row>
    <row r="73" spans="1:5" s="35" customFormat="1" x14ac:dyDescent="0.35">
      <c r="A73" s="32" t="str">
        <f t="shared" si="1"/>
        <v>CE 390,ED3-CE</v>
      </c>
      <c r="B73" s="33" t="s">
        <v>1256</v>
      </c>
      <c r="C73" s="32" t="s">
        <v>1257</v>
      </c>
      <c r="D73" s="34" t="s">
        <v>27</v>
      </c>
      <c r="E73" s="32" t="s">
        <v>741</v>
      </c>
    </row>
    <row r="74" spans="1:5" s="35" customFormat="1" x14ac:dyDescent="0.35">
      <c r="A74" s="32" t="str">
        <f t="shared" si="1"/>
        <v>CE 456,ED4-CE</v>
      </c>
      <c r="B74" s="33" t="s">
        <v>1255</v>
      </c>
      <c r="C74" s="32" t="s">
        <v>1270</v>
      </c>
      <c r="D74" s="34" t="s">
        <v>84</v>
      </c>
      <c r="E74" s="32" t="s">
        <v>160</v>
      </c>
    </row>
    <row r="75" spans="1:5" s="35" customFormat="1" x14ac:dyDescent="0.35">
      <c r="A75" s="32" t="str">
        <f t="shared" si="1"/>
        <v>CE 452,ED4-CE</v>
      </c>
      <c r="B75" s="33" t="s">
        <v>1378</v>
      </c>
      <c r="C75" s="32" t="s">
        <v>1379</v>
      </c>
      <c r="D75" s="34" t="s">
        <v>84</v>
      </c>
      <c r="E75" s="32" t="s">
        <v>1377</v>
      </c>
    </row>
    <row r="76" spans="1:5" s="35" customFormat="1" x14ac:dyDescent="0.35">
      <c r="A76" s="32" t="str">
        <f t="shared" si="1"/>
        <v>CE 458,ED4-CE</v>
      </c>
      <c r="B76" s="33" t="s">
        <v>1253</v>
      </c>
      <c r="C76" s="32" t="s">
        <v>1254</v>
      </c>
      <c r="D76" s="34" t="s">
        <v>84</v>
      </c>
      <c r="E76" s="32" t="s">
        <v>211</v>
      </c>
    </row>
    <row r="77" spans="1:5" s="35" customFormat="1" x14ac:dyDescent="0.35">
      <c r="A77" s="32" t="str">
        <f t="shared" si="1"/>
        <v>CE 462,ED4-CE</v>
      </c>
      <c r="B77" s="33" t="s">
        <v>1251</v>
      </c>
      <c r="C77" s="32" t="s">
        <v>1252</v>
      </c>
      <c r="D77" s="34" t="s">
        <v>84</v>
      </c>
      <c r="E77" s="32" t="s">
        <v>386</v>
      </c>
    </row>
    <row r="78" spans="1:5" s="35" customFormat="1" x14ac:dyDescent="0.35">
      <c r="A78" s="32" t="str">
        <f t="shared" si="1"/>
        <v>CE 464,ED4-CE</v>
      </c>
      <c r="B78" s="33" t="s">
        <v>1249</v>
      </c>
      <c r="C78" s="32" t="s">
        <v>1250</v>
      </c>
      <c r="D78" s="34" t="s">
        <v>84</v>
      </c>
      <c r="E78" s="32" t="s">
        <v>288</v>
      </c>
    </row>
    <row r="79" spans="1:5" s="35" customFormat="1" x14ac:dyDescent="0.35">
      <c r="A79" s="32" t="str">
        <f t="shared" si="1"/>
        <v>CE 468,ED4-CE</v>
      </c>
      <c r="B79" s="33" t="s">
        <v>1247</v>
      </c>
      <c r="C79" s="32" t="s">
        <v>1248</v>
      </c>
      <c r="D79" s="34" t="s">
        <v>84</v>
      </c>
      <c r="E79" s="32" t="s">
        <v>85</v>
      </c>
    </row>
    <row r="80" spans="1:5" s="35" customFormat="1" x14ac:dyDescent="0.35">
      <c r="A80" s="32" t="str">
        <f t="shared" si="1"/>
        <v>CE 476,ED4-CE</v>
      </c>
      <c r="B80" s="33" t="s">
        <v>1245</v>
      </c>
      <c r="C80" s="32" t="s">
        <v>1246</v>
      </c>
      <c r="D80" s="34" t="s">
        <v>84</v>
      </c>
      <c r="E80" s="32" t="s">
        <v>342</v>
      </c>
    </row>
    <row r="81" spans="1:5" s="35" customFormat="1" x14ac:dyDescent="0.35">
      <c r="A81" s="32" t="str">
        <f t="shared" si="1"/>
        <v>CE 478,ED4-CE</v>
      </c>
      <c r="B81" s="33" t="s">
        <v>1241</v>
      </c>
      <c r="C81" s="32" t="s">
        <v>1244</v>
      </c>
      <c r="D81" s="34" t="s">
        <v>84</v>
      </c>
      <c r="E81" s="32" t="s">
        <v>256</v>
      </c>
    </row>
    <row r="82" spans="1:5" s="35" customFormat="1" x14ac:dyDescent="0.35">
      <c r="A82" s="32" t="str">
        <f t="shared" si="1"/>
        <v>CE 480,ED4-CE</v>
      </c>
      <c r="B82" s="33" t="s">
        <v>1242</v>
      </c>
      <c r="C82" s="32" t="s">
        <v>1243</v>
      </c>
      <c r="D82" s="34" t="s">
        <v>84</v>
      </c>
      <c r="E82" s="32" t="s">
        <v>733</v>
      </c>
    </row>
    <row r="83" spans="1:5" s="35" customFormat="1" x14ac:dyDescent="0.35">
      <c r="A83" s="32" t="str">
        <f t="shared" si="1"/>
        <v>CE 478,ED4-GEOL</v>
      </c>
      <c r="B83" s="33" t="s">
        <v>1241</v>
      </c>
      <c r="C83" s="32" t="s">
        <v>1244</v>
      </c>
      <c r="D83" s="34" t="s">
        <v>8</v>
      </c>
      <c r="E83" s="32" t="s">
        <v>256</v>
      </c>
    </row>
    <row r="84" spans="1:5" s="35" customFormat="1" x14ac:dyDescent="0.35">
      <c r="A84" s="32" t="str">
        <f t="shared" si="1"/>
        <v>CHE 156,ED1-CHE</v>
      </c>
      <c r="B84" s="33" t="s">
        <v>910</v>
      </c>
      <c r="C84" s="32" t="s">
        <v>1216</v>
      </c>
      <c r="D84" s="34" t="s">
        <v>60</v>
      </c>
      <c r="E84" s="32" t="s">
        <v>231</v>
      </c>
    </row>
    <row r="85" spans="1:5" s="35" customFormat="1" x14ac:dyDescent="0.35">
      <c r="A85" s="32" t="str">
        <f t="shared" si="1"/>
        <v>CHE 156,ED1-PCE</v>
      </c>
      <c r="B85" s="33" t="s">
        <v>910</v>
      </c>
      <c r="C85" s="32" t="s">
        <v>911</v>
      </c>
      <c r="D85" s="34" t="s">
        <v>58</v>
      </c>
      <c r="E85" s="32" t="s">
        <v>231</v>
      </c>
    </row>
    <row r="86" spans="1:5" s="35" customFormat="1" x14ac:dyDescent="0.35">
      <c r="A86" s="32" t="str">
        <f t="shared" si="1"/>
        <v>CHE 158,ED1-CHE</v>
      </c>
      <c r="B86" s="33" t="s">
        <v>924</v>
      </c>
      <c r="C86" s="32" t="s">
        <v>919</v>
      </c>
      <c r="D86" s="34" t="s">
        <v>60</v>
      </c>
      <c r="E86" s="32" t="s">
        <v>61</v>
      </c>
    </row>
    <row r="87" spans="1:5" s="35" customFormat="1" x14ac:dyDescent="0.35">
      <c r="A87" s="32" t="str">
        <f t="shared" si="1"/>
        <v>CHE 250,ED2-CHE</v>
      </c>
      <c r="B87" s="33" t="s">
        <v>1240</v>
      </c>
      <c r="C87" s="32" t="s">
        <v>1227</v>
      </c>
      <c r="D87" s="34" t="s">
        <v>71</v>
      </c>
      <c r="E87" s="32" t="s">
        <v>124</v>
      </c>
    </row>
    <row r="88" spans="1:5" s="35" customFormat="1" x14ac:dyDescent="0.35">
      <c r="A88" s="32" t="str">
        <f t="shared" si="1"/>
        <v>CHE 250,ED2-PCE</v>
      </c>
      <c r="B88" s="33" t="s">
        <v>1240</v>
      </c>
      <c r="C88" s="32" t="s">
        <v>915</v>
      </c>
      <c r="D88" s="34" t="s">
        <v>69</v>
      </c>
      <c r="E88" s="32" t="s">
        <v>124</v>
      </c>
    </row>
    <row r="89" spans="1:5" s="35" customFormat="1" x14ac:dyDescent="0.35">
      <c r="A89" s="32" t="str">
        <f t="shared" si="1"/>
        <v>CHE 252,ED2-CHE</v>
      </c>
      <c r="B89" s="33" t="s">
        <v>1239</v>
      </c>
      <c r="C89" s="32" t="s">
        <v>1218</v>
      </c>
      <c r="D89" s="34" t="s">
        <v>71</v>
      </c>
      <c r="E89" s="32" t="s">
        <v>234</v>
      </c>
    </row>
    <row r="90" spans="1:5" s="35" customFormat="1" x14ac:dyDescent="0.35">
      <c r="A90" s="32" t="str">
        <f t="shared" si="1"/>
        <v>CHE 252,ED2-PCE</v>
      </c>
      <c r="B90" s="33" t="s">
        <v>1239</v>
      </c>
      <c r="C90" s="32" t="s">
        <v>1220</v>
      </c>
      <c r="D90" s="34" t="s">
        <v>69</v>
      </c>
      <c r="E90" s="32" t="s">
        <v>234</v>
      </c>
    </row>
    <row r="91" spans="1:5" s="35" customFormat="1" x14ac:dyDescent="0.35">
      <c r="A91" s="32" t="str">
        <f t="shared" si="1"/>
        <v>CHE 254,ED2-CHE</v>
      </c>
      <c r="B91" s="33" t="s">
        <v>1237</v>
      </c>
      <c r="C91" s="32" t="s">
        <v>919</v>
      </c>
      <c r="D91" s="34" t="s">
        <v>71</v>
      </c>
      <c r="E91" s="32" t="s">
        <v>70</v>
      </c>
    </row>
    <row r="92" spans="1:5" s="35" customFormat="1" x14ac:dyDescent="0.35">
      <c r="A92" s="32" t="str">
        <f t="shared" si="1"/>
        <v>CHE 254,ED2-PCE</v>
      </c>
      <c r="B92" s="33" t="s">
        <v>1237</v>
      </c>
      <c r="C92" s="32" t="s">
        <v>1238</v>
      </c>
      <c r="D92" s="34" t="s">
        <v>69</v>
      </c>
      <c r="E92" s="32" t="s">
        <v>70</v>
      </c>
    </row>
    <row r="93" spans="1:5" s="35" customFormat="1" ht="15" customHeight="1" x14ac:dyDescent="0.35">
      <c r="A93" s="32" t="str">
        <f t="shared" si="1"/>
        <v>CHE 256,ED2-CHE</v>
      </c>
      <c r="B93" s="33" t="s">
        <v>909</v>
      </c>
      <c r="C93" s="32" t="s">
        <v>1231</v>
      </c>
      <c r="D93" s="34" t="s">
        <v>71</v>
      </c>
      <c r="E93" s="32" t="s">
        <v>183</v>
      </c>
    </row>
    <row r="94" spans="1:5" s="35" customFormat="1" x14ac:dyDescent="0.35">
      <c r="A94" s="32" t="str">
        <f t="shared" si="1"/>
        <v>CHE 256,ED2-PCE</v>
      </c>
      <c r="B94" s="33" t="s">
        <v>909</v>
      </c>
      <c r="C94" s="32" t="s">
        <v>1220</v>
      </c>
      <c r="D94" s="34" t="s">
        <v>69</v>
      </c>
      <c r="E94" s="32" t="s">
        <v>183</v>
      </c>
    </row>
    <row r="95" spans="1:5" s="35" customFormat="1" x14ac:dyDescent="0.35">
      <c r="A95" s="32" t="str">
        <f t="shared" si="1"/>
        <v>CHE 258,ED2-CHE</v>
      </c>
      <c r="B95" s="33" t="s">
        <v>907</v>
      </c>
      <c r="C95" s="32" t="s">
        <v>1233</v>
      </c>
      <c r="D95" s="34" t="s">
        <v>71</v>
      </c>
      <c r="E95" s="32" t="s">
        <v>385</v>
      </c>
    </row>
    <row r="96" spans="1:5" s="35" customFormat="1" x14ac:dyDescent="0.35">
      <c r="A96" s="32" t="str">
        <f t="shared" si="1"/>
        <v>CHE 258,ED2-PCE</v>
      </c>
      <c r="B96" s="33" t="s">
        <v>907</v>
      </c>
      <c r="C96" s="32" t="s">
        <v>1233</v>
      </c>
      <c r="D96" s="34" t="s">
        <v>69</v>
      </c>
      <c r="E96" s="32" t="s">
        <v>385</v>
      </c>
    </row>
    <row r="97" spans="1:5" s="35" customFormat="1" x14ac:dyDescent="0.35">
      <c r="A97" s="32" t="str">
        <f t="shared" si="1"/>
        <v>CHE 350,ED3-CHE</v>
      </c>
      <c r="B97" s="33" t="s">
        <v>1236</v>
      </c>
      <c r="C97" s="32" t="s">
        <v>923</v>
      </c>
      <c r="D97" s="34" t="s">
        <v>48</v>
      </c>
      <c r="E97" s="32" t="s">
        <v>347</v>
      </c>
    </row>
    <row r="98" spans="1:5" s="35" customFormat="1" x14ac:dyDescent="0.35">
      <c r="A98" s="32" t="str">
        <f t="shared" si="1"/>
        <v>CHE 350,ED3-PCE</v>
      </c>
      <c r="B98" s="33" t="s">
        <v>1236</v>
      </c>
      <c r="C98" s="32" t="s">
        <v>1227</v>
      </c>
      <c r="D98" s="34" t="s">
        <v>79</v>
      </c>
      <c r="E98" s="32" t="s">
        <v>347</v>
      </c>
    </row>
    <row r="99" spans="1:5" s="35" customFormat="1" x14ac:dyDescent="0.35">
      <c r="A99" s="32" t="str">
        <f t="shared" si="1"/>
        <v>CHE 352,ED3-CHE</v>
      </c>
      <c r="B99" s="33" t="s">
        <v>1235</v>
      </c>
      <c r="C99" s="32" t="s">
        <v>919</v>
      </c>
      <c r="D99" s="34" t="s">
        <v>48</v>
      </c>
      <c r="E99" s="32" t="s">
        <v>287</v>
      </c>
    </row>
    <row r="100" spans="1:5" s="35" customFormat="1" x14ac:dyDescent="0.35">
      <c r="A100" s="32" t="str">
        <f t="shared" si="1"/>
        <v>CHE 354,ED3-CHE</v>
      </c>
      <c r="B100" s="33" t="s">
        <v>1234</v>
      </c>
      <c r="C100" s="32" t="s">
        <v>921</v>
      </c>
      <c r="D100" s="34" t="s">
        <v>48</v>
      </c>
      <c r="E100" s="32" t="s">
        <v>318</v>
      </c>
    </row>
    <row r="101" spans="1:5" s="35" customFormat="1" x14ac:dyDescent="0.35">
      <c r="A101" s="32" t="str">
        <f t="shared" si="1"/>
        <v>CHE 358,ED3-CHE</v>
      </c>
      <c r="B101" s="33" t="s">
        <v>1232</v>
      </c>
      <c r="C101" s="32" t="s">
        <v>916</v>
      </c>
      <c r="D101" s="34" t="s">
        <v>48</v>
      </c>
      <c r="E101" s="32" t="s">
        <v>187</v>
      </c>
    </row>
    <row r="102" spans="1:5" s="35" customFormat="1" x14ac:dyDescent="0.35">
      <c r="A102" s="32" t="str">
        <f t="shared" si="1"/>
        <v>CHE 358,ED3-PCE</v>
      </c>
      <c r="B102" s="33" t="s">
        <v>1232</v>
      </c>
      <c r="C102" s="32" t="s">
        <v>916</v>
      </c>
      <c r="D102" s="34" t="s">
        <v>79</v>
      </c>
      <c r="E102" s="32" t="s">
        <v>187</v>
      </c>
    </row>
    <row r="103" spans="1:5" s="35" customFormat="1" x14ac:dyDescent="0.35">
      <c r="A103" s="32" t="str">
        <f t="shared" si="1"/>
        <v>CHE 362,ED3-CHE</v>
      </c>
      <c r="B103" s="33" t="s">
        <v>1230</v>
      </c>
      <c r="C103" s="32" t="s">
        <v>1231</v>
      </c>
      <c r="D103" s="34" t="s">
        <v>48</v>
      </c>
      <c r="E103" s="32" t="s">
        <v>233</v>
      </c>
    </row>
    <row r="104" spans="1:5" s="35" customFormat="1" x14ac:dyDescent="0.35">
      <c r="A104" s="32" t="str">
        <f t="shared" si="1"/>
        <v>CHE 364,ED3-CHE</v>
      </c>
      <c r="B104" s="33" t="s">
        <v>1229</v>
      </c>
      <c r="C104" s="32" t="s">
        <v>1224</v>
      </c>
      <c r="D104" s="34" t="s">
        <v>48</v>
      </c>
      <c r="E104" s="32" t="s">
        <v>135</v>
      </c>
    </row>
    <row r="105" spans="1:5" s="35" customFormat="1" x14ac:dyDescent="0.35">
      <c r="A105" s="32" t="str">
        <f t="shared" si="1"/>
        <v>CHE 366,ED3-PCE</v>
      </c>
      <c r="B105" s="33" t="s">
        <v>1228</v>
      </c>
      <c r="C105" s="32" t="s">
        <v>1224</v>
      </c>
      <c r="D105" s="34" t="s">
        <v>79</v>
      </c>
      <c r="E105" s="32" t="s">
        <v>141</v>
      </c>
    </row>
    <row r="106" spans="1:5" s="35" customFormat="1" x14ac:dyDescent="0.35">
      <c r="A106" s="32" t="str">
        <f t="shared" si="1"/>
        <v>CHE 368,ED3-CHE</v>
      </c>
      <c r="B106" s="33" t="s">
        <v>1226</v>
      </c>
      <c r="C106" s="32" t="s">
        <v>1227</v>
      </c>
      <c r="D106" s="34" t="s">
        <v>48</v>
      </c>
      <c r="E106" s="32" t="s">
        <v>263</v>
      </c>
    </row>
    <row r="107" spans="1:5" s="35" customFormat="1" x14ac:dyDescent="0.35">
      <c r="A107" s="32" t="str">
        <f t="shared" si="1"/>
        <v>CHE 370,ED3-PCE</v>
      </c>
      <c r="B107" s="33" t="s">
        <v>1225</v>
      </c>
      <c r="C107" s="32" t="s">
        <v>1216</v>
      </c>
      <c r="D107" s="34" t="s">
        <v>79</v>
      </c>
      <c r="E107" s="32" t="s">
        <v>216</v>
      </c>
    </row>
    <row r="108" spans="1:5" s="35" customFormat="1" x14ac:dyDescent="0.35">
      <c r="A108" s="32" t="str">
        <f t="shared" si="1"/>
        <v>CHE 456,ED4-CHE</v>
      </c>
      <c r="B108" s="33" t="s">
        <v>1223</v>
      </c>
      <c r="C108" s="32" t="s">
        <v>1224</v>
      </c>
      <c r="D108" s="34" t="s">
        <v>104</v>
      </c>
      <c r="E108" s="32" t="s">
        <v>103</v>
      </c>
    </row>
    <row r="109" spans="1:5" s="35" customFormat="1" x14ac:dyDescent="0.35">
      <c r="A109" s="32" t="str">
        <f t="shared" si="1"/>
        <v>CHE 456,ED4-PCE</v>
      </c>
      <c r="B109" s="33" t="s">
        <v>1223</v>
      </c>
      <c r="C109" s="32" t="s">
        <v>915</v>
      </c>
      <c r="D109" s="34" t="s">
        <v>35</v>
      </c>
      <c r="E109" s="32" t="s">
        <v>103</v>
      </c>
    </row>
    <row r="110" spans="1:5" s="35" customFormat="1" x14ac:dyDescent="0.35">
      <c r="A110" s="32" t="str">
        <f t="shared" si="1"/>
        <v>CHE 458,ED4-CHE</v>
      </c>
      <c r="B110" s="33" t="s">
        <v>1221</v>
      </c>
      <c r="C110" s="32" t="s">
        <v>1222</v>
      </c>
      <c r="D110" s="34" t="s">
        <v>104</v>
      </c>
      <c r="E110" s="32" t="s">
        <v>165</v>
      </c>
    </row>
    <row r="111" spans="1:5" s="35" customFormat="1" x14ac:dyDescent="0.35">
      <c r="A111" s="32" t="str">
        <f t="shared" si="1"/>
        <v>CHE 458,ED4-PCE</v>
      </c>
      <c r="B111" s="33" t="s">
        <v>1221</v>
      </c>
      <c r="C111" s="32" t="s">
        <v>1222</v>
      </c>
      <c r="D111" s="34" t="s">
        <v>35</v>
      </c>
      <c r="E111" s="32" t="s">
        <v>165</v>
      </c>
    </row>
    <row r="112" spans="1:5" s="35" customFormat="1" x14ac:dyDescent="0.35">
      <c r="A112" s="32" t="str">
        <f t="shared" si="1"/>
        <v>CHE 464,ED4-PCE</v>
      </c>
      <c r="B112" s="33" t="s">
        <v>1219</v>
      </c>
      <c r="C112" s="32" t="s">
        <v>1220</v>
      </c>
      <c r="D112" s="34" t="s">
        <v>35</v>
      </c>
      <c r="E112" s="32" t="s">
        <v>395</v>
      </c>
    </row>
    <row r="113" spans="1:5" s="35" customFormat="1" x14ac:dyDescent="0.35">
      <c r="A113" s="32" t="str">
        <f t="shared" si="1"/>
        <v>CHE 466,ED4-CHE</v>
      </c>
      <c r="B113" s="33" t="s">
        <v>1217</v>
      </c>
      <c r="C113" s="32" t="s">
        <v>1218</v>
      </c>
      <c r="D113" s="34" t="s">
        <v>104</v>
      </c>
      <c r="E113" s="32" t="s">
        <v>725</v>
      </c>
    </row>
    <row r="114" spans="1:5" s="35" customFormat="1" ht="15" customHeight="1" x14ac:dyDescent="0.35">
      <c r="A114" s="32" t="str">
        <f t="shared" si="1"/>
        <v>CHE 468,ED4-CHE</v>
      </c>
      <c r="B114" s="33" t="s">
        <v>1215</v>
      </c>
      <c r="C114" s="32" t="s">
        <v>1216</v>
      </c>
      <c r="D114" s="34" t="s">
        <v>104</v>
      </c>
      <c r="E114" s="32" t="s">
        <v>311</v>
      </c>
    </row>
    <row r="115" spans="1:5" s="35" customFormat="1" x14ac:dyDescent="0.35">
      <c r="A115" s="32" t="str">
        <f t="shared" si="1"/>
        <v>CHE 470,ED4-CHE</v>
      </c>
      <c r="B115" s="33" t="s">
        <v>1213</v>
      </c>
      <c r="C115" s="32" t="s">
        <v>1214</v>
      </c>
      <c r="D115" s="34" t="s">
        <v>104</v>
      </c>
      <c r="E115" s="32" t="s">
        <v>391</v>
      </c>
    </row>
    <row r="116" spans="1:5" s="35" customFormat="1" x14ac:dyDescent="0.35">
      <c r="A116" s="32" t="str">
        <f t="shared" si="1"/>
        <v>CHEM 280,ED2-CHE</v>
      </c>
      <c r="B116" s="33" t="s">
        <v>1211</v>
      </c>
      <c r="C116" s="32" t="s">
        <v>1212</v>
      </c>
      <c r="D116" s="34" t="s">
        <v>71</v>
      </c>
      <c r="E116" s="32" t="s">
        <v>330</v>
      </c>
    </row>
    <row r="117" spans="1:5" s="35" customFormat="1" x14ac:dyDescent="0.35">
      <c r="A117" s="32" t="str">
        <f t="shared" si="1"/>
        <v>CHEM 280,ED2-PCE</v>
      </c>
      <c r="B117" s="33" t="s">
        <v>1211</v>
      </c>
      <c r="C117" s="32" t="s">
        <v>1212</v>
      </c>
      <c r="D117" s="34" t="s">
        <v>69</v>
      </c>
      <c r="E117" s="32" t="s">
        <v>330</v>
      </c>
    </row>
    <row r="118" spans="1:5" s="35" customFormat="1" x14ac:dyDescent="0.35">
      <c r="A118" s="32" t="str">
        <f t="shared" si="1"/>
        <v>COE 152,ED1-BME</v>
      </c>
      <c r="B118" s="33" t="s">
        <v>1173</v>
      </c>
      <c r="C118" s="32" t="s">
        <v>1210</v>
      </c>
      <c r="D118" s="34" t="s">
        <v>22</v>
      </c>
      <c r="E118" s="32" t="s">
        <v>326</v>
      </c>
    </row>
    <row r="119" spans="1:5" s="35" customFormat="1" x14ac:dyDescent="0.35">
      <c r="A119" s="32" t="str">
        <f t="shared" si="1"/>
        <v>ME 161,ED1-BME</v>
      </c>
      <c r="B119" s="33" t="s">
        <v>1050</v>
      </c>
      <c r="C119" s="32" t="s">
        <v>1389</v>
      </c>
      <c r="D119" s="34" t="s">
        <v>22</v>
      </c>
      <c r="E119" s="32" t="s">
        <v>1388</v>
      </c>
    </row>
    <row r="120" spans="1:5" s="35" customFormat="1" x14ac:dyDescent="0.35">
      <c r="A120" s="32" t="str">
        <f>CONCATENATE(E120,",",D120)</f>
        <v>COE 382,ED1-COE</v>
      </c>
      <c r="B120" s="33" t="s">
        <v>1385</v>
      </c>
      <c r="C120" s="32" t="s">
        <v>1222</v>
      </c>
      <c r="D120" s="34" t="s">
        <v>20</v>
      </c>
      <c r="E120" s="32" t="s">
        <v>396</v>
      </c>
    </row>
    <row r="121" spans="1:5" s="35" customFormat="1" x14ac:dyDescent="0.35">
      <c r="A121" s="32" t="str">
        <f t="shared" si="1"/>
        <v>COE 181,ED1-BME</v>
      </c>
      <c r="B121" s="33" t="s">
        <v>1387</v>
      </c>
      <c r="C121" s="32" t="s">
        <v>1168</v>
      </c>
      <c r="D121" s="34" t="s">
        <v>22</v>
      </c>
      <c r="E121" s="32" t="s">
        <v>1386</v>
      </c>
    </row>
    <row r="122" spans="1:5" s="35" customFormat="1" x14ac:dyDescent="0.35">
      <c r="A122" s="32" t="str">
        <f t="shared" si="1"/>
        <v>BME 161,ED1-BME</v>
      </c>
      <c r="B122" s="33" t="s">
        <v>1391</v>
      </c>
      <c r="C122" s="32" t="s">
        <v>1189</v>
      </c>
      <c r="D122" s="34" t="s">
        <v>22</v>
      </c>
      <c r="E122" s="32" t="s">
        <v>1390</v>
      </c>
    </row>
    <row r="123" spans="1:5" s="35" customFormat="1" x14ac:dyDescent="0.35">
      <c r="A123" s="32" t="str">
        <f t="shared" si="1"/>
        <v>ME 166,ED1-BME</v>
      </c>
      <c r="B123" s="33" t="s">
        <v>564</v>
      </c>
      <c r="C123" s="32" t="s">
        <v>1389</v>
      </c>
      <c r="D123" s="34" t="s">
        <v>22</v>
      </c>
      <c r="E123" s="32" t="s">
        <v>267</v>
      </c>
    </row>
    <row r="124" spans="1:5" s="35" customFormat="1" x14ac:dyDescent="0.35">
      <c r="A124" s="32" t="str">
        <f t="shared" si="1"/>
        <v>BME 166,ED1-BME</v>
      </c>
      <c r="B124" s="33" t="s">
        <v>856</v>
      </c>
      <c r="C124" s="32" t="s">
        <v>857</v>
      </c>
      <c r="D124" s="34" t="s">
        <v>22</v>
      </c>
      <c r="E124" s="32" t="s">
        <v>1393</v>
      </c>
    </row>
    <row r="125" spans="1:5" s="35" customFormat="1" ht="15" customHeight="1" x14ac:dyDescent="0.35">
      <c r="A125" s="32" t="str">
        <f t="shared" si="1"/>
        <v>COE 152,ED1-COE</v>
      </c>
      <c r="B125" s="33" t="s">
        <v>1173</v>
      </c>
      <c r="C125" s="32" t="s">
        <v>1029</v>
      </c>
      <c r="D125" s="34" t="s">
        <v>20</v>
      </c>
      <c r="E125" s="32" t="s">
        <v>326</v>
      </c>
    </row>
    <row r="126" spans="1:5" s="35" customFormat="1" x14ac:dyDescent="0.35">
      <c r="A126" s="32" t="str">
        <f t="shared" si="1"/>
        <v>COE 158,ED1-COE</v>
      </c>
      <c r="B126" s="33" t="s">
        <v>924</v>
      </c>
      <c r="C126" s="32" t="s">
        <v>1164</v>
      </c>
      <c r="D126" s="34" t="s">
        <v>20</v>
      </c>
      <c r="E126" s="32" t="s">
        <v>21</v>
      </c>
    </row>
    <row r="127" spans="1:5" s="35" customFormat="1" x14ac:dyDescent="0.35">
      <c r="A127" s="32" t="str">
        <f t="shared" si="1"/>
        <v>EE 158,ED1-EE</v>
      </c>
      <c r="B127" s="33" t="s">
        <v>1207</v>
      </c>
      <c r="C127" s="32" t="s">
        <v>1208</v>
      </c>
      <c r="D127" s="34" t="s">
        <v>25</v>
      </c>
      <c r="E127" s="32" t="s">
        <v>694</v>
      </c>
    </row>
    <row r="128" spans="1:5" s="35" customFormat="1" x14ac:dyDescent="0.35">
      <c r="A128" s="32" t="str">
        <f t="shared" si="1"/>
        <v>COE 254,ED2-BME</v>
      </c>
      <c r="B128" s="33" t="s">
        <v>366</v>
      </c>
      <c r="C128" s="32" t="s">
        <v>365</v>
      </c>
      <c r="D128" s="34" t="s">
        <v>42</v>
      </c>
      <c r="E128" s="32" t="s">
        <v>364</v>
      </c>
    </row>
    <row r="129" spans="1:5" s="35" customFormat="1" x14ac:dyDescent="0.35">
      <c r="A129" s="32" t="str">
        <f t="shared" si="1"/>
        <v>COE 254,ED2-COE</v>
      </c>
      <c r="B129" s="33" t="s">
        <v>366</v>
      </c>
      <c r="C129" s="32" t="s">
        <v>365</v>
      </c>
      <c r="D129" s="34" t="s">
        <v>40</v>
      </c>
      <c r="E129" s="32" t="s">
        <v>364</v>
      </c>
    </row>
    <row r="130" spans="1:5" s="35" customFormat="1" x14ac:dyDescent="0.35">
      <c r="A130" s="32" t="str">
        <f t="shared" si="1"/>
        <v>COE 272,ED2-BME</v>
      </c>
      <c r="B130" s="33" t="s">
        <v>1205</v>
      </c>
      <c r="C130" s="32" t="s">
        <v>1206</v>
      </c>
      <c r="D130" s="34" t="s">
        <v>42</v>
      </c>
      <c r="E130" s="32" t="s">
        <v>188</v>
      </c>
    </row>
    <row r="131" spans="1:5" s="35" customFormat="1" x14ac:dyDescent="0.35">
      <c r="A131" s="32" t="str">
        <f t="shared" si="1"/>
        <v>COE 272,ED2-COE</v>
      </c>
      <c r="B131" s="33" t="s">
        <v>1205</v>
      </c>
      <c r="C131" s="32" t="s">
        <v>1206</v>
      </c>
      <c r="D131" s="34" t="s">
        <v>40</v>
      </c>
      <c r="E131" s="32" t="s">
        <v>188</v>
      </c>
    </row>
    <row r="132" spans="1:5" s="35" customFormat="1" x14ac:dyDescent="0.35">
      <c r="A132" s="32" t="str">
        <f t="shared" si="1"/>
        <v>COE 288,ED2-COE</v>
      </c>
      <c r="B132" s="33" t="s">
        <v>1204</v>
      </c>
      <c r="C132" s="32" t="s">
        <v>847</v>
      </c>
      <c r="D132" s="34" t="s">
        <v>40</v>
      </c>
      <c r="E132" s="32" t="s">
        <v>284</v>
      </c>
    </row>
    <row r="133" spans="1:5" s="35" customFormat="1" x14ac:dyDescent="0.35">
      <c r="A133" s="32" t="str">
        <f t="shared" si="1"/>
        <v>COE 292,ED2-COE</v>
      </c>
      <c r="B133" s="33" t="s">
        <v>1203</v>
      </c>
      <c r="C133" s="32" t="s">
        <v>1196</v>
      </c>
      <c r="D133" s="34" t="s">
        <v>40</v>
      </c>
      <c r="E133" s="32" t="s">
        <v>716</v>
      </c>
    </row>
    <row r="134" spans="1:5" s="35" customFormat="1" x14ac:dyDescent="0.35">
      <c r="A134" s="32" t="str">
        <f t="shared" si="1"/>
        <v>COE 354,ED3-COE</v>
      </c>
      <c r="B134" s="33" t="s">
        <v>1202</v>
      </c>
      <c r="C134" s="32" t="s">
        <v>1196</v>
      </c>
      <c r="D134" s="34" t="s">
        <v>73</v>
      </c>
      <c r="E134" s="32" t="s">
        <v>220</v>
      </c>
    </row>
    <row r="135" spans="1:5" s="35" customFormat="1" x14ac:dyDescent="0.35">
      <c r="A135" s="32" t="str">
        <f t="shared" ref="A135:A200" si="2">CONCATENATE(E135,",",D135)</f>
        <v>COE 356,ED3-COE</v>
      </c>
      <c r="B135" s="33" t="s">
        <v>1358</v>
      </c>
      <c r="C135" s="32" t="s">
        <v>365</v>
      </c>
      <c r="D135" s="34" t="s">
        <v>73</v>
      </c>
      <c r="E135" s="32" t="s">
        <v>134</v>
      </c>
    </row>
    <row r="136" spans="1:5" s="35" customFormat="1" x14ac:dyDescent="0.35">
      <c r="A136" s="32" t="str">
        <f t="shared" si="2"/>
        <v>COE 358,ED3-BME</v>
      </c>
      <c r="B136" s="33" t="s">
        <v>1201</v>
      </c>
      <c r="C136" s="32" t="s">
        <v>1196</v>
      </c>
      <c r="D136" s="34" t="s">
        <v>75</v>
      </c>
      <c r="E136" s="32" t="s">
        <v>261</v>
      </c>
    </row>
    <row r="137" spans="1:5" s="35" customFormat="1" x14ac:dyDescent="0.35">
      <c r="A137" s="32" t="str">
        <f t="shared" si="2"/>
        <v>COE 358,ED3-COE</v>
      </c>
      <c r="B137" s="33" t="s">
        <v>1201</v>
      </c>
      <c r="C137" s="32" t="s">
        <v>1196</v>
      </c>
      <c r="D137" s="34" t="s">
        <v>73</v>
      </c>
      <c r="E137" s="32" t="s">
        <v>261</v>
      </c>
    </row>
    <row r="138" spans="1:5" s="35" customFormat="1" x14ac:dyDescent="0.35">
      <c r="A138" s="32" t="str">
        <f t="shared" si="2"/>
        <v>COE 368,ED3-COE</v>
      </c>
      <c r="B138" s="33" t="s">
        <v>1200</v>
      </c>
      <c r="C138" s="32" t="s">
        <v>1194</v>
      </c>
      <c r="D138" s="34" t="s">
        <v>73</v>
      </c>
      <c r="E138" s="32" t="s">
        <v>74</v>
      </c>
    </row>
    <row r="139" spans="1:5" s="35" customFormat="1" x14ac:dyDescent="0.35">
      <c r="A139" s="32" t="str">
        <f t="shared" si="2"/>
        <v>COE 372,ED3-COE</v>
      </c>
      <c r="B139" s="33" t="s">
        <v>1199</v>
      </c>
      <c r="C139" s="32" t="s">
        <v>1198</v>
      </c>
      <c r="D139" s="34" t="s">
        <v>73</v>
      </c>
      <c r="E139" s="32" t="s">
        <v>397</v>
      </c>
    </row>
    <row r="140" spans="1:5" s="35" customFormat="1" x14ac:dyDescent="0.35">
      <c r="A140" s="32" t="str">
        <f t="shared" si="2"/>
        <v>COE 382,ED3-EE</v>
      </c>
      <c r="B140" s="33" t="s">
        <v>1197</v>
      </c>
      <c r="C140" s="32" t="s">
        <v>1198</v>
      </c>
      <c r="D140" s="34" t="s">
        <v>67</v>
      </c>
      <c r="E140" s="32" t="s">
        <v>396</v>
      </c>
    </row>
    <row r="141" spans="1:5" s="35" customFormat="1" x14ac:dyDescent="0.35">
      <c r="A141" s="32" t="str">
        <f t="shared" si="2"/>
        <v>COE 392,ED3-COE</v>
      </c>
      <c r="B141" s="33" t="s">
        <v>1195</v>
      </c>
      <c r="C141" s="32" t="s">
        <v>1196</v>
      </c>
      <c r="D141" s="34" t="s">
        <v>73</v>
      </c>
      <c r="E141" s="32" t="s">
        <v>707</v>
      </c>
    </row>
    <row r="142" spans="1:5" s="35" customFormat="1" x14ac:dyDescent="0.35">
      <c r="A142" s="32" t="str">
        <f t="shared" si="2"/>
        <v>COE 454,ED4-COE</v>
      </c>
      <c r="B142" s="33" t="s">
        <v>1193</v>
      </c>
      <c r="C142" s="32" t="s">
        <v>1194</v>
      </c>
      <c r="D142" s="34" t="s">
        <v>196</v>
      </c>
      <c r="E142" s="32" t="s">
        <v>705</v>
      </c>
    </row>
    <row r="143" spans="1:5" s="35" customFormat="1" x14ac:dyDescent="0.35">
      <c r="A143" s="32" t="str">
        <f t="shared" si="2"/>
        <v>COE 456,ED4-COE</v>
      </c>
      <c r="B143" s="33" t="s">
        <v>1191</v>
      </c>
      <c r="C143" s="32" t="s">
        <v>1192</v>
      </c>
      <c r="D143" s="34" t="s">
        <v>196</v>
      </c>
      <c r="E143" s="32" t="s">
        <v>703</v>
      </c>
    </row>
    <row r="144" spans="1:5" s="35" customFormat="1" x14ac:dyDescent="0.35">
      <c r="A144" s="32" t="str">
        <f t="shared" si="2"/>
        <v>COE 458,ED4-COE</v>
      </c>
      <c r="B144" s="33" t="s">
        <v>1190</v>
      </c>
      <c r="C144" s="32" t="s">
        <v>1164</v>
      </c>
      <c r="D144" s="34" t="s">
        <v>196</v>
      </c>
      <c r="E144" s="32" t="s">
        <v>701</v>
      </c>
    </row>
    <row r="145" spans="1:5" s="35" customFormat="1" x14ac:dyDescent="0.35">
      <c r="A145" s="32" t="str">
        <f t="shared" si="2"/>
        <v>COE 472,ED4-BME</v>
      </c>
      <c r="B145" s="33" t="s">
        <v>1146</v>
      </c>
      <c r="C145" s="32" t="s">
        <v>1189</v>
      </c>
      <c r="D145" s="34" t="s">
        <v>242</v>
      </c>
      <c r="E145" s="32" t="s">
        <v>699</v>
      </c>
    </row>
    <row r="146" spans="1:5" s="35" customFormat="1" x14ac:dyDescent="0.35">
      <c r="A146" s="32" t="str">
        <f t="shared" si="2"/>
        <v>COE 472,ED4-COE</v>
      </c>
      <c r="B146" s="33" t="s">
        <v>1146</v>
      </c>
      <c r="C146" s="32" t="s">
        <v>1188</v>
      </c>
      <c r="D146" s="34" t="s">
        <v>196</v>
      </c>
      <c r="E146" s="32" t="s">
        <v>699</v>
      </c>
    </row>
    <row r="147" spans="1:5" s="35" customFormat="1" x14ac:dyDescent="0.35">
      <c r="A147" s="32" t="str">
        <f t="shared" si="2"/>
        <v>COE 480,ED4-COE</v>
      </c>
      <c r="B147" s="33" t="s">
        <v>1187</v>
      </c>
      <c r="C147" s="32" t="s">
        <v>1185</v>
      </c>
      <c r="D147" s="34" t="s">
        <v>196</v>
      </c>
      <c r="E147" s="32" t="s">
        <v>197</v>
      </c>
    </row>
    <row r="148" spans="1:5" s="35" customFormat="1" x14ac:dyDescent="0.35">
      <c r="A148" s="32" t="str">
        <f t="shared" si="2"/>
        <v>COE 484,ED4-EE</v>
      </c>
      <c r="B148" s="33" t="s">
        <v>1186</v>
      </c>
      <c r="C148" s="32" t="s">
        <v>1145</v>
      </c>
      <c r="D148" s="34" t="s">
        <v>57</v>
      </c>
      <c r="E148" s="32" t="s">
        <v>283</v>
      </c>
    </row>
    <row r="149" spans="1:5" s="35" customFormat="1" x14ac:dyDescent="0.35">
      <c r="A149" s="32" t="str">
        <f t="shared" si="2"/>
        <v>COE 486,ED4-COE</v>
      </c>
      <c r="B149" s="33" t="s">
        <v>1359</v>
      </c>
      <c r="C149" s="32" t="s">
        <v>1185</v>
      </c>
      <c r="D149" s="34" t="s">
        <v>196</v>
      </c>
      <c r="E149" s="32" t="s">
        <v>393</v>
      </c>
    </row>
    <row r="150" spans="1:5" s="35" customFormat="1" x14ac:dyDescent="0.35">
      <c r="A150" s="32" t="str">
        <f t="shared" si="2"/>
        <v>COE 486,ED4-EE</v>
      </c>
      <c r="B150" s="33" t="s">
        <v>1184</v>
      </c>
      <c r="C150" s="32" t="s">
        <v>1185</v>
      </c>
      <c r="D150" s="34" t="s">
        <v>57</v>
      </c>
      <c r="E150" s="32" t="s">
        <v>393</v>
      </c>
    </row>
    <row r="151" spans="1:5" s="35" customFormat="1" x14ac:dyDescent="0.35">
      <c r="A151" s="32" t="str">
        <f t="shared" si="2"/>
        <v>CSM 158,ED1-GEOL</v>
      </c>
      <c r="B151" s="33" t="s">
        <v>1183</v>
      </c>
      <c r="C151" s="32" t="s">
        <v>1363</v>
      </c>
      <c r="D151" s="34" t="s">
        <v>45</v>
      </c>
      <c r="E151" s="32" t="s">
        <v>635</v>
      </c>
    </row>
    <row r="152" spans="1:5" s="35" customFormat="1" x14ac:dyDescent="0.35">
      <c r="A152" s="32" t="str">
        <f t="shared" si="2"/>
        <v>CSM 158,ED3-GEOM</v>
      </c>
      <c r="B152" s="33" t="s">
        <v>1181</v>
      </c>
      <c r="C152" s="32" t="s">
        <v>1360</v>
      </c>
      <c r="D152" s="34" t="s">
        <v>47</v>
      </c>
      <c r="E152" s="32" t="s">
        <v>635</v>
      </c>
    </row>
    <row r="153" spans="1:5" s="35" customFormat="1" x14ac:dyDescent="0.35">
      <c r="A153" s="32" t="str">
        <f t="shared" si="2"/>
        <v>ECON 152,ED2-BME</v>
      </c>
      <c r="B153" s="33" t="s">
        <v>1179</v>
      </c>
      <c r="C153" s="32" t="s">
        <v>1180</v>
      </c>
      <c r="D153" s="34" t="s">
        <v>42</v>
      </c>
      <c r="E153" s="32" t="s">
        <v>229</v>
      </c>
    </row>
    <row r="154" spans="1:5" s="35" customFormat="1" x14ac:dyDescent="0.35">
      <c r="A154" s="32" t="str">
        <f t="shared" si="2"/>
        <v>ECON 152,ED3-CHE</v>
      </c>
      <c r="B154" s="33" t="s">
        <v>1178</v>
      </c>
      <c r="C154" s="32" t="s">
        <v>1177</v>
      </c>
      <c r="D154" s="34" t="s">
        <v>48</v>
      </c>
      <c r="E154" s="32" t="s">
        <v>229</v>
      </c>
    </row>
    <row r="155" spans="1:5" s="35" customFormat="1" x14ac:dyDescent="0.35">
      <c r="A155" s="32" t="str">
        <f t="shared" si="2"/>
        <v>ECON 152,ED2-COE</v>
      </c>
      <c r="B155" s="33" t="s">
        <v>1176</v>
      </c>
      <c r="C155" s="32" t="s">
        <v>1177</v>
      </c>
      <c r="D155" s="34" t="s">
        <v>40</v>
      </c>
      <c r="E155" s="32" t="s">
        <v>229</v>
      </c>
    </row>
    <row r="156" spans="1:5" s="35" customFormat="1" x14ac:dyDescent="0.35">
      <c r="A156" s="32" t="str">
        <f t="shared" si="2"/>
        <v>ECON 152,ED2-EE</v>
      </c>
      <c r="B156" s="33" t="s">
        <v>1178</v>
      </c>
      <c r="C156" s="32" t="s">
        <v>1177</v>
      </c>
      <c r="D156" s="34" t="s">
        <v>46</v>
      </c>
      <c r="E156" s="32" t="s">
        <v>229</v>
      </c>
    </row>
    <row r="157" spans="1:5" s="35" customFormat="1" x14ac:dyDescent="0.35">
      <c r="A157" s="32" t="str">
        <f t="shared" si="2"/>
        <v>ECON 152,ED1-GEOL</v>
      </c>
      <c r="B157" s="33" t="s">
        <v>1178</v>
      </c>
      <c r="C157" s="32" t="s">
        <v>1364</v>
      </c>
      <c r="D157" s="34" t="s">
        <v>45</v>
      </c>
      <c r="E157" s="32" t="s">
        <v>229</v>
      </c>
    </row>
    <row r="158" spans="1:5" s="35" customFormat="1" x14ac:dyDescent="0.35">
      <c r="A158" s="32" t="str">
        <f t="shared" si="2"/>
        <v>ECON 152,ED3-GEOM</v>
      </c>
      <c r="B158" s="33" t="s">
        <v>1179</v>
      </c>
      <c r="C158" s="32" t="s">
        <v>1361</v>
      </c>
      <c r="D158" s="34" t="s">
        <v>47</v>
      </c>
      <c r="E158" s="32" t="s">
        <v>229</v>
      </c>
    </row>
    <row r="159" spans="1:5" s="35" customFormat="1" x14ac:dyDescent="0.35">
      <c r="A159" s="32" t="str">
        <f t="shared" si="2"/>
        <v>ECON 152,ED2-TEL</v>
      </c>
      <c r="B159" s="33" t="s">
        <v>1178</v>
      </c>
      <c r="C159" s="32" t="s">
        <v>1177</v>
      </c>
      <c r="D159" s="34" t="s">
        <v>49</v>
      </c>
      <c r="E159" s="32" t="s">
        <v>229</v>
      </c>
    </row>
    <row r="160" spans="1:5" s="35" customFormat="1" x14ac:dyDescent="0.35">
      <c r="A160" s="32" t="str">
        <f t="shared" si="2"/>
        <v>ECON 152,ED1-CE</v>
      </c>
      <c r="B160" s="33" t="s">
        <v>1176</v>
      </c>
      <c r="C160" s="32" t="s">
        <v>1177</v>
      </c>
      <c r="D160" s="34" t="s">
        <v>44</v>
      </c>
      <c r="E160" s="32" t="s">
        <v>229</v>
      </c>
    </row>
    <row r="161" spans="1:5" s="35" customFormat="1" x14ac:dyDescent="0.35">
      <c r="A161" s="32" t="str">
        <f t="shared" si="2"/>
        <v>EE 152,ED1-AERO</v>
      </c>
      <c r="B161" s="33" t="s">
        <v>1173</v>
      </c>
      <c r="C161" s="32" t="s">
        <v>1405</v>
      </c>
      <c r="D161" s="34" t="s">
        <v>157</v>
      </c>
      <c r="E161" s="32" t="s">
        <v>321</v>
      </c>
    </row>
    <row r="162" spans="1:5" s="35" customFormat="1" x14ac:dyDescent="0.35">
      <c r="A162" s="32" t="str">
        <f t="shared" si="2"/>
        <v>EE 152,ED1-AE</v>
      </c>
      <c r="B162" s="33" t="s">
        <v>1173</v>
      </c>
      <c r="C162" s="32" t="s">
        <v>1405</v>
      </c>
      <c r="D162" s="34" t="s">
        <v>101</v>
      </c>
      <c r="E162" s="32" t="s">
        <v>321</v>
      </c>
    </row>
    <row r="163" spans="1:5" s="35" customFormat="1" x14ac:dyDescent="0.35">
      <c r="A163" s="32" t="str">
        <f t="shared" si="2"/>
        <v>EE 152,ED1-CHE</v>
      </c>
      <c r="B163" s="33" t="s">
        <v>1173</v>
      </c>
      <c r="C163" s="32" t="s">
        <v>1171</v>
      </c>
      <c r="D163" s="34" t="s">
        <v>60</v>
      </c>
      <c r="E163" s="32" t="s">
        <v>321</v>
      </c>
    </row>
    <row r="164" spans="1:5" s="35" customFormat="1" x14ac:dyDescent="0.35">
      <c r="A164" s="32" t="str">
        <f t="shared" si="2"/>
        <v>EE 152,ED1-CE</v>
      </c>
      <c r="B164" s="33" t="s">
        <v>1173</v>
      </c>
      <c r="C164" s="32" t="s">
        <v>1171</v>
      </c>
      <c r="D164" s="34" t="s">
        <v>44</v>
      </c>
      <c r="E164" s="32" t="s">
        <v>321</v>
      </c>
    </row>
    <row r="165" spans="1:5" s="35" customFormat="1" x14ac:dyDescent="0.35">
      <c r="A165" s="32" t="str">
        <f t="shared" si="2"/>
        <v>EE 152,ED1-EE</v>
      </c>
      <c r="B165" s="33" t="s">
        <v>1173</v>
      </c>
      <c r="C165" s="32" t="s">
        <v>1175</v>
      </c>
      <c r="D165" s="34" t="s">
        <v>25</v>
      </c>
      <c r="E165" s="32" t="s">
        <v>321</v>
      </c>
    </row>
    <row r="166" spans="1:5" s="35" customFormat="1" x14ac:dyDescent="0.35">
      <c r="A166" s="32" t="str">
        <f t="shared" si="2"/>
        <v>EE 152,ED1-AUTO</v>
      </c>
      <c r="B166" s="33" t="s">
        <v>1173</v>
      </c>
      <c r="C166" s="32" t="s">
        <v>1171</v>
      </c>
      <c r="D166" s="34" t="s">
        <v>15</v>
      </c>
      <c r="E166" s="32" t="s">
        <v>321</v>
      </c>
    </row>
    <row r="167" spans="1:5" s="35" customFormat="1" x14ac:dyDescent="0.35">
      <c r="A167" s="32" t="str">
        <f t="shared" si="2"/>
        <v>EE 152,ED1-GEOL</v>
      </c>
      <c r="B167" s="33" t="s">
        <v>1173</v>
      </c>
      <c r="C167" s="32" t="s">
        <v>1170</v>
      </c>
      <c r="D167" s="34" t="s">
        <v>45</v>
      </c>
      <c r="E167" s="32" t="s">
        <v>321</v>
      </c>
    </row>
    <row r="168" spans="1:5" s="35" customFormat="1" x14ac:dyDescent="0.35">
      <c r="A168" s="32" t="str">
        <f t="shared" si="2"/>
        <v>EE 152,ED1-GEOM</v>
      </c>
      <c r="B168" s="33" t="s">
        <v>1173</v>
      </c>
      <c r="C168" s="32" t="s">
        <v>1170</v>
      </c>
      <c r="D168" s="34" t="s">
        <v>23</v>
      </c>
      <c r="E168" s="32" t="s">
        <v>321</v>
      </c>
    </row>
    <row r="169" spans="1:5" s="35" customFormat="1" x14ac:dyDescent="0.35">
      <c r="A169" s="32" t="str">
        <f t="shared" si="2"/>
        <v>EE 152,ED1-IND</v>
      </c>
      <c r="B169" s="33" t="s">
        <v>1173</v>
      </c>
      <c r="C169" s="32" t="s">
        <v>1405</v>
      </c>
      <c r="D169" s="34" t="s">
        <v>82</v>
      </c>
      <c r="E169" s="32" t="s">
        <v>321</v>
      </c>
    </row>
    <row r="170" spans="1:5" s="35" customFormat="1" x14ac:dyDescent="0.35">
      <c r="A170" s="32" t="str">
        <f t="shared" si="2"/>
        <v>EE 152,ED1-MARI</v>
      </c>
      <c r="B170" s="33" t="s">
        <v>1173</v>
      </c>
      <c r="C170" s="32" t="s">
        <v>1171</v>
      </c>
      <c r="D170" s="34" t="s">
        <v>43</v>
      </c>
      <c r="E170" s="32" t="s">
        <v>321</v>
      </c>
    </row>
    <row r="171" spans="1:5" s="35" customFormat="1" x14ac:dyDescent="0.35">
      <c r="A171" s="32" t="str">
        <f t="shared" si="2"/>
        <v>METE 154,ED1-MSE</v>
      </c>
      <c r="B171" s="33" t="s">
        <v>952</v>
      </c>
      <c r="C171" s="32" t="s">
        <v>1174</v>
      </c>
      <c r="D171" s="34" t="s">
        <v>177</v>
      </c>
      <c r="E171" s="32" t="s">
        <v>228</v>
      </c>
    </row>
    <row r="172" spans="1:5" s="35" customFormat="1" x14ac:dyDescent="0.35">
      <c r="A172" s="32" t="str">
        <f t="shared" si="2"/>
        <v>EE 152,ED1-ME</v>
      </c>
      <c r="B172" s="33" t="s">
        <v>1173</v>
      </c>
      <c r="C172" s="32" t="s">
        <v>1171</v>
      </c>
      <c r="D172" s="34" t="s">
        <v>176</v>
      </c>
      <c r="E172" s="32" t="s">
        <v>321</v>
      </c>
    </row>
    <row r="173" spans="1:5" s="35" customFormat="1" x14ac:dyDescent="0.35">
      <c r="A173" s="32" t="str">
        <f t="shared" si="2"/>
        <v>EE 152,ED1-PCE</v>
      </c>
      <c r="B173" s="33" t="s">
        <v>1173</v>
      </c>
      <c r="C173" s="32" t="s">
        <v>1405</v>
      </c>
      <c r="D173" s="34" t="s">
        <v>58</v>
      </c>
      <c r="E173" s="32" t="s">
        <v>321</v>
      </c>
    </row>
    <row r="174" spans="1:5" s="35" customFormat="1" x14ac:dyDescent="0.35">
      <c r="A174" s="32" t="str">
        <f t="shared" si="2"/>
        <v>EE 152,ED1-PETE</v>
      </c>
      <c r="B174" s="33" t="s">
        <v>1173</v>
      </c>
      <c r="C174" s="32" t="s">
        <v>1405</v>
      </c>
      <c r="D174" s="34" t="s">
        <v>98</v>
      </c>
      <c r="E174" s="32" t="s">
        <v>321</v>
      </c>
    </row>
    <row r="175" spans="1:5" s="35" customFormat="1" x14ac:dyDescent="0.35">
      <c r="A175" s="32" t="str">
        <f t="shared" si="2"/>
        <v>EE 152,ED1-TEL</v>
      </c>
      <c r="B175" s="33" t="s">
        <v>1173</v>
      </c>
      <c r="C175" s="32" t="s">
        <v>837</v>
      </c>
      <c r="D175" s="34" t="s">
        <v>168</v>
      </c>
      <c r="E175" s="32" t="s">
        <v>321</v>
      </c>
    </row>
    <row r="176" spans="1:5" s="35" customFormat="1" ht="15" customHeight="1" x14ac:dyDescent="0.35">
      <c r="A176" s="32" t="str">
        <f t="shared" si="2"/>
        <v>EE 156,ED1-COE</v>
      </c>
      <c r="B176" s="33" t="s">
        <v>1172</v>
      </c>
      <c r="C176" s="32" t="s">
        <v>1171</v>
      </c>
      <c r="D176" s="34" t="s">
        <v>20</v>
      </c>
      <c r="E176" s="32" t="s">
        <v>226</v>
      </c>
    </row>
    <row r="177" spans="1:5" s="35" customFormat="1" ht="15" customHeight="1" x14ac:dyDescent="0.35">
      <c r="A177" s="32" t="str">
        <f t="shared" si="2"/>
        <v>EE 156,ED1-EE</v>
      </c>
      <c r="B177" s="33" t="s">
        <v>1172</v>
      </c>
      <c r="C177" s="32" t="s">
        <v>1171</v>
      </c>
      <c r="D177" s="34" t="s">
        <v>25</v>
      </c>
      <c r="E177" s="32" t="s">
        <v>226</v>
      </c>
    </row>
    <row r="178" spans="1:5" s="35" customFormat="1" x14ac:dyDescent="0.35">
      <c r="A178" s="32" t="str">
        <f t="shared" si="2"/>
        <v>EE 166,ED1-EE</v>
      </c>
      <c r="B178" s="33" t="s">
        <v>692</v>
      </c>
      <c r="C178" s="32" t="s">
        <v>1156</v>
      </c>
      <c r="D178" s="34" t="s">
        <v>25</v>
      </c>
      <c r="E178" s="32" t="s">
        <v>693</v>
      </c>
    </row>
    <row r="179" spans="1:5" s="35" customFormat="1" x14ac:dyDescent="0.35">
      <c r="A179" s="32" t="str">
        <f t="shared" si="2"/>
        <v>EE 188,ED1-EE</v>
      </c>
      <c r="B179" s="33" t="s">
        <v>691</v>
      </c>
      <c r="C179" s="32" t="s">
        <v>1405</v>
      </c>
      <c r="D179" s="34" t="s">
        <v>25</v>
      </c>
      <c r="E179" s="32" t="s">
        <v>169</v>
      </c>
    </row>
    <row r="180" spans="1:5" s="35" customFormat="1" x14ac:dyDescent="0.35">
      <c r="A180" s="32" t="str">
        <f t="shared" si="2"/>
        <v>EE 172,ED1-COE</v>
      </c>
      <c r="B180" s="33" t="s">
        <v>1169</v>
      </c>
      <c r="C180" s="32" t="s">
        <v>1170</v>
      </c>
      <c r="D180" s="34" t="s">
        <v>20</v>
      </c>
      <c r="E180" s="32" t="s">
        <v>280</v>
      </c>
    </row>
    <row r="181" spans="1:5" s="35" customFormat="1" x14ac:dyDescent="0.35">
      <c r="A181" s="32" t="str">
        <f t="shared" si="2"/>
        <v>EE 188,ED1-TEL</v>
      </c>
      <c r="B181" s="33" t="s">
        <v>1163</v>
      </c>
      <c r="C181" s="32" t="s">
        <v>1168</v>
      </c>
      <c r="D181" s="34" t="s">
        <v>168</v>
      </c>
      <c r="E181" s="32" t="s">
        <v>169</v>
      </c>
    </row>
    <row r="182" spans="1:5" s="35" customFormat="1" x14ac:dyDescent="0.35">
      <c r="A182" s="32" t="str">
        <f t="shared" si="2"/>
        <v>EE 252,ED2-AE</v>
      </c>
      <c r="B182" s="33" t="s">
        <v>1167</v>
      </c>
      <c r="C182" s="32" t="s">
        <v>1170</v>
      </c>
      <c r="D182" s="34" t="s">
        <v>51</v>
      </c>
      <c r="E182" s="32" t="s">
        <v>354</v>
      </c>
    </row>
    <row r="183" spans="1:5" s="35" customFormat="1" x14ac:dyDescent="0.35">
      <c r="A183" s="32" t="str">
        <f t="shared" si="2"/>
        <v>EE 252,ED3-ME</v>
      </c>
      <c r="B183" s="33" t="s">
        <v>1167</v>
      </c>
      <c r="C183" s="32" t="s">
        <v>1170</v>
      </c>
      <c r="D183" s="34" t="s">
        <v>77</v>
      </c>
      <c r="E183" s="32" t="s">
        <v>354</v>
      </c>
    </row>
    <row r="184" spans="1:5" s="35" customFormat="1" x14ac:dyDescent="0.35">
      <c r="A184" s="32" t="str">
        <f t="shared" si="2"/>
        <v>EE 262,ED2-EE</v>
      </c>
      <c r="B184" s="33" t="s">
        <v>1166</v>
      </c>
      <c r="C184" s="32" t="s">
        <v>1160</v>
      </c>
      <c r="D184" s="34" t="s">
        <v>46</v>
      </c>
      <c r="E184" s="32" t="s">
        <v>403</v>
      </c>
    </row>
    <row r="185" spans="1:5" s="35" customFormat="1" x14ac:dyDescent="0.35">
      <c r="A185" s="32" t="str">
        <f t="shared" si="2"/>
        <v>EE 272,ED2-EE</v>
      </c>
      <c r="B185" s="33" t="s">
        <v>1165</v>
      </c>
      <c r="C185" s="32" t="s">
        <v>1145</v>
      </c>
      <c r="D185" s="34" t="s">
        <v>46</v>
      </c>
      <c r="E185" s="32" t="s">
        <v>266</v>
      </c>
    </row>
    <row r="186" spans="1:5" s="35" customFormat="1" x14ac:dyDescent="0.35">
      <c r="A186" s="32" t="str">
        <f t="shared" si="2"/>
        <v>EE 288,ED2-COE</v>
      </c>
      <c r="B186" s="33" t="s">
        <v>1163</v>
      </c>
      <c r="C186" s="32" t="s">
        <v>1164</v>
      </c>
      <c r="D186" s="34" t="s">
        <v>40</v>
      </c>
      <c r="E186" s="32" t="s">
        <v>83</v>
      </c>
    </row>
    <row r="187" spans="1:5" s="35" customFormat="1" x14ac:dyDescent="0.35">
      <c r="A187" s="32" t="str">
        <f t="shared" si="2"/>
        <v>EE 288,ED2-EE</v>
      </c>
      <c r="B187" s="33" t="s">
        <v>1162</v>
      </c>
      <c r="C187" s="32" t="s">
        <v>1145</v>
      </c>
      <c r="D187" s="34" t="s">
        <v>46</v>
      </c>
      <c r="E187" s="32" t="s">
        <v>83</v>
      </c>
    </row>
    <row r="188" spans="1:5" s="35" customFormat="1" x14ac:dyDescent="0.35">
      <c r="A188" s="32" t="str">
        <f t="shared" si="2"/>
        <v>EE 292,ED2-EE</v>
      </c>
      <c r="B188" s="33" t="s">
        <v>1161</v>
      </c>
      <c r="C188" s="32" t="s">
        <v>973</v>
      </c>
      <c r="D188" s="34" t="s">
        <v>46</v>
      </c>
      <c r="E188" s="32" t="s">
        <v>686</v>
      </c>
    </row>
    <row r="189" spans="1:5" s="35" customFormat="1" x14ac:dyDescent="0.35">
      <c r="A189" s="32" t="str">
        <f t="shared" si="2"/>
        <v>EE 360,ED3-EE</v>
      </c>
      <c r="B189" s="33" t="s">
        <v>1159</v>
      </c>
      <c r="C189" s="32" t="s">
        <v>1160</v>
      </c>
      <c r="D189" s="34" t="s">
        <v>67</v>
      </c>
      <c r="E189" s="32" t="s">
        <v>308</v>
      </c>
    </row>
    <row r="190" spans="1:5" s="35" customFormat="1" x14ac:dyDescent="0.35">
      <c r="A190" s="32" t="str">
        <f t="shared" si="2"/>
        <v>EE 362,ED3-EE</v>
      </c>
      <c r="B190" s="33" t="s">
        <v>1158</v>
      </c>
      <c r="C190" s="32" t="s">
        <v>1150</v>
      </c>
      <c r="D190" s="34" t="s">
        <v>67</v>
      </c>
      <c r="E190" s="32" t="s">
        <v>133</v>
      </c>
    </row>
    <row r="191" spans="1:5" s="35" customFormat="1" x14ac:dyDescent="0.35">
      <c r="A191" s="32" t="str">
        <f t="shared" si="2"/>
        <v>EE 366,ED3-EE</v>
      </c>
      <c r="B191" s="33" t="s">
        <v>1157</v>
      </c>
      <c r="C191" s="32" t="s">
        <v>1152</v>
      </c>
      <c r="D191" s="34" t="s">
        <v>67</v>
      </c>
      <c r="E191" s="32" t="s">
        <v>235</v>
      </c>
    </row>
    <row r="192" spans="1:5" s="35" customFormat="1" x14ac:dyDescent="0.35">
      <c r="A192" s="32" t="str">
        <f t="shared" si="2"/>
        <v>EE 368,ED3-EE</v>
      </c>
      <c r="B192" s="33" t="s">
        <v>1155</v>
      </c>
      <c r="C192" s="32" t="s">
        <v>1156</v>
      </c>
      <c r="D192" s="34" t="s">
        <v>67</v>
      </c>
      <c r="E192" s="32" t="s">
        <v>68</v>
      </c>
    </row>
    <row r="193" spans="1:5" s="35" customFormat="1" x14ac:dyDescent="0.35">
      <c r="A193" s="32" t="str">
        <f t="shared" si="2"/>
        <v>EE 380,ED3-EE</v>
      </c>
      <c r="B193" s="33" t="s">
        <v>695</v>
      </c>
      <c r="C193" s="32" t="s">
        <v>1145</v>
      </c>
      <c r="D193" s="34" t="s">
        <v>67</v>
      </c>
      <c r="E193" s="32" t="s">
        <v>679</v>
      </c>
    </row>
    <row r="194" spans="1:5" s="35" customFormat="1" x14ac:dyDescent="0.35">
      <c r="A194" s="32" t="str">
        <f t="shared" si="2"/>
        <v>EE 392,ED3-EE</v>
      </c>
      <c r="B194" s="33" t="s">
        <v>1153</v>
      </c>
      <c r="C194" s="32" t="s">
        <v>1154</v>
      </c>
      <c r="D194" s="34" t="s">
        <v>67</v>
      </c>
      <c r="E194" s="32" t="s">
        <v>677</v>
      </c>
    </row>
    <row r="195" spans="1:5" s="35" customFormat="1" ht="15" customHeight="1" x14ac:dyDescent="0.35">
      <c r="A195" s="32" t="str">
        <f t="shared" si="2"/>
        <v>EE 462,ED4-EE</v>
      </c>
      <c r="B195" s="33" t="s">
        <v>1151</v>
      </c>
      <c r="C195" s="32" t="s">
        <v>1152</v>
      </c>
      <c r="D195" s="34" t="s">
        <v>57</v>
      </c>
      <c r="E195" s="32" t="s">
        <v>316</v>
      </c>
    </row>
    <row r="196" spans="1:5" s="35" customFormat="1" x14ac:dyDescent="0.35">
      <c r="A196" s="32" t="str">
        <f t="shared" si="2"/>
        <v>EE 466,ED4-EE</v>
      </c>
      <c r="B196" s="33" t="s">
        <v>1149</v>
      </c>
      <c r="C196" s="32" t="s">
        <v>1150</v>
      </c>
      <c r="D196" s="34" t="s">
        <v>57</v>
      </c>
      <c r="E196" s="32" t="s">
        <v>671</v>
      </c>
    </row>
    <row r="197" spans="1:5" s="35" customFormat="1" x14ac:dyDescent="0.35">
      <c r="A197" s="32" t="str">
        <f t="shared" si="2"/>
        <v>EE 468,ED4-EE</v>
      </c>
      <c r="B197" s="33" t="s">
        <v>1148</v>
      </c>
      <c r="C197" s="32" t="s">
        <v>973</v>
      </c>
      <c r="D197" s="34" t="s">
        <v>57</v>
      </c>
      <c r="E197" s="32" t="s">
        <v>352</v>
      </c>
    </row>
    <row r="198" spans="1:5" s="35" customFormat="1" x14ac:dyDescent="0.35">
      <c r="A198" s="32" t="str">
        <f t="shared" si="2"/>
        <v>EE 472,ED4-EE</v>
      </c>
      <c r="B198" s="33" t="s">
        <v>1146</v>
      </c>
      <c r="C198" s="32" t="s">
        <v>1147</v>
      </c>
      <c r="D198" s="34" t="s">
        <v>57</v>
      </c>
      <c r="E198" s="32" t="s">
        <v>144</v>
      </c>
    </row>
    <row r="199" spans="1:5" s="35" customFormat="1" x14ac:dyDescent="0.35">
      <c r="A199" s="32" t="str">
        <f t="shared" si="2"/>
        <v>EE 472,ED4-TEL</v>
      </c>
      <c r="B199" s="33" t="s">
        <v>1146</v>
      </c>
      <c r="C199" s="32" t="s">
        <v>1147</v>
      </c>
      <c r="D199" s="34" t="s">
        <v>55</v>
      </c>
      <c r="E199" s="32" t="s">
        <v>144</v>
      </c>
    </row>
    <row r="200" spans="1:5" s="35" customFormat="1" x14ac:dyDescent="0.35">
      <c r="A200" s="32" t="str">
        <f t="shared" si="2"/>
        <v>ENGL 158,ED1-AERO</v>
      </c>
      <c r="B200" s="33" t="s">
        <v>1140</v>
      </c>
      <c r="C200" s="32" t="s">
        <v>1139</v>
      </c>
      <c r="D200" s="34" t="s">
        <v>157</v>
      </c>
      <c r="E200" s="32" t="s">
        <v>376</v>
      </c>
    </row>
    <row r="201" spans="1:5" s="35" customFormat="1" x14ac:dyDescent="0.35">
      <c r="A201" s="32" t="str">
        <f t="shared" ref="A201:A264" si="3">CONCATENATE(E201,",",D201)</f>
        <v>ENGL 158,ED1-AE</v>
      </c>
      <c r="B201" s="33" t="s">
        <v>1140</v>
      </c>
      <c r="C201" s="32" t="s">
        <v>1139</v>
      </c>
      <c r="D201" s="34" t="s">
        <v>101</v>
      </c>
      <c r="E201" s="32" t="s">
        <v>376</v>
      </c>
    </row>
    <row r="202" spans="1:5" s="35" customFormat="1" x14ac:dyDescent="0.35">
      <c r="A202" s="32" t="str">
        <f t="shared" si="3"/>
        <v>ENGL 158,ED1-AUTO</v>
      </c>
      <c r="B202" s="33" t="s">
        <v>1140</v>
      </c>
      <c r="C202" s="32" t="s">
        <v>1144</v>
      </c>
      <c r="D202" s="34" t="s">
        <v>15</v>
      </c>
      <c r="E202" s="32" t="s">
        <v>376</v>
      </c>
    </row>
    <row r="203" spans="1:5" s="35" customFormat="1" x14ac:dyDescent="0.35">
      <c r="A203" s="32" t="str">
        <f t="shared" si="3"/>
        <v>ENGL 158,ED1-BME</v>
      </c>
      <c r="B203" s="33" t="s">
        <v>1140</v>
      </c>
      <c r="C203" s="32" t="s">
        <v>1357</v>
      </c>
      <c r="D203" s="34" t="s">
        <v>22</v>
      </c>
      <c r="E203" s="32" t="s">
        <v>376</v>
      </c>
    </row>
    <row r="204" spans="1:5" x14ac:dyDescent="0.35">
      <c r="A204" s="32" t="str">
        <f t="shared" si="3"/>
        <v>ENGL 158,ED1-CE</v>
      </c>
      <c r="B204" s="33" t="s">
        <v>1140</v>
      </c>
      <c r="C204" s="32" t="s">
        <v>1143</v>
      </c>
      <c r="D204" s="34" t="s">
        <v>44</v>
      </c>
      <c r="E204" s="32" t="s">
        <v>376</v>
      </c>
    </row>
    <row r="205" spans="1:5" s="35" customFormat="1" x14ac:dyDescent="0.35">
      <c r="A205" s="32" t="str">
        <f t="shared" si="3"/>
        <v>ENGL 158,ED1-COE</v>
      </c>
      <c r="B205" s="33" t="s">
        <v>1140</v>
      </c>
      <c r="C205" s="32" t="s">
        <v>1142</v>
      </c>
      <c r="D205" s="34" t="s">
        <v>20</v>
      </c>
      <c r="E205" s="32" t="s">
        <v>376</v>
      </c>
    </row>
    <row r="206" spans="1:5" s="35" customFormat="1" x14ac:dyDescent="0.35">
      <c r="A206" s="32" t="str">
        <f t="shared" si="3"/>
        <v>ENGL 158,ED1-CHE</v>
      </c>
      <c r="B206" s="33" t="s">
        <v>1140</v>
      </c>
      <c r="C206" s="32" t="s">
        <v>1139</v>
      </c>
      <c r="D206" s="34" t="s">
        <v>60</v>
      </c>
      <c r="E206" s="32" t="s">
        <v>376</v>
      </c>
    </row>
    <row r="207" spans="1:5" s="35" customFormat="1" x14ac:dyDescent="0.35">
      <c r="A207" s="32" t="str">
        <f t="shared" si="3"/>
        <v>ENGL 158,ED1-EE</v>
      </c>
      <c r="B207" s="33" t="s">
        <v>1140</v>
      </c>
      <c r="C207" s="32" t="s">
        <v>1139</v>
      </c>
      <c r="D207" s="34" t="s">
        <v>25</v>
      </c>
      <c r="E207" s="32" t="s">
        <v>376</v>
      </c>
    </row>
    <row r="208" spans="1:5" s="35" customFormat="1" x14ac:dyDescent="0.35">
      <c r="A208" s="32" t="str">
        <f t="shared" si="3"/>
        <v>ENGL 158,ED1-GEOL</v>
      </c>
      <c r="B208" s="33" t="s">
        <v>1140</v>
      </c>
      <c r="C208" s="32" t="s">
        <v>1139</v>
      </c>
      <c r="D208" s="34" t="s">
        <v>45</v>
      </c>
      <c r="E208" s="32" t="s">
        <v>376</v>
      </c>
    </row>
    <row r="209" spans="1:5" s="35" customFormat="1" ht="15" customHeight="1" x14ac:dyDescent="0.35">
      <c r="A209" s="32" t="str">
        <f t="shared" si="3"/>
        <v>ENGL 158,ED1-GEOM</v>
      </c>
      <c r="B209" s="33" t="s">
        <v>1140</v>
      </c>
      <c r="C209" s="32" t="s">
        <v>1139</v>
      </c>
      <c r="D209" s="34" t="s">
        <v>23</v>
      </c>
      <c r="E209" s="32" t="s">
        <v>376</v>
      </c>
    </row>
    <row r="210" spans="1:5" s="35" customFormat="1" x14ac:dyDescent="0.35">
      <c r="A210" s="32" t="str">
        <f t="shared" si="3"/>
        <v>ENGL 158,ED1-IND</v>
      </c>
      <c r="B210" s="33" t="s">
        <v>1140</v>
      </c>
      <c r="C210" s="32" t="s">
        <v>1139</v>
      </c>
      <c r="D210" s="34" t="s">
        <v>82</v>
      </c>
      <c r="E210" s="32" t="s">
        <v>376</v>
      </c>
    </row>
    <row r="211" spans="1:5" s="35" customFormat="1" x14ac:dyDescent="0.35">
      <c r="A211" s="32" t="str">
        <f t="shared" si="3"/>
        <v>ENGL 158,ED1-MARI</v>
      </c>
      <c r="B211" s="33" t="s">
        <v>1140</v>
      </c>
      <c r="C211" s="32" t="s">
        <v>1139</v>
      </c>
      <c r="D211" s="34" t="s">
        <v>43</v>
      </c>
      <c r="E211" s="32" t="s">
        <v>376</v>
      </c>
    </row>
    <row r="212" spans="1:5" s="35" customFormat="1" x14ac:dyDescent="0.35">
      <c r="A212" s="32" t="str">
        <f t="shared" si="3"/>
        <v>ENGL 158,ED1-MSE</v>
      </c>
      <c r="B212" s="33" t="s">
        <v>1140</v>
      </c>
      <c r="C212" s="32" t="s">
        <v>1141</v>
      </c>
      <c r="D212" s="34" t="s">
        <v>177</v>
      </c>
      <c r="E212" s="32" t="s">
        <v>376</v>
      </c>
    </row>
    <row r="213" spans="1:5" s="35" customFormat="1" x14ac:dyDescent="0.35">
      <c r="A213" s="32" t="str">
        <f t="shared" si="3"/>
        <v>ENGL 158,ED1-ME</v>
      </c>
      <c r="B213" s="33" t="s">
        <v>1140</v>
      </c>
      <c r="C213" s="32" t="s">
        <v>1139</v>
      </c>
      <c r="D213" s="34" t="s">
        <v>176</v>
      </c>
      <c r="E213" s="32" t="s">
        <v>376</v>
      </c>
    </row>
    <row r="214" spans="1:5" s="35" customFormat="1" x14ac:dyDescent="0.35">
      <c r="A214" s="32" t="str">
        <f t="shared" si="3"/>
        <v>ENGL 158,ED1-METE</v>
      </c>
      <c r="B214" s="33" t="s">
        <v>1140</v>
      </c>
      <c r="C214" s="32" t="s">
        <v>1141</v>
      </c>
      <c r="D214" s="34" t="s">
        <v>18</v>
      </c>
      <c r="E214" s="32" t="s">
        <v>376</v>
      </c>
    </row>
    <row r="215" spans="1:5" s="35" customFormat="1" ht="15" customHeight="1" x14ac:dyDescent="0.35">
      <c r="A215" s="32" t="str">
        <f t="shared" si="3"/>
        <v>ENGL 158,ED1-PCE</v>
      </c>
      <c r="B215" s="33" t="s">
        <v>1140</v>
      </c>
      <c r="C215" s="32" t="s">
        <v>1139</v>
      </c>
      <c r="D215" s="34" t="s">
        <v>58</v>
      </c>
      <c r="E215" s="32" t="s">
        <v>376</v>
      </c>
    </row>
    <row r="216" spans="1:5" s="35" customFormat="1" x14ac:dyDescent="0.35">
      <c r="A216" s="32" t="str">
        <f t="shared" si="3"/>
        <v>ENGL 158,ED1-PETE</v>
      </c>
      <c r="B216" s="33" t="s">
        <v>1140</v>
      </c>
      <c r="C216" s="32" t="s">
        <v>1141</v>
      </c>
      <c r="D216" s="34" t="s">
        <v>98</v>
      </c>
      <c r="E216" s="32" t="s">
        <v>376</v>
      </c>
    </row>
    <row r="217" spans="1:5" s="35" customFormat="1" x14ac:dyDescent="0.35">
      <c r="A217" s="32" t="str">
        <f t="shared" si="3"/>
        <v>ENGL 158,ED1-TEL</v>
      </c>
      <c r="B217" s="33" t="s">
        <v>1140</v>
      </c>
      <c r="C217" s="32" t="s">
        <v>1141</v>
      </c>
      <c r="D217" s="34" t="s">
        <v>168</v>
      </c>
      <c r="E217" s="32" t="s">
        <v>376</v>
      </c>
    </row>
    <row r="218" spans="1:5" s="35" customFormat="1" x14ac:dyDescent="0.35">
      <c r="A218" s="32" t="str">
        <f t="shared" si="3"/>
        <v>ENGL 264,ED2-AERO</v>
      </c>
      <c r="B218" s="33" t="s">
        <v>1138</v>
      </c>
      <c r="C218" s="32" t="s">
        <v>1139</v>
      </c>
      <c r="D218" s="34" t="s">
        <v>13</v>
      </c>
      <c r="E218" s="32" t="s">
        <v>259</v>
      </c>
    </row>
    <row r="219" spans="1:5" s="35" customFormat="1" x14ac:dyDescent="0.35">
      <c r="A219" s="32" t="str">
        <f t="shared" si="3"/>
        <v>ENGL 264,ED2-GEOM</v>
      </c>
      <c r="B219" s="33" t="s">
        <v>1138</v>
      </c>
      <c r="C219" s="32" t="s">
        <v>1139</v>
      </c>
      <c r="D219" s="34" t="s">
        <v>65</v>
      </c>
      <c r="E219" s="32" t="s">
        <v>259</v>
      </c>
    </row>
    <row r="220" spans="1:5" s="35" customFormat="1" x14ac:dyDescent="0.35">
      <c r="A220" s="32" t="str">
        <f t="shared" si="3"/>
        <v>ENGL 264,ED2-AE</v>
      </c>
      <c r="B220" s="33" t="s">
        <v>1138</v>
      </c>
      <c r="C220" s="32" t="s">
        <v>1139</v>
      </c>
      <c r="D220" s="34" t="s">
        <v>51</v>
      </c>
      <c r="E220" s="32" t="s">
        <v>259</v>
      </c>
    </row>
    <row r="221" spans="1:5" s="35" customFormat="1" x14ac:dyDescent="0.35">
      <c r="A221" s="32" t="str">
        <f t="shared" si="3"/>
        <v>ENGL 264,ED2-IND</v>
      </c>
      <c r="B221" s="33" t="s">
        <v>1138</v>
      </c>
      <c r="C221" s="32" t="s">
        <v>1139</v>
      </c>
      <c r="D221" s="34" t="s">
        <v>17</v>
      </c>
      <c r="E221" s="32" t="s">
        <v>259</v>
      </c>
    </row>
    <row r="222" spans="1:5" s="35" customFormat="1" x14ac:dyDescent="0.35">
      <c r="A222" s="32" t="str">
        <f>CONCATENATE(E222,",",D222)</f>
        <v>FC 182,ED2-BME</v>
      </c>
      <c r="B222" s="33" t="s">
        <v>1135</v>
      </c>
      <c r="C222" s="32" t="s">
        <v>1137</v>
      </c>
      <c r="D222" s="34" t="s">
        <v>42</v>
      </c>
      <c r="E222" s="32" t="s">
        <v>41</v>
      </c>
    </row>
    <row r="223" spans="1:5" x14ac:dyDescent="0.35">
      <c r="A223" s="32" t="str">
        <f t="shared" si="3"/>
        <v>FC 182,ED1-CE</v>
      </c>
      <c r="B223" s="33" t="s">
        <v>1135</v>
      </c>
      <c r="C223" s="32" t="s">
        <v>1136</v>
      </c>
      <c r="D223" s="34" t="s">
        <v>44</v>
      </c>
      <c r="E223" s="32" t="s">
        <v>41</v>
      </c>
    </row>
    <row r="224" spans="1:5" s="35" customFormat="1" x14ac:dyDescent="0.35">
      <c r="A224" s="32" t="str">
        <f t="shared" si="3"/>
        <v>FC 182,ED2-EE</v>
      </c>
      <c r="B224" s="33" t="s">
        <v>1135</v>
      </c>
      <c r="C224" s="32" t="s">
        <v>1136</v>
      </c>
      <c r="D224" s="34" t="s">
        <v>46</v>
      </c>
      <c r="E224" s="32" t="s">
        <v>41</v>
      </c>
    </row>
    <row r="225" spans="1:5" s="35" customFormat="1" x14ac:dyDescent="0.35">
      <c r="A225" s="32" t="str">
        <f t="shared" si="3"/>
        <v>FC 182,ED2-COE</v>
      </c>
      <c r="B225" s="33" t="s">
        <v>1135</v>
      </c>
      <c r="C225" s="32" t="s">
        <v>1134</v>
      </c>
      <c r="D225" s="34" t="s">
        <v>40</v>
      </c>
      <c r="E225" s="32" t="s">
        <v>41</v>
      </c>
    </row>
    <row r="226" spans="1:5" s="35" customFormat="1" x14ac:dyDescent="0.35">
      <c r="A226" s="32" t="str">
        <f t="shared" si="3"/>
        <v>FC 182,ED3-CHE</v>
      </c>
      <c r="B226" s="33" t="s">
        <v>1135</v>
      </c>
      <c r="C226" s="32" t="s">
        <v>1136</v>
      </c>
      <c r="D226" s="34" t="s">
        <v>48</v>
      </c>
      <c r="E226" s="32" t="s">
        <v>41</v>
      </c>
    </row>
    <row r="227" spans="1:5" s="35" customFormat="1" x14ac:dyDescent="0.35">
      <c r="A227" s="32" t="str">
        <f t="shared" si="3"/>
        <v>FC 182,ED1-GEOL</v>
      </c>
      <c r="B227" s="33" t="s">
        <v>1135</v>
      </c>
      <c r="C227" s="32" t="s">
        <v>1142</v>
      </c>
      <c r="D227" s="34" t="s">
        <v>45</v>
      </c>
      <c r="E227" s="32" t="s">
        <v>41</v>
      </c>
    </row>
    <row r="228" spans="1:5" s="35" customFormat="1" x14ac:dyDescent="0.35">
      <c r="A228" s="32" t="str">
        <f t="shared" si="3"/>
        <v>FC 182,ED1-MARI</v>
      </c>
      <c r="B228" s="33" t="s">
        <v>1135</v>
      </c>
      <c r="C228" s="32" t="s">
        <v>1406</v>
      </c>
      <c r="D228" s="34" t="s">
        <v>43</v>
      </c>
      <c r="E228" s="32" t="s">
        <v>41</v>
      </c>
    </row>
    <row r="229" spans="1:5" s="35" customFormat="1" x14ac:dyDescent="0.35">
      <c r="A229" s="32" t="str">
        <f t="shared" si="3"/>
        <v>FC 182,ED2-TEL</v>
      </c>
      <c r="B229" s="33" t="s">
        <v>1135</v>
      </c>
      <c r="C229" s="32" t="s">
        <v>1136</v>
      </c>
      <c r="D229" s="34" t="s">
        <v>49</v>
      </c>
      <c r="E229" s="32" t="s">
        <v>41</v>
      </c>
    </row>
    <row r="230" spans="1:5" s="35" customFormat="1" x14ac:dyDescent="0.35">
      <c r="A230" s="32" t="str">
        <f t="shared" si="3"/>
        <v>FC 182,ED3-GEOM</v>
      </c>
      <c r="B230" s="33" t="s">
        <v>1133</v>
      </c>
      <c r="C230" s="32" t="s">
        <v>1407</v>
      </c>
      <c r="D230" s="34" t="s">
        <v>47</v>
      </c>
      <c r="E230" s="32" t="s">
        <v>41</v>
      </c>
    </row>
    <row r="231" spans="1:5" s="35" customFormat="1" x14ac:dyDescent="0.35">
      <c r="A231" s="32" t="str">
        <f>CONCATENATE(E231,",",D231)</f>
        <v>GE 152,ED1-GEOM</v>
      </c>
      <c r="B231" s="33" t="s">
        <v>1131</v>
      </c>
      <c r="C231" s="32" t="s">
        <v>1132</v>
      </c>
      <c r="D231" s="34" t="s">
        <v>23</v>
      </c>
      <c r="E231" s="32" t="s">
        <v>241</v>
      </c>
    </row>
    <row r="232" spans="1:5" s="35" customFormat="1" x14ac:dyDescent="0.35">
      <c r="A232" s="32" t="str">
        <f t="shared" si="3"/>
        <v>GE 158,ED1-GEOM</v>
      </c>
      <c r="B232" s="33" t="s">
        <v>924</v>
      </c>
      <c r="C232" s="32" t="s">
        <v>1408</v>
      </c>
      <c r="D232" s="34" t="s">
        <v>23</v>
      </c>
      <c r="E232" s="32" t="s">
        <v>24</v>
      </c>
    </row>
    <row r="233" spans="1:5" s="35" customFormat="1" x14ac:dyDescent="0.35">
      <c r="A233" s="32" t="str">
        <f t="shared" si="3"/>
        <v>GE 162,ED1-GEOM</v>
      </c>
      <c r="B233" s="33" t="s">
        <v>1126</v>
      </c>
      <c r="C233" s="32" t="s">
        <v>1118</v>
      </c>
      <c r="D233" s="34" t="s">
        <v>23</v>
      </c>
      <c r="E233" s="32" t="s">
        <v>338</v>
      </c>
    </row>
    <row r="234" spans="1:5" s="35" customFormat="1" x14ac:dyDescent="0.35">
      <c r="A234" s="32" t="str">
        <f t="shared" si="3"/>
        <v>GE 262,ED2-GEOM</v>
      </c>
      <c r="B234" s="33" t="s">
        <v>1129</v>
      </c>
      <c r="C234" s="32" t="s">
        <v>1130</v>
      </c>
      <c r="D234" s="34" t="s">
        <v>65</v>
      </c>
      <c r="E234" s="32" t="s">
        <v>147</v>
      </c>
    </row>
    <row r="235" spans="1:5" s="35" customFormat="1" x14ac:dyDescent="0.35">
      <c r="A235" s="32" t="str">
        <f t="shared" si="3"/>
        <v>GE 272,ED2-GEOM</v>
      </c>
      <c r="B235" s="33" t="s">
        <v>1128</v>
      </c>
      <c r="C235" s="32" t="s">
        <v>1116</v>
      </c>
      <c r="D235" s="34" t="s">
        <v>65</v>
      </c>
      <c r="E235" s="32" t="s">
        <v>392</v>
      </c>
    </row>
    <row r="236" spans="1:5" s="35" customFormat="1" x14ac:dyDescent="0.35">
      <c r="A236" s="32" t="str">
        <f t="shared" si="3"/>
        <v>GE 282,ED2-CE</v>
      </c>
      <c r="B236" s="33" t="s">
        <v>1126</v>
      </c>
      <c r="C236" s="32" t="s">
        <v>1127</v>
      </c>
      <c r="D236" s="34" t="s">
        <v>64</v>
      </c>
      <c r="E236" s="32" t="s">
        <v>63</v>
      </c>
    </row>
    <row r="237" spans="1:5" s="35" customFormat="1" x14ac:dyDescent="0.35">
      <c r="A237" s="32" t="str">
        <f t="shared" si="3"/>
        <v>GE 282,ED2-GEOL</v>
      </c>
      <c r="B237" s="33" t="s">
        <v>1126</v>
      </c>
      <c r="C237" s="32" t="s">
        <v>1127</v>
      </c>
      <c r="D237" s="34" t="s">
        <v>62</v>
      </c>
      <c r="E237" s="32" t="s">
        <v>63</v>
      </c>
    </row>
    <row r="238" spans="1:5" s="35" customFormat="1" x14ac:dyDescent="0.35">
      <c r="A238" s="32" t="str">
        <f t="shared" si="3"/>
        <v>GE 284,ED2-GEOM</v>
      </c>
      <c r="B238" s="33" t="s">
        <v>1362</v>
      </c>
      <c r="C238" s="32" t="s">
        <v>902</v>
      </c>
      <c r="D238" s="34" t="s">
        <v>65</v>
      </c>
      <c r="E238" s="32" t="s">
        <v>66</v>
      </c>
    </row>
    <row r="239" spans="1:5" s="35" customFormat="1" x14ac:dyDescent="0.35">
      <c r="A239" s="32" t="str">
        <f t="shared" si="3"/>
        <v>GE 286,ED2-AE</v>
      </c>
      <c r="B239" s="33" t="s">
        <v>1124</v>
      </c>
      <c r="C239" s="32" t="s">
        <v>1125</v>
      </c>
      <c r="D239" s="34" t="s">
        <v>51</v>
      </c>
      <c r="E239" s="32" t="s">
        <v>52</v>
      </c>
    </row>
    <row r="240" spans="1:5" s="35" customFormat="1" x14ac:dyDescent="0.35">
      <c r="A240" s="32" t="str">
        <f t="shared" si="3"/>
        <v>GE 354,ED3-GEOM</v>
      </c>
      <c r="B240" s="33" t="s">
        <v>1122</v>
      </c>
      <c r="C240" s="32" t="s">
        <v>1123</v>
      </c>
      <c r="D240" s="34" t="s">
        <v>47</v>
      </c>
      <c r="E240" s="32" t="s">
        <v>129</v>
      </c>
    </row>
    <row r="241" spans="1:5" s="35" customFormat="1" x14ac:dyDescent="0.35">
      <c r="A241" s="32" t="str">
        <f t="shared" si="3"/>
        <v>GE 362,ED3-GEOM</v>
      </c>
      <c r="B241" s="33" t="s">
        <v>1120</v>
      </c>
      <c r="C241" s="32" t="s">
        <v>1121</v>
      </c>
      <c r="D241" s="34" t="s">
        <v>47</v>
      </c>
      <c r="E241" s="32" t="s">
        <v>161</v>
      </c>
    </row>
    <row r="242" spans="1:5" s="35" customFormat="1" x14ac:dyDescent="0.35">
      <c r="A242" s="32" t="str">
        <f t="shared" si="3"/>
        <v>GE 372,ED3-GEOM</v>
      </c>
      <c r="B242" s="33" t="s">
        <v>1119</v>
      </c>
      <c r="C242" s="32" t="s">
        <v>1125</v>
      </c>
      <c r="D242" s="34" t="s">
        <v>47</v>
      </c>
      <c r="E242" s="32" t="s">
        <v>279</v>
      </c>
    </row>
    <row r="243" spans="1:5" s="35" customFormat="1" x14ac:dyDescent="0.35">
      <c r="A243" s="32" t="str">
        <f t="shared" si="3"/>
        <v>GE 464,ED4-GEOM</v>
      </c>
      <c r="B243" s="33" t="s">
        <v>1117</v>
      </c>
      <c r="C243" s="32" t="s">
        <v>1409</v>
      </c>
      <c r="D243" s="34" t="s">
        <v>94</v>
      </c>
      <c r="E243" s="32" t="s">
        <v>310</v>
      </c>
    </row>
    <row r="244" spans="1:5" s="35" customFormat="1" x14ac:dyDescent="0.35">
      <c r="A244" s="32" t="str">
        <f t="shared" si="3"/>
        <v>GE 472,ED4-GEOM</v>
      </c>
      <c r="B244" s="33" t="s">
        <v>1115</v>
      </c>
      <c r="C244" s="32" t="s">
        <v>1116</v>
      </c>
      <c r="D244" s="34" t="s">
        <v>94</v>
      </c>
      <c r="E244" s="32" t="s">
        <v>373</v>
      </c>
    </row>
    <row r="245" spans="1:5" s="35" customFormat="1" ht="15" customHeight="1" x14ac:dyDescent="0.35">
      <c r="A245" s="32" t="str">
        <f t="shared" si="3"/>
        <v>GE 474,ED4-GEOM</v>
      </c>
      <c r="B245" s="33" t="s">
        <v>1113</v>
      </c>
      <c r="C245" s="32" t="s">
        <v>1114</v>
      </c>
      <c r="D245" s="34" t="s">
        <v>94</v>
      </c>
      <c r="E245" s="32" t="s">
        <v>95</v>
      </c>
    </row>
    <row r="246" spans="1:5" s="35" customFormat="1" x14ac:dyDescent="0.35">
      <c r="A246" s="32" t="str">
        <f t="shared" si="3"/>
        <v>GE 476,ED4-GEOM</v>
      </c>
      <c r="B246" s="33" t="s">
        <v>1111</v>
      </c>
      <c r="C246" s="32" t="s">
        <v>1112</v>
      </c>
      <c r="D246" s="34" t="s">
        <v>94</v>
      </c>
      <c r="E246" s="32" t="s">
        <v>145</v>
      </c>
    </row>
    <row r="247" spans="1:5" s="35" customFormat="1" x14ac:dyDescent="0.35">
      <c r="A247" s="32" t="str">
        <f t="shared" si="3"/>
        <v>GED 152,ED1-GEOL</v>
      </c>
      <c r="B247" s="33" t="s">
        <v>1110</v>
      </c>
      <c r="C247" s="32" t="s">
        <v>1087</v>
      </c>
      <c r="D247" s="34" t="s">
        <v>45</v>
      </c>
      <c r="E247" s="32" t="s">
        <v>210</v>
      </c>
    </row>
    <row r="248" spans="1:5" s="35" customFormat="1" x14ac:dyDescent="0.35">
      <c r="A248" s="32" t="str">
        <f t="shared" si="3"/>
        <v>GED 164,ED1-GEOL</v>
      </c>
      <c r="B248" s="33" t="s">
        <v>1108</v>
      </c>
      <c r="C248" s="32" t="s">
        <v>1109</v>
      </c>
      <c r="D248" s="34" t="s">
        <v>45</v>
      </c>
      <c r="E248" s="32" t="s">
        <v>349</v>
      </c>
    </row>
    <row r="249" spans="1:5" s="35" customFormat="1" x14ac:dyDescent="0.35">
      <c r="A249" s="32" t="str">
        <f t="shared" si="3"/>
        <v>GED 252,ED2-GEOL</v>
      </c>
      <c r="B249" s="33" t="s">
        <v>1106</v>
      </c>
      <c r="C249" s="32" t="s">
        <v>1107</v>
      </c>
      <c r="D249" s="34" t="s">
        <v>62</v>
      </c>
      <c r="E249" s="32" t="s">
        <v>384</v>
      </c>
    </row>
    <row r="250" spans="1:5" s="35" customFormat="1" x14ac:dyDescent="0.35">
      <c r="A250" s="32" t="str">
        <f t="shared" si="3"/>
        <v>GED 254,ED2-GEOL</v>
      </c>
      <c r="B250" s="33" t="s">
        <v>1105</v>
      </c>
      <c r="C250" s="32" t="s">
        <v>1090</v>
      </c>
      <c r="D250" s="34" t="s">
        <v>62</v>
      </c>
      <c r="E250" s="32" t="s">
        <v>232</v>
      </c>
    </row>
    <row r="251" spans="1:5" s="35" customFormat="1" x14ac:dyDescent="0.35">
      <c r="A251" s="32" t="str">
        <f t="shared" si="3"/>
        <v>GED 258,ED2-GEOL</v>
      </c>
      <c r="B251" s="33" t="s">
        <v>1104</v>
      </c>
      <c r="C251" s="32" t="s">
        <v>1096</v>
      </c>
      <c r="D251" s="34" t="s">
        <v>62</v>
      </c>
      <c r="E251" s="32" t="s">
        <v>140</v>
      </c>
    </row>
    <row r="252" spans="1:5" s="35" customFormat="1" x14ac:dyDescent="0.35">
      <c r="A252" s="32" t="str">
        <f t="shared" si="3"/>
        <v>GED 262,ED2-GEOL</v>
      </c>
      <c r="B252" s="33" t="s">
        <v>1103</v>
      </c>
      <c r="C252" s="32" t="s">
        <v>1092</v>
      </c>
      <c r="D252" s="34" t="s">
        <v>62</v>
      </c>
      <c r="E252" s="32" t="s">
        <v>353</v>
      </c>
    </row>
    <row r="253" spans="1:5" s="35" customFormat="1" ht="15" customHeight="1" x14ac:dyDescent="0.35">
      <c r="A253" s="32" t="str">
        <f t="shared" si="3"/>
        <v>GED 342,ED3-GEOL</v>
      </c>
      <c r="B253" s="33" t="s">
        <v>1101</v>
      </c>
      <c r="C253" s="32" t="s">
        <v>1102</v>
      </c>
      <c r="D253" s="34" t="s">
        <v>217</v>
      </c>
      <c r="E253" s="32" t="s">
        <v>258</v>
      </c>
    </row>
    <row r="254" spans="1:5" s="35" customFormat="1" x14ac:dyDescent="0.35">
      <c r="A254" s="32" t="str">
        <f t="shared" si="3"/>
        <v>GED 352,ED3-GEOL</v>
      </c>
      <c r="B254" s="33" t="s">
        <v>1099</v>
      </c>
      <c r="C254" s="32" t="s">
        <v>1100</v>
      </c>
      <c r="D254" s="34" t="s">
        <v>217</v>
      </c>
      <c r="E254" s="32" t="s">
        <v>313</v>
      </c>
    </row>
    <row r="255" spans="1:5" s="35" customFormat="1" x14ac:dyDescent="0.35">
      <c r="A255" s="32" t="str">
        <f t="shared" si="3"/>
        <v>GED 354,ED3-GEOL</v>
      </c>
      <c r="B255" s="33" t="s">
        <v>1097</v>
      </c>
      <c r="C255" s="32" t="s">
        <v>1098</v>
      </c>
      <c r="D255" s="34" t="s">
        <v>217</v>
      </c>
      <c r="E255" s="32" t="s">
        <v>343</v>
      </c>
    </row>
    <row r="256" spans="1:5" s="35" customFormat="1" x14ac:dyDescent="0.35">
      <c r="A256" s="32" t="str">
        <f t="shared" si="3"/>
        <v>GED 364,ED3-GEOL</v>
      </c>
      <c r="B256" s="33" t="s">
        <v>1095</v>
      </c>
      <c r="C256" s="32" t="s">
        <v>1096</v>
      </c>
      <c r="D256" s="34" t="s">
        <v>217</v>
      </c>
      <c r="E256" s="32" t="s">
        <v>276</v>
      </c>
    </row>
    <row r="257" spans="1:5" s="35" customFormat="1" x14ac:dyDescent="0.35">
      <c r="A257" s="32" t="str">
        <f t="shared" si="3"/>
        <v>GED 366,ED3-GEOL</v>
      </c>
      <c r="B257" s="33" t="s">
        <v>1094</v>
      </c>
      <c r="C257" s="32" t="s">
        <v>1083</v>
      </c>
      <c r="D257" s="34" t="s">
        <v>217</v>
      </c>
      <c r="E257" s="32" t="s">
        <v>218</v>
      </c>
    </row>
    <row r="258" spans="1:5" s="35" customFormat="1" x14ac:dyDescent="0.35">
      <c r="A258" s="32" t="str">
        <f t="shared" si="3"/>
        <v>GED 368,ED3-GEOL</v>
      </c>
      <c r="B258" s="33" t="s">
        <v>1093</v>
      </c>
      <c r="C258" s="32" t="s">
        <v>1087</v>
      </c>
      <c r="D258" s="34" t="s">
        <v>217</v>
      </c>
      <c r="E258" s="32" t="s">
        <v>1416</v>
      </c>
    </row>
    <row r="259" spans="1:5" s="35" customFormat="1" x14ac:dyDescent="0.35">
      <c r="A259" s="32" t="str">
        <f t="shared" si="3"/>
        <v>GED 370,ED3-GEOL</v>
      </c>
      <c r="B259" s="33" t="s">
        <v>1091</v>
      </c>
      <c r="C259" s="32" t="s">
        <v>1092</v>
      </c>
      <c r="D259" s="34" t="s">
        <v>217</v>
      </c>
      <c r="E259" s="32" t="s">
        <v>368</v>
      </c>
    </row>
    <row r="260" spans="1:5" s="35" customFormat="1" x14ac:dyDescent="0.35">
      <c r="A260" s="32" t="str">
        <f t="shared" si="3"/>
        <v>GED 452,ED4-GEOL</v>
      </c>
      <c r="B260" s="33" t="s">
        <v>1089</v>
      </c>
      <c r="C260" s="32" t="s">
        <v>1090</v>
      </c>
      <c r="D260" s="34" t="s">
        <v>8</v>
      </c>
      <c r="E260" s="32" t="s">
        <v>346</v>
      </c>
    </row>
    <row r="261" spans="1:5" s="35" customFormat="1" x14ac:dyDescent="0.35">
      <c r="A261" s="32" t="str">
        <f t="shared" si="3"/>
        <v>GED 454,ED4-GEOL</v>
      </c>
      <c r="B261" s="33" t="s">
        <v>1088</v>
      </c>
      <c r="C261" s="32" t="s">
        <v>1083</v>
      </c>
      <c r="D261" s="34" t="s">
        <v>8</v>
      </c>
      <c r="E261" s="32" t="s">
        <v>291</v>
      </c>
    </row>
    <row r="262" spans="1:5" s="35" customFormat="1" x14ac:dyDescent="0.35">
      <c r="A262" s="32" t="str">
        <f t="shared" si="3"/>
        <v>GED 462,ED4-GEOL</v>
      </c>
      <c r="B262" s="33" t="s">
        <v>1085</v>
      </c>
      <c r="C262" s="32" t="s">
        <v>1086</v>
      </c>
      <c r="D262" s="34" t="s">
        <v>8</v>
      </c>
      <c r="E262" s="32" t="s">
        <v>167</v>
      </c>
    </row>
    <row r="263" spans="1:5" s="35" customFormat="1" x14ac:dyDescent="0.35">
      <c r="A263" s="32" t="str">
        <f t="shared" si="3"/>
        <v>GED 464,ED4-GEOL</v>
      </c>
      <c r="B263" s="33" t="s">
        <v>1084</v>
      </c>
      <c r="C263" s="32" t="s">
        <v>1071</v>
      </c>
      <c r="D263" s="34" t="s">
        <v>8</v>
      </c>
      <c r="E263" s="32" t="s">
        <v>9</v>
      </c>
    </row>
    <row r="264" spans="1:5" s="35" customFormat="1" x14ac:dyDescent="0.35">
      <c r="A264" s="32" t="str">
        <f t="shared" si="3"/>
        <v>GED 466,ED4-GEOL</v>
      </c>
      <c r="B264" s="33" t="s">
        <v>898</v>
      </c>
      <c r="C264" s="32" t="s">
        <v>1083</v>
      </c>
      <c r="D264" s="34" t="s">
        <v>8</v>
      </c>
      <c r="E264" s="32" t="s">
        <v>100</v>
      </c>
    </row>
    <row r="265" spans="1:5" s="35" customFormat="1" x14ac:dyDescent="0.35">
      <c r="A265" s="32" t="str">
        <f t="shared" ref="A265:A328" si="4">CONCATENATE(E265,",",D265)</f>
        <v>GED 468,ED4-GEOL</v>
      </c>
      <c r="B265" s="33" t="s">
        <v>892</v>
      </c>
      <c r="C265" s="32" t="s">
        <v>1082</v>
      </c>
      <c r="D265" s="34" t="s">
        <v>8</v>
      </c>
      <c r="E265" s="32" t="s">
        <v>213</v>
      </c>
    </row>
    <row r="266" spans="1:5" s="35" customFormat="1" x14ac:dyDescent="0.35">
      <c r="A266" s="32" t="str">
        <f t="shared" si="4"/>
        <v>GED 476,ED4-GEOL</v>
      </c>
      <c r="B266" s="33" t="s">
        <v>1080</v>
      </c>
      <c r="C266" s="32" t="s">
        <v>1081</v>
      </c>
      <c r="D266" s="34" t="s">
        <v>8</v>
      </c>
      <c r="E266" s="32" t="s">
        <v>389</v>
      </c>
    </row>
    <row r="267" spans="1:5" s="35" customFormat="1" x14ac:dyDescent="0.35">
      <c r="A267" s="32" t="str">
        <f t="shared" si="4"/>
        <v>IE 174,ED1-IND</v>
      </c>
      <c r="B267" s="33" t="s">
        <v>1079</v>
      </c>
      <c r="C267" s="32" t="s">
        <v>980</v>
      </c>
      <c r="D267" s="34" t="s">
        <v>82</v>
      </c>
      <c r="E267" s="32" t="s">
        <v>623</v>
      </c>
    </row>
    <row r="268" spans="1:5" s="35" customFormat="1" x14ac:dyDescent="0.35">
      <c r="A268" s="32" t="str">
        <f t="shared" si="4"/>
        <v>IE 274,ED2-IND</v>
      </c>
      <c r="B268" s="33" t="s">
        <v>1078</v>
      </c>
      <c r="C268" s="32" t="s">
        <v>980</v>
      </c>
      <c r="D268" s="34" t="s">
        <v>17</v>
      </c>
      <c r="E268" s="32" t="s">
        <v>208</v>
      </c>
    </row>
    <row r="269" spans="1:5" s="35" customFormat="1" x14ac:dyDescent="0.35">
      <c r="A269" s="32" t="str">
        <f t="shared" si="4"/>
        <v>IE 296,ED2-IND</v>
      </c>
      <c r="B269" s="33" t="s">
        <v>1077</v>
      </c>
      <c r="C269" s="32" t="s">
        <v>1020</v>
      </c>
      <c r="D269" s="34" t="s">
        <v>17</v>
      </c>
      <c r="E269" s="32" t="s">
        <v>620</v>
      </c>
    </row>
    <row r="270" spans="1:5" s="35" customFormat="1" x14ac:dyDescent="0.35">
      <c r="A270" s="32" t="str">
        <f t="shared" si="4"/>
        <v>IE 354,ED3-IND</v>
      </c>
      <c r="B270" s="33" t="s">
        <v>1076</v>
      </c>
      <c r="C270" s="32" t="s">
        <v>1069</v>
      </c>
      <c r="D270" s="34" t="s">
        <v>137</v>
      </c>
      <c r="E270" s="32" t="s">
        <v>277</v>
      </c>
    </row>
    <row r="271" spans="1:5" s="35" customFormat="1" x14ac:dyDescent="0.35">
      <c r="A271" s="32" t="str">
        <f t="shared" si="4"/>
        <v>IE 356,ED3-IND</v>
      </c>
      <c r="B271" s="33" t="s">
        <v>1075</v>
      </c>
      <c r="C271" s="32" t="s">
        <v>1071</v>
      </c>
      <c r="D271" s="34" t="s">
        <v>137</v>
      </c>
      <c r="E271" s="32" t="s">
        <v>174</v>
      </c>
    </row>
    <row r="272" spans="1:5" s="35" customFormat="1" ht="15" customHeight="1" x14ac:dyDescent="0.35">
      <c r="A272" s="32" t="str">
        <f t="shared" si="4"/>
        <v>IE 358,ED3-IND</v>
      </c>
      <c r="B272" s="33" t="s">
        <v>1074</v>
      </c>
      <c r="C272" s="32" t="s">
        <v>980</v>
      </c>
      <c r="D272" s="34" t="s">
        <v>137</v>
      </c>
      <c r="E272" s="32" t="s">
        <v>249</v>
      </c>
    </row>
    <row r="273" spans="1:5" s="35" customFormat="1" x14ac:dyDescent="0.35">
      <c r="A273" s="32" t="str">
        <f t="shared" si="4"/>
        <v>IE 360,ED3-IND</v>
      </c>
      <c r="B273" s="33" t="s">
        <v>1073</v>
      </c>
      <c r="C273" s="32" t="s">
        <v>994</v>
      </c>
      <c r="D273" s="34" t="s">
        <v>137</v>
      </c>
      <c r="E273" s="32" t="s">
        <v>138</v>
      </c>
    </row>
    <row r="274" spans="1:5" s="35" customFormat="1" x14ac:dyDescent="0.35">
      <c r="A274" s="32" t="str">
        <f t="shared" si="4"/>
        <v>IE 362,ED3-IND</v>
      </c>
      <c r="B274" s="33" t="s">
        <v>1072</v>
      </c>
      <c r="C274" s="32" t="s">
        <v>1049</v>
      </c>
      <c r="D274" s="34" t="s">
        <v>137</v>
      </c>
      <c r="E274" s="32" t="s">
        <v>614</v>
      </c>
    </row>
    <row r="275" spans="1:5" s="35" customFormat="1" x14ac:dyDescent="0.35">
      <c r="A275" s="32" t="str">
        <f t="shared" si="4"/>
        <v>IE 366,ED3-IND</v>
      </c>
      <c r="B275" s="33" t="s">
        <v>1070</v>
      </c>
      <c r="C275" s="32" t="s">
        <v>1071</v>
      </c>
      <c r="D275" s="34" t="s">
        <v>137</v>
      </c>
      <c r="E275" s="32" t="s">
        <v>372</v>
      </c>
    </row>
    <row r="276" spans="1:5" s="35" customFormat="1" x14ac:dyDescent="0.35">
      <c r="A276" s="32" t="str">
        <f t="shared" si="4"/>
        <v>IE 368,ED3-IND</v>
      </c>
      <c r="B276" s="33" t="s">
        <v>1068</v>
      </c>
      <c r="C276" s="32" t="s">
        <v>1069</v>
      </c>
      <c r="D276" s="34" t="s">
        <v>137</v>
      </c>
      <c r="E276" s="32" t="s">
        <v>219</v>
      </c>
    </row>
    <row r="277" spans="1:5" s="35" customFormat="1" x14ac:dyDescent="0.35">
      <c r="A277" s="32" t="str">
        <f t="shared" si="4"/>
        <v>IE 452,ED4-IND</v>
      </c>
      <c r="B277" s="33" t="s">
        <v>1067</v>
      </c>
      <c r="C277" s="32" t="s">
        <v>994</v>
      </c>
      <c r="D277" s="34" t="s">
        <v>130</v>
      </c>
      <c r="E277" s="32" t="s">
        <v>281</v>
      </c>
    </row>
    <row r="278" spans="1:5" s="35" customFormat="1" x14ac:dyDescent="0.35">
      <c r="A278" s="32" t="str">
        <f t="shared" si="4"/>
        <v>IE 454,ED4-IND</v>
      </c>
      <c r="B278" s="33" t="s">
        <v>1006</v>
      </c>
      <c r="C278" s="32" t="s">
        <v>1007</v>
      </c>
      <c r="D278" s="34" t="s">
        <v>130</v>
      </c>
      <c r="E278" s="32" t="s">
        <v>155</v>
      </c>
    </row>
    <row r="279" spans="1:5" s="35" customFormat="1" x14ac:dyDescent="0.35">
      <c r="A279" s="32" t="str">
        <f t="shared" si="4"/>
        <v>IE 456,ED4-IND</v>
      </c>
      <c r="B279" s="33" t="s">
        <v>1066</v>
      </c>
      <c r="C279" s="32" t="s">
        <v>969</v>
      </c>
      <c r="D279" s="34" t="s">
        <v>130</v>
      </c>
      <c r="E279" s="32" t="s">
        <v>131</v>
      </c>
    </row>
    <row r="280" spans="1:5" s="35" customFormat="1" ht="15" customHeight="1" x14ac:dyDescent="0.35">
      <c r="A280" s="32" t="str">
        <f t="shared" si="4"/>
        <v>IE 458,ED4-IND</v>
      </c>
      <c r="B280" s="33" t="s">
        <v>993</v>
      </c>
      <c r="C280" s="32" t="s">
        <v>994</v>
      </c>
      <c r="D280" s="34" t="s">
        <v>130</v>
      </c>
      <c r="E280" s="32" t="s">
        <v>360</v>
      </c>
    </row>
    <row r="281" spans="1:5" x14ac:dyDescent="0.35">
      <c r="A281" s="32" t="str">
        <f t="shared" si="4"/>
        <v>MATH 152,ED1-AERO</v>
      </c>
      <c r="B281" s="33" t="s">
        <v>1062</v>
      </c>
      <c r="C281" s="32" t="s">
        <v>1064</v>
      </c>
      <c r="D281" s="34" t="s">
        <v>157</v>
      </c>
      <c r="E281" s="32" t="s">
        <v>190</v>
      </c>
    </row>
    <row r="282" spans="1:5" s="35" customFormat="1" x14ac:dyDescent="0.35">
      <c r="A282" s="32" t="str">
        <f t="shared" si="4"/>
        <v>MATH 152,ED1-AE</v>
      </c>
      <c r="B282" s="33" t="s">
        <v>1062</v>
      </c>
      <c r="C282" s="32" t="s">
        <v>1059</v>
      </c>
      <c r="D282" s="34" t="s">
        <v>101</v>
      </c>
      <c r="E282" s="32" t="s">
        <v>190</v>
      </c>
    </row>
    <row r="283" spans="1:5" s="35" customFormat="1" x14ac:dyDescent="0.35">
      <c r="A283" s="32" t="str">
        <f t="shared" si="4"/>
        <v>MATH 152,ED1-AUTO</v>
      </c>
      <c r="B283" s="33" t="s">
        <v>1062</v>
      </c>
      <c r="C283" s="32" t="s">
        <v>1397</v>
      </c>
      <c r="D283" s="34" t="s">
        <v>15</v>
      </c>
      <c r="E283" s="32" t="s">
        <v>190</v>
      </c>
    </row>
    <row r="284" spans="1:5" s="35" customFormat="1" ht="15" customHeight="1" x14ac:dyDescent="0.35">
      <c r="A284" s="32" t="str">
        <f t="shared" si="4"/>
        <v>MATH 152,ED1-BME</v>
      </c>
      <c r="B284" s="33" t="s">
        <v>1062</v>
      </c>
      <c r="C284" s="32" t="s">
        <v>1059</v>
      </c>
      <c r="D284" s="34" t="s">
        <v>22</v>
      </c>
      <c r="E284" s="32" t="s">
        <v>190</v>
      </c>
    </row>
    <row r="285" spans="1:5" s="35" customFormat="1" x14ac:dyDescent="0.35">
      <c r="A285" s="32" t="str">
        <f t="shared" si="4"/>
        <v>MATH 152,ED1-CHE</v>
      </c>
      <c r="B285" s="33" t="s">
        <v>1062</v>
      </c>
      <c r="C285" s="32" t="s">
        <v>1397</v>
      </c>
      <c r="D285" s="34" t="s">
        <v>60</v>
      </c>
      <c r="E285" s="32" t="s">
        <v>190</v>
      </c>
    </row>
    <row r="286" spans="1:5" x14ac:dyDescent="0.35">
      <c r="A286" s="32" t="str">
        <f t="shared" si="4"/>
        <v>MATH 152,ED1-CE</v>
      </c>
      <c r="B286" s="33" t="s">
        <v>1055</v>
      </c>
      <c r="C286" s="32" t="s">
        <v>1064</v>
      </c>
      <c r="D286" s="34" t="s">
        <v>44</v>
      </c>
      <c r="E286" s="32" t="s">
        <v>190</v>
      </c>
    </row>
    <row r="287" spans="1:5" s="35" customFormat="1" x14ac:dyDescent="0.35">
      <c r="A287" s="32" t="str">
        <f t="shared" si="4"/>
        <v>MATH 152,ED1-COE</v>
      </c>
      <c r="B287" s="33" t="s">
        <v>1062</v>
      </c>
      <c r="C287" s="32" t="s">
        <v>1064</v>
      </c>
      <c r="D287" s="34" t="s">
        <v>20</v>
      </c>
      <c r="E287" s="32" t="s">
        <v>190</v>
      </c>
    </row>
    <row r="288" spans="1:5" s="35" customFormat="1" x14ac:dyDescent="0.35">
      <c r="A288" s="32" t="str">
        <f t="shared" si="4"/>
        <v>MATH 152,ED1-EE</v>
      </c>
      <c r="B288" s="33" t="s">
        <v>1062</v>
      </c>
      <c r="C288" s="32" t="s">
        <v>1065</v>
      </c>
      <c r="D288" s="34" t="s">
        <v>25</v>
      </c>
      <c r="E288" s="32" t="s">
        <v>190</v>
      </c>
    </row>
    <row r="289" spans="1:5" s="35" customFormat="1" x14ac:dyDescent="0.35">
      <c r="A289" s="32" t="str">
        <f t="shared" si="4"/>
        <v>MATH 152,ED1-GEOL</v>
      </c>
      <c r="B289" s="33" t="s">
        <v>1055</v>
      </c>
      <c r="C289" s="32" t="s">
        <v>1063</v>
      </c>
      <c r="D289" s="34" t="s">
        <v>45</v>
      </c>
      <c r="E289" s="32" t="s">
        <v>190</v>
      </c>
    </row>
    <row r="290" spans="1:5" s="35" customFormat="1" x14ac:dyDescent="0.35">
      <c r="A290" s="32" t="str">
        <f t="shared" si="4"/>
        <v>MATH 152,ED1-GEOM</v>
      </c>
      <c r="B290" s="33" t="s">
        <v>1062</v>
      </c>
      <c r="C290" s="32" t="s">
        <v>1397</v>
      </c>
      <c r="D290" s="34" t="s">
        <v>23</v>
      </c>
      <c r="E290" s="32" t="s">
        <v>190</v>
      </c>
    </row>
    <row r="291" spans="1:5" s="35" customFormat="1" x14ac:dyDescent="0.35">
      <c r="A291" s="32" t="str">
        <f t="shared" si="4"/>
        <v>MATH 152,ED1-IND</v>
      </c>
      <c r="B291" s="33" t="s">
        <v>1062</v>
      </c>
      <c r="C291" s="32" t="s">
        <v>1064</v>
      </c>
      <c r="D291" s="34" t="s">
        <v>82</v>
      </c>
      <c r="E291" s="32" t="s">
        <v>190</v>
      </c>
    </row>
    <row r="292" spans="1:5" s="35" customFormat="1" x14ac:dyDescent="0.35">
      <c r="A292" s="32" t="str">
        <f t="shared" si="4"/>
        <v>MATH 152,ED1-MARI</v>
      </c>
      <c r="B292" s="33" t="s">
        <v>1062</v>
      </c>
      <c r="C292" s="32" t="s">
        <v>1064</v>
      </c>
      <c r="D292" s="34" t="s">
        <v>43</v>
      </c>
      <c r="E292" s="32" t="s">
        <v>190</v>
      </c>
    </row>
    <row r="293" spans="1:5" s="35" customFormat="1" x14ac:dyDescent="0.35">
      <c r="A293" s="32" t="str">
        <f t="shared" si="4"/>
        <v>MATH 152,ED1-MSE</v>
      </c>
      <c r="B293" s="33" t="s">
        <v>1062</v>
      </c>
      <c r="C293" s="32" t="s">
        <v>1397</v>
      </c>
      <c r="D293" s="34" t="s">
        <v>177</v>
      </c>
      <c r="E293" s="32" t="s">
        <v>190</v>
      </c>
    </row>
    <row r="294" spans="1:5" s="35" customFormat="1" x14ac:dyDescent="0.35">
      <c r="A294" s="32" t="str">
        <f t="shared" si="4"/>
        <v>MATH 152,ED1-ME</v>
      </c>
      <c r="B294" s="33" t="s">
        <v>1062</v>
      </c>
      <c r="C294" s="32" t="s">
        <v>1397</v>
      </c>
      <c r="D294" s="34" t="s">
        <v>176</v>
      </c>
      <c r="E294" s="32" t="s">
        <v>190</v>
      </c>
    </row>
    <row r="295" spans="1:5" s="35" customFormat="1" x14ac:dyDescent="0.35">
      <c r="A295" s="32" t="str">
        <f t="shared" si="4"/>
        <v>MATH 152,ED1-METE</v>
      </c>
      <c r="B295" s="33" t="s">
        <v>1062</v>
      </c>
      <c r="C295" s="32" t="s">
        <v>1397</v>
      </c>
      <c r="D295" s="34" t="s">
        <v>18</v>
      </c>
      <c r="E295" s="32" t="s">
        <v>190</v>
      </c>
    </row>
    <row r="296" spans="1:5" s="35" customFormat="1" x14ac:dyDescent="0.35">
      <c r="A296" s="32" t="str">
        <f t="shared" si="4"/>
        <v>MATH 152,ED1-PCE</v>
      </c>
      <c r="B296" s="33" t="s">
        <v>1062</v>
      </c>
      <c r="C296" s="32" t="s">
        <v>1397</v>
      </c>
      <c r="D296" s="34" t="s">
        <v>58</v>
      </c>
      <c r="E296" s="32" t="s">
        <v>190</v>
      </c>
    </row>
    <row r="297" spans="1:5" s="35" customFormat="1" x14ac:dyDescent="0.35">
      <c r="A297" s="32" t="str">
        <f t="shared" si="4"/>
        <v>MATH 152,ED1-PETE</v>
      </c>
      <c r="B297" s="33" t="s">
        <v>1062</v>
      </c>
      <c r="C297" s="32" t="s">
        <v>1063</v>
      </c>
      <c r="D297" s="34" t="s">
        <v>98</v>
      </c>
      <c r="E297" s="32" t="s">
        <v>190</v>
      </c>
    </row>
    <row r="298" spans="1:5" s="35" customFormat="1" x14ac:dyDescent="0.35">
      <c r="A298" s="32" t="str">
        <f t="shared" si="4"/>
        <v>MATH 152,ED1-TEL</v>
      </c>
      <c r="B298" s="33" t="s">
        <v>1062</v>
      </c>
      <c r="C298" s="32" t="s">
        <v>1398</v>
      </c>
      <c r="D298" s="34" t="s">
        <v>168</v>
      </c>
      <c r="E298" s="32" t="s">
        <v>190</v>
      </c>
    </row>
    <row r="299" spans="1:5" s="35" customFormat="1" x14ac:dyDescent="0.35">
      <c r="A299" s="32" t="str">
        <f t="shared" si="4"/>
        <v>MATH 252,ED2-AERO</v>
      </c>
      <c r="B299" s="33" t="s">
        <v>1055</v>
      </c>
      <c r="C299" s="32" t="s">
        <v>1060</v>
      </c>
      <c r="D299" s="34" t="s">
        <v>13</v>
      </c>
      <c r="E299" s="32" t="s">
        <v>112</v>
      </c>
    </row>
    <row r="300" spans="1:5" s="35" customFormat="1" x14ac:dyDescent="0.35">
      <c r="A300" s="32" t="str">
        <f t="shared" si="4"/>
        <v>MATH 252,ED2-GEOL</v>
      </c>
      <c r="B300" s="33" t="s">
        <v>1061</v>
      </c>
      <c r="C300" s="32" t="s">
        <v>1060</v>
      </c>
      <c r="D300" s="34" t="s">
        <v>62</v>
      </c>
      <c r="E300" s="32" t="s">
        <v>112</v>
      </c>
    </row>
    <row r="301" spans="1:5" s="35" customFormat="1" x14ac:dyDescent="0.35">
      <c r="A301" s="32" t="str">
        <f t="shared" si="4"/>
        <v>MATH 252,ED2-IND</v>
      </c>
      <c r="B301" s="33" t="s">
        <v>1055</v>
      </c>
      <c r="C301" s="32" t="s">
        <v>1060</v>
      </c>
      <c r="D301" s="34" t="s">
        <v>17</v>
      </c>
      <c r="E301" s="32" t="s">
        <v>112</v>
      </c>
    </row>
    <row r="302" spans="1:5" s="35" customFormat="1" x14ac:dyDescent="0.35">
      <c r="A302" s="32" t="str">
        <f t="shared" si="4"/>
        <v>MATH 252,ED2-TEL</v>
      </c>
      <c r="B302" s="33" t="s">
        <v>1055</v>
      </c>
      <c r="C302" s="32" t="s">
        <v>1060</v>
      </c>
      <c r="D302" s="34" t="s">
        <v>49</v>
      </c>
      <c r="E302" s="32" t="s">
        <v>112</v>
      </c>
    </row>
    <row r="303" spans="1:5" s="35" customFormat="1" x14ac:dyDescent="0.35">
      <c r="A303" s="32" t="str">
        <f t="shared" si="4"/>
        <v>MATH 252,ED2-AE</v>
      </c>
      <c r="B303" s="33" t="s">
        <v>1055</v>
      </c>
      <c r="C303" s="32" t="s">
        <v>1060</v>
      </c>
      <c r="D303" s="34" t="s">
        <v>51</v>
      </c>
      <c r="E303" s="32" t="s">
        <v>112</v>
      </c>
    </row>
    <row r="304" spans="1:5" s="35" customFormat="1" x14ac:dyDescent="0.35">
      <c r="A304" s="32" t="str">
        <f t="shared" si="4"/>
        <v>MATH 252,ED2-COE</v>
      </c>
      <c r="B304" s="33" t="s">
        <v>1055</v>
      </c>
      <c r="C304" s="32" t="s">
        <v>1060</v>
      </c>
      <c r="D304" s="34" t="s">
        <v>40</v>
      </c>
      <c r="E304" s="32" t="s">
        <v>112</v>
      </c>
    </row>
    <row r="305" spans="1:5" s="35" customFormat="1" x14ac:dyDescent="0.35">
      <c r="A305" s="32" t="str">
        <f t="shared" si="4"/>
        <v>MATH 252,ED2-AUTO</v>
      </c>
      <c r="B305" s="33" t="s">
        <v>1055</v>
      </c>
      <c r="C305" s="32" t="s">
        <v>1058</v>
      </c>
      <c r="D305" s="34" t="s">
        <v>11</v>
      </c>
      <c r="E305" s="32" t="s">
        <v>112</v>
      </c>
    </row>
    <row r="306" spans="1:5" s="35" customFormat="1" x14ac:dyDescent="0.35">
      <c r="A306" s="32" t="str">
        <f t="shared" si="4"/>
        <v>MATH 252,ED2-BME</v>
      </c>
      <c r="B306" s="33" t="s">
        <v>1055</v>
      </c>
      <c r="C306" s="32" t="s">
        <v>1058</v>
      </c>
      <c r="D306" s="34" t="s">
        <v>42</v>
      </c>
      <c r="E306" s="32" t="s">
        <v>112</v>
      </c>
    </row>
    <row r="307" spans="1:5" s="35" customFormat="1" ht="15" customHeight="1" x14ac:dyDescent="0.35">
      <c r="A307" s="32" t="str">
        <f t="shared" si="4"/>
        <v>MATH 252,ED2-CHE</v>
      </c>
      <c r="B307" s="33" t="s">
        <v>1057</v>
      </c>
      <c r="C307" s="32" t="s">
        <v>1399</v>
      </c>
      <c r="D307" s="34" t="s">
        <v>71</v>
      </c>
      <c r="E307" s="32" t="s">
        <v>112</v>
      </c>
    </row>
    <row r="308" spans="1:5" x14ac:dyDescent="0.35">
      <c r="A308" s="32" t="str">
        <f t="shared" si="4"/>
        <v>MATH 252,ED2-EE</v>
      </c>
      <c r="B308" s="33" t="s">
        <v>1055</v>
      </c>
      <c r="C308" s="32" t="s">
        <v>1400</v>
      </c>
      <c r="D308" s="34" t="s">
        <v>46</v>
      </c>
      <c r="E308" s="32" t="s">
        <v>112</v>
      </c>
    </row>
    <row r="309" spans="1:5" s="35" customFormat="1" x14ac:dyDescent="0.35">
      <c r="A309" s="32" t="str">
        <f t="shared" si="4"/>
        <v>MATH 252,ED2-GEOM</v>
      </c>
      <c r="B309" s="33" t="s">
        <v>1055</v>
      </c>
      <c r="C309" s="32" t="s">
        <v>1415</v>
      </c>
      <c r="D309" s="34" t="s">
        <v>65</v>
      </c>
      <c r="E309" s="32" t="s">
        <v>112</v>
      </c>
    </row>
    <row r="310" spans="1:5" s="35" customFormat="1" x14ac:dyDescent="0.35">
      <c r="A310" s="32" t="str">
        <f t="shared" si="4"/>
        <v>MATH 252,ED2-MARI</v>
      </c>
      <c r="B310" s="33" t="s">
        <v>1055</v>
      </c>
      <c r="C310" s="32" t="s">
        <v>1056</v>
      </c>
      <c r="D310" s="34" t="s">
        <v>31</v>
      </c>
      <c r="E310" s="32" t="s">
        <v>112</v>
      </c>
    </row>
    <row r="311" spans="1:5" s="35" customFormat="1" x14ac:dyDescent="0.35">
      <c r="A311" s="32" t="str">
        <f t="shared" si="4"/>
        <v>MATH 252,ED2-MSE</v>
      </c>
      <c r="B311" s="33" t="s">
        <v>1055</v>
      </c>
      <c r="C311" s="32" t="s">
        <v>1059</v>
      </c>
      <c r="D311" s="34" t="s">
        <v>113</v>
      </c>
      <c r="E311" s="32" t="s">
        <v>112</v>
      </c>
    </row>
    <row r="312" spans="1:5" s="35" customFormat="1" x14ac:dyDescent="0.35">
      <c r="A312" s="32" t="str">
        <f t="shared" si="4"/>
        <v>MATH 252,ED2-ME</v>
      </c>
      <c r="B312" s="33" t="s">
        <v>1055</v>
      </c>
      <c r="C312" s="32" t="s">
        <v>1056</v>
      </c>
      <c r="D312" s="34" t="s">
        <v>16</v>
      </c>
      <c r="E312" s="32" t="s">
        <v>112</v>
      </c>
    </row>
    <row r="313" spans="1:5" s="35" customFormat="1" x14ac:dyDescent="0.35">
      <c r="A313" s="32" t="str">
        <f t="shared" si="4"/>
        <v>MATH 252,ED2-METE</v>
      </c>
      <c r="B313" s="33" t="s">
        <v>1055</v>
      </c>
      <c r="C313" s="32" t="s">
        <v>1059</v>
      </c>
      <c r="D313" s="34" t="s">
        <v>111</v>
      </c>
      <c r="E313" s="32" t="s">
        <v>112</v>
      </c>
    </row>
    <row r="314" spans="1:5" s="35" customFormat="1" x14ac:dyDescent="0.35">
      <c r="A314" s="32" t="str">
        <f t="shared" si="4"/>
        <v>MATH 252,ED2-PCE</v>
      </c>
      <c r="B314" s="33" t="s">
        <v>1057</v>
      </c>
      <c r="C314" s="32" t="s">
        <v>1058</v>
      </c>
      <c r="D314" s="34" t="s">
        <v>69</v>
      </c>
      <c r="E314" s="32" t="s">
        <v>112</v>
      </c>
    </row>
    <row r="315" spans="1:5" s="35" customFormat="1" x14ac:dyDescent="0.35">
      <c r="A315" s="32" t="str">
        <f t="shared" si="4"/>
        <v>MATH 252,ED2-PETE</v>
      </c>
      <c r="B315" s="33" t="s">
        <v>1057</v>
      </c>
      <c r="C315" s="32" t="s">
        <v>1058</v>
      </c>
      <c r="D315" s="34" t="s">
        <v>36</v>
      </c>
      <c r="E315" s="32" t="s">
        <v>112</v>
      </c>
    </row>
    <row r="316" spans="1:5" x14ac:dyDescent="0.35">
      <c r="A316" s="32" t="str">
        <f t="shared" si="4"/>
        <v>MATH 252,ED2-CE</v>
      </c>
      <c r="B316" s="33" t="s">
        <v>1055</v>
      </c>
      <c r="C316" s="32" t="s">
        <v>1396</v>
      </c>
      <c r="D316" s="34" t="s">
        <v>64</v>
      </c>
      <c r="E316" s="32" t="s">
        <v>112</v>
      </c>
    </row>
    <row r="317" spans="1:5" s="35" customFormat="1" x14ac:dyDescent="0.35">
      <c r="A317" s="32" t="str">
        <f t="shared" si="4"/>
        <v>ME 158,ED1-AERO</v>
      </c>
      <c r="B317" s="33" t="s">
        <v>1054</v>
      </c>
      <c r="C317" s="32" t="s">
        <v>302</v>
      </c>
      <c r="D317" s="34" t="s">
        <v>157</v>
      </c>
      <c r="E317" s="32" t="s">
        <v>299</v>
      </c>
    </row>
    <row r="318" spans="1:5" s="35" customFormat="1" x14ac:dyDescent="0.35">
      <c r="A318" s="32" t="str">
        <f t="shared" si="4"/>
        <v>ME 160,ED1-AE</v>
      </c>
      <c r="B318" s="33" t="s">
        <v>1051</v>
      </c>
      <c r="C318" s="32" t="s">
        <v>1053</v>
      </c>
      <c r="D318" s="34" t="s">
        <v>101</v>
      </c>
      <c r="E318" s="32" t="s">
        <v>175</v>
      </c>
    </row>
    <row r="319" spans="1:5" s="35" customFormat="1" x14ac:dyDescent="0.35">
      <c r="A319" s="32" t="str">
        <f t="shared" si="4"/>
        <v>ME 160,ED1-AUTO</v>
      </c>
      <c r="B319" s="33" t="s">
        <v>1051</v>
      </c>
      <c r="C319" s="32" t="s">
        <v>1052</v>
      </c>
      <c r="D319" s="34" t="s">
        <v>15</v>
      </c>
      <c r="E319" s="32" t="s">
        <v>175</v>
      </c>
    </row>
    <row r="320" spans="1:5" s="35" customFormat="1" x14ac:dyDescent="0.35">
      <c r="A320" s="32" t="str">
        <f t="shared" si="4"/>
        <v>ME 160,ED1-IND</v>
      </c>
      <c r="B320" s="33" t="s">
        <v>1051</v>
      </c>
      <c r="C320" s="32" t="s">
        <v>1052</v>
      </c>
      <c r="D320" s="34" t="s">
        <v>82</v>
      </c>
      <c r="E320" s="32" t="s">
        <v>175</v>
      </c>
    </row>
    <row r="321" spans="1:5" s="35" customFormat="1" x14ac:dyDescent="0.35">
      <c r="A321" s="32" t="str">
        <f t="shared" si="4"/>
        <v>ME 160,ED1-MARI</v>
      </c>
      <c r="B321" s="33" t="s">
        <v>1051</v>
      </c>
      <c r="C321" s="32" t="s">
        <v>1052</v>
      </c>
      <c r="D321" s="34" t="s">
        <v>43</v>
      </c>
      <c r="E321" s="32" t="s">
        <v>175</v>
      </c>
    </row>
    <row r="322" spans="1:5" s="35" customFormat="1" x14ac:dyDescent="0.35">
      <c r="A322" s="32" t="str">
        <f t="shared" si="4"/>
        <v>ME 160,ED1-MSE</v>
      </c>
      <c r="B322" s="33" t="s">
        <v>1051</v>
      </c>
      <c r="C322" s="32" t="s">
        <v>1410</v>
      </c>
      <c r="D322" s="34" t="s">
        <v>177</v>
      </c>
      <c r="E322" s="32" t="s">
        <v>175</v>
      </c>
    </row>
    <row r="323" spans="1:5" s="35" customFormat="1" x14ac:dyDescent="0.35">
      <c r="A323" s="32" t="str">
        <f t="shared" si="4"/>
        <v>ME 160,ED1-ME</v>
      </c>
      <c r="B323" s="33" t="s">
        <v>1051</v>
      </c>
      <c r="C323" s="32" t="s">
        <v>1052</v>
      </c>
      <c r="D323" s="34" t="s">
        <v>176</v>
      </c>
      <c r="E323" s="32" t="s">
        <v>175</v>
      </c>
    </row>
    <row r="324" spans="1:5" s="35" customFormat="1" x14ac:dyDescent="0.35">
      <c r="A324" s="32" t="str">
        <f t="shared" si="4"/>
        <v>ME 160,ED1-METE</v>
      </c>
      <c r="B324" s="33" t="s">
        <v>1051</v>
      </c>
      <c r="C324" s="32" t="s">
        <v>1053</v>
      </c>
      <c r="D324" s="34" t="s">
        <v>18</v>
      </c>
      <c r="E324" s="32" t="s">
        <v>175</v>
      </c>
    </row>
    <row r="325" spans="1:5" s="35" customFormat="1" ht="15" customHeight="1" x14ac:dyDescent="0.35">
      <c r="A325" s="32" t="str">
        <f t="shared" si="4"/>
        <v>ME 162,ED1-AE</v>
      </c>
      <c r="B325" s="33" t="s">
        <v>1050</v>
      </c>
      <c r="C325" s="32" t="s">
        <v>1049</v>
      </c>
      <c r="D325" s="34" t="s">
        <v>101</v>
      </c>
      <c r="E325" s="32" t="s">
        <v>290</v>
      </c>
    </row>
    <row r="326" spans="1:5" s="35" customFormat="1" x14ac:dyDescent="0.35">
      <c r="A326" s="32" t="str">
        <f t="shared" si="4"/>
        <v>ME 162,ED1-CHE</v>
      </c>
      <c r="B326" s="33" t="s">
        <v>1050</v>
      </c>
      <c r="C326" s="32" t="s">
        <v>1049</v>
      </c>
      <c r="D326" s="34" t="s">
        <v>60</v>
      </c>
      <c r="E326" s="32" t="s">
        <v>290</v>
      </c>
    </row>
    <row r="327" spans="1:5" s="35" customFormat="1" x14ac:dyDescent="0.35">
      <c r="A327" s="32" t="str">
        <f t="shared" si="4"/>
        <v>ME 162,ED1-MSE</v>
      </c>
      <c r="B327" s="33" t="s">
        <v>1050</v>
      </c>
      <c r="C327" s="32" t="s">
        <v>957</v>
      </c>
      <c r="D327" s="34" t="s">
        <v>177</v>
      </c>
      <c r="E327" s="32" t="s">
        <v>290</v>
      </c>
    </row>
    <row r="328" spans="1:5" s="35" customFormat="1" x14ac:dyDescent="0.35">
      <c r="A328" s="32" t="str">
        <f t="shared" si="4"/>
        <v>ME 162,ED1-METE</v>
      </c>
      <c r="B328" s="33" t="s">
        <v>1050</v>
      </c>
      <c r="C328" s="32" t="s">
        <v>1389</v>
      </c>
      <c r="D328" s="34" t="s">
        <v>18</v>
      </c>
      <c r="E328" s="32" t="s">
        <v>290</v>
      </c>
    </row>
    <row r="329" spans="1:5" s="35" customFormat="1" x14ac:dyDescent="0.35">
      <c r="A329" s="32" t="str">
        <f t="shared" ref="A329:A393" si="5">CONCATENATE(E329,",",D329)</f>
        <v>ME 162,ED1-PCE</v>
      </c>
      <c r="B329" s="33" t="s">
        <v>1050</v>
      </c>
      <c r="C329" s="32" t="s">
        <v>977</v>
      </c>
      <c r="D329" s="34" t="s">
        <v>58</v>
      </c>
      <c r="E329" s="32" t="s">
        <v>290</v>
      </c>
    </row>
    <row r="330" spans="1:5" x14ac:dyDescent="0.35">
      <c r="A330" s="32" t="str">
        <f t="shared" si="5"/>
        <v>ME 162,ED1-PETE</v>
      </c>
      <c r="B330" s="33" t="s">
        <v>1050</v>
      </c>
      <c r="C330" s="32" t="s">
        <v>957</v>
      </c>
      <c r="D330" s="34" t="s">
        <v>98</v>
      </c>
      <c r="E330" s="32" t="s">
        <v>290</v>
      </c>
    </row>
    <row r="331" spans="1:5" s="35" customFormat="1" x14ac:dyDescent="0.35">
      <c r="A331" s="32" t="str">
        <f t="shared" si="5"/>
        <v>ME 164,ED1-AERO</v>
      </c>
      <c r="B331" s="33" t="s">
        <v>1354</v>
      </c>
      <c r="C331" s="32" t="s">
        <v>1007</v>
      </c>
      <c r="D331" s="34" t="s">
        <v>157</v>
      </c>
      <c r="E331" s="32" t="s">
        <v>239</v>
      </c>
    </row>
    <row r="332" spans="1:5" s="35" customFormat="1" ht="15" customHeight="1" x14ac:dyDescent="0.35">
      <c r="A332" s="32" t="str">
        <f t="shared" si="5"/>
        <v>ME 164,ED1-AUTO</v>
      </c>
      <c r="B332" s="33" t="s">
        <v>1354</v>
      </c>
      <c r="C332" s="32" t="s">
        <v>1049</v>
      </c>
      <c r="D332" s="34" t="s">
        <v>15</v>
      </c>
      <c r="E332" s="32" t="s">
        <v>239</v>
      </c>
    </row>
    <row r="333" spans="1:5" s="35" customFormat="1" ht="15" customHeight="1" x14ac:dyDescent="0.35">
      <c r="A333" s="32" t="str">
        <f t="shared" si="5"/>
        <v>AME 156,ED1-AUTO</v>
      </c>
      <c r="B333" s="33" t="s">
        <v>1371</v>
      </c>
      <c r="C333" s="32" t="s">
        <v>1370</v>
      </c>
      <c r="D333" s="34" t="s">
        <v>15</v>
      </c>
      <c r="E333" s="32" t="s">
        <v>1369</v>
      </c>
    </row>
    <row r="334" spans="1:5" x14ac:dyDescent="0.35">
      <c r="A334" s="32" t="str">
        <f t="shared" si="5"/>
        <v>ME 164,ED1-IND</v>
      </c>
      <c r="B334" s="33" t="s">
        <v>1048</v>
      </c>
      <c r="C334" s="32" t="s">
        <v>1035</v>
      </c>
      <c r="D334" s="34" t="s">
        <v>82</v>
      </c>
      <c r="E334" s="32" t="s">
        <v>239</v>
      </c>
    </row>
    <row r="335" spans="1:5" s="35" customFormat="1" x14ac:dyDescent="0.35">
      <c r="A335" s="32" t="str">
        <f t="shared" si="5"/>
        <v>ME 164,ED1-MARI</v>
      </c>
      <c r="B335" s="33" t="s">
        <v>1048</v>
      </c>
      <c r="C335" s="32" t="s">
        <v>1035</v>
      </c>
      <c r="D335" s="34" t="s">
        <v>43</v>
      </c>
      <c r="E335" s="32" t="s">
        <v>239</v>
      </c>
    </row>
    <row r="336" spans="1:5" x14ac:dyDescent="0.35">
      <c r="A336" s="32" t="str">
        <f t="shared" si="5"/>
        <v>ME 164,ED1-ME</v>
      </c>
      <c r="B336" s="33" t="s">
        <v>1047</v>
      </c>
      <c r="C336" s="32" t="s">
        <v>1007</v>
      </c>
      <c r="D336" s="34" t="s">
        <v>176</v>
      </c>
      <c r="E336" s="32" t="s">
        <v>239</v>
      </c>
    </row>
    <row r="337" spans="1:5" s="35" customFormat="1" x14ac:dyDescent="0.35">
      <c r="A337" s="32" t="str">
        <f t="shared" si="5"/>
        <v>ME 166,ED1-EE</v>
      </c>
      <c r="B337" s="33" t="s">
        <v>1046</v>
      </c>
      <c r="C337" s="32" t="s">
        <v>957</v>
      </c>
      <c r="D337" s="34" t="s">
        <v>25</v>
      </c>
      <c r="E337" s="32" t="s">
        <v>267</v>
      </c>
    </row>
    <row r="338" spans="1:5" x14ac:dyDescent="0.35">
      <c r="A338" s="32" t="str">
        <f t="shared" si="5"/>
        <v>ME 168,ED1-AERO</v>
      </c>
      <c r="B338" s="33" t="s">
        <v>1045</v>
      </c>
      <c r="C338" s="32" t="s">
        <v>969</v>
      </c>
      <c r="D338" s="34" t="s">
        <v>157</v>
      </c>
      <c r="E338" s="32" t="s">
        <v>81</v>
      </c>
    </row>
    <row r="339" spans="1:5" x14ac:dyDescent="0.35">
      <c r="A339" s="32" t="str">
        <f t="shared" si="5"/>
        <v>ME 168,ED1-IND</v>
      </c>
      <c r="B339" s="33" t="s">
        <v>1045</v>
      </c>
      <c r="C339" s="32" t="s">
        <v>1007</v>
      </c>
      <c r="D339" s="34" t="s">
        <v>82</v>
      </c>
      <c r="E339" s="32" t="s">
        <v>81</v>
      </c>
    </row>
    <row r="340" spans="1:5" s="35" customFormat="1" x14ac:dyDescent="0.35">
      <c r="A340" s="32" t="str">
        <f t="shared" si="5"/>
        <v>ME 168,ED1-MARI</v>
      </c>
      <c r="B340" s="33" t="s">
        <v>1045</v>
      </c>
      <c r="C340" s="32" t="s">
        <v>1007</v>
      </c>
      <c r="D340" s="34" t="s">
        <v>43</v>
      </c>
      <c r="E340" s="32" t="s">
        <v>81</v>
      </c>
    </row>
    <row r="341" spans="1:5" s="35" customFormat="1" x14ac:dyDescent="0.35">
      <c r="A341" s="32" t="str">
        <f t="shared" si="5"/>
        <v>ME 168,ED1-ME</v>
      </c>
      <c r="B341" s="33" t="s">
        <v>1045</v>
      </c>
      <c r="C341" s="32" t="s">
        <v>969</v>
      </c>
      <c r="D341" s="34" t="s">
        <v>176</v>
      </c>
      <c r="E341" s="32" t="s">
        <v>81</v>
      </c>
    </row>
    <row r="342" spans="1:5" s="35" customFormat="1" x14ac:dyDescent="0.35">
      <c r="A342" s="32" t="str">
        <f t="shared" si="5"/>
        <v>ME 174,ED1-AUTO</v>
      </c>
      <c r="B342" s="33" t="s">
        <v>1044</v>
      </c>
      <c r="C342" s="32" t="s">
        <v>980</v>
      </c>
      <c r="D342" s="34" t="s">
        <v>15</v>
      </c>
      <c r="E342" s="32" t="s">
        <v>568</v>
      </c>
    </row>
    <row r="343" spans="1:5" x14ac:dyDescent="0.35">
      <c r="A343" s="32" t="str">
        <f t="shared" si="5"/>
        <v>ME 174,ED1-ME</v>
      </c>
      <c r="B343" s="33" t="s">
        <v>1044</v>
      </c>
      <c r="C343" s="32" t="s">
        <v>980</v>
      </c>
      <c r="D343" s="34" t="s">
        <v>176</v>
      </c>
      <c r="E343" s="32" t="s">
        <v>568</v>
      </c>
    </row>
    <row r="344" spans="1:5" x14ac:dyDescent="0.35">
      <c r="A344" s="32" t="str">
        <f t="shared" si="5"/>
        <v>ME 252,ED2-AUTO</v>
      </c>
      <c r="B344" s="33" t="s">
        <v>1043</v>
      </c>
      <c r="C344" s="32" t="s">
        <v>1020</v>
      </c>
      <c r="D344" s="34" t="s">
        <v>11</v>
      </c>
      <c r="E344" s="32" t="s">
        <v>339</v>
      </c>
    </row>
    <row r="345" spans="1:5" s="35" customFormat="1" x14ac:dyDescent="0.35">
      <c r="A345" s="32" t="str">
        <f t="shared" si="5"/>
        <v>ME 252,ED2-IND</v>
      </c>
      <c r="B345" s="33" t="s">
        <v>1043</v>
      </c>
      <c r="C345" s="32" t="s">
        <v>1020</v>
      </c>
      <c r="D345" s="34" t="s">
        <v>17</v>
      </c>
      <c r="E345" s="32" t="s">
        <v>339</v>
      </c>
    </row>
    <row r="346" spans="1:5" s="35" customFormat="1" x14ac:dyDescent="0.35">
      <c r="A346" s="32" t="str">
        <f t="shared" si="5"/>
        <v>ME 252,ED2-MARI</v>
      </c>
      <c r="B346" s="33" t="s">
        <v>1043</v>
      </c>
      <c r="C346" s="32" t="s">
        <v>1020</v>
      </c>
      <c r="D346" s="34" t="s">
        <v>31</v>
      </c>
      <c r="E346" s="32" t="s">
        <v>339</v>
      </c>
    </row>
    <row r="347" spans="1:5" s="35" customFormat="1" x14ac:dyDescent="0.35">
      <c r="A347" s="32" t="str">
        <f t="shared" si="5"/>
        <v>ME 252,ED2-ME</v>
      </c>
      <c r="B347" s="33" t="s">
        <v>1043</v>
      </c>
      <c r="C347" s="32" t="s">
        <v>1020</v>
      </c>
      <c r="D347" s="34" t="s">
        <v>16</v>
      </c>
      <c r="E347" s="32" t="s">
        <v>339</v>
      </c>
    </row>
    <row r="348" spans="1:5" s="35" customFormat="1" x14ac:dyDescent="0.35">
      <c r="A348" s="32" t="str">
        <f t="shared" si="5"/>
        <v>ME 258,ED2-AERO</v>
      </c>
      <c r="B348" s="33" t="s">
        <v>1042</v>
      </c>
      <c r="C348" s="32" t="s">
        <v>302</v>
      </c>
      <c r="D348" s="34" t="s">
        <v>13</v>
      </c>
      <c r="E348" s="32" t="s">
        <v>387</v>
      </c>
    </row>
    <row r="349" spans="1:5" s="35" customFormat="1" x14ac:dyDescent="0.35">
      <c r="A349" s="32" t="str">
        <f t="shared" si="5"/>
        <v>ME 262,ED2-AE</v>
      </c>
      <c r="B349" s="33" t="s">
        <v>1041</v>
      </c>
      <c r="C349" s="32" t="s">
        <v>976</v>
      </c>
      <c r="D349" s="34" t="s">
        <v>51</v>
      </c>
      <c r="E349" s="32" t="s">
        <v>170</v>
      </c>
    </row>
    <row r="350" spans="1:5" s="35" customFormat="1" x14ac:dyDescent="0.35">
      <c r="A350" s="32" t="str">
        <f t="shared" si="5"/>
        <v>ME 264,ED2-AERO</v>
      </c>
      <c r="B350" s="33" t="s">
        <v>1040</v>
      </c>
      <c r="C350" s="32" t="s">
        <v>982</v>
      </c>
      <c r="D350" s="34" t="s">
        <v>13</v>
      </c>
      <c r="E350" s="32" t="s">
        <v>323</v>
      </c>
    </row>
    <row r="351" spans="1:5" s="35" customFormat="1" x14ac:dyDescent="0.35">
      <c r="A351" s="32" t="str">
        <f t="shared" si="5"/>
        <v>ME 264,ED2-AUTO</v>
      </c>
      <c r="B351" s="33" t="s">
        <v>1040</v>
      </c>
      <c r="C351" s="32" t="s">
        <v>982</v>
      </c>
      <c r="D351" s="34" t="s">
        <v>11</v>
      </c>
      <c r="E351" s="32" t="s">
        <v>323</v>
      </c>
    </row>
    <row r="352" spans="1:5" x14ac:dyDescent="0.35">
      <c r="A352" s="32" t="str">
        <f t="shared" si="5"/>
        <v>ME 264,ED2-IND</v>
      </c>
      <c r="B352" s="33" t="s">
        <v>1040</v>
      </c>
      <c r="C352" s="32" t="s">
        <v>982</v>
      </c>
      <c r="D352" s="34" t="s">
        <v>17</v>
      </c>
      <c r="E352" s="32" t="s">
        <v>323</v>
      </c>
    </row>
    <row r="353" spans="1:5" s="35" customFormat="1" x14ac:dyDescent="0.35">
      <c r="A353" s="32" t="str">
        <f t="shared" si="5"/>
        <v>ME 264,ED2-ME</v>
      </c>
      <c r="B353" s="33" t="s">
        <v>1040</v>
      </c>
      <c r="C353" s="32" t="s">
        <v>982</v>
      </c>
      <c r="D353" s="34" t="s">
        <v>16</v>
      </c>
      <c r="E353" s="32" t="s">
        <v>323</v>
      </c>
    </row>
    <row r="354" spans="1:5" s="35" customFormat="1" x14ac:dyDescent="0.35">
      <c r="A354" s="32" t="str">
        <f t="shared" si="5"/>
        <v>ME 266,ED2-AERO</v>
      </c>
      <c r="B354" s="33" t="s">
        <v>1039</v>
      </c>
      <c r="C354" s="32" t="s">
        <v>977</v>
      </c>
      <c r="D354" s="34" t="s">
        <v>13</v>
      </c>
      <c r="E354" s="32" t="s">
        <v>14</v>
      </c>
    </row>
    <row r="355" spans="1:5" s="35" customFormat="1" x14ac:dyDescent="0.35">
      <c r="A355" s="32" t="str">
        <f t="shared" si="5"/>
        <v>ME 266,ED2-IND</v>
      </c>
      <c r="B355" s="33" t="s">
        <v>1039</v>
      </c>
      <c r="C355" s="32" t="s">
        <v>1035</v>
      </c>
      <c r="D355" s="34" t="s">
        <v>17</v>
      </c>
      <c r="E355" s="32" t="s">
        <v>14</v>
      </c>
    </row>
    <row r="356" spans="1:5" x14ac:dyDescent="0.35">
      <c r="A356" s="32" t="str">
        <f t="shared" si="5"/>
        <v>ME 266,ED2-ME</v>
      </c>
      <c r="B356" s="33" t="s">
        <v>1039</v>
      </c>
      <c r="C356" s="32" t="s">
        <v>1035</v>
      </c>
      <c r="D356" s="34" t="s">
        <v>16</v>
      </c>
      <c r="E356" s="32" t="s">
        <v>14</v>
      </c>
    </row>
    <row r="357" spans="1:5" s="35" customFormat="1" x14ac:dyDescent="0.35">
      <c r="A357" s="32" t="str">
        <f t="shared" si="5"/>
        <v>ME 270,ED2-AUTO</v>
      </c>
      <c r="B357" s="33" t="s">
        <v>1038</v>
      </c>
      <c r="C357" s="32" t="s">
        <v>977</v>
      </c>
      <c r="D357" s="34" t="s">
        <v>11</v>
      </c>
      <c r="E357" s="32" t="s">
        <v>148</v>
      </c>
    </row>
    <row r="358" spans="1:5" s="35" customFormat="1" ht="15" customHeight="1" x14ac:dyDescent="0.35">
      <c r="A358" s="32" t="str">
        <f t="shared" si="5"/>
        <v>ME 270,ED2-IND</v>
      </c>
      <c r="B358" s="33" t="s">
        <v>1038</v>
      </c>
      <c r="C358" s="32" t="s">
        <v>977</v>
      </c>
      <c r="D358" s="34" t="s">
        <v>17</v>
      </c>
      <c r="E358" s="32" t="s">
        <v>148</v>
      </c>
    </row>
    <row r="359" spans="1:5" x14ac:dyDescent="0.35">
      <c r="A359" s="32" t="str">
        <f t="shared" si="5"/>
        <v>ME 270,ED2-MARI</v>
      </c>
      <c r="B359" s="33" t="s">
        <v>1038</v>
      </c>
      <c r="C359" s="32" t="s">
        <v>977</v>
      </c>
      <c r="D359" s="34" t="s">
        <v>31</v>
      </c>
      <c r="E359" s="32" t="s">
        <v>148</v>
      </c>
    </row>
    <row r="360" spans="1:5" x14ac:dyDescent="0.35">
      <c r="A360" s="32" t="str">
        <f t="shared" si="5"/>
        <v>ME 370,ED3-ME</v>
      </c>
      <c r="B360" s="33" t="s">
        <v>1038</v>
      </c>
      <c r="C360" s="32" t="s">
        <v>1373</v>
      </c>
      <c r="D360" s="34" t="s">
        <v>77</v>
      </c>
      <c r="E360" s="32" t="s">
        <v>1372</v>
      </c>
    </row>
    <row r="361" spans="1:5" s="35" customFormat="1" x14ac:dyDescent="0.35">
      <c r="A361" s="32" t="str">
        <f t="shared" si="5"/>
        <v>ME 274,ED2-ME</v>
      </c>
      <c r="B361" s="33" t="s">
        <v>1037</v>
      </c>
      <c r="C361" s="32" t="s">
        <v>1014</v>
      </c>
      <c r="D361" s="34" t="s">
        <v>16</v>
      </c>
      <c r="E361" s="32" t="s">
        <v>563</v>
      </c>
    </row>
    <row r="362" spans="1:5" x14ac:dyDescent="0.35">
      <c r="A362" s="32" t="str">
        <f t="shared" si="5"/>
        <v>ME 282,ED2-AE</v>
      </c>
      <c r="B362" s="33" t="s">
        <v>1036</v>
      </c>
      <c r="C362" s="32" t="s">
        <v>929</v>
      </c>
      <c r="D362" s="34" t="s">
        <v>51</v>
      </c>
      <c r="E362" s="32" t="s">
        <v>402</v>
      </c>
    </row>
    <row r="363" spans="1:5" s="35" customFormat="1" x14ac:dyDescent="0.35">
      <c r="A363" s="32" t="str">
        <f t="shared" si="5"/>
        <v>ME 292,ED2-ME</v>
      </c>
      <c r="B363" s="33" t="s">
        <v>1022</v>
      </c>
      <c r="C363" s="32" t="s">
        <v>971</v>
      </c>
      <c r="D363" s="34" t="s">
        <v>16</v>
      </c>
      <c r="E363" s="32" t="s">
        <v>201</v>
      </c>
    </row>
    <row r="364" spans="1:5" x14ac:dyDescent="0.35">
      <c r="A364" s="32" t="str">
        <f t="shared" si="5"/>
        <v>ME 296,ED2-AE</v>
      </c>
      <c r="B364" s="33" t="s">
        <v>1034</v>
      </c>
      <c r="C364" s="32" t="s">
        <v>977</v>
      </c>
      <c r="D364" s="34" t="s">
        <v>51</v>
      </c>
      <c r="E364" s="32" t="s">
        <v>561</v>
      </c>
    </row>
    <row r="365" spans="1:5" s="35" customFormat="1" x14ac:dyDescent="0.35">
      <c r="A365" s="32" t="str">
        <f t="shared" si="5"/>
        <v>ME 296,ED2-ME</v>
      </c>
      <c r="B365" s="33" t="s">
        <v>1034</v>
      </c>
      <c r="C365" s="32" t="s">
        <v>1035</v>
      </c>
      <c r="D365" s="34" t="s">
        <v>16</v>
      </c>
      <c r="E365" s="32" t="s">
        <v>561</v>
      </c>
    </row>
    <row r="366" spans="1:5" x14ac:dyDescent="0.35">
      <c r="A366" s="32" t="str">
        <f t="shared" si="5"/>
        <v>ME 352,ED3-MARI</v>
      </c>
      <c r="B366" s="33" t="s">
        <v>1033</v>
      </c>
      <c r="C366" s="32" t="s">
        <v>969</v>
      </c>
      <c r="D366" s="34" t="s">
        <v>38</v>
      </c>
      <c r="E366" s="32" t="s">
        <v>558</v>
      </c>
    </row>
    <row r="367" spans="1:5" s="35" customFormat="1" x14ac:dyDescent="0.35">
      <c r="A367" s="32" t="str">
        <f t="shared" si="5"/>
        <v>ME 352,ED3-ME</v>
      </c>
      <c r="B367" s="33" t="s">
        <v>1032</v>
      </c>
      <c r="C367" s="32" t="s">
        <v>969</v>
      </c>
      <c r="D367" s="34" t="s">
        <v>77</v>
      </c>
      <c r="E367" s="32" t="s">
        <v>558</v>
      </c>
    </row>
    <row r="368" spans="1:5" s="35" customFormat="1" x14ac:dyDescent="0.35">
      <c r="A368" s="32" t="str">
        <f t="shared" si="5"/>
        <v>ME 356,ED3-ME</v>
      </c>
      <c r="B368" s="33" t="s">
        <v>1031</v>
      </c>
      <c r="C368" s="32" t="s">
        <v>969</v>
      </c>
      <c r="D368" s="34" t="s">
        <v>77</v>
      </c>
      <c r="E368" s="32" t="s">
        <v>122</v>
      </c>
    </row>
    <row r="369" spans="1:5" s="35" customFormat="1" x14ac:dyDescent="0.35">
      <c r="A369" s="32" t="str">
        <f t="shared" si="5"/>
        <v>ME 362,ED3-AERO</v>
      </c>
      <c r="B369" s="33" t="s">
        <v>1030</v>
      </c>
      <c r="C369" s="32" t="s">
        <v>976</v>
      </c>
      <c r="D369" s="34" t="s">
        <v>117</v>
      </c>
      <c r="E369" s="32" t="s">
        <v>253</v>
      </c>
    </row>
    <row r="370" spans="1:5" s="35" customFormat="1" x14ac:dyDescent="0.35">
      <c r="A370" s="32" t="str">
        <f t="shared" si="5"/>
        <v>ME 362,ED3-MARI</v>
      </c>
      <c r="B370" s="33" t="s">
        <v>1030</v>
      </c>
      <c r="C370" s="32" t="s">
        <v>976</v>
      </c>
      <c r="D370" s="34" t="s">
        <v>38</v>
      </c>
      <c r="E370" s="32" t="s">
        <v>253</v>
      </c>
    </row>
    <row r="371" spans="1:5" s="35" customFormat="1" x14ac:dyDescent="0.35">
      <c r="A371" s="32" t="str">
        <f t="shared" si="5"/>
        <v>ME 362,ED3-ME</v>
      </c>
      <c r="B371" s="33" t="s">
        <v>1030</v>
      </c>
      <c r="C371" s="32" t="s">
        <v>976</v>
      </c>
      <c r="D371" s="34" t="s">
        <v>77</v>
      </c>
      <c r="E371" s="32" t="s">
        <v>253</v>
      </c>
    </row>
    <row r="372" spans="1:5" s="35" customFormat="1" x14ac:dyDescent="0.35">
      <c r="A372" s="32" t="str">
        <f t="shared" si="5"/>
        <v>ME 366,ED3-AERO</v>
      </c>
      <c r="B372" s="33" t="s">
        <v>1028</v>
      </c>
      <c r="C372" s="32" t="s">
        <v>1010</v>
      </c>
      <c r="D372" s="34" t="s">
        <v>117</v>
      </c>
      <c r="E372" s="32" t="s">
        <v>331</v>
      </c>
    </row>
    <row r="373" spans="1:5" s="35" customFormat="1" x14ac:dyDescent="0.35">
      <c r="A373" s="32" t="str">
        <f t="shared" si="5"/>
        <v>ME 366,ED3-AE</v>
      </c>
      <c r="B373" s="33" t="s">
        <v>1028</v>
      </c>
      <c r="C373" s="32" t="s">
        <v>1010</v>
      </c>
      <c r="D373" s="34" t="s">
        <v>88</v>
      </c>
      <c r="E373" s="32" t="s">
        <v>331</v>
      </c>
    </row>
    <row r="374" spans="1:5" s="35" customFormat="1" x14ac:dyDescent="0.35">
      <c r="A374" s="32" t="str">
        <f t="shared" si="5"/>
        <v>ME 366,ED3-MARI</v>
      </c>
      <c r="B374" s="33" t="s">
        <v>1028</v>
      </c>
      <c r="C374" s="32" t="s">
        <v>1010</v>
      </c>
      <c r="D374" s="34" t="s">
        <v>38</v>
      </c>
      <c r="E374" s="32" t="s">
        <v>331</v>
      </c>
    </row>
    <row r="375" spans="1:5" s="35" customFormat="1" x14ac:dyDescent="0.35">
      <c r="A375" s="32" t="str">
        <f t="shared" si="5"/>
        <v>ME 366,ED3-ME</v>
      </c>
      <c r="B375" s="33" t="s">
        <v>1028</v>
      </c>
      <c r="C375" s="32" t="s">
        <v>1010</v>
      </c>
      <c r="D375" s="34" t="s">
        <v>77</v>
      </c>
      <c r="E375" s="32" t="s">
        <v>331</v>
      </c>
    </row>
    <row r="376" spans="1:5" s="35" customFormat="1" x14ac:dyDescent="0.35">
      <c r="A376" s="32" t="str">
        <f t="shared" si="5"/>
        <v>COE 482,ED4-COE</v>
      </c>
      <c r="B376" s="33" t="s">
        <v>695</v>
      </c>
      <c r="C376" s="32" t="s">
        <v>1029</v>
      </c>
      <c r="D376" s="34" t="s">
        <v>196</v>
      </c>
      <c r="E376" s="32" t="s">
        <v>696</v>
      </c>
    </row>
    <row r="377" spans="1:5" s="35" customFormat="1" x14ac:dyDescent="0.35">
      <c r="A377" s="32" t="str">
        <f t="shared" si="5"/>
        <v>ME 366,ED3-ME</v>
      </c>
      <c r="B377" s="33" t="s">
        <v>1028</v>
      </c>
      <c r="C377" s="32" t="s">
        <v>1010</v>
      </c>
      <c r="D377" s="34" t="s">
        <v>77</v>
      </c>
      <c r="E377" s="32" t="s">
        <v>331</v>
      </c>
    </row>
    <row r="378" spans="1:5" s="35" customFormat="1" x14ac:dyDescent="0.35">
      <c r="A378" s="32" t="str">
        <f t="shared" si="5"/>
        <v>ME 374,ED3-AE</v>
      </c>
      <c r="B378" s="33" t="s">
        <v>1027</v>
      </c>
      <c r="C378" s="32" t="s">
        <v>980</v>
      </c>
      <c r="D378" s="34" t="s">
        <v>88</v>
      </c>
      <c r="E378" s="32" t="s">
        <v>78</v>
      </c>
    </row>
    <row r="379" spans="1:5" s="35" customFormat="1" ht="15" customHeight="1" x14ac:dyDescent="0.35">
      <c r="A379" s="32" t="str">
        <f t="shared" si="5"/>
        <v>ME 374,ED3-ME</v>
      </c>
      <c r="B379" s="33" t="s">
        <v>1026</v>
      </c>
      <c r="C379" s="32" t="s">
        <v>1014</v>
      </c>
      <c r="D379" s="34" t="s">
        <v>77</v>
      </c>
      <c r="E379" s="32" t="s">
        <v>78</v>
      </c>
    </row>
    <row r="380" spans="1:5" s="35" customFormat="1" x14ac:dyDescent="0.35">
      <c r="A380" s="32" t="str">
        <f t="shared" si="5"/>
        <v>ME 376,ED3-AE</v>
      </c>
      <c r="B380" s="33" t="s">
        <v>1025</v>
      </c>
      <c r="C380" s="32" t="s">
        <v>980</v>
      </c>
      <c r="D380" s="34" t="s">
        <v>88</v>
      </c>
      <c r="E380" s="32" t="s">
        <v>179</v>
      </c>
    </row>
    <row r="381" spans="1:5" s="35" customFormat="1" x14ac:dyDescent="0.35">
      <c r="A381" s="32" t="str">
        <f t="shared" si="5"/>
        <v>ME 384,ED3-AUTO</v>
      </c>
      <c r="B381" s="33" t="s">
        <v>1023</v>
      </c>
      <c r="C381" s="32" t="s">
        <v>1024</v>
      </c>
      <c r="D381" s="34" t="s">
        <v>150</v>
      </c>
      <c r="E381" s="32" t="s">
        <v>775</v>
      </c>
    </row>
    <row r="382" spans="1:5" s="35" customFormat="1" ht="15" customHeight="1" x14ac:dyDescent="0.35">
      <c r="A382" s="32" t="str">
        <f t="shared" si="5"/>
        <v>ME 392,ED3-AERO</v>
      </c>
      <c r="B382" s="33" t="s">
        <v>1022</v>
      </c>
      <c r="C382" s="32" t="s">
        <v>971</v>
      </c>
      <c r="D382" s="34" t="s">
        <v>117</v>
      </c>
      <c r="E382" s="32" t="s">
        <v>202</v>
      </c>
    </row>
    <row r="383" spans="1:5" s="35" customFormat="1" x14ac:dyDescent="0.35">
      <c r="A383" s="32" t="str">
        <f t="shared" si="5"/>
        <v>ME 392,ED3-ME</v>
      </c>
      <c r="B383" s="33" t="s">
        <v>1021</v>
      </c>
      <c r="C383" s="32" t="s">
        <v>971</v>
      </c>
      <c r="D383" s="34" t="s">
        <v>77</v>
      </c>
      <c r="E383" s="32" t="s">
        <v>202</v>
      </c>
    </row>
    <row r="384" spans="1:5" s="35" customFormat="1" x14ac:dyDescent="0.35">
      <c r="A384" s="32" t="str">
        <f t="shared" si="5"/>
        <v>ME 396,ED3-ME</v>
      </c>
      <c r="B384" s="33" t="s">
        <v>1019</v>
      </c>
      <c r="C384" s="32" t="s">
        <v>1007</v>
      </c>
      <c r="D384" s="34" t="s">
        <v>77</v>
      </c>
      <c r="E384" s="32" t="s">
        <v>551</v>
      </c>
    </row>
    <row r="385" spans="1:5" s="35" customFormat="1" x14ac:dyDescent="0.35">
      <c r="A385" s="32" t="str">
        <f t="shared" si="5"/>
        <v>ME 452,ED4-ME</v>
      </c>
      <c r="B385" s="33" t="s">
        <v>1017</v>
      </c>
      <c r="C385" s="32" t="s">
        <v>1018</v>
      </c>
      <c r="D385" s="34" t="s">
        <v>91</v>
      </c>
      <c r="E385" s="32" t="s">
        <v>186</v>
      </c>
    </row>
    <row r="386" spans="1:5" s="35" customFormat="1" x14ac:dyDescent="0.35">
      <c r="A386" s="32" t="str">
        <f t="shared" si="5"/>
        <v>ME 476,ED4-ME</v>
      </c>
      <c r="B386" s="33" t="s">
        <v>1015</v>
      </c>
      <c r="C386" s="32" t="s">
        <v>1016</v>
      </c>
      <c r="D386" s="34" t="s">
        <v>91</v>
      </c>
      <c r="E386" s="32" t="s">
        <v>540</v>
      </c>
    </row>
    <row r="387" spans="1:5" s="35" customFormat="1" x14ac:dyDescent="0.35">
      <c r="A387" s="32" t="str">
        <f t="shared" si="5"/>
        <v>ME 456,ED4-AERO</v>
      </c>
      <c r="B387" s="33" t="s">
        <v>1013</v>
      </c>
      <c r="C387" s="32" t="s">
        <v>1014</v>
      </c>
      <c r="D387" s="34" t="s">
        <v>93</v>
      </c>
      <c r="E387" s="32" t="s">
        <v>125</v>
      </c>
    </row>
    <row r="388" spans="1:5" s="35" customFormat="1" x14ac:dyDescent="0.35">
      <c r="A388" s="32" t="str">
        <f t="shared" si="5"/>
        <v>ME 456,ED4-AUTO</v>
      </c>
      <c r="B388" s="33" t="s">
        <v>1355</v>
      </c>
      <c r="C388" s="32" t="s">
        <v>1014</v>
      </c>
      <c r="D388" s="34" t="s">
        <v>126</v>
      </c>
      <c r="E388" s="32" t="s">
        <v>125</v>
      </c>
    </row>
    <row r="389" spans="1:5" s="35" customFormat="1" x14ac:dyDescent="0.35">
      <c r="A389" s="32" t="str">
        <f t="shared" si="5"/>
        <v>ME 456,ED4-ME</v>
      </c>
      <c r="B389" s="33" t="s">
        <v>1013</v>
      </c>
      <c r="C389" s="32" t="s">
        <v>1014</v>
      </c>
      <c r="D389" s="34" t="s">
        <v>91</v>
      </c>
      <c r="E389" s="32" t="s">
        <v>125</v>
      </c>
    </row>
    <row r="390" spans="1:5" s="35" customFormat="1" x14ac:dyDescent="0.35">
      <c r="A390" s="32" t="str">
        <f t="shared" si="5"/>
        <v>ME 462,ED4-AERO</v>
      </c>
      <c r="B390" s="33" t="s">
        <v>1012</v>
      </c>
      <c r="C390" s="32" t="s">
        <v>1411</v>
      </c>
      <c r="D390" s="34" t="s">
        <v>93</v>
      </c>
      <c r="E390" s="32" t="s">
        <v>292</v>
      </c>
    </row>
    <row r="391" spans="1:5" s="35" customFormat="1" x14ac:dyDescent="0.35">
      <c r="A391" s="32" t="str">
        <f t="shared" si="5"/>
        <v>ME 462,ED4-ME</v>
      </c>
      <c r="B391" s="33" t="s">
        <v>1012</v>
      </c>
      <c r="C391" s="32" t="s">
        <v>1411</v>
      </c>
      <c r="D391" s="34" t="s">
        <v>91</v>
      </c>
      <c r="E391" s="32" t="s">
        <v>292</v>
      </c>
    </row>
    <row r="392" spans="1:5" s="35" customFormat="1" x14ac:dyDescent="0.35">
      <c r="A392" s="32" t="str">
        <f t="shared" si="5"/>
        <v>ME 464,ED4-ME</v>
      </c>
      <c r="B392" s="33" t="s">
        <v>1011</v>
      </c>
      <c r="C392" s="32" t="s">
        <v>976</v>
      </c>
      <c r="D392" s="34" t="s">
        <v>91</v>
      </c>
      <c r="E392" s="32" t="s">
        <v>546</v>
      </c>
    </row>
    <row r="393" spans="1:5" s="35" customFormat="1" x14ac:dyDescent="0.35">
      <c r="A393" s="32" t="str">
        <f t="shared" si="5"/>
        <v>ME 468,ED4-AERO</v>
      </c>
      <c r="B393" s="33" t="s">
        <v>1009</v>
      </c>
      <c r="C393" s="32" t="s">
        <v>1010</v>
      </c>
      <c r="D393" s="34" t="s">
        <v>93</v>
      </c>
      <c r="E393" s="32" t="s">
        <v>92</v>
      </c>
    </row>
    <row r="394" spans="1:5" s="35" customFormat="1" x14ac:dyDescent="0.35">
      <c r="A394" s="32" t="str">
        <f t="shared" ref="A394:A459" si="6">CONCATENATE(E394,",",D394)</f>
        <v>ME 468,ED4-ME</v>
      </c>
      <c r="B394" s="33" t="s">
        <v>1009</v>
      </c>
      <c r="C394" s="32" t="s">
        <v>1010</v>
      </c>
      <c r="D394" s="34" t="s">
        <v>91</v>
      </c>
      <c r="E394" s="32" t="s">
        <v>92</v>
      </c>
    </row>
    <row r="395" spans="1:5" s="35" customFormat="1" x14ac:dyDescent="0.35">
      <c r="A395" s="32" t="str">
        <f t="shared" si="6"/>
        <v>ME 472,ED4-AERO</v>
      </c>
      <c r="B395" s="33" t="s">
        <v>1008</v>
      </c>
      <c r="C395" s="32" t="s">
        <v>1005</v>
      </c>
      <c r="D395" s="34" t="s">
        <v>93</v>
      </c>
      <c r="E395" s="32" t="s">
        <v>215</v>
      </c>
    </row>
    <row r="396" spans="1:5" s="35" customFormat="1" x14ac:dyDescent="0.35">
      <c r="A396" s="32" t="str">
        <f t="shared" si="6"/>
        <v>ME 472,ED4-ME</v>
      </c>
      <c r="B396" s="33" t="s">
        <v>1008</v>
      </c>
      <c r="C396" s="32" t="s">
        <v>1005</v>
      </c>
      <c r="D396" s="34" t="s">
        <v>91</v>
      </c>
      <c r="E396" s="32" t="s">
        <v>215</v>
      </c>
    </row>
    <row r="397" spans="1:5" s="35" customFormat="1" x14ac:dyDescent="0.35">
      <c r="A397" s="32" t="str">
        <f t="shared" si="6"/>
        <v>ME 474,ED4-AERO</v>
      </c>
      <c r="B397" s="33" t="s">
        <v>1006</v>
      </c>
      <c r="C397" s="32" t="s">
        <v>1007</v>
      </c>
      <c r="D397" s="34" t="s">
        <v>93</v>
      </c>
      <c r="E397" s="32" t="s">
        <v>542</v>
      </c>
    </row>
    <row r="398" spans="1:5" s="35" customFormat="1" x14ac:dyDescent="0.35">
      <c r="A398" s="32" t="str">
        <f t="shared" si="6"/>
        <v>ME 474,ED4-ME</v>
      </c>
      <c r="B398" s="33" t="s">
        <v>1006</v>
      </c>
      <c r="C398" s="32" t="s">
        <v>1007</v>
      </c>
      <c r="D398" s="34" t="s">
        <v>91</v>
      </c>
      <c r="E398" s="32" t="s">
        <v>542</v>
      </c>
    </row>
    <row r="399" spans="1:5" s="35" customFormat="1" x14ac:dyDescent="0.35">
      <c r="A399" s="32" t="str">
        <f t="shared" si="6"/>
        <v>ME 478,ED4-ME</v>
      </c>
      <c r="B399" s="33" t="s">
        <v>1004</v>
      </c>
      <c r="C399" s="32" t="s">
        <v>1005</v>
      </c>
      <c r="D399" s="34" t="s">
        <v>91</v>
      </c>
      <c r="E399" s="32" t="s">
        <v>394</v>
      </c>
    </row>
    <row r="400" spans="1:5" s="35" customFormat="1" x14ac:dyDescent="0.35">
      <c r="A400" s="32" t="str">
        <f t="shared" si="6"/>
        <v>ME 482,ED4-ME</v>
      </c>
      <c r="B400" s="33" t="s">
        <v>1003</v>
      </c>
      <c r="C400" s="32" t="s">
        <v>994</v>
      </c>
      <c r="D400" s="34" t="s">
        <v>91</v>
      </c>
      <c r="E400" s="32" t="s">
        <v>223</v>
      </c>
    </row>
    <row r="401" spans="1:5" s="35" customFormat="1" x14ac:dyDescent="0.35">
      <c r="A401" s="32" t="str">
        <f t="shared" si="6"/>
        <v>ME 492,ED4-AERO</v>
      </c>
      <c r="B401" s="33" t="s">
        <v>997</v>
      </c>
      <c r="C401" s="32" t="s">
        <v>971</v>
      </c>
      <c r="D401" s="34" t="s">
        <v>93</v>
      </c>
      <c r="E401" s="32" t="s">
        <v>424</v>
      </c>
    </row>
    <row r="402" spans="1:5" s="35" customFormat="1" x14ac:dyDescent="0.35">
      <c r="A402" s="32" t="str">
        <f t="shared" si="6"/>
        <v>ME 492,ED4-AE</v>
      </c>
      <c r="B402" s="33" t="s">
        <v>997</v>
      </c>
      <c r="C402" s="32" t="s">
        <v>1001</v>
      </c>
      <c r="D402" s="34" t="s">
        <v>109</v>
      </c>
      <c r="E402" s="32" t="s">
        <v>424</v>
      </c>
    </row>
    <row r="403" spans="1:5" s="35" customFormat="1" x14ac:dyDescent="0.35">
      <c r="A403" s="32" t="str">
        <f t="shared" si="6"/>
        <v>ME 492,ED4-AUTO</v>
      </c>
      <c r="B403" s="33" t="s">
        <v>997</v>
      </c>
      <c r="C403" s="32" t="s">
        <v>971</v>
      </c>
      <c r="D403" s="34" t="s">
        <v>126</v>
      </c>
      <c r="E403" s="32" t="s">
        <v>424</v>
      </c>
    </row>
    <row r="404" spans="1:5" s="35" customFormat="1" x14ac:dyDescent="0.35">
      <c r="A404" s="32" t="str">
        <f t="shared" si="6"/>
        <v>ME 492,ED4-BME</v>
      </c>
      <c r="B404" s="33" t="s">
        <v>1002</v>
      </c>
      <c r="C404" s="32" t="s">
        <v>1001</v>
      </c>
      <c r="D404" s="34" t="s">
        <v>242</v>
      </c>
      <c r="E404" s="32" t="s">
        <v>424</v>
      </c>
    </row>
    <row r="405" spans="1:5" s="35" customFormat="1" x14ac:dyDescent="0.35">
      <c r="A405" s="32" t="str">
        <f t="shared" si="6"/>
        <v>ME 492,ED4-COE</v>
      </c>
      <c r="B405" s="33" t="s">
        <v>997</v>
      </c>
      <c r="C405" s="32" t="s">
        <v>1001</v>
      </c>
      <c r="D405" s="34" t="s">
        <v>196</v>
      </c>
      <c r="E405" s="32" t="s">
        <v>424</v>
      </c>
    </row>
    <row r="406" spans="1:5" x14ac:dyDescent="0.35">
      <c r="A406" s="32" t="str">
        <f t="shared" si="6"/>
        <v>ME 492,ED4-EE</v>
      </c>
      <c r="B406" s="33" t="s">
        <v>1000</v>
      </c>
      <c r="C406" s="32" t="s">
        <v>971</v>
      </c>
      <c r="D406" s="34" t="s">
        <v>57</v>
      </c>
      <c r="E406" s="32" t="s">
        <v>424</v>
      </c>
    </row>
    <row r="407" spans="1:5" s="35" customFormat="1" x14ac:dyDescent="0.35">
      <c r="A407" s="32" t="str">
        <f t="shared" si="6"/>
        <v>ME 492,ED4-IND</v>
      </c>
      <c r="B407" s="33" t="s">
        <v>997</v>
      </c>
      <c r="C407" s="32" t="s">
        <v>999</v>
      </c>
      <c r="D407" s="34" t="s">
        <v>130</v>
      </c>
      <c r="E407" s="32" t="s">
        <v>424</v>
      </c>
    </row>
    <row r="408" spans="1:5" x14ac:dyDescent="0.35">
      <c r="A408" s="32" t="str">
        <f t="shared" si="6"/>
        <v>ME 492,ED4-MSE</v>
      </c>
      <c r="B408" s="33" t="s">
        <v>997</v>
      </c>
      <c r="C408" s="32" t="s">
        <v>971</v>
      </c>
      <c r="D408" s="34" t="s">
        <v>107</v>
      </c>
      <c r="E408" s="32" t="s">
        <v>424</v>
      </c>
    </row>
    <row r="409" spans="1:5" s="35" customFormat="1" x14ac:dyDescent="0.35">
      <c r="A409" s="32" t="str">
        <f t="shared" si="6"/>
        <v>ME 492,ED4-ME</v>
      </c>
      <c r="B409" s="33" t="s">
        <v>997</v>
      </c>
      <c r="C409" s="32" t="s">
        <v>971</v>
      </c>
      <c r="D409" s="34" t="s">
        <v>91</v>
      </c>
      <c r="E409" s="32" t="s">
        <v>424</v>
      </c>
    </row>
    <row r="410" spans="1:5" s="35" customFormat="1" x14ac:dyDescent="0.35">
      <c r="A410" s="32" t="str">
        <f t="shared" si="6"/>
        <v>ME 492,ED4-METE</v>
      </c>
      <c r="B410" s="33" t="s">
        <v>997</v>
      </c>
      <c r="C410" s="32" t="s">
        <v>971</v>
      </c>
      <c r="D410" s="34" t="s">
        <v>105</v>
      </c>
      <c r="E410" s="32" t="s">
        <v>424</v>
      </c>
    </row>
    <row r="411" spans="1:5" s="35" customFormat="1" x14ac:dyDescent="0.35">
      <c r="A411" s="32" t="str">
        <f t="shared" si="6"/>
        <v>ME 492,ED4-TEL</v>
      </c>
      <c r="B411" s="33" t="s">
        <v>997</v>
      </c>
      <c r="C411" s="32" t="s">
        <v>998</v>
      </c>
      <c r="D411" s="34" t="s">
        <v>55</v>
      </c>
      <c r="E411" s="32" t="s">
        <v>424</v>
      </c>
    </row>
    <row r="412" spans="1:5" s="35" customFormat="1" x14ac:dyDescent="0.35">
      <c r="A412" s="32" t="str">
        <f t="shared" si="6"/>
        <v>ME 494,ED4-IND</v>
      </c>
      <c r="B412" s="33" t="s">
        <v>996</v>
      </c>
      <c r="C412" s="32" t="s">
        <v>959</v>
      </c>
      <c r="D412" s="34" t="s">
        <v>130</v>
      </c>
      <c r="E412" s="32" t="s">
        <v>250</v>
      </c>
    </row>
    <row r="413" spans="1:5" s="35" customFormat="1" x14ac:dyDescent="0.35">
      <c r="A413" s="32" t="str">
        <f t="shared" si="6"/>
        <v>ME 494,ED4-ME</v>
      </c>
      <c r="B413" s="33" t="s">
        <v>995</v>
      </c>
      <c r="C413" s="32" t="s">
        <v>959</v>
      </c>
      <c r="D413" s="34" t="s">
        <v>91</v>
      </c>
      <c r="E413" s="32" t="s">
        <v>250</v>
      </c>
    </row>
    <row r="414" spans="1:5" s="35" customFormat="1" x14ac:dyDescent="0.35">
      <c r="A414" s="32" t="str">
        <f t="shared" si="6"/>
        <v>ME 496,ED4-AERO</v>
      </c>
      <c r="B414" s="33" t="s">
        <v>993</v>
      </c>
      <c r="C414" s="32" t="s">
        <v>994</v>
      </c>
      <c r="D414" s="34" t="s">
        <v>93</v>
      </c>
      <c r="E414" s="32" t="s">
        <v>361</v>
      </c>
    </row>
    <row r="415" spans="1:5" s="35" customFormat="1" x14ac:dyDescent="0.35">
      <c r="A415" s="32" t="str">
        <f t="shared" si="6"/>
        <v>ME 496,ED4-ME</v>
      </c>
      <c r="B415" s="33" t="s">
        <v>993</v>
      </c>
      <c r="C415" s="32" t="s">
        <v>994</v>
      </c>
      <c r="D415" s="34" t="s">
        <v>91</v>
      </c>
      <c r="E415" s="32" t="s">
        <v>361</v>
      </c>
    </row>
    <row r="416" spans="1:5" s="35" customFormat="1" x14ac:dyDescent="0.35">
      <c r="A416" s="32" t="str">
        <f t="shared" si="6"/>
        <v>METE 152,ED1-METE</v>
      </c>
      <c r="B416" s="33" t="s">
        <v>992</v>
      </c>
      <c r="C416" s="32" t="s">
        <v>951</v>
      </c>
      <c r="D416" s="34" t="s">
        <v>18</v>
      </c>
      <c r="E416" s="32" t="s">
        <v>19</v>
      </c>
    </row>
    <row r="417" spans="1:5" s="35" customFormat="1" x14ac:dyDescent="0.35">
      <c r="A417" s="32" t="str">
        <f t="shared" si="6"/>
        <v>METE 154,ED1-METE</v>
      </c>
      <c r="B417" s="33" t="s">
        <v>952</v>
      </c>
      <c r="C417" s="32" t="s">
        <v>953</v>
      </c>
      <c r="D417" s="34" t="s">
        <v>18</v>
      </c>
      <c r="E417" s="32" t="s">
        <v>228</v>
      </c>
    </row>
    <row r="418" spans="1:5" s="35" customFormat="1" x14ac:dyDescent="0.35">
      <c r="A418" s="32" t="str">
        <f t="shared" ref="A418" si="7">CONCATENATE(E418,",",D418)</f>
        <v>METE 154,ED1-MSE</v>
      </c>
      <c r="B418" s="33" t="s">
        <v>952</v>
      </c>
      <c r="C418" s="32" t="s">
        <v>953</v>
      </c>
      <c r="D418" s="34" t="s">
        <v>177</v>
      </c>
      <c r="E418" s="32" t="s">
        <v>228</v>
      </c>
    </row>
    <row r="419" spans="1:5" s="35" customFormat="1" x14ac:dyDescent="0.35">
      <c r="A419" s="32" t="str">
        <f t="shared" si="6"/>
        <v>METE 252,ED2-METE</v>
      </c>
      <c r="B419" s="33" t="s">
        <v>991</v>
      </c>
      <c r="C419" s="32" t="s">
        <v>938</v>
      </c>
      <c r="D419" s="34" t="s">
        <v>111</v>
      </c>
      <c r="E419" s="32" t="s">
        <v>182</v>
      </c>
    </row>
    <row r="420" spans="1:5" s="35" customFormat="1" x14ac:dyDescent="0.35">
      <c r="A420" s="32" t="str">
        <f t="shared" si="6"/>
        <v>METE 254,ED2-METE</v>
      </c>
      <c r="B420" s="33" t="s">
        <v>990</v>
      </c>
      <c r="C420" s="32" t="s">
        <v>933</v>
      </c>
      <c r="D420" s="34" t="s">
        <v>111</v>
      </c>
      <c r="E420" s="32" t="s">
        <v>116</v>
      </c>
    </row>
    <row r="421" spans="1:5" s="35" customFormat="1" x14ac:dyDescent="0.35">
      <c r="A421" s="32" t="str">
        <f t="shared" si="6"/>
        <v>METE 256,ED2-METE</v>
      </c>
      <c r="B421" s="33" t="s">
        <v>989</v>
      </c>
      <c r="C421" s="32" t="s">
        <v>933</v>
      </c>
      <c r="D421" s="34" t="s">
        <v>111</v>
      </c>
      <c r="E421" s="32" t="s">
        <v>214</v>
      </c>
    </row>
    <row r="422" spans="1:5" s="35" customFormat="1" x14ac:dyDescent="0.35">
      <c r="A422" s="32" t="str">
        <f t="shared" si="6"/>
        <v>METE 258,ED2-METE</v>
      </c>
      <c r="B422" s="33" t="s">
        <v>988</v>
      </c>
      <c r="C422" s="32" t="s">
        <v>941</v>
      </c>
      <c r="D422" s="34" t="s">
        <v>111</v>
      </c>
      <c r="E422" s="32" t="s">
        <v>334</v>
      </c>
    </row>
    <row r="423" spans="1:5" s="35" customFormat="1" x14ac:dyDescent="0.35">
      <c r="A423" s="32" t="str">
        <f t="shared" si="6"/>
        <v>METE 352,ED3-METE</v>
      </c>
      <c r="B423" s="33" t="s">
        <v>987</v>
      </c>
      <c r="C423" s="32" t="s">
        <v>985</v>
      </c>
      <c r="D423" s="34" t="s">
        <v>120</v>
      </c>
      <c r="E423" s="32" t="s">
        <v>289</v>
      </c>
    </row>
    <row r="424" spans="1:5" s="35" customFormat="1" x14ac:dyDescent="0.35">
      <c r="A424" s="32" t="str">
        <f t="shared" si="6"/>
        <v>METE 354,ED3-METE</v>
      </c>
      <c r="B424" s="33" t="s">
        <v>950</v>
      </c>
      <c r="C424" s="32" t="s">
        <v>1366</v>
      </c>
      <c r="D424" s="34" t="s">
        <v>120</v>
      </c>
      <c r="E424" s="32" t="s">
        <v>370</v>
      </c>
    </row>
    <row r="425" spans="1:5" s="35" customFormat="1" x14ac:dyDescent="0.35">
      <c r="A425" s="32" t="str">
        <f t="shared" si="6"/>
        <v>METE 356,ED3-METE</v>
      </c>
      <c r="B425" s="33" t="s">
        <v>935</v>
      </c>
      <c r="C425" s="32" t="s">
        <v>936</v>
      </c>
      <c r="D425" s="34" t="s">
        <v>120</v>
      </c>
      <c r="E425" s="32" t="s">
        <v>522</v>
      </c>
    </row>
    <row r="426" spans="1:5" s="35" customFormat="1" x14ac:dyDescent="0.35">
      <c r="A426" s="32" t="str">
        <f t="shared" si="6"/>
        <v>METE 358,ED3-METE</v>
      </c>
      <c r="B426" s="33" t="s">
        <v>986</v>
      </c>
      <c r="C426" s="32" t="s">
        <v>938</v>
      </c>
      <c r="D426" s="34" t="s">
        <v>120</v>
      </c>
      <c r="E426" s="32" t="s">
        <v>520</v>
      </c>
    </row>
    <row r="427" spans="1:5" s="35" customFormat="1" x14ac:dyDescent="0.35">
      <c r="A427" s="32" t="str">
        <f t="shared" si="6"/>
        <v>METE 362,ED3-METE</v>
      </c>
      <c r="B427" s="33" t="s">
        <v>946</v>
      </c>
      <c r="C427" s="32" t="s">
        <v>925</v>
      </c>
      <c r="D427" s="34" t="s">
        <v>120</v>
      </c>
      <c r="E427" s="32" t="s">
        <v>350</v>
      </c>
    </row>
    <row r="428" spans="1:5" s="35" customFormat="1" ht="15" customHeight="1" x14ac:dyDescent="0.35">
      <c r="A428" s="32" t="str">
        <f t="shared" si="6"/>
        <v>METE 452,ED4-METE</v>
      </c>
      <c r="B428" s="33" t="s">
        <v>984</v>
      </c>
      <c r="C428" s="32" t="s">
        <v>985</v>
      </c>
      <c r="D428" s="34" t="s">
        <v>105</v>
      </c>
      <c r="E428" s="32" t="s">
        <v>383</v>
      </c>
    </row>
    <row r="429" spans="1:5" s="35" customFormat="1" x14ac:dyDescent="0.35">
      <c r="A429" s="32" t="str">
        <f t="shared" si="6"/>
        <v>MME 174,ED1-MARI</v>
      </c>
      <c r="B429" s="33" t="s">
        <v>983</v>
      </c>
      <c r="C429" s="32" t="s">
        <v>980</v>
      </c>
      <c r="D429" s="34" t="s">
        <v>43</v>
      </c>
      <c r="E429" s="32" t="s">
        <v>606</v>
      </c>
    </row>
    <row r="430" spans="1:5" s="35" customFormat="1" x14ac:dyDescent="0.35">
      <c r="A430" s="32" t="str">
        <f t="shared" si="6"/>
        <v>MME 264,ED2-MARI</v>
      </c>
      <c r="B430" s="33" t="s">
        <v>981</v>
      </c>
      <c r="C430" s="32" t="s">
        <v>982</v>
      </c>
      <c r="D430" s="34" t="s">
        <v>31</v>
      </c>
      <c r="E430" s="32" t="s">
        <v>324</v>
      </c>
    </row>
    <row r="431" spans="1:5" s="35" customFormat="1" x14ac:dyDescent="0.35">
      <c r="A431" s="32" t="str">
        <f t="shared" si="6"/>
        <v>MME 274,ED2-MARI</v>
      </c>
      <c r="B431" s="33" t="s">
        <v>979</v>
      </c>
      <c r="C431" s="32" t="s">
        <v>980</v>
      </c>
      <c r="D431" s="34" t="s">
        <v>31</v>
      </c>
      <c r="E431" s="32" t="s">
        <v>207</v>
      </c>
    </row>
    <row r="432" spans="1:5" s="35" customFormat="1" x14ac:dyDescent="0.35">
      <c r="A432" s="32" t="str">
        <f t="shared" si="6"/>
        <v>MME 292,ED2-MARI</v>
      </c>
      <c r="B432" s="33" t="s">
        <v>978</v>
      </c>
      <c r="C432" s="32" t="s">
        <v>962</v>
      </c>
      <c r="D432" s="34" t="s">
        <v>31</v>
      </c>
      <c r="E432" s="32" t="s">
        <v>602</v>
      </c>
    </row>
    <row r="433" spans="1:5" s="35" customFormat="1" x14ac:dyDescent="0.35">
      <c r="A433" s="32" t="str">
        <f t="shared" si="6"/>
        <v>MME 296,ED2-MARI</v>
      </c>
      <c r="B433" s="33" t="s">
        <v>1356</v>
      </c>
      <c r="C433" s="32" t="s">
        <v>1020</v>
      </c>
      <c r="D433" s="34" t="s">
        <v>31</v>
      </c>
      <c r="E433" s="32" t="s">
        <v>600</v>
      </c>
    </row>
    <row r="434" spans="1:5" s="35" customFormat="1" x14ac:dyDescent="0.35">
      <c r="A434" s="32" t="str">
        <f t="shared" si="6"/>
        <v>MME 356,ED3-MARI</v>
      </c>
      <c r="B434" s="33" t="s">
        <v>975</v>
      </c>
      <c r="C434" s="32" t="s">
        <v>969</v>
      </c>
      <c r="D434" s="34" t="s">
        <v>38</v>
      </c>
      <c r="E434" s="32" t="s">
        <v>367</v>
      </c>
    </row>
    <row r="435" spans="1:5" s="35" customFormat="1" x14ac:dyDescent="0.35">
      <c r="A435" s="32" t="str">
        <f t="shared" si="6"/>
        <v>MME 382,ED3-MARI</v>
      </c>
      <c r="B435" s="33" t="s">
        <v>974</v>
      </c>
      <c r="C435" s="32" t="s">
        <v>964</v>
      </c>
      <c r="D435" s="34" t="s">
        <v>38</v>
      </c>
      <c r="E435" s="32" t="s">
        <v>595</v>
      </c>
    </row>
    <row r="436" spans="1:5" s="35" customFormat="1" x14ac:dyDescent="0.35">
      <c r="A436" s="32" t="str">
        <f t="shared" si="6"/>
        <v>MME 386,ED3-MARI</v>
      </c>
      <c r="B436" s="33" t="s">
        <v>972</v>
      </c>
      <c r="C436" s="32" t="s">
        <v>973</v>
      </c>
      <c r="D436" s="34" t="s">
        <v>38</v>
      </c>
      <c r="E436" s="32" t="s">
        <v>39</v>
      </c>
    </row>
    <row r="437" spans="1:5" s="35" customFormat="1" x14ac:dyDescent="0.35">
      <c r="A437" s="32" t="str">
        <f t="shared" si="6"/>
        <v>MME 392,ED3-MARI</v>
      </c>
      <c r="B437" s="33" t="s">
        <v>970</v>
      </c>
      <c r="C437" s="32" t="s">
        <v>971</v>
      </c>
      <c r="D437" s="34" t="s">
        <v>38</v>
      </c>
      <c r="E437" s="32" t="s">
        <v>199</v>
      </c>
    </row>
    <row r="438" spans="1:5" s="35" customFormat="1" x14ac:dyDescent="0.35">
      <c r="A438" s="32" t="str">
        <f t="shared" si="6"/>
        <v>MME 396,ED3-MARI</v>
      </c>
      <c r="B438" s="33" t="s">
        <v>968</v>
      </c>
      <c r="C438" s="32" t="s">
        <v>969</v>
      </c>
      <c r="D438" s="34" t="s">
        <v>38</v>
      </c>
      <c r="E438" s="32" t="s">
        <v>591</v>
      </c>
    </row>
    <row r="439" spans="1:5" s="35" customFormat="1" x14ac:dyDescent="0.35">
      <c r="A439" s="32" t="str">
        <f t="shared" si="6"/>
        <v>MME 462,ED4-MARI</v>
      </c>
      <c r="B439" s="33" t="s">
        <v>966</v>
      </c>
      <c r="C439" s="32" t="s">
        <v>967</v>
      </c>
      <c r="D439" s="34" t="s">
        <v>96</v>
      </c>
      <c r="E439" s="32" t="s">
        <v>589</v>
      </c>
    </row>
    <row r="440" spans="1:5" s="35" customFormat="1" x14ac:dyDescent="0.35">
      <c r="A440" s="32" t="str">
        <f t="shared" si="6"/>
        <v>MME 476,ED4-MARI</v>
      </c>
      <c r="B440" s="33" t="s">
        <v>965</v>
      </c>
      <c r="C440" s="32" t="s">
        <v>302</v>
      </c>
      <c r="D440" s="34" t="s">
        <v>96</v>
      </c>
      <c r="E440" s="32" t="s">
        <v>149</v>
      </c>
    </row>
    <row r="441" spans="1:5" s="35" customFormat="1" x14ac:dyDescent="0.35">
      <c r="A441" s="32" t="str">
        <f t="shared" si="6"/>
        <v>MME 482,ED4-MARI</v>
      </c>
      <c r="B441" s="33" t="s">
        <v>963</v>
      </c>
      <c r="C441" s="32" t="s">
        <v>964</v>
      </c>
      <c r="D441" s="34" t="s">
        <v>96</v>
      </c>
      <c r="E441" s="32" t="s">
        <v>586</v>
      </c>
    </row>
    <row r="442" spans="1:5" s="35" customFormat="1" ht="23" x14ac:dyDescent="0.35">
      <c r="A442" s="32" t="str">
        <f t="shared" si="6"/>
        <v>MME 486,ED4-MARI</v>
      </c>
      <c r="B442" s="33" t="s">
        <v>961</v>
      </c>
      <c r="C442" s="32" t="s">
        <v>962</v>
      </c>
      <c r="D442" s="34" t="s">
        <v>96</v>
      </c>
      <c r="E442" s="32" t="s">
        <v>97</v>
      </c>
    </row>
    <row r="443" spans="1:5" s="35" customFormat="1" x14ac:dyDescent="0.35">
      <c r="A443" s="32" t="str">
        <f t="shared" si="6"/>
        <v>MME 492,ED4-MARI</v>
      </c>
      <c r="B443" s="33" t="s">
        <v>960</v>
      </c>
      <c r="C443" s="32" t="s">
        <v>302</v>
      </c>
      <c r="D443" s="34" t="s">
        <v>96</v>
      </c>
      <c r="E443" s="32" t="s">
        <v>319</v>
      </c>
    </row>
    <row r="444" spans="1:5" s="35" customFormat="1" x14ac:dyDescent="0.35">
      <c r="A444" s="32" t="str">
        <f t="shared" si="6"/>
        <v>MME 494,ED4-MARI</v>
      </c>
      <c r="B444" s="33" t="s">
        <v>958</v>
      </c>
      <c r="C444" s="32" t="s">
        <v>959</v>
      </c>
      <c r="D444" s="34" t="s">
        <v>96</v>
      </c>
      <c r="E444" s="32" t="s">
        <v>251</v>
      </c>
    </row>
    <row r="445" spans="1:5" s="35" customFormat="1" x14ac:dyDescent="0.35">
      <c r="A445" s="32" t="str">
        <f t="shared" si="6"/>
        <v>MSE 152,ED1-MSE</v>
      </c>
      <c r="B445" s="33" t="s">
        <v>956</v>
      </c>
      <c r="C445" s="32" t="s">
        <v>951</v>
      </c>
      <c r="D445" s="34" t="s">
        <v>177</v>
      </c>
      <c r="E445" s="32" t="s">
        <v>240</v>
      </c>
    </row>
    <row r="446" spans="1:5" s="35" customFormat="1" x14ac:dyDescent="0.35">
      <c r="A446" s="32" t="str">
        <f t="shared" si="6"/>
        <v>MSE 154,ED1-MSE</v>
      </c>
      <c r="B446" s="33" t="s">
        <v>1365</v>
      </c>
      <c r="C446" s="32" t="s">
        <v>943</v>
      </c>
      <c r="D446" s="34" t="s">
        <v>177</v>
      </c>
      <c r="E446" s="32" t="s">
        <v>328</v>
      </c>
    </row>
    <row r="447" spans="1:5" s="35" customFormat="1" x14ac:dyDescent="0.35">
      <c r="A447" s="32" t="str">
        <f t="shared" si="6"/>
        <v>MSE 154,ED1-METE</v>
      </c>
      <c r="B447" s="33" t="s">
        <v>1365</v>
      </c>
      <c r="C447" s="32" t="s">
        <v>943</v>
      </c>
      <c r="D447" s="34" t="s">
        <v>18</v>
      </c>
      <c r="E447" s="32" t="s">
        <v>328</v>
      </c>
    </row>
    <row r="448" spans="1:5" s="35" customFormat="1" x14ac:dyDescent="0.35">
      <c r="A448" s="32" t="str">
        <f t="shared" si="6"/>
        <v>GED 162,ED1-METE</v>
      </c>
      <c r="B448" s="33" t="s">
        <v>1375</v>
      </c>
      <c r="C448" s="32" t="s">
        <v>1374</v>
      </c>
      <c r="D448" s="34" t="s">
        <v>18</v>
      </c>
      <c r="E448" s="32" t="s">
        <v>1395</v>
      </c>
    </row>
    <row r="449" spans="1:5" s="35" customFormat="1" x14ac:dyDescent="0.35">
      <c r="A449" s="32" t="str">
        <f t="shared" si="6"/>
        <v>MSE 252,ED2-MSE</v>
      </c>
      <c r="B449" s="33" t="s">
        <v>955</v>
      </c>
      <c r="C449" s="32" t="s">
        <v>951</v>
      </c>
      <c r="D449" s="34" t="s">
        <v>113</v>
      </c>
      <c r="E449" s="32" t="s">
        <v>163</v>
      </c>
    </row>
    <row r="450" spans="1:5" s="35" customFormat="1" x14ac:dyDescent="0.35">
      <c r="A450" s="32" t="str">
        <f t="shared" si="6"/>
        <v>MSE 252,ED2-METE</v>
      </c>
      <c r="B450" s="33" t="s">
        <v>955</v>
      </c>
      <c r="C450" s="32" t="s">
        <v>951</v>
      </c>
      <c r="D450" s="34" t="s">
        <v>111</v>
      </c>
      <c r="E450" s="32" t="s">
        <v>163</v>
      </c>
    </row>
    <row r="451" spans="1:5" s="35" customFormat="1" x14ac:dyDescent="0.35">
      <c r="A451" s="32" t="str">
        <f t="shared" si="6"/>
        <v>MSE 254,ED2-MSE</v>
      </c>
      <c r="B451" s="33" t="s">
        <v>954</v>
      </c>
      <c r="C451" s="32" t="s">
        <v>945</v>
      </c>
      <c r="D451" s="34" t="s">
        <v>113</v>
      </c>
      <c r="E451" s="32" t="s">
        <v>262</v>
      </c>
    </row>
    <row r="452" spans="1:5" s="35" customFormat="1" x14ac:dyDescent="0.35">
      <c r="A452" s="32" t="str">
        <f t="shared" si="6"/>
        <v>MSE 256,ED2-MSE</v>
      </c>
      <c r="B452" s="33" t="s">
        <v>952</v>
      </c>
      <c r="C452" s="32" t="s">
        <v>953</v>
      </c>
      <c r="D452" s="34" t="s">
        <v>113</v>
      </c>
      <c r="E452" s="32" t="s">
        <v>227</v>
      </c>
    </row>
    <row r="453" spans="1:5" s="35" customFormat="1" x14ac:dyDescent="0.35">
      <c r="A453" s="32" t="str">
        <f t="shared" si="6"/>
        <v>MSE 258,ED2-MSE</v>
      </c>
      <c r="B453" s="33" t="s">
        <v>950</v>
      </c>
      <c r="C453" s="32" t="s">
        <v>929</v>
      </c>
      <c r="D453" s="34" t="s">
        <v>113</v>
      </c>
      <c r="E453" s="32" t="s">
        <v>371</v>
      </c>
    </row>
    <row r="454" spans="1:5" s="35" customFormat="1" ht="15" customHeight="1" x14ac:dyDescent="0.35">
      <c r="A454" s="32" t="str">
        <f t="shared" si="6"/>
        <v>MSE 260,ED2-MSE</v>
      </c>
      <c r="B454" s="33" t="s">
        <v>949</v>
      </c>
      <c r="C454" s="32" t="s">
        <v>938</v>
      </c>
      <c r="D454" s="34" t="s">
        <v>113</v>
      </c>
      <c r="E454" s="32" t="s">
        <v>305</v>
      </c>
    </row>
    <row r="455" spans="1:5" s="35" customFormat="1" x14ac:dyDescent="0.35">
      <c r="A455" s="32" t="str">
        <f t="shared" si="6"/>
        <v>MSE 260,ED2-METE</v>
      </c>
      <c r="B455" s="33" t="s">
        <v>949</v>
      </c>
      <c r="C455" s="32" t="s">
        <v>938</v>
      </c>
      <c r="D455" s="34" t="s">
        <v>111</v>
      </c>
      <c r="E455" s="32" t="s">
        <v>305</v>
      </c>
    </row>
    <row r="456" spans="1:5" s="35" customFormat="1" ht="15" customHeight="1" x14ac:dyDescent="0.35">
      <c r="A456" s="32" t="str">
        <f t="shared" si="6"/>
        <v>MSE 262,ED2-MSE</v>
      </c>
      <c r="B456" s="33" t="s">
        <v>948</v>
      </c>
      <c r="C456" s="32" t="s">
        <v>941</v>
      </c>
      <c r="D456" s="34" t="s">
        <v>113</v>
      </c>
      <c r="E456" s="32" t="s">
        <v>333</v>
      </c>
    </row>
    <row r="457" spans="1:5" s="35" customFormat="1" x14ac:dyDescent="0.35">
      <c r="A457" s="32" t="str">
        <f t="shared" si="6"/>
        <v>MSE 352,ED3-MSE</v>
      </c>
      <c r="B457" s="33" t="s">
        <v>947</v>
      </c>
      <c r="C457" s="32" t="s">
        <v>931</v>
      </c>
      <c r="D457" s="34" t="s">
        <v>33</v>
      </c>
      <c r="E457" s="32" t="s">
        <v>136</v>
      </c>
    </row>
    <row r="458" spans="1:5" s="35" customFormat="1" x14ac:dyDescent="0.35">
      <c r="A458" s="32" t="str">
        <f t="shared" si="6"/>
        <v>MSE 354,ED3-MSE</v>
      </c>
      <c r="B458" s="33" t="s">
        <v>946</v>
      </c>
      <c r="C458" s="32" t="s">
        <v>925</v>
      </c>
      <c r="D458" s="34" t="s">
        <v>33</v>
      </c>
      <c r="E458" s="32" t="s">
        <v>351</v>
      </c>
    </row>
    <row r="459" spans="1:5" s="35" customFormat="1" x14ac:dyDescent="0.35">
      <c r="A459" s="32" t="str">
        <f t="shared" si="6"/>
        <v>MSE 356,ED3-MSE</v>
      </c>
      <c r="B459" s="33" t="s">
        <v>944</v>
      </c>
      <c r="C459" s="32" t="s">
        <v>945</v>
      </c>
      <c r="D459" s="34" t="s">
        <v>33</v>
      </c>
      <c r="E459" s="32" t="s">
        <v>34</v>
      </c>
    </row>
    <row r="460" spans="1:5" s="35" customFormat="1" x14ac:dyDescent="0.35">
      <c r="A460" s="32" t="str">
        <f t="shared" ref="A460:A523" si="8">CONCATENATE(E460,",",D460)</f>
        <v>MSE 356,ED4-PCE</v>
      </c>
      <c r="B460" s="33" t="s">
        <v>944</v>
      </c>
      <c r="C460" s="32" t="s">
        <v>945</v>
      </c>
      <c r="D460" s="34" t="s">
        <v>35</v>
      </c>
      <c r="E460" s="32" t="s">
        <v>34</v>
      </c>
    </row>
    <row r="461" spans="1:5" s="35" customFormat="1" x14ac:dyDescent="0.35">
      <c r="A461" s="32" t="str">
        <f t="shared" si="8"/>
        <v>MSE 358,ED3-MSE</v>
      </c>
      <c r="B461" s="33" t="s">
        <v>942</v>
      </c>
      <c r="C461" s="32" t="s">
        <v>943</v>
      </c>
      <c r="D461" s="34" t="s">
        <v>33</v>
      </c>
      <c r="E461" s="32" t="s">
        <v>121</v>
      </c>
    </row>
    <row r="462" spans="1:5" s="35" customFormat="1" x14ac:dyDescent="0.35">
      <c r="A462" s="32" t="str">
        <f t="shared" si="8"/>
        <v>MSE 358,ED3-METE</v>
      </c>
      <c r="B462" s="33" t="s">
        <v>942</v>
      </c>
      <c r="C462" s="32" t="s">
        <v>943</v>
      </c>
      <c r="D462" s="34" t="s">
        <v>120</v>
      </c>
      <c r="E462" s="32" t="s">
        <v>121</v>
      </c>
    </row>
    <row r="463" spans="1:5" s="35" customFormat="1" x14ac:dyDescent="0.35">
      <c r="A463" s="32" t="str">
        <f t="shared" si="8"/>
        <v>MSE 360,ED3-MSE</v>
      </c>
      <c r="B463" s="33" t="s">
        <v>940</v>
      </c>
      <c r="C463" s="32" t="s">
        <v>941</v>
      </c>
      <c r="D463" s="34" t="s">
        <v>33</v>
      </c>
      <c r="E463" s="32" t="s">
        <v>300</v>
      </c>
    </row>
    <row r="464" spans="1:5" s="35" customFormat="1" x14ac:dyDescent="0.35">
      <c r="A464" s="32" t="str">
        <f t="shared" si="8"/>
        <v>MSE 362,ED3-MSE</v>
      </c>
      <c r="B464" s="33" t="s">
        <v>939</v>
      </c>
      <c r="C464" s="32" t="s">
        <v>925</v>
      </c>
      <c r="D464" s="34" t="s">
        <v>33</v>
      </c>
      <c r="E464" s="32" t="s">
        <v>203</v>
      </c>
    </row>
    <row r="465" spans="1:5" s="35" customFormat="1" x14ac:dyDescent="0.35">
      <c r="A465" s="32" t="str">
        <f t="shared" si="8"/>
        <v>MSE 362,ED3-METE</v>
      </c>
      <c r="B465" s="33" t="s">
        <v>939</v>
      </c>
      <c r="C465" s="32" t="s">
        <v>925</v>
      </c>
      <c r="D465" s="34" t="s">
        <v>120</v>
      </c>
      <c r="E465" s="32" t="s">
        <v>203</v>
      </c>
    </row>
    <row r="466" spans="1:5" s="35" customFormat="1" x14ac:dyDescent="0.35">
      <c r="A466" s="32" t="str">
        <f t="shared" si="8"/>
        <v>MSE 364,ED3-MSE</v>
      </c>
      <c r="B466" s="33" t="s">
        <v>937</v>
      </c>
      <c r="C466" s="32" t="s">
        <v>938</v>
      </c>
      <c r="D466" s="34" t="s">
        <v>33</v>
      </c>
      <c r="E466" s="32" t="s">
        <v>576</v>
      </c>
    </row>
    <row r="467" spans="1:5" s="35" customFormat="1" x14ac:dyDescent="0.35">
      <c r="A467" s="32" t="str">
        <f t="shared" si="8"/>
        <v>MSE 396,ED3-MSE</v>
      </c>
      <c r="B467" s="33" t="s">
        <v>935</v>
      </c>
      <c r="C467" s="32" t="s">
        <v>936</v>
      </c>
      <c r="D467" s="34" t="s">
        <v>33</v>
      </c>
      <c r="E467" s="32" t="s">
        <v>574</v>
      </c>
    </row>
    <row r="468" spans="1:5" s="35" customFormat="1" x14ac:dyDescent="0.35">
      <c r="A468" s="32" t="str">
        <f t="shared" si="8"/>
        <v>MSE 452,ED4-MSE</v>
      </c>
      <c r="B468" s="33" t="s">
        <v>934</v>
      </c>
      <c r="C468" s="32" t="s">
        <v>933</v>
      </c>
      <c r="D468" s="34" t="s">
        <v>107</v>
      </c>
      <c r="E468" s="32" t="s">
        <v>108</v>
      </c>
    </row>
    <row r="469" spans="1:5" s="35" customFormat="1" x14ac:dyDescent="0.35">
      <c r="A469" s="32" t="str">
        <f t="shared" si="8"/>
        <v>METE 454,ED4-METE</v>
      </c>
      <c r="B469" s="33" t="s">
        <v>932</v>
      </c>
      <c r="C469" s="32" t="s">
        <v>933</v>
      </c>
      <c r="D469" s="34" t="s">
        <v>105</v>
      </c>
      <c r="E469" s="32" t="s">
        <v>106</v>
      </c>
    </row>
    <row r="470" spans="1:5" s="35" customFormat="1" x14ac:dyDescent="0.35">
      <c r="A470" s="32" t="str">
        <f t="shared" si="8"/>
        <v>MSE 454,ED4-MSE</v>
      </c>
      <c r="B470" s="33" t="s">
        <v>930</v>
      </c>
      <c r="C470" s="32" t="s">
        <v>931</v>
      </c>
      <c r="D470" s="34" t="s">
        <v>107</v>
      </c>
      <c r="E470" s="32" t="s">
        <v>244</v>
      </c>
    </row>
    <row r="471" spans="1:5" s="35" customFormat="1" ht="15" customHeight="1" x14ac:dyDescent="0.35">
      <c r="A471" s="32" t="str">
        <f t="shared" si="8"/>
        <v>MSE 456,ED4-MSE</v>
      </c>
      <c r="B471" s="33" t="s">
        <v>928</v>
      </c>
      <c r="C471" s="32" t="s">
        <v>929</v>
      </c>
      <c r="D471" s="34" t="s">
        <v>107</v>
      </c>
      <c r="E471" s="32" t="s">
        <v>180</v>
      </c>
    </row>
    <row r="472" spans="1:5" s="35" customFormat="1" x14ac:dyDescent="0.35">
      <c r="A472" s="32" t="str">
        <f t="shared" si="8"/>
        <v>MSE 456,ED4-METE</v>
      </c>
      <c r="B472" s="33" t="s">
        <v>928</v>
      </c>
      <c r="C472" s="32" t="s">
        <v>929</v>
      </c>
      <c r="D472" s="34" t="s">
        <v>105</v>
      </c>
      <c r="E472" s="32" t="s">
        <v>180</v>
      </c>
    </row>
    <row r="473" spans="1:5" s="35" customFormat="1" x14ac:dyDescent="0.35">
      <c r="A473" s="32" t="str">
        <f t="shared" si="8"/>
        <v>MSE 458,ED4-MSE</v>
      </c>
      <c r="B473" s="33" t="s">
        <v>927</v>
      </c>
      <c r="C473" s="32" t="s">
        <v>162</v>
      </c>
      <c r="D473" s="34" t="s">
        <v>107</v>
      </c>
      <c r="E473" s="32" t="s">
        <v>315</v>
      </c>
    </row>
    <row r="474" spans="1:5" s="35" customFormat="1" x14ac:dyDescent="0.35">
      <c r="A474" s="32" t="str">
        <f t="shared" si="8"/>
        <v>MSE 458,ED4-METE</v>
      </c>
      <c r="B474" s="33" t="s">
        <v>926</v>
      </c>
      <c r="C474" s="32" t="s">
        <v>162</v>
      </c>
      <c r="D474" s="34" t="s">
        <v>105</v>
      </c>
      <c r="E474" s="32" t="s">
        <v>315</v>
      </c>
    </row>
    <row r="475" spans="1:5" s="35" customFormat="1" x14ac:dyDescent="0.35">
      <c r="A475" s="32" t="str">
        <f t="shared" si="8"/>
        <v>PCE 158,ED1-PCE</v>
      </c>
      <c r="B475" s="33" t="s">
        <v>924</v>
      </c>
      <c r="C475" s="32" t="s">
        <v>915</v>
      </c>
      <c r="D475" s="34" t="s">
        <v>58</v>
      </c>
      <c r="E475" s="32" t="s">
        <v>59</v>
      </c>
    </row>
    <row r="476" spans="1:5" s="35" customFormat="1" x14ac:dyDescent="0.35">
      <c r="A476" s="32" t="str">
        <f t="shared" si="8"/>
        <v>PCE 350,ED3-PCE</v>
      </c>
      <c r="B476" s="33" t="s">
        <v>922</v>
      </c>
      <c r="C476" s="32" t="s">
        <v>919</v>
      </c>
      <c r="D476" s="34" t="s">
        <v>79</v>
      </c>
      <c r="E476" s="32" t="s">
        <v>255</v>
      </c>
    </row>
    <row r="477" spans="1:5" s="35" customFormat="1" x14ac:dyDescent="0.35">
      <c r="A477" s="32" t="str">
        <f t="shared" si="8"/>
        <v>PCE 352,ED3-PCE</v>
      </c>
      <c r="B477" s="33" t="s">
        <v>920</v>
      </c>
      <c r="C477" s="32" t="s">
        <v>921</v>
      </c>
      <c r="D477" s="34" t="s">
        <v>79</v>
      </c>
      <c r="E477" s="32" t="s">
        <v>275</v>
      </c>
    </row>
    <row r="478" spans="1:5" s="35" customFormat="1" x14ac:dyDescent="0.35">
      <c r="A478" s="32" t="str">
        <f t="shared" si="8"/>
        <v>PCE 354,ED3-PCE</v>
      </c>
      <c r="B478" s="33" t="s">
        <v>918</v>
      </c>
      <c r="C478" s="32" t="s">
        <v>919</v>
      </c>
      <c r="D478" s="34" t="s">
        <v>79</v>
      </c>
      <c r="E478" s="32" t="s">
        <v>500</v>
      </c>
    </row>
    <row r="479" spans="1:5" s="35" customFormat="1" x14ac:dyDescent="0.35">
      <c r="A479" s="32" t="str">
        <f t="shared" si="8"/>
        <v>PCE 450,ED4-PCE</v>
      </c>
      <c r="B479" s="33" t="s">
        <v>917</v>
      </c>
      <c r="C479" s="32" t="s">
        <v>914</v>
      </c>
      <c r="D479" s="34" t="s">
        <v>35</v>
      </c>
      <c r="E479" s="32" t="s">
        <v>270</v>
      </c>
    </row>
    <row r="480" spans="1:5" s="35" customFormat="1" ht="16.5" customHeight="1" x14ac:dyDescent="0.35">
      <c r="A480" s="32" t="str">
        <f t="shared" si="8"/>
        <v>PCE 464,ED4-CHE</v>
      </c>
      <c r="B480" s="33" t="s">
        <v>913</v>
      </c>
      <c r="C480" s="32" t="s">
        <v>914</v>
      </c>
      <c r="D480" s="34" t="s">
        <v>104</v>
      </c>
      <c r="E480" s="32" t="s">
        <v>269</v>
      </c>
    </row>
    <row r="481" spans="1:5" s="35" customFormat="1" x14ac:dyDescent="0.35">
      <c r="A481" s="32" t="str">
        <f t="shared" si="8"/>
        <v>PE 154,ED1-PETE</v>
      </c>
      <c r="B481" s="33" t="s">
        <v>912</v>
      </c>
      <c r="C481" s="32" t="s">
        <v>887</v>
      </c>
      <c r="D481" s="34" t="s">
        <v>98</v>
      </c>
      <c r="E481" s="32" t="s">
        <v>99</v>
      </c>
    </row>
    <row r="482" spans="1:5" s="35" customFormat="1" x14ac:dyDescent="0.35">
      <c r="A482" s="32" t="str">
        <f t="shared" si="8"/>
        <v>PE 156,ED1-PETE</v>
      </c>
      <c r="B482" s="33" t="s">
        <v>910</v>
      </c>
      <c r="C482" s="32" t="s">
        <v>911</v>
      </c>
      <c r="D482" s="34" t="s">
        <v>98</v>
      </c>
      <c r="E482" s="32" t="s">
        <v>152</v>
      </c>
    </row>
    <row r="483" spans="1:5" s="35" customFormat="1" x14ac:dyDescent="0.35">
      <c r="A483" s="32" t="str">
        <f t="shared" si="8"/>
        <v>PE 252,ED2-PETE</v>
      </c>
      <c r="B483" s="33" t="s">
        <v>909</v>
      </c>
      <c r="C483" s="32" t="s">
        <v>876</v>
      </c>
      <c r="D483" s="34" t="s">
        <v>36</v>
      </c>
      <c r="E483" s="32" t="s">
        <v>193</v>
      </c>
    </row>
    <row r="484" spans="1:5" s="35" customFormat="1" ht="15" customHeight="1" x14ac:dyDescent="0.35">
      <c r="A484" s="32" t="str">
        <f t="shared" si="8"/>
        <v>PE 254,ED2-PETE</v>
      </c>
      <c r="B484" s="33" t="s">
        <v>907</v>
      </c>
      <c r="C484" s="32" t="s">
        <v>908</v>
      </c>
      <c r="D484" s="34" t="s">
        <v>36</v>
      </c>
      <c r="E484" s="32" t="s">
        <v>485</v>
      </c>
    </row>
    <row r="485" spans="1:5" s="35" customFormat="1" x14ac:dyDescent="0.35">
      <c r="A485" s="32" t="str">
        <f t="shared" si="8"/>
        <v>PE 256,ED2-PETE</v>
      </c>
      <c r="B485" s="33" t="s">
        <v>906</v>
      </c>
      <c r="C485" s="32" t="s">
        <v>880</v>
      </c>
      <c r="D485" s="34" t="s">
        <v>36</v>
      </c>
      <c r="E485" s="32" t="s">
        <v>309</v>
      </c>
    </row>
    <row r="486" spans="1:5" s="35" customFormat="1" x14ac:dyDescent="0.35">
      <c r="A486" s="32" t="str">
        <f t="shared" si="8"/>
        <v>PE 258,ED2-PETE</v>
      </c>
      <c r="B486" s="33" t="s">
        <v>905</v>
      </c>
      <c r="C486" s="32" t="s">
        <v>874</v>
      </c>
      <c r="D486" s="34" t="s">
        <v>36</v>
      </c>
      <c r="E486" s="32" t="s">
        <v>248</v>
      </c>
    </row>
    <row r="487" spans="1:5" s="35" customFormat="1" x14ac:dyDescent="0.35">
      <c r="A487" s="32" t="str">
        <f t="shared" si="8"/>
        <v>PE 260,ED2-PETE</v>
      </c>
      <c r="B487" s="33" t="s">
        <v>904</v>
      </c>
      <c r="C487" s="32" t="s">
        <v>887</v>
      </c>
      <c r="D487" s="34" t="s">
        <v>36</v>
      </c>
      <c r="E487" s="32" t="s">
        <v>37</v>
      </c>
    </row>
    <row r="488" spans="1:5" s="35" customFormat="1" x14ac:dyDescent="0.35">
      <c r="A488" s="32" t="str">
        <f t="shared" si="8"/>
        <v>PE 262,ED2-PETE</v>
      </c>
      <c r="B488" s="33" t="s">
        <v>903</v>
      </c>
      <c r="C488" s="32" t="s">
        <v>874</v>
      </c>
      <c r="D488" s="34" t="s">
        <v>36</v>
      </c>
      <c r="E488" s="32" t="s">
        <v>348</v>
      </c>
    </row>
    <row r="489" spans="1:5" s="35" customFormat="1" x14ac:dyDescent="0.35">
      <c r="A489" s="32" t="str">
        <f t="shared" si="8"/>
        <v>PE 264,ED2-PETE</v>
      </c>
      <c r="B489" s="33" t="s">
        <v>901</v>
      </c>
      <c r="C489" s="32" t="s">
        <v>902</v>
      </c>
      <c r="D489" s="34" t="s">
        <v>36</v>
      </c>
      <c r="E489" s="32" t="s">
        <v>123</v>
      </c>
    </row>
    <row r="490" spans="1:5" s="35" customFormat="1" x14ac:dyDescent="0.35">
      <c r="A490" s="32" t="str">
        <f t="shared" si="8"/>
        <v>PE 350,ED3-PETE</v>
      </c>
      <c r="B490" s="33" t="s">
        <v>900</v>
      </c>
      <c r="C490" s="32" t="s">
        <v>874</v>
      </c>
      <c r="D490" s="34" t="s">
        <v>29</v>
      </c>
      <c r="E490" s="32" t="s">
        <v>30</v>
      </c>
    </row>
    <row r="491" spans="1:5" s="35" customFormat="1" x14ac:dyDescent="0.35">
      <c r="A491" s="32" t="str">
        <f t="shared" si="8"/>
        <v>PE 352,ED3-PETE</v>
      </c>
      <c r="B491" s="33" t="s">
        <v>898</v>
      </c>
      <c r="C491" s="32" t="s">
        <v>899</v>
      </c>
      <c r="D491" s="34" t="s">
        <v>29</v>
      </c>
      <c r="E491" s="32" t="s">
        <v>363</v>
      </c>
    </row>
    <row r="492" spans="1:5" s="35" customFormat="1" x14ac:dyDescent="0.35">
      <c r="A492" s="32" t="str">
        <f t="shared" si="8"/>
        <v>PE 354,ED3-PETE</v>
      </c>
      <c r="B492" s="33" t="s">
        <v>897</v>
      </c>
      <c r="C492" s="32" t="s">
        <v>887</v>
      </c>
      <c r="D492" s="34" t="s">
        <v>29</v>
      </c>
      <c r="E492" s="32" t="s">
        <v>278</v>
      </c>
    </row>
    <row r="493" spans="1:5" s="35" customFormat="1" x14ac:dyDescent="0.35">
      <c r="A493" s="32" t="str">
        <f t="shared" si="8"/>
        <v>PE 356,ED3-PETE</v>
      </c>
      <c r="B493" s="33" t="s">
        <v>896</v>
      </c>
      <c r="C493" s="32" t="s">
        <v>876</v>
      </c>
      <c r="D493" s="34" t="s">
        <v>29</v>
      </c>
      <c r="E493" s="32" t="s">
        <v>475</v>
      </c>
    </row>
    <row r="494" spans="1:5" s="35" customFormat="1" ht="15" customHeight="1" x14ac:dyDescent="0.35">
      <c r="A494" s="32" t="str">
        <f t="shared" si="8"/>
        <v>PE 358,ED3-PETE</v>
      </c>
      <c r="B494" s="33" t="s">
        <v>895</v>
      </c>
      <c r="C494" s="32" t="s">
        <v>878</v>
      </c>
      <c r="D494" s="34" t="s">
        <v>29</v>
      </c>
      <c r="E494" s="32" t="s">
        <v>264</v>
      </c>
    </row>
    <row r="495" spans="1:5" s="35" customFormat="1" x14ac:dyDescent="0.35">
      <c r="A495" s="32" t="str">
        <f t="shared" si="8"/>
        <v>PE 360,ED3-PETE</v>
      </c>
      <c r="B495" s="33" t="s">
        <v>894</v>
      </c>
      <c r="C495" s="32" t="s">
        <v>885</v>
      </c>
      <c r="D495" s="34" t="s">
        <v>29</v>
      </c>
      <c r="E495" s="32" t="s">
        <v>204</v>
      </c>
    </row>
    <row r="496" spans="1:5" s="35" customFormat="1" x14ac:dyDescent="0.35">
      <c r="A496" s="32" t="str">
        <f t="shared" si="8"/>
        <v>PE 362,ED3-PETE</v>
      </c>
      <c r="B496" s="33" t="s">
        <v>892</v>
      </c>
      <c r="C496" s="32" t="s">
        <v>893</v>
      </c>
      <c r="D496" s="34" t="s">
        <v>29</v>
      </c>
      <c r="E496" s="32" t="s">
        <v>471</v>
      </c>
    </row>
    <row r="497" spans="1:5" s="35" customFormat="1" x14ac:dyDescent="0.35">
      <c r="A497" s="32" t="str">
        <f t="shared" si="8"/>
        <v>PE 364,ED3-PETE</v>
      </c>
      <c r="B497" s="33" t="s">
        <v>891</v>
      </c>
      <c r="C497" s="32" t="s">
        <v>880</v>
      </c>
      <c r="D497" s="34" t="s">
        <v>29</v>
      </c>
      <c r="E497" s="32" t="s">
        <v>153</v>
      </c>
    </row>
    <row r="498" spans="1:5" s="35" customFormat="1" x14ac:dyDescent="0.35">
      <c r="A498" s="32" t="str">
        <f t="shared" si="8"/>
        <v>PE 366,ED3-PETE</v>
      </c>
      <c r="B498" s="33" t="s">
        <v>890</v>
      </c>
      <c r="C498" s="32" t="s">
        <v>876</v>
      </c>
      <c r="D498" s="34" t="s">
        <v>29</v>
      </c>
      <c r="E498" s="32" t="s">
        <v>356</v>
      </c>
    </row>
    <row r="499" spans="1:5" s="35" customFormat="1" x14ac:dyDescent="0.35">
      <c r="A499" s="32" t="str">
        <f t="shared" si="8"/>
        <v>PE 450,ED4-PETE</v>
      </c>
      <c r="B499" s="33" t="s">
        <v>889</v>
      </c>
      <c r="C499" s="32" t="s">
        <v>885</v>
      </c>
      <c r="D499" s="34" t="s">
        <v>53</v>
      </c>
      <c r="E499" s="32" t="s">
        <v>301</v>
      </c>
    </row>
    <row r="500" spans="1:5" s="35" customFormat="1" x14ac:dyDescent="0.35">
      <c r="A500" s="32" t="str">
        <f t="shared" si="8"/>
        <v>PE 452,ED4-PETE</v>
      </c>
      <c r="B500" s="33" t="s">
        <v>888</v>
      </c>
      <c r="C500" s="32" t="s">
        <v>878</v>
      </c>
      <c r="D500" s="34" t="s">
        <v>53</v>
      </c>
      <c r="E500" s="32" t="s">
        <v>222</v>
      </c>
    </row>
    <row r="501" spans="1:5" s="35" customFormat="1" x14ac:dyDescent="0.35">
      <c r="A501" s="32" t="str">
        <f t="shared" si="8"/>
        <v>PE 456,ED4-PETE</v>
      </c>
      <c r="B501" s="33" t="s">
        <v>886</v>
      </c>
      <c r="C501" s="32" t="s">
        <v>887</v>
      </c>
      <c r="D501" s="34" t="s">
        <v>53</v>
      </c>
      <c r="E501" s="32" t="s">
        <v>54</v>
      </c>
    </row>
    <row r="502" spans="1:5" s="35" customFormat="1" x14ac:dyDescent="0.35">
      <c r="A502" s="32" t="str">
        <f t="shared" si="8"/>
        <v>PE 458,ED4-PETE</v>
      </c>
      <c r="B502" s="33" t="s">
        <v>884</v>
      </c>
      <c r="C502" s="32" t="s">
        <v>885</v>
      </c>
      <c r="D502" s="34" t="s">
        <v>53</v>
      </c>
      <c r="E502" s="32" t="s">
        <v>184</v>
      </c>
    </row>
    <row r="503" spans="1:5" s="35" customFormat="1" x14ac:dyDescent="0.35">
      <c r="A503" s="32" t="str">
        <f t="shared" si="8"/>
        <v>PE 464,ED4-PETE</v>
      </c>
      <c r="B503" s="33" t="s">
        <v>883</v>
      </c>
      <c r="C503" s="32" t="s">
        <v>914</v>
      </c>
      <c r="D503" s="34" t="s">
        <v>53</v>
      </c>
      <c r="E503" s="32" t="s">
        <v>268</v>
      </c>
    </row>
    <row r="504" spans="1:5" s="35" customFormat="1" x14ac:dyDescent="0.35">
      <c r="A504" s="32" t="str">
        <f t="shared" si="8"/>
        <v>PE 466,ED4-PETE</v>
      </c>
      <c r="B504" s="33" t="s">
        <v>881</v>
      </c>
      <c r="C504" s="32" t="s">
        <v>882</v>
      </c>
      <c r="D504" s="34" t="s">
        <v>53</v>
      </c>
      <c r="E504" s="32" t="s">
        <v>325</v>
      </c>
    </row>
    <row r="505" spans="1:5" s="35" customFormat="1" x14ac:dyDescent="0.35">
      <c r="A505" s="32" t="str">
        <f t="shared" si="8"/>
        <v>PE 468,ED4-PETE</v>
      </c>
      <c r="B505" s="33" t="s">
        <v>879</v>
      </c>
      <c r="C505" s="32" t="s">
        <v>880</v>
      </c>
      <c r="D505" s="34" t="s">
        <v>53</v>
      </c>
      <c r="E505" s="32" t="s">
        <v>143</v>
      </c>
    </row>
    <row r="506" spans="1:5" s="35" customFormat="1" x14ac:dyDescent="0.35">
      <c r="A506" s="32" t="str">
        <f t="shared" si="8"/>
        <v>PE 472,ED4-PETE</v>
      </c>
      <c r="B506" s="33" t="s">
        <v>877</v>
      </c>
      <c r="C506" s="32" t="s">
        <v>878</v>
      </c>
      <c r="D506" s="34" t="s">
        <v>53</v>
      </c>
      <c r="E506" s="32" t="s">
        <v>379</v>
      </c>
    </row>
    <row r="507" spans="1:5" s="35" customFormat="1" x14ac:dyDescent="0.35">
      <c r="A507" s="32" t="str">
        <f t="shared" si="8"/>
        <v>PE 474,ED4-PETE</v>
      </c>
      <c r="B507" s="33" t="s">
        <v>875</v>
      </c>
      <c r="C507" s="32" t="s">
        <v>876</v>
      </c>
      <c r="D507" s="34" t="s">
        <v>53</v>
      </c>
      <c r="E507" s="32" t="s">
        <v>337</v>
      </c>
    </row>
    <row r="508" spans="1:5" s="35" customFormat="1" x14ac:dyDescent="0.35">
      <c r="A508" s="32" t="str">
        <f t="shared" si="8"/>
        <v>PE 476,ED4-PETE</v>
      </c>
      <c r="B508" s="33" t="s">
        <v>873</v>
      </c>
      <c r="C508" s="32" t="s">
        <v>874</v>
      </c>
      <c r="D508" s="34" t="s">
        <v>53</v>
      </c>
      <c r="E508" s="32" t="s">
        <v>458</v>
      </c>
    </row>
    <row r="509" spans="1:5" s="35" customFormat="1" x14ac:dyDescent="0.35">
      <c r="A509" s="32" t="str">
        <f t="shared" si="8"/>
        <v>PETE 354,ED3-PCE</v>
      </c>
      <c r="B509" s="33" t="s">
        <v>872</v>
      </c>
      <c r="C509" s="32" t="s">
        <v>871</v>
      </c>
      <c r="D509" s="34" t="s">
        <v>79</v>
      </c>
      <c r="E509" s="32" t="s">
        <v>80</v>
      </c>
    </row>
    <row r="510" spans="1:5" s="35" customFormat="1" x14ac:dyDescent="0.35">
      <c r="A510" s="32" t="str">
        <f t="shared" si="8"/>
        <v>PETE 450,ED3-PCE</v>
      </c>
      <c r="B510" s="33" t="s">
        <v>870</v>
      </c>
      <c r="C510" s="32" t="s">
        <v>871</v>
      </c>
      <c r="D510" s="34" t="s">
        <v>79</v>
      </c>
      <c r="E510" s="32" t="s">
        <v>374</v>
      </c>
    </row>
    <row r="511" spans="1:5" s="35" customFormat="1" x14ac:dyDescent="0.35">
      <c r="A511" s="32" t="str">
        <f t="shared" si="8"/>
        <v>PHY 154,ED1-BME</v>
      </c>
      <c r="B511" s="33" t="s">
        <v>868</v>
      </c>
      <c r="C511" s="32" t="s">
        <v>869</v>
      </c>
      <c r="D511" s="34" t="s">
        <v>22</v>
      </c>
      <c r="E511" s="32" t="s">
        <v>139</v>
      </c>
    </row>
    <row r="512" spans="1:5" s="35" customFormat="1" x14ac:dyDescent="0.35">
      <c r="A512" s="32" t="str">
        <f t="shared" si="8"/>
        <v>PHY 170,ED1-CHE</v>
      </c>
      <c r="B512" s="33" t="s">
        <v>865</v>
      </c>
      <c r="C512" s="32" t="s">
        <v>867</v>
      </c>
      <c r="D512" s="34" t="s">
        <v>60</v>
      </c>
      <c r="E512" s="32" t="s">
        <v>205</v>
      </c>
    </row>
    <row r="513" spans="1:5" s="35" customFormat="1" x14ac:dyDescent="0.35">
      <c r="A513" s="32" t="str">
        <f t="shared" si="8"/>
        <v>PHY 170,ED1-PCE</v>
      </c>
      <c r="B513" s="33" t="s">
        <v>865</v>
      </c>
      <c r="C513" s="32" t="s">
        <v>867</v>
      </c>
      <c r="D513" s="34" t="s">
        <v>58</v>
      </c>
      <c r="E513" s="32" t="s">
        <v>205</v>
      </c>
    </row>
    <row r="514" spans="1:5" s="35" customFormat="1" x14ac:dyDescent="0.35">
      <c r="A514" s="32" t="str">
        <f t="shared" si="8"/>
        <v>PHY 170,ED1-PETE</v>
      </c>
      <c r="B514" s="33" t="s">
        <v>865</v>
      </c>
      <c r="C514" s="32" t="s">
        <v>866</v>
      </c>
      <c r="D514" s="34" t="s">
        <v>98</v>
      </c>
      <c r="E514" s="32" t="s">
        <v>205</v>
      </c>
    </row>
    <row r="515" spans="1:5" s="35" customFormat="1" x14ac:dyDescent="0.35">
      <c r="A515" s="32" t="str">
        <f t="shared" si="8"/>
        <v>PL 251/2,ED3-GEOM</v>
      </c>
      <c r="B515" s="33" t="s">
        <v>863</v>
      </c>
      <c r="C515" s="32" t="s">
        <v>864</v>
      </c>
      <c r="D515" s="34" t="s">
        <v>47</v>
      </c>
      <c r="E515" s="32" t="s">
        <v>336</v>
      </c>
    </row>
    <row r="516" spans="1:5" s="35" customFormat="1" x14ac:dyDescent="0.35">
      <c r="A516" s="32" t="str">
        <f t="shared" si="8"/>
        <v>PSYC 154,ED1-TEL</v>
      </c>
      <c r="B516" s="33" t="s">
        <v>861</v>
      </c>
      <c r="C516" s="32" t="s">
        <v>862</v>
      </c>
      <c r="D516" s="34" t="s">
        <v>168</v>
      </c>
      <c r="E516" s="32" t="s">
        <v>452</v>
      </c>
    </row>
    <row r="517" spans="1:5" s="35" customFormat="1" x14ac:dyDescent="0.35">
      <c r="A517" s="32" t="str">
        <f t="shared" si="8"/>
        <v>SES 172,ED2-MARI</v>
      </c>
      <c r="B517" s="33" t="s">
        <v>859</v>
      </c>
      <c r="C517" s="32" t="s">
        <v>860</v>
      </c>
      <c r="D517" s="34" t="s">
        <v>31</v>
      </c>
      <c r="E517" s="32" t="s">
        <v>32</v>
      </c>
    </row>
    <row r="518" spans="1:5" s="35" customFormat="1" x14ac:dyDescent="0.35">
      <c r="A518" s="32" t="str">
        <f t="shared" si="8"/>
        <v>SOC 152,ED1-BME</v>
      </c>
      <c r="B518" s="33" t="s">
        <v>858</v>
      </c>
      <c r="C518" s="32" t="s">
        <v>1412</v>
      </c>
      <c r="D518" s="34" t="s">
        <v>22</v>
      </c>
      <c r="E518" s="32" t="s">
        <v>156</v>
      </c>
    </row>
    <row r="519" spans="1:5" s="35" customFormat="1" x14ac:dyDescent="0.35">
      <c r="A519" s="32" t="str">
        <f t="shared" si="8"/>
        <v>SSN 166,ED1-BME</v>
      </c>
      <c r="B519" s="33" t="s">
        <v>856</v>
      </c>
      <c r="C519" s="32" t="s">
        <v>857</v>
      </c>
      <c r="D519" s="34" t="s">
        <v>22</v>
      </c>
      <c r="E519" s="32" t="s">
        <v>274</v>
      </c>
    </row>
    <row r="520" spans="1:5" s="35" customFormat="1" x14ac:dyDescent="0.35">
      <c r="A520" s="32" t="str">
        <f t="shared" si="8"/>
        <v>TE 152,ED1-TEL</v>
      </c>
      <c r="B520" s="33" t="s">
        <v>855</v>
      </c>
      <c r="C520" s="32" t="s">
        <v>851</v>
      </c>
      <c r="D520" s="34" t="s">
        <v>168</v>
      </c>
      <c r="E520" s="32" t="s">
        <v>307</v>
      </c>
    </row>
    <row r="521" spans="1:5" s="35" customFormat="1" x14ac:dyDescent="0.35">
      <c r="A521" s="32" t="str">
        <f t="shared" si="8"/>
        <v>TE 156,ED1-TEL</v>
      </c>
      <c r="B521" s="33" t="s">
        <v>854</v>
      </c>
      <c r="C521" s="32" t="s">
        <v>852</v>
      </c>
      <c r="D521" s="34" t="s">
        <v>168</v>
      </c>
      <c r="E521" s="32" t="s">
        <v>238</v>
      </c>
    </row>
    <row r="522" spans="1:5" s="35" customFormat="1" x14ac:dyDescent="0.35">
      <c r="A522" s="32" t="str">
        <f t="shared" si="8"/>
        <v>TE 158,ED1-TEL</v>
      </c>
      <c r="B522" s="33" t="s">
        <v>853</v>
      </c>
      <c r="C522" s="32" t="s">
        <v>851</v>
      </c>
      <c r="D522" s="34" t="s">
        <v>168</v>
      </c>
      <c r="E522" s="32" t="s">
        <v>345</v>
      </c>
    </row>
    <row r="523" spans="1:5" s="35" customFormat="1" x14ac:dyDescent="0.35">
      <c r="A523" s="32" t="str">
        <f t="shared" si="8"/>
        <v>TE 254,ED2-EE</v>
      </c>
      <c r="B523" s="33" t="s">
        <v>848</v>
      </c>
      <c r="C523" s="32" t="s">
        <v>841</v>
      </c>
      <c r="D523" s="34" t="s">
        <v>46</v>
      </c>
      <c r="E523" s="32" t="s">
        <v>340</v>
      </c>
    </row>
    <row r="524" spans="1:5" s="35" customFormat="1" x14ac:dyDescent="0.35">
      <c r="A524" s="32" t="str">
        <f t="shared" ref="A524:A547" si="9">CONCATENATE(E524,",",D524)</f>
        <v>TE 258,ED2-TEL</v>
      </c>
      <c r="B524" s="33" t="s">
        <v>1352</v>
      </c>
      <c r="C524" s="32" t="s">
        <v>852</v>
      </c>
      <c r="D524" s="34" t="s">
        <v>49</v>
      </c>
      <c r="E524" s="32" t="s">
        <v>400</v>
      </c>
    </row>
    <row r="525" spans="1:5" s="35" customFormat="1" x14ac:dyDescent="0.35">
      <c r="A525" s="32" t="str">
        <f t="shared" si="9"/>
        <v>TE 252,ED2-TEL</v>
      </c>
      <c r="B525" s="33" t="s">
        <v>850</v>
      </c>
      <c r="C525" s="32" t="s">
        <v>851</v>
      </c>
      <c r="D525" s="34" t="s">
        <v>49</v>
      </c>
      <c r="E525" s="32" t="s">
        <v>265</v>
      </c>
    </row>
    <row r="526" spans="1:5" s="35" customFormat="1" x14ac:dyDescent="0.35">
      <c r="A526" s="32" t="str">
        <f t="shared" si="9"/>
        <v>TE 254,ED2-TEL</v>
      </c>
      <c r="B526" s="33" t="s">
        <v>848</v>
      </c>
      <c r="C526" s="32" t="s">
        <v>849</v>
      </c>
      <c r="D526" s="34" t="s">
        <v>49</v>
      </c>
      <c r="E526" s="32" t="s">
        <v>340</v>
      </c>
    </row>
    <row r="527" spans="1:5" s="35" customFormat="1" x14ac:dyDescent="0.35">
      <c r="A527" s="32" t="str">
        <f t="shared" si="9"/>
        <v>TE 292,ED2-TEL</v>
      </c>
      <c r="B527" s="33" t="s">
        <v>1353</v>
      </c>
      <c r="C527" s="32" t="s">
        <v>827</v>
      </c>
      <c r="D527" s="34" t="s">
        <v>49</v>
      </c>
      <c r="E527" s="32" t="s">
        <v>438</v>
      </c>
    </row>
    <row r="528" spans="1:5" s="35" customFormat="1" x14ac:dyDescent="0.35">
      <c r="A528" s="32" t="str">
        <f t="shared" si="9"/>
        <v>TE 262,ED2-EE</v>
      </c>
      <c r="B528" s="33" t="s">
        <v>848</v>
      </c>
      <c r="C528" s="32" t="s">
        <v>849</v>
      </c>
      <c r="D528" s="34" t="s">
        <v>46</v>
      </c>
      <c r="E528" s="32" t="s">
        <v>119</v>
      </c>
    </row>
    <row r="529" spans="1:5" s="35" customFormat="1" x14ac:dyDescent="0.35">
      <c r="A529" s="32" t="str">
        <f t="shared" si="9"/>
        <v>TE 262,ED2-COE</v>
      </c>
      <c r="B529" s="33" t="s">
        <v>846</v>
      </c>
      <c r="C529" s="32" t="s">
        <v>847</v>
      </c>
      <c r="D529" s="34" t="s">
        <v>40</v>
      </c>
      <c r="E529" s="32" t="s">
        <v>119</v>
      </c>
    </row>
    <row r="530" spans="1:5" s="35" customFormat="1" x14ac:dyDescent="0.35">
      <c r="A530" s="32" t="str">
        <f t="shared" si="9"/>
        <v>TE 374,ED3-TEL</v>
      </c>
      <c r="B530" s="33" t="s">
        <v>844</v>
      </c>
      <c r="C530" s="32" t="s">
        <v>845</v>
      </c>
      <c r="D530" s="34" t="s">
        <v>10</v>
      </c>
      <c r="E530" s="32" t="s">
        <v>436</v>
      </c>
    </row>
    <row r="531" spans="1:5" s="35" customFormat="1" x14ac:dyDescent="0.35">
      <c r="A531" s="32" t="str">
        <f t="shared" si="9"/>
        <v>TE 256,ED2-TEL</v>
      </c>
      <c r="B531" s="33" t="s">
        <v>843</v>
      </c>
      <c r="C531" s="32" t="s">
        <v>380</v>
      </c>
      <c r="D531" s="34" t="s">
        <v>49</v>
      </c>
      <c r="E531" s="32" t="s">
        <v>440</v>
      </c>
    </row>
    <row r="532" spans="1:5" s="35" customFormat="1" x14ac:dyDescent="0.35">
      <c r="A532" s="32" t="str">
        <f t="shared" si="9"/>
        <v>TE 356,ED3-TEL</v>
      </c>
      <c r="B532" s="33" t="s">
        <v>839</v>
      </c>
      <c r="C532" s="32" t="s">
        <v>835</v>
      </c>
      <c r="D532" s="34" t="s">
        <v>10</v>
      </c>
      <c r="E532" s="32" t="s">
        <v>1381</v>
      </c>
    </row>
    <row r="533" spans="1:5" s="35" customFormat="1" x14ac:dyDescent="0.35">
      <c r="A533" s="32" t="str">
        <f t="shared" si="9"/>
        <v>TE 354,ED3-TEL</v>
      </c>
      <c r="B533" s="33" t="s">
        <v>842</v>
      </c>
      <c r="C533" s="32" t="s">
        <v>841</v>
      </c>
      <c r="D533" s="34" t="s">
        <v>10</v>
      </c>
      <c r="E533" s="32" t="s">
        <v>434</v>
      </c>
    </row>
    <row r="534" spans="1:5" s="35" customFormat="1" x14ac:dyDescent="0.35">
      <c r="A534" s="32" t="str">
        <f t="shared" si="9"/>
        <v>TE 358,ED3-TEL</v>
      </c>
      <c r="B534" s="33" t="s">
        <v>836</v>
      </c>
      <c r="C534" s="32" t="s">
        <v>837</v>
      </c>
      <c r="D534" s="34" t="s">
        <v>10</v>
      </c>
      <c r="E534" s="32" t="s">
        <v>1382</v>
      </c>
    </row>
    <row r="535" spans="1:5" s="35" customFormat="1" x14ac:dyDescent="0.35">
      <c r="A535" s="32" t="str">
        <f t="shared" si="9"/>
        <v>TE 372,ED3-EE</v>
      </c>
      <c r="B535" s="33" t="s">
        <v>840</v>
      </c>
      <c r="C535" s="32" t="s">
        <v>841</v>
      </c>
      <c r="D535" s="34" t="s">
        <v>67</v>
      </c>
      <c r="E535" s="32" t="s">
        <v>401</v>
      </c>
    </row>
    <row r="536" spans="1:5" s="35" customFormat="1" x14ac:dyDescent="0.35">
      <c r="A536" s="32" t="str">
        <f t="shared" si="9"/>
        <v>TE 372,ED3-TEL</v>
      </c>
      <c r="B536" s="33" t="s">
        <v>432</v>
      </c>
      <c r="C536" s="32" t="s">
        <v>835</v>
      </c>
      <c r="D536" s="34" t="s">
        <v>10</v>
      </c>
      <c r="E536" s="32" t="s">
        <v>401</v>
      </c>
    </row>
    <row r="537" spans="1:5" s="35" customFormat="1" x14ac:dyDescent="0.35">
      <c r="A537" s="32" t="str">
        <f t="shared" si="9"/>
        <v>TE 352,ED3-TEL</v>
      </c>
      <c r="B537" s="33" t="s">
        <v>1351</v>
      </c>
      <c r="C537" s="32" t="s">
        <v>831</v>
      </c>
      <c r="D537" s="34" t="s">
        <v>10</v>
      </c>
      <c r="E537" s="32" t="s">
        <v>431</v>
      </c>
    </row>
    <row r="538" spans="1:5" s="35" customFormat="1" x14ac:dyDescent="0.35">
      <c r="A538" s="32" t="str">
        <f t="shared" si="9"/>
        <v>TE 384,ED3-EE</v>
      </c>
      <c r="B538" s="33" t="s">
        <v>839</v>
      </c>
      <c r="C538" s="32" t="s">
        <v>827</v>
      </c>
      <c r="D538" s="34" t="s">
        <v>67</v>
      </c>
      <c r="E538" s="32" t="s">
        <v>332</v>
      </c>
    </row>
    <row r="539" spans="1:5" s="35" customFormat="1" x14ac:dyDescent="0.35">
      <c r="A539" s="32" t="str">
        <f t="shared" si="9"/>
        <v>TE 356,ED3-TEL</v>
      </c>
      <c r="B539" s="33" t="s">
        <v>839</v>
      </c>
      <c r="C539" s="32" t="s">
        <v>835</v>
      </c>
      <c r="D539" s="34" t="s">
        <v>10</v>
      </c>
      <c r="E539" s="32" t="s">
        <v>1381</v>
      </c>
    </row>
    <row r="540" spans="1:5" s="35" customFormat="1" x14ac:dyDescent="0.35">
      <c r="A540" s="32" t="str">
        <f t="shared" si="9"/>
        <v>TE 386,ED3-EE</v>
      </c>
      <c r="B540" s="33" t="s">
        <v>836</v>
      </c>
      <c r="C540" s="32" t="s">
        <v>838</v>
      </c>
      <c r="D540" s="34" t="s">
        <v>67</v>
      </c>
      <c r="E540" s="32" t="s">
        <v>272</v>
      </c>
    </row>
    <row r="541" spans="1:5" s="35" customFormat="1" x14ac:dyDescent="0.35">
      <c r="A541" s="32" t="str">
        <f t="shared" si="9"/>
        <v>TE 386,ED3-TEL</v>
      </c>
      <c r="B541" s="33" t="s">
        <v>836</v>
      </c>
      <c r="C541" s="32" t="s">
        <v>837</v>
      </c>
      <c r="D541" s="34" t="s">
        <v>10</v>
      </c>
      <c r="E541" s="32" t="s">
        <v>272</v>
      </c>
    </row>
    <row r="542" spans="1:5" s="35" customFormat="1" x14ac:dyDescent="0.35">
      <c r="A542" s="32" t="str">
        <f t="shared" si="9"/>
        <v>TE 392,ED3-TEL</v>
      </c>
      <c r="B542" s="33" t="s">
        <v>834</v>
      </c>
      <c r="C542" s="32" t="s">
        <v>835</v>
      </c>
      <c r="D542" s="34" t="s">
        <v>10</v>
      </c>
      <c r="E542" s="32" t="s">
        <v>427</v>
      </c>
    </row>
    <row r="543" spans="1:5" s="35" customFormat="1" x14ac:dyDescent="0.35">
      <c r="A543" s="32" t="str">
        <f t="shared" si="9"/>
        <v>TE 462,ED4-TEL</v>
      </c>
      <c r="B543" s="33" t="s">
        <v>832</v>
      </c>
      <c r="C543" s="32" t="s">
        <v>833</v>
      </c>
      <c r="D543" s="34" t="s">
        <v>55</v>
      </c>
      <c r="E543" s="32" t="s">
        <v>286</v>
      </c>
    </row>
    <row r="544" spans="1:5" s="35" customFormat="1" ht="15" customHeight="1" x14ac:dyDescent="0.35">
      <c r="A544" s="32" t="str">
        <f t="shared" si="9"/>
        <v>TE 472,ED4-EE</v>
      </c>
      <c r="B544" s="33" t="s">
        <v>830</v>
      </c>
      <c r="C544" s="32" t="s">
        <v>831</v>
      </c>
      <c r="D544" s="34" t="s">
        <v>57</v>
      </c>
      <c r="E544" s="32" t="s">
        <v>56</v>
      </c>
    </row>
    <row r="545" spans="1:5" s="35" customFormat="1" x14ac:dyDescent="0.35">
      <c r="A545" s="32" t="str">
        <f t="shared" si="9"/>
        <v>TE 472,ED4-TEL</v>
      </c>
      <c r="B545" s="33" t="s">
        <v>830</v>
      </c>
      <c r="C545" s="32" t="s">
        <v>831</v>
      </c>
      <c r="D545" s="34" t="s">
        <v>55</v>
      </c>
      <c r="E545" s="32" t="s">
        <v>56</v>
      </c>
    </row>
    <row r="546" spans="1:5" s="35" customFormat="1" x14ac:dyDescent="0.35">
      <c r="A546" s="32" t="str">
        <f t="shared" si="9"/>
        <v>TE 474,ED4-TEL</v>
      </c>
      <c r="B546" s="33" t="s">
        <v>381</v>
      </c>
      <c r="C546" s="32" t="s">
        <v>380</v>
      </c>
      <c r="D546" s="34" t="s">
        <v>55</v>
      </c>
      <c r="E546" s="32" t="s">
        <v>382</v>
      </c>
    </row>
    <row r="547" spans="1:5" s="35" customFormat="1" x14ac:dyDescent="0.35">
      <c r="A547" s="32" t="str">
        <f t="shared" si="9"/>
        <v>TE 484,ED4-TEL</v>
      </c>
      <c r="B547" s="33" t="s">
        <v>828</v>
      </c>
      <c r="C547" s="32" t="s">
        <v>829</v>
      </c>
      <c r="D547" s="34" t="s">
        <v>55</v>
      </c>
      <c r="E547" s="32" t="s">
        <v>192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A89D-AEB1-489B-AFD8-0034765EF6EA}">
  <dimension ref="A1:F32"/>
  <sheetViews>
    <sheetView topLeftCell="A7" zoomScale="130" zoomScaleNormal="130" workbookViewId="0">
      <selection activeCell="C27" sqref="C27"/>
    </sheetView>
  </sheetViews>
  <sheetFormatPr defaultColWidth="8.81640625" defaultRowHeight="14" x14ac:dyDescent="0.3"/>
  <cols>
    <col min="1" max="1" width="20.54296875" style="54" customWidth="1"/>
    <col min="2" max="2" width="15" style="54" bestFit="1" customWidth="1"/>
    <col min="3" max="5" width="15" style="54" customWidth="1"/>
    <col min="6" max="6" width="9.26953125" style="54" customWidth="1"/>
    <col min="7" max="8" width="8.81640625" style="54"/>
    <col min="9" max="9" width="3.81640625" style="54" bestFit="1" customWidth="1"/>
    <col min="10" max="10" width="4.453125" style="54" customWidth="1"/>
    <col min="11" max="15" width="3.81640625" style="54" bestFit="1" customWidth="1"/>
    <col min="16" max="22" width="3.26953125" style="54" bestFit="1" customWidth="1"/>
    <col min="23" max="29" width="4" style="54" bestFit="1" customWidth="1"/>
    <col min="30" max="36" width="3.54296875" style="54" bestFit="1" customWidth="1"/>
    <col min="37" max="37" width="3.1796875" style="54" bestFit="1" customWidth="1"/>
    <col min="38" max="38" width="6.54296875" style="54" customWidth="1"/>
    <col min="39" max="39" width="5" style="54" customWidth="1"/>
    <col min="40" max="40" width="6" style="54" customWidth="1"/>
    <col min="41" max="41" width="5.81640625" style="54" customWidth="1"/>
    <col min="42" max="42" width="6.7265625" style="54" customWidth="1"/>
    <col min="43" max="16384" width="8.81640625" style="54"/>
  </cols>
  <sheetData>
    <row r="1" spans="1:6" x14ac:dyDescent="0.3">
      <c r="A1" s="119" t="s">
        <v>1461</v>
      </c>
      <c r="B1" s="119"/>
      <c r="C1" s="55"/>
      <c r="D1" s="55"/>
      <c r="E1" s="55"/>
      <c r="F1" s="55"/>
    </row>
    <row r="2" spans="1:6" x14ac:dyDescent="0.3">
      <c r="A2" s="119" t="s">
        <v>1460</v>
      </c>
      <c r="B2" s="119"/>
      <c r="C2" s="55"/>
      <c r="D2" s="55"/>
      <c r="E2" s="55"/>
      <c r="F2" s="55"/>
    </row>
    <row r="3" spans="1:6" ht="14.5" thickBot="1" x14ac:dyDescent="0.35">
      <c r="A3" s="87" t="s">
        <v>1459</v>
      </c>
      <c r="B3" s="87" t="s">
        <v>1458</v>
      </c>
      <c r="C3" s="86"/>
      <c r="D3" s="86"/>
      <c r="E3" s="86"/>
      <c r="F3" s="86"/>
    </row>
    <row r="4" spans="1:6" ht="15.5" x14ac:dyDescent="0.35">
      <c r="A4" s="82" t="s">
        <v>1457</v>
      </c>
      <c r="B4" s="81">
        <v>50</v>
      </c>
      <c r="C4" s="136" t="s">
        <v>1456</v>
      </c>
      <c r="D4" s="140" t="s">
        <v>1455</v>
      </c>
      <c r="E4" s="80">
        <v>2</v>
      </c>
      <c r="F4" s="59"/>
    </row>
    <row r="5" spans="1:6" ht="15.5" x14ac:dyDescent="0.35">
      <c r="A5" s="82" t="s">
        <v>1454</v>
      </c>
      <c r="B5" s="81">
        <v>48</v>
      </c>
      <c r="C5" s="137"/>
      <c r="D5" s="141"/>
      <c r="E5" s="80">
        <v>1</v>
      </c>
      <c r="F5" s="59"/>
    </row>
    <row r="6" spans="1:6" ht="15.5" x14ac:dyDescent="0.35">
      <c r="A6" s="82" t="s">
        <v>1453</v>
      </c>
      <c r="B6" s="81">
        <v>48</v>
      </c>
      <c r="C6" s="137"/>
      <c r="D6" s="141"/>
      <c r="E6" s="80">
        <v>1</v>
      </c>
      <c r="F6" s="59"/>
    </row>
    <row r="7" spans="1:6" ht="15.5" x14ac:dyDescent="0.35">
      <c r="A7" s="82" t="s">
        <v>1452</v>
      </c>
      <c r="B7" s="81">
        <v>90</v>
      </c>
      <c r="C7" s="138"/>
      <c r="D7" s="141"/>
      <c r="E7" s="85">
        <v>2</v>
      </c>
      <c r="F7" s="84">
        <v>474</v>
      </c>
    </row>
    <row r="8" spans="1:6" ht="15.5" x14ac:dyDescent="0.35">
      <c r="A8" s="83">
        <v>206</v>
      </c>
      <c r="B8" s="81">
        <v>48</v>
      </c>
      <c r="C8" s="139" t="s">
        <v>1451</v>
      </c>
      <c r="D8" s="141"/>
      <c r="E8" s="80">
        <v>1</v>
      </c>
      <c r="F8" s="59"/>
    </row>
    <row r="9" spans="1:6" ht="15.5" x14ac:dyDescent="0.35">
      <c r="A9" s="83">
        <v>303</v>
      </c>
      <c r="B9" s="81">
        <v>60</v>
      </c>
      <c r="C9" s="139"/>
      <c r="D9" s="141"/>
      <c r="E9" s="80">
        <v>2</v>
      </c>
      <c r="F9" s="59"/>
    </row>
    <row r="10" spans="1:6" ht="15.5" x14ac:dyDescent="0.35">
      <c r="A10" s="83">
        <v>304</v>
      </c>
      <c r="B10" s="81">
        <v>40</v>
      </c>
      <c r="C10" s="139"/>
      <c r="D10" s="141"/>
      <c r="E10" s="80">
        <v>1</v>
      </c>
      <c r="F10" s="59"/>
    </row>
    <row r="11" spans="1:6" ht="15.5" x14ac:dyDescent="0.35">
      <c r="A11" s="82" t="s">
        <v>1450</v>
      </c>
      <c r="B11" s="81">
        <v>50</v>
      </c>
      <c r="C11" s="139" t="s">
        <v>1449</v>
      </c>
      <c r="D11" s="141"/>
      <c r="E11" s="80">
        <v>1</v>
      </c>
      <c r="F11" s="59"/>
    </row>
    <row r="12" spans="1:6" ht="15.5" x14ac:dyDescent="0.35">
      <c r="A12" s="82" t="s">
        <v>1448</v>
      </c>
      <c r="B12" s="81">
        <v>40</v>
      </c>
      <c r="C12" s="139"/>
      <c r="D12" s="141"/>
      <c r="E12" s="80">
        <v>1</v>
      </c>
      <c r="F12" s="59"/>
    </row>
    <row r="13" spans="1:6" ht="15.5" x14ac:dyDescent="0.35">
      <c r="A13" s="77" t="s">
        <v>1447</v>
      </c>
      <c r="B13" s="76">
        <v>80</v>
      </c>
      <c r="C13" s="144" t="s">
        <v>1446</v>
      </c>
      <c r="D13" s="142" t="s">
        <v>1445</v>
      </c>
      <c r="E13" s="79">
        <v>2</v>
      </c>
      <c r="F13" s="78"/>
    </row>
    <row r="14" spans="1:6" ht="15.5" x14ac:dyDescent="0.35">
      <c r="A14" s="77" t="s">
        <v>1444</v>
      </c>
      <c r="B14" s="76">
        <v>80</v>
      </c>
      <c r="C14" s="144"/>
      <c r="D14" s="143"/>
      <c r="E14" s="79">
        <v>2</v>
      </c>
      <c r="F14" s="78"/>
    </row>
    <row r="15" spans="1:6" ht="15.5" x14ac:dyDescent="0.35">
      <c r="A15" s="77" t="s">
        <v>1443</v>
      </c>
      <c r="B15" s="76">
        <v>80</v>
      </c>
      <c r="C15" s="144"/>
      <c r="D15" s="143"/>
      <c r="E15" s="79">
        <v>2</v>
      </c>
      <c r="F15" s="78"/>
    </row>
    <row r="16" spans="1:6" ht="15.5" x14ac:dyDescent="0.35">
      <c r="A16" s="77" t="s">
        <v>1442</v>
      </c>
      <c r="B16" s="76">
        <v>0</v>
      </c>
      <c r="C16" s="144"/>
      <c r="D16" s="143"/>
      <c r="E16" s="79">
        <v>1</v>
      </c>
      <c r="F16" s="78"/>
    </row>
    <row r="17" spans="1:6" ht="15.5" x14ac:dyDescent="0.35">
      <c r="A17" s="77" t="s">
        <v>1441</v>
      </c>
      <c r="B17" s="76">
        <v>60</v>
      </c>
      <c r="C17" s="144"/>
      <c r="D17" s="143"/>
      <c r="E17" s="79">
        <v>2</v>
      </c>
      <c r="F17" s="78"/>
    </row>
    <row r="18" spans="1:6" ht="15.5" x14ac:dyDescent="0.35">
      <c r="A18" s="77" t="s">
        <v>1440</v>
      </c>
      <c r="B18" s="76">
        <v>80</v>
      </c>
      <c r="C18" s="144" t="s">
        <v>1439</v>
      </c>
      <c r="D18" s="143"/>
      <c r="E18" s="79">
        <v>2</v>
      </c>
      <c r="F18" s="78"/>
    </row>
    <row r="19" spans="1:6" ht="15.5" x14ac:dyDescent="0.35">
      <c r="A19" s="77" t="s">
        <v>1438</v>
      </c>
      <c r="B19" s="76">
        <v>80</v>
      </c>
      <c r="C19" s="144"/>
      <c r="D19" s="143"/>
      <c r="E19" s="79">
        <v>2</v>
      </c>
      <c r="F19" s="78"/>
    </row>
    <row r="20" spans="1:6" ht="15.5" x14ac:dyDescent="0.35">
      <c r="A20" s="77" t="s">
        <v>1437</v>
      </c>
      <c r="B20" s="76">
        <v>50</v>
      </c>
      <c r="C20" s="144"/>
      <c r="D20" s="143"/>
      <c r="E20" s="79">
        <v>1</v>
      </c>
      <c r="F20" s="78"/>
    </row>
    <row r="21" spans="1:6" ht="15.5" x14ac:dyDescent="0.35">
      <c r="A21" s="77" t="s">
        <v>1436</v>
      </c>
      <c r="B21" s="76">
        <v>60</v>
      </c>
      <c r="C21" s="144"/>
      <c r="D21" s="143"/>
      <c r="E21" s="75">
        <v>1</v>
      </c>
      <c r="F21" s="74">
        <f>SUM(B13:B21)</f>
        <v>570</v>
      </c>
    </row>
    <row r="22" spans="1:6" ht="15.5" x14ac:dyDescent="0.35">
      <c r="A22" s="71" t="s">
        <v>1435</v>
      </c>
      <c r="B22" s="70">
        <v>50</v>
      </c>
      <c r="C22" s="128" t="s">
        <v>1434</v>
      </c>
      <c r="D22" s="131" t="s">
        <v>1433</v>
      </c>
      <c r="E22" s="73">
        <v>1</v>
      </c>
      <c r="F22" s="72"/>
    </row>
    <row r="23" spans="1:6" ht="15.5" x14ac:dyDescent="0.35">
      <c r="A23" s="71" t="s">
        <v>1432</v>
      </c>
      <c r="B23" s="70">
        <v>50</v>
      </c>
      <c r="C23" s="128"/>
      <c r="D23" s="132"/>
      <c r="E23" s="73">
        <v>1</v>
      </c>
      <c r="F23" s="72"/>
    </row>
    <row r="24" spans="1:6" ht="15.5" x14ac:dyDescent="0.35">
      <c r="A24" s="71" t="s">
        <v>1431</v>
      </c>
      <c r="B24" s="70">
        <v>60</v>
      </c>
      <c r="C24" s="128"/>
      <c r="D24" s="132"/>
      <c r="E24" s="73">
        <v>2</v>
      </c>
      <c r="F24" s="72"/>
    </row>
    <row r="25" spans="1:6" ht="15.5" x14ac:dyDescent="0.35">
      <c r="A25" s="71" t="s">
        <v>1430</v>
      </c>
      <c r="B25" s="70">
        <v>60</v>
      </c>
      <c r="C25" s="128" t="s">
        <v>1429</v>
      </c>
      <c r="D25" s="132"/>
      <c r="E25" s="73">
        <v>3</v>
      </c>
      <c r="F25" s="72"/>
    </row>
    <row r="26" spans="1:6" ht="15.5" x14ac:dyDescent="0.35">
      <c r="A26" s="71" t="s">
        <v>1428</v>
      </c>
      <c r="B26" s="70">
        <v>90</v>
      </c>
      <c r="C26" s="128"/>
      <c r="D26" s="132"/>
      <c r="E26" s="69">
        <v>2</v>
      </c>
      <c r="F26" s="68">
        <f>SUM(B22:B26)</f>
        <v>310</v>
      </c>
    </row>
    <row r="27" spans="1:6" ht="15.5" x14ac:dyDescent="0.35">
      <c r="A27" s="63" t="s">
        <v>1427</v>
      </c>
      <c r="B27" s="66">
        <v>160</v>
      </c>
      <c r="C27" s="67" t="s">
        <v>1426</v>
      </c>
      <c r="D27" s="133" t="s">
        <v>1425</v>
      </c>
      <c r="E27" s="65">
        <v>3</v>
      </c>
      <c r="F27" s="64"/>
    </row>
    <row r="28" spans="1:6" ht="15.5" x14ac:dyDescent="0.35">
      <c r="A28" s="63" t="s">
        <v>1424</v>
      </c>
      <c r="B28" s="66">
        <v>60</v>
      </c>
      <c r="C28" s="67" t="s">
        <v>1423</v>
      </c>
      <c r="D28" s="134"/>
      <c r="E28" s="65">
        <v>2</v>
      </c>
      <c r="F28" s="64"/>
    </row>
    <row r="29" spans="1:6" ht="15.5" x14ac:dyDescent="0.35">
      <c r="A29" s="63" t="s">
        <v>1422</v>
      </c>
      <c r="B29" s="66">
        <v>100</v>
      </c>
      <c r="C29" s="129" t="s">
        <v>1421</v>
      </c>
      <c r="D29" s="134"/>
      <c r="E29" s="65"/>
      <c r="F29" s="64"/>
    </row>
    <row r="30" spans="1:6" ht="16" thickBot="1" x14ac:dyDescent="0.4">
      <c r="A30" s="63" t="s">
        <v>1420</v>
      </c>
      <c r="B30" s="62">
        <v>160</v>
      </c>
      <c r="C30" s="130"/>
      <c r="D30" s="135"/>
      <c r="E30" s="61">
        <v>2</v>
      </c>
      <c r="F30" s="60">
        <f>SUM(B27:B30)</f>
        <v>480</v>
      </c>
    </row>
    <row r="31" spans="1:6" x14ac:dyDescent="0.3">
      <c r="B31" s="59"/>
      <c r="E31" s="54">
        <v>1</v>
      </c>
    </row>
    <row r="32" spans="1:6" ht="15" x14ac:dyDescent="0.3">
      <c r="A32" s="58" t="s">
        <v>1419</v>
      </c>
      <c r="B32" s="57">
        <f>SUM(B4:B30)</f>
        <v>1834</v>
      </c>
      <c r="C32" s="56"/>
      <c r="D32" s="56"/>
      <c r="E32" s="56"/>
      <c r="F32" s="55"/>
    </row>
  </sheetData>
  <mergeCells count="14">
    <mergeCell ref="A1:B1"/>
    <mergeCell ref="A2:B2"/>
    <mergeCell ref="C25:C26"/>
    <mergeCell ref="C29:C30"/>
    <mergeCell ref="D22:D26"/>
    <mergeCell ref="D27:D30"/>
    <mergeCell ref="C4:C7"/>
    <mergeCell ref="C11:C12"/>
    <mergeCell ref="C8:C10"/>
    <mergeCell ref="D4:D12"/>
    <mergeCell ref="D13:D21"/>
    <mergeCell ref="C13:C17"/>
    <mergeCell ref="C18:C21"/>
    <mergeCell ref="C22:C24"/>
  </mergeCells>
  <pageMargins left="0.7" right="0.7" top="0.75" bottom="0.75" header="0.3" footer="0.3"/>
  <pageSetup paperSize="9" scale="1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38</vt:i4>
      </vt:variant>
    </vt:vector>
  </HeadingPairs>
  <TitlesOfParts>
    <vt:vector size="44" baseType="lpstr">
      <vt:lpstr>TT</vt:lpstr>
      <vt:lpstr>Sheet1</vt:lpstr>
      <vt:lpstr>TALLY</vt:lpstr>
      <vt:lpstr>combined_data</vt:lpstr>
      <vt:lpstr>Combined Data</vt:lpstr>
      <vt:lpstr>ROOMS</vt:lpstr>
      <vt:lpstr>CLASS</vt:lpstr>
      <vt:lpstr>ED3_PCE</vt:lpstr>
      <vt:lpstr>ED3_TEL</vt:lpstr>
      <vt:lpstr>ED4_IND</vt:lpstr>
      <vt:lpstr>TT!Print_Area</vt:lpstr>
      <vt:lpstr>Total_F1</vt:lpstr>
      <vt:lpstr>Total_F2</vt:lpstr>
      <vt:lpstr>Total_F3</vt:lpstr>
      <vt:lpstr>Total_F4</vt:lpstr>
      <vt:lpstr>Total_F5</vt:lpstr>
      <vt:lpstr>Total_F6</vt:lpstr>
      <vt:lpstr>Total_F7</vt:lpstr>
      <vt:lpstr>Total_H1</vt:lpstr>
      <vt:lpstr>Total_H2</vt:lpstr>
      <vt:lpstr>Total_H3</vt:lpstr>
      <vt:lpstr>Total_H4</vt:lpstr>
      <vt:lpstr>Total_H5</vt:lpstr>
      <vt:lpstr>Total_M1</vt:lpstr>
      <vt:lpstr>Total_M2</vt:lpstr>
      <vt:lpstr>Total_M3</vt:lpstr>
      <vt:lpstr>Total_M4</vt:lpstr>
      <vt:lpstr>Total_M5</vt:lpstr>
      <vt:lpstr>Total_M6</vt:lpstr>
      <vt:lpstr>Total_M7</vt:lpstr>
      <vt:lpstr>Total_T1</vt:lpstr>
      <vt:lpstr>Total_T2</vt:lpstr>
      <vt:lpstr>Total_T3</vt:lpstr>
      <vt:lpstr>Total_T4</vt:lpstr>
      <vt:lpstr>Total_T5</vt:lpstr>
      <vt:lpstr>Total_T6</vt:lpstr>
      <vt:lpstr>Total_T7</vt:lpstr>
      <vt:lpstr>Total_W1</vt:lpstr>
      <vt:lpstr>Total_W2</vt:lpstr>
      <vt:lpstr>Total_W3</vt:lpstr>
      <vt:lpstr>Total_W4</vt:lpstr>
      <vt:lpstr>Total_W5</vt:lpstr>
      <vt:lpstr>Total_W6</vt:lpstr>
      <vt:lpstr>Total_W7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Mr Man</cp:lastModifiedBy>
  <cp:lastPrinted>2025-07-01T14:27:53Z</cp:lastPrinted>
  <dcterms:created xsi:type="dcterms:W3CDTF">2015-06-05T18:17:20Z</dcterms:created>
  <dcterms:modified xsi:type="dcterms:W3CDTF">2025-07-01T19:36:58Z</dcterms:modified>
</cp:coreProperties>
</file>