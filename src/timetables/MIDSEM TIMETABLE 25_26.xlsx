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r_man\Desktop\invigilation-auto\src\timetables\"/>
    </mc:Choice>
  </mc:AlternateContent>
  <xr:revisionPtr revIDLastSave="0" documentId="13_ncr:1_{C61B356C-0B33-4CAA-9293-3F352384849F}" xr6:coauthVersionLast="47" xr6:coauthVersionMax="47" xr10:uidLastSave="{00000000-0000-0000-0000-000000000000}"/>
  <bookViews>
    <workbookView xWindow="-110" yWindow="-110" windowWidth="19420" windowHeight="11020" activeTab="1" xr2:uid="{488D63BC-CFDB-497C-877D-5A751AA539C6}"/>
  </bookViews>
  <sheets>
    <sheet name="TT " sheetId="2" r:id="rId1"/>
    <sheet name="Sheet1" sheetId="14" r:id="rId2"/>
    <sheet name="TALLY" sheetId="5" r:id="rId3"/>
    <sheet name="Lecturers" sheetId="3" r:id="rId4"/>
    <sheet name="ROOMS" sheetId="12" r:id="rId5"/>
    <sheet name="WATER (2)" sheetId="7" r:id="rId6"/>
    <sheet name="COMBINED_ATTD_INV (2)" sheetId="9" r:id="rId7"/>
    <sheet name="BANK DETAILS INVIGILATORS" sheetId="8" r:id="rId8"/>
    <sheet name="SUPP" sheetId="11" r:id="rId9"/>
    <sheet name="Invigilation + Meals(2nd Sem)" sheetId="10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_xlnm._FilterDatabase" localSheetId="0" hidden="1">'TT '!$L$2:$L$2</definedName>
    <definedName name="CLASS" localSheetId="6">#REF!</definedName>
    <definedName name="CLASS" localSheetId="9">#REF!</definedName>
    <definedName name="CLASS" localSheetId="4">#REF!</definedName>
    <definedName name="CLASS" localSheetId="2">#REF!</definedName>
    <definedName name="CLASS" localSheetId="5">#REF!</definedName>
    <definedName name="CLASS">#REF!</definedName>
    <definedName name="CODE" localSheetId="6">#REF!</definedName>
    <definedName name="CODE" localSheetId="9">#REF!</definedName>
    <definedName name="CODE" localSheetId="3">#REF!</definedName>
    <definedName name="CODE" localSheetId="4">#REF!</definedName>
    <definedName name="CODE" localSheetId="2">#REF!</definedName>
    <definedName name="CODE" localSheetId="5">#REF!</definedName>
    <definedName name="CODE">#REF!</definedName>
    <definedName name="COURSE_NAME" localSheetId="6">#REF!</definedName>
    <definedName name="COURSE_NAME" localSheetId="9">#REF!</definedName>
    <definedName name="COURSE_NAME" localSheetId="3">#REF!</definedName>
    <definedName name="COURSE_NAME" localSheetId="4">#REF!</definedName>
    <definedName name="COURSE_NAME" localSheetId="2">#REF!</definedName>
    <definedName name="COURSE_NAME" localSheetId="5">#REF!</definedName>
    <definedName name="COURSE_NAME">#REF!</definedName>
    <definedName name="EXAMINER" localSheetId="6">#REF!</definedName>
    <definedName name="EXAMINER" localSheetId="9">#REF!</definedName>
    <definedName name="EXAMINER" localSheetId="3">#REF!</definedName>
    <definedName name="EXAMINER" localSheetId="4">#REF!</definedName>
    <definedName name="EXAMINER" localSheetId="2">#REF!</definedName>
    <definedName name="EXAMINER" localSheetId="5">#REF!</definedName>
    <definedName name="EXAMINER">#REF!</definedName>
    <definedName name="hy">#REF!</definedName>
    <definedName name="po">#REF!</definedName>
    <definedName name="_xlnm.Print_Area" localSheetId="6">'COMBINED_ATTD_INV (2)'!$A$1:$F$904</definedName>
    <definedName name="_xlnm.Print_Area" localSheetId="9">'Invigilation + Meals(2nd Sem)'!$A$1:$K$498</definedName>
    <definedName name="_xlnm.Print_Area" localSheetId="4">ROOMS!$A$1:$F$32</definedName>
    <definedName name="_xlnm.Print_Area" localSheetId="8">SUPP!$A$1:$L$15</definedName>
    <definedName name="_xlnm.Print_Area" localSheetId="2">TALLY!$A$1:$AI$74</definedName>
    <definedName name="_xlnm.Print_Area" localSheetId="0">'TT '!$A$1:$G$655</definedName>
    <definedName name="_xlnm.Print_Area" localSheetId="5">'WATER (2)'!$L$1:$X$44</definedName>
    <definedName name="room_no">#REF!</definedName>
    <definedName name="ROOM_NO." localSheetId="6">#REF!</definedName>
    <definedName name="ROOM_NO." localSheetId="9">#REF!</definedName>
    <definedName name="ROOM_NO." localSheetId="4">#REF!</definedName>
    <definedName name="ROOM_NO." localSheetId="2">#REF!</definedName>
    <definedName name="ROOM_NO." localSheetId="5">#REF!</definedName>
    <definedName name="ROOM_NO.">#REF!</definedName>
    <definedName name="STDS" localSheetId="6">#REF!</definedName>
    <definedName name="STDS" localSheetId="9">#REF!</definedName>
    <definedName name="STDS" localSheetId="3">#REF!</definedName>
    <definedName name="STDS" localSheetId="4">#REF!</definedName>
    <definedName name="STDS" localSheetId="2">#REF!</definedName>
    <definedName name="STDS" localSheetId="5">#REF!</definedName>
    <definedName name="STDS">#REF!</definedName>
    <definedName name="TO_PRT" localSheetId="6">#REF!</definedName>
    <definedName name="TO_PRT" localSheetId="9">#REF!</definedName>
    <definedName name="TO_PRT" localSheetId="3">#REF!</definedName>
    <definedName name="TO_PRT" localSheetId="4">#REF!</definedName>
    <definedName name="TO_PRT" localSheetId="2">#REF!</definedName>
    <definedName name="TO_PRT" localSheetId="5">#REF!</definedName>
    <definedName name="TO_PRT">#REF!</definedName>
    <definedName name="Total_F1" localSheetId="6">[1]TT!$D$666:$D$681</definedName>
    <definedName name="Total_F1" localSheetId="5">'[2]TT (Working)'!$D$668:$D$683</definedName>
    <definedName name="Total_F1">'[2]TT (Working)'!$D$668:$D$683</definedName>
    <definedName name="Total_F1_1" localSheetId="6">[3]TT!$D$226:$D$238</definedName>
    <definedName name="Total_F1_1" localSheetId="3">'[4]TT (MAIN)'!$D$183:$D$215</definedName>
    <definedName name="Total_F1_1">[5]TT!$D$206:$D$219</definedName>
    <definedName name="Total_F1_2" localSheetId="6">[3]TT!$D$252:$D$267</definedName>
    <definedName name="Total_F1_2">[5]TT!$D$225:$D$227</definedName>
    <definedName name="Total_F1_3" localSheetId="6">[3]TT!$D$277:$D$290</definedName>
    <definedName name="Total_F1_3">[5]TT!$D$245:$D$261</definedName>
    <definedName name="Total_F2" localSheetId="6">[1]TT!$D$688:$D$708</definedName>
    <definedName name="Total_F2" localSheetId="5">'[2]TT (Working)'!$D$690:$D$712</definedName>
    <definedName name="Total_F2">'[2]TT (Working)'!$D$690:$D$712</definedName>
    <definedName name="Total_F2_1" localSheetId="6">[3]TT!$D$577:$D$594</definedName>
    <definedName name="Total_F2_1" localSheetId="3">'[4]TT (MAIN)'!$D$459:$D$472</definedName>
    <definedName name="Total_F2_1">[5]TT!$D$503:$D$520</definedName>
    <definedName name="Total_F2_2" localSheetId="6">[3]TT!$D$601:$D$618</definedName>
    <definedName name="Total_F2_2" localSheetId="3">'[4]TT (MAIN)'!$D$486:$D$500</definedName>
    <definedName name="Total_F2_2">[5]TT!$D$526:$D$536</definedName>
    <definedName name="Total_F2_3" localSheetId="6">[3]TT!$D$624:$D$641</definedName>
    <definedName name="Total_F2_3">[5]TT!$D$542:$D$559</definedName>
    <definedName name="Total_F3" localSheetId="6">[1]TT!$D$714:$D$727</definedName>
    <definedName name="Total_F3" localSheetId="5">'[2]TT (Working)'!$D$718:$D$731</definedName>
    <definedName name="Total_F3">'[2]TT (Working)'!$D$718:$D$731</definedName>
    <definedName name="Total_F3_1" localSheetId="6">[3]TT!$D$865:$D$876</definedName>
    <definedName name="Total_F3_1" localSheetId="3">'[4]TT (MAIN)'!$D$759:$D$771</definedName>
    <definedName name="Total_F3_1">[5]TT!$D$801:$D$817</definedName>
    <definedName name="Total_F3_2" localSheetId="6">[3]TT!$D$882:$D$890</definedName>
    <definedName name="Total_F3_2">[5]TT!$D$823:$D$836</definedName>
    <definedName name="Total_F3_3" localSheetId="6">[3]TT!$D$897:$D$908</definedName>
    <definedName name="Total_F3_3">[5]TT!$D$842:$D$858</definedName>
    <definedName name="Total_F4" localSheetId="6">[1]TT!$D$733:$D$742</definedName>
    <definedName name="Total_F4" localSheetId="5">'[2]TT (Working)'!$D$737:$D$746</definedName>
    <definedName name="Total_F4">'[2]TT (Working)'!$D$737:$D$746</definedName>
    <definedName name="Total_F5" localSheetId="6">[1]TT!$D$749:$D$762</definedName>
    <definedName name="Total_F5" localSheetId="5">'[2]TT (Working)'!$D$753:$D$766</definedName>
    <definedName name="Total_F5">'[2]TT (Working)'!$D$753:$D$766</definedName>
    <definedName name="Total_F6" localSheetId="6">[1]TT!$D$769:$D$784</definedName>
    <definedName name="Total_F6" localSheetId="5">'[2]TT (Working)'!$D$773:$D$787</definedName>
    <definedName name="Total_F6">'[2]TT (Working)'!$D$773:$D$787</definedName>
    <definedName name="Total_F7" localSheetId="6">[1]TT!$D$790:$D$800</definedName>
    <definedName name="Total_F7" localSheetId="5">'[2]TT (Working)'!$D$793:$D$802</definedName>
    <definedName name="Total_F7">'[2]TT (Working)'!$D$793:$D$802</definedName>
    <definedName name="Total_H1" localSheetId="6">[1]TT!$D$511:$D$544</definedName>
    <definedName name="Total_H1" localSheetId="5">'[2]TT (Working)'!$D$510:$D$528</definedName>
    <definedName name="Total_H1">'[2]TT (Working)'!$D$510:$D$528</definedName>
    <definedName name="Total_H1_1">[5]TT!$D$147:$D$161</definedName>
    <definedName name="Total_H1_2" localSheetId="6">[3]TT!$D$175:$D$190</definedName>
    <definedName name="Total_H1_2">[5]TT!$D$167:$D$178</definedName>
    <definedName name="Total_H1_3" localSheetId="6">[3]TT!$D$205:$D$218</definedName>
    <definedName name="Total_H1_3">[5]TT!$D$184:$D$239</definedName>
    <definedName name="Total_H2" localSheetId="6">[1]TT!$D$540:$D$553</definedName>
    <definedName name="Total_H2" localSheetId="5">'[2]TT (Working)'!$D$540:$D$552</definedName>
    <definedName name="Total_H2">'[2]TT (Working)'!$D$540:$D$552</definedName>
    <definedName name="Total_H2_1" localSheetId="6">[3]TT!$D$506:$D$524</definedName>
    <definedName name="Total_H2_1" localSheetId="3">'[4]TT (MAIN)'!$D$402:$D$413</definedName>
    <definedName name="Total_H2_1">[5]TT!$D$450:$D$709</definedName>
    <definedName name="Total_H2_2" localSheetId="6">[3]TT!$D$535:$D$548</definedName>
    <definedName name="Total_H2_2" localSheetId="3">'[4]TT (MAIN)'!$D$419:$D$435</definedName>
    <definedName name="Total_H2_2">[5]TT!$D$470:$D$692</definedName>
    <definedName name="Total_H2_3" localSheetId="6">[3]TT!$D$561:$D$569</definedName>
    <definedName name="Total_H2_3" localSheetId="3">'[4]TT (MAIN)'!$D$441:$D$453</definedName>
    <definedName name="Total_H2_3">[5]TT!$D$486:$D$696</definedName>
    <definedName name="Total_H3" localSheetId="6">[1]TT!$D$565:$D$578</definedName>
    <definedName name="Total_H3" localSheetId="5">'[2]TT (Working)'!$D$564:$D$577</definedName>
    <definedName name="Total_H3">'[2]TT (Working)'!$D$564:$D$577</definedName>
    <definedName name="Total_H3_1" localSheetId="6">[3]TT!$D$808:$D$822</definedName>
    <definedName name="Total_H3_1" localSheetId="3">'[4]TT (MAIN)'!$D$692:$D$712</definedName>
    <definedName name="Total_H3_1">[5]TT!$D$744:$D$760</definedName>
    <definedName name="Total_H3_2" localSheetId="6">[3]TT!$D$828:$D$844</definedName>
    <definedName name="Total_H3_2" localSheetId="3">'[4]TT (MAIN)'!$D$718:$D$728</definedName>
    <definedName name="Total_H3_2">[5]TT!$D$766:$D$775</definedName>
    <definedName name="Total_H3_3" localSheetId="6">[3]TT!$D$851:$D$859</definedName>
    <definedName name="Total_H3_3" localSheetId="3">'[4]TT (MAIN)'!$D$734:$D$753</definedName>
    <definedName name="Total_H3_3">[5]TT!$D$781:$D$795</definedName>
    <definedName name="Total_H4" localSheetId="6">[1]TT!$D$586:$D$605</definedName>
    <definedName name="Total_H4" localSheetId="5">'[2]TT (Working)'!$D$585:$D$607</definedName>
    <definedName name="Total_H4">'[2]TT (Working)'!$D$585:$D$607</definedName>
    <definedName name="Total_H5" localSheetId="6">[1]TT!$D$612:$D$623</definedName>
    <definedName name="Total_H5" localSheetId="5">'[2]TT (Working)'!$D$614:$D$677</definedName>
    <definedName name="Total_H5">'[2]TT (Working)'!$D$614:$D$677</definedName>
    <definedName name="Total_H6" localSheetId="6">[1]TT!$D$629:$D$643</definedName>
    <definedName name="Total_H6" localSheetId="5">'[2]TT (Working)'!$D$631:$D$646</definedName>
    <definedName name="Total_H6">'[2]TT (Working)'!$D$631:$D$646</definedName>
    <definedName name="Total_H7" localSheetId="6">[1]TT!$D$649:$D$660</definedName>
    <definedName name="Total_H7" localSheetId="5">'[2]TT (Working)'!$D$653:$D$662</definedName>
    <definedName name="Total_H7">'[2]TT (Working)'!$D$653:$D$662</definedName>
    <definedName name="Total_M1" localSheetId="6">[1]TT!$D$3:$D$20</definedName>
    <definedName name="Total_M1" localSheetId="5">'[2]TT (Working)'!$D$3:$D$471</definedName>
    <definedName name="Total_M1">'[2]TT (Working)'!$D$3:$D$471</definedName>
    <definedName name="Total_M1_1" localSheetId="3">'[4]TT (MAIN)'!$D$3:$D$15</definedName>
    <definedName name="Total_M1_1">[5]TT!$D$3:$D$13</definedName>
    <definedName name="Total_M1_2" localSheetId="3">'[4]TT (MAIN)'!$D$21:$D$33</definedName>
    <definedName name="Total_M1_2">[5]TT!$D$19:$D$29</definedName>
    <definedName name="Total_M1_3" localSheetId="3">'[4]TT (MAIN)'!$D$39:$D$52</definedName>
    <definedName name="Total_M1_3">[5]TT!$D$35:$D$45</definedName>
    <definedName name="Total_M2" localSheetId="6">[1]TT!$D$30:$D$48</definedName>
    <definedName name="Total_M2" localSheetId="5">'[2]TT (Working)'!$D$31:$D$240</definedName>
    <definedName name="Total_M2">'[2]TT (Working)'!$D$31:$D$240</definedName>
    <definedName name="Total_M2_1" localSheetId="6">[3]TT!$D$299:$D$314</definedName>
    <definedName name="Total_M2_1" localSheetId="3">'[4]TT (MAIN)'!$D$226:$D$242</definedName>
    <definedName name="Total_M2_1">[5]TT!$D$267:$D$285</definedName>
    <definedName name="Total_M2_2" localSheetId="6">[3]TT!$D$324:$D$336</definedName>
    <definedName name="Total_M2_2" localSheetId="3">'[4]TT (MAIN)'!$D$248:$D$260</definedName>
    <definedName name="Total_M2_2">[5]TT!$D$291:$D$442</definedName>
    <definedName name="Total_M2_3" localSheetId="6">[3]TT!$D$343:$D$361</definedName>
    <definedName name="Total_M2_3" localSheetId="3">'[4]TT (MAIN)'!$D$266:$D$282</definedName>
    <definedName name="Total_M2_3">[5]TT!$D$311:$D$325</definedName>
    <definedName name="Total_M3" localSheetId="6">[1]TT!$D$60:$D$75</definedName>
    <definedName name="Total_M3" localSheetId="5">'[2]TT (Working)'!$D$62:$D$77</definedName>
    <definedName name="Total_M3">'[2]TT (Working)'!$D$62:$D$77</definedName>
    <definedName name="Total_M3_1" localSheetId="6">[3]TT!$D$647:$D$659</definedName>
    <definedName name="Total_M3_1" localSheetId="3">'[4]TT (MAIN)'!$D$506:$D$526</definedName>
    <definedName name="Total_M3_1">[5]TT!$D$565:$D$577</definedName>
    <definedName name="Total_M3_2" localSheetId="6">[3]TT!$D$665:$D$678</definedName>
    <definedName name="Total_M3_2" localSheetId="3">'[4]TT (MAIN)'!$D$532:$D$544</definedName>
    <definedName name="Total_M3_2">[5]TT!$D$583:$D$595</definedName>
    <definedName name="Total_M3_3" localSheetId="6">[3]TT!$D$685:$D$695</definedName>
    <definedName name="Total_M3_3" localSheetId="3">'[4]TT (MAIN)'!$D$550:$D$565</definedName>
    <definedName name="Total_M3_3">[5]TT!$D$601:$D$621</definedName>
    <definedName name="Total_M4" localSheetId="6">[1]TT!$D$82:$D$99</definedName>
    <definedName name="Total_M4" localSheetId="5">'[2]TT (Working)'!$D$84:$D$100</definedName>
    <definedName name="Total_M4">'[2]TT (Working)'!$D$84:$D$100</definedName>
    <definedName name="Total_M5" localSheetId="6">[1]TT!$D$113:$D$123</definedName>
    <definedName name="Total_M5" localSheetId="5">'[2]TT (Working)'!$D$114:$D$124</definedName>
    <definedName name="Total_M5">'[2]TT (Working)'!$D$114:$D$124</definedName>
    <definedName name="Total_M6" localSheetId="6">[1]TT!$D$133:$D$146</definedName>
    <definedName name="Total_M6" localSheetId="5">'[2]TT (Working)'!$D$134:$D$146</definedName>
    <definedName name="Total_M6">'[2]TT (Working)'!$D$134:$D$146</definedName>
    <definedName name="Total_M7" localSheetId="6">[1]TT!$D$159:$D$173</definedName>
    <definedName name="Total_M7" localSheetId="5">'[2]TT (Working)'!$D$159:$D$173</definedName>
    <definedName name="Total_M7">'[2]TT (Working)'!$D$159:$D$173</definedName>
    <definedName name="Total_T1" localSheetId="6">[1]TT!$D$185:$D$196</definedName>
    <definedName name="Total_T1" localSheetId="5">'[2]TT (Working)'!$D$185:$D$196</definedName>
    <definedName name="Total_T1">'[2]TT (Working)'!$D$185:$D$196</definedName>
    <definedName name="Total_T1_1" localSheetId="6">[3]TT!$D$3:$D$23</definedName>
    <definedName name="Total_T1_1" localSheetId="3">'[4]TT (MAIN)'!$D$58:$D$69</definedName>
    <definedName name="Total_T1_1">[5]TT!$D$51:$D$61</definedName>
    <definedName name="Total_T1_2" localSheetId="6">[3]TT!$D$34:$D$42</definedName>
    <definedName name="Total_T1_2" localSheetId="3">#REF!</definedName>
    <definedName name="Total_T1_2">[5]TT!$D$67:$D$77</definedName>
    <definedName name="Total_T1_3" localSheetId="6">[3]TT!$D$54:$D$64</definedName>
    <definedName name="Total_T1_3" localSheetId="3">'[4]TT (MAIN)'!$D$96:$D$109</definedName>
    <definedName name="Total_T1_3">[5]TT!$D$83:$D$93</definedName>
    <definedName name="Total_T2" localSheetId="6">[1]TT!$D$211:$D$225</definedName>
    <definedName name="Total_T2" localSheetId="5">'[2]TT (Working)'!$D$211:$D$225</definedName>
    <definedName name="Total_T2">'[2]TT (Working)'!$D$211:$D$225</definedName>
    <definedName name="Total_T2_1" localSheetId="6">[3]TT!$D$370:$D$394</definedName>
    <definedName name="Total_T2_1" localSheetId="3">'[4]TT (MAIN)'!$D$288:$D$300</definedName>
    <definedName name="Total_T2_1">[5]TT!$D$331:$D$346</definedName>
    <definedName name="Total_T2_2" localSheetId="6">[3]TT!$D$402:$D$414</definedName>
    <definedName name="Total_T2_2" localSheetId="3">'[4]TT (MAIN)'!$D$306:$D$318</definedName>
    <definedName name="Total_T2_2">[5]TT!$D$352:$D$365</definedName>
    <definedName name="Total_T2_3" localSheetId="6">[3]TT!$D$422:$D$434</definedName>
    <definedName name="Total_T2_3" localSheetId="3">'[4]TT (MAIN)'!$D$324:$D$337</definedName>
    <definedName name="Total_T2_3">[5]TT!$D$371:$D$381</definedName>
    <definedName name="Total_T3" localSheetId="6">[1]TT!$D$233:$D$249</definedName>
    <definedName name="Total_T3" localSheetId="5">'[2]TT (Working)'!$D$233:$D$247</definedName>
    <definedName name="Total_T3">'[2]TT (Working)'!$D$233:$D$247</definedName>
    <definedName name="Total_T3_1" localSheetId="6">[3]TT!$D$701:$D$714</definedName>
    <definedName name="Total_T3_1" localSheetId="3">'[4]TT (MAIN)'!$D$571:$D$585</definedName>
    <definedName name="Total_T3_1">[5]TT!$D$627:$D$642</definedName>
    <definedName name="Total_T3_2" localSheetId="6">[3]TT!$D$720:$D$730</definedName>
    <definedName name="Total_T3_2" localSheetId="3">'[4]TT (MAIN)'!$D$591:$D$602</definedName>
    <definedName name="Total_T3_2">[5]TT!$D$648:$D$659</definedName>
    <definedName name="Total_T3_3" localSheetId="6">[3]TT!$D$737:$D$750</definedName>
    <definedName name="Total_T3_3" localSheetId="3">'[4]TT (MAIN)'!$D$608:$D$619</definedName>
    <definedName name="Total_T3_3">[5]TT!$D$665:$D$680</definedName>
    <definedName name="Total_T4" localSheetId="6">[1]TT!$D$263:$D$276</definedName>
    <definedName name="Total_T4" localSheetId="5">'[2]TT (Working)'!$D$261:$D$274</definedName>
    <definedName name="Total_T4">'[2]TT (Working)'!$D$261:$D$274</definedName>
    <definedName name="Total_T5" localSheetId="6">[1]TT!$D$286:$D$297</definedName>
    <definedName name="Total_T5" localSheetId="5">'[2]TT (Working)'!$D$284:$D$295</definedName>
    <definedName name="Total_T5">'[2]TT (Working)'!$D$284:$D$295</definedName>
    <definedName name="Total_T6" localSheetId="6">[1]TT!$D$306:$D$321</definedName>
    <definedName name="Total_T6" localSheetId="5">'[2]TT (Working)'!$D$304:$D$319</definedName>
    <definedName name="Total_T6">'[2]TT (Working)'!$D$304:$D$319</definedName>
    <definedName name="Total_T7" localSheetId="6">[1]TT!$D$331:$D$340</definedName>
    <definedName name="Total_T7" localSheetId="5">'[2]TT (Working)'!$D$329:$D$338</definedName>
    <definedName name="Total_T7">'[2]TT (Working)'!$D$329:$D$338</definedName>
    <definedName name="Total_W1" localSheetId="6">[1]TT!$D$347:$D$361</definedName>
    <definedName name="Total_W1" localSheetId="5">'[2]TT (Working)'!$D$345:$D$359</definedName>
    <definedName name="Total_W1">'[2]TT (Working)'!$D$345:$D$359</definedName>
    <definedName name="Total_W1_1" localSheetId="6">[3]TT!$D$71:$D$87</definedName>
    <definedName name="Total_W1_1" localSheetId="3">'[4]TT (MAIN)'!$D$116:$D$127</definedName>
    <definedName name="Total_W1_1">[5]TT!$D$99:$D$109</definedName>
    <definedName name="Total_W1_2" localSheetId="6">[3]TT!$D$100:$D$115</definedName>
    <definedName name="Total_W1_2" localSheetId="3">'[4]TT (MAIN)'!$D$133:$D$156</definedName>
    <definedName name="Total_W1_2">[5]TT!$D$115:$D$125</definedName>
    <definedName name="Total_W1_3" localSheetId="6">[3]TT!$D$125:$D$139</definedName>
    <definedName name="Total_W1_3" localSheetId="3">'[4]TT (MAIN)'!$D$162:$D$177</definedName>
    <definedName name="Total_W1_3">[5]TT!$D$131:$D$141</definedName>
    <definedName name="Total_W2" localSheetId="6">[1]TT!$D$370:$D$382</definedName>
    <definedName name="Total_W2" localSheetId="5">'[2]TT (Working)'!$D$368:$D$381</definedName>
    <definedName name="Total_W2">'[2]TT (Working)'!$D$368:$D$381</definedName>
    <definedName name="Total_W2_1" localSheetId="6">[3]TT!$D$443:$D$461</definedName>
    <definedName name="Total_W2_1" localSheetId="3">'[4]TT (MAIN)'!$D$343:$D$360</definedName>
    <definedName name="Total_W2_1">[5]TT!$D$387:$D$405</definedName>
    <definedName name="Total_W2_2" localSheetId="6">[3]TT!$D$470:$D$477</definedName>
    <definedName name="Total_W2_2" localSheetId="3">'[4]TT (MAIN)'!$D$366:$D$375</definedName>
    <definedName name="Total_W2_2">[5]TT!$D$411:$D$424</definedName>
    <definedName name="Total_W2_3" localSheetId="6">[3]TT!$D$484:$D$498</definedName>
    <definedName name="Total_W2_3" localSheetId="3">'[4]TT (MAIN)'!$D$381:$D$396</definedName>
    <definedName name="Total_W2_3">[5]TT!$D$430:$D$444</definedName>
    <definedName name="Total_W3" localSheetId="6">[1]TT!$D$390:$D$404</definedName>
    <definedName name="Total_W3" localSheetId="5">'[2]TT (Working)'!$D$389:$D$402</definedName>
    <definedName name="Total_W3">'[2]TT (Working)'!$D$389:$D$402</definedName>
    <definedName name="Total_W3_1" localSheetId="6">[3]TT!$D$756:$D$768</definedName>
    <definedName name="Total_W3_1" localSheetId="3">'[4]TT (MAIN)'!$D$625:$D$653</definedName>
    <definedName name="Total_W3_1">[5]TT!$D$686:$D$696</definedName>
    <definedName name="Total_W3_2" localSheetId="6">[3]TT!$D$774:$D$783</definedName>
    <definedName name="Total_W3_2" localSheetId="3">'[4]TT (MAIN)'!$D$659:$D$670</definedName>
    <definedName name="Total_W3_2">[5]TT!$D$702:$D$753</definedName>
    <definedName name="Total_W3_3" localSheetId="6">[3]TT!$D$790:$D$802</definedName>
    <definedName name="Total_W3_3" localSheetId="3">'[4]TT (MAIN)'!$D$676:$D$686</definedName>
    <definedName name="Total_W3_3">[5]TT!$D$722:$D$738</definedName>
    <definedName name="Total_W4" localSheetId="6">[1]TT!$D$412:$D$426</definedName>
    <definedName name="Total_W4" localSheetId="5">'[2]TT (Working)'!$D$410:$D$423</definedName>
    <definedName name="Total_W4">'[2]TT (Working)'!$D$410:$D$423</definedName>
    <definedName name="Total_W5" localSheetId="6">[1]TT!$D$435:$D$455</definedName>
    <definedName name="Total_W5" localSheetId="5">'[2]TT (Working)'!$D$432:$D$676</definedName>
    <definedName name="Total_W5">'[2]TT (Working)'!$D$432:$D$676</definedName>
    <definedName name="Total_W6" localSheetId="6">[1]TT!$D$464:$D$479</definedName>
    <definedName name="Total_W6" localSheetId="5">'[2]TT (Working)'!$D$464:$D$480</definedName>
    <definedName name="Total_W6">'[2]TT (Working)'!$D$464:$D$480</definedName>
    <definedName name="Total_W7" localSheetId="6">[1]TT!$D$486:$D$503</definedName>
    <definedName name="Total_W7" localSheetId="5">'[2]TT (Working)'!$D$487:$D$502</definedName>
    <definedName name="Total_W7">'[2]TT (Working)'!$D$487:$D$502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7" i="2" l="1"/>
  <c r="F6" i="7"/>
  <c r="F40" i="7" s="1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5" i="7"/>
  <c r="E40" i="7"/>
  <c r="H553" i="2"/>
  <c r="I576" i="2"/>
  <c r="I515" i="2"/>
  <c r="A154" i="3"/>
  <c r="A155" i="3"/>
  <c r="B154" i="3"/>
  <c r="D154" i="3"/>
  <c r="D155" i="3"/>
  <c r="I615" i="2"/>
  <c r="I145" i="2" l="1"/>
  <c r="I47" i="2"/>
  <c r="I274" i="2"/>
  <c r="E167" i="3"/>
  <c r="I234" i="2" l="1"/>
  <c r="F536" i="2"/>
  <c r="F538" i="2"/>
  <c r="B392" i="3"/>
  <c r="B294" i="3"/>
  <c r="F605" i="2"/>
  <c r="H584" i="2"/>
  <c r="H585" i="2"/>
  <c r="H586" i="2"/>
  <c r="H587" i="2"/>
  <c r="H588" i="2"/>
  <c r="H589" i="2"/>
  <c r="H591" i="2"/>
  <c r="H592" i="2"/>
  <c r="H594" i="2"/>
  <c r="H595" i="2"/>
  <c r="H596" i="2"/>
  <c r="H597" i="2"/>
  <c r="F584" i="2"/>
  <c r="F585" i="2"/>
  <c r="F586" i="2"/>
  <c r="F587" i="2"/>
  <c r="F588" i="2"/>
  <c r="F589" i="2"/>
  <c r="F591" i="2"/>
  <c r="F593" i="2"/>
  <c r="F594" i="2"/>
  <c r="F595" i="2"/>
  <c r="F596" i="2"/>
  <c r="F597" i="2"/>
  <c r="H563" i="2"/>
  <c r="H564" i="2"/>
  <c r="H565" i="2"/>
  <c r="H566" i="2"/>
  <c r="H567" i="2"/>
  <c r="H568" i="2"/>
  <c r="H570" i="2"/>
  <c r="H572" i="2"/>
  <c r="H575" i="2"/>
  <c r="F563" i="2"/>
  <c r="F564" i="2"/>
  <c r="F565" i="2"/>
  <c r="F566" i="2"/>
  <c r="F567" i="2"/>
  <c r="F568" i="2"/>
  <c r="F570" i="2"/>
  <c r="F572" i="2"/>
  <c r="F575" i="2"/>
  <c r="H547" i="2"/>
  <c r="H548" i="2"/>
  <c r="H554" i="2"/>
  <c r="F547" i="2"/>
  <c r="F548" i="2"/>
  <c r="F553" i="2"/>
  <c r="F554" i="2"/>
  <c r="AG4" i="5" l="1"/>
  <c r="AG5" i="5"/>
  <c r="AG6" i="5"/>
  <c r="AG7" i="5"/>
  <c r="AG8" i="5"/>
  <c r="AG9" i="5"/>
  <c r="AG10" i="5"/>
  <c r="AG11" i="5"/>
  <c r="AG12" i="5"/>
  <c r="AG13" i="5"/>
  <c r="AG14" i="5"/>
  <c r="AG15" i="5"/>
  <c r="AG16" i="5"/>
  <c r="AG17" i="5"/>
  <c r="AG18" i="5"/>
  <c r="AG19" i="5"/>
  <c r="AG20" i="5"/>
  <c r="AG21" i="5"/>
  <c r="AG22" i="5"/>
  <c r="AG23" i="5"/>
  <c r="AG24" i="5"/>
  <c r="AG25" i="5"/>
  <c r="AG26" i="5"/>
  <c r="AG27" i="5"/>
  <c r="AG28" i="5"/>
  <c r="AG29" i="5"/>
  <c r="AG30" i="5"/>
  <c r="AG31" i="5"/>
  <c r="AG32" i="5"/>
  <c r="AG33" i="5"/>
  <c r="AG34" i="5"/>
  <c r="AG35" i="5"/>
  <c r="AG36" i="5"/>
  <c r="AG37" i="5"/>
  <c r="AG38" i="5"/>
  <c r="AG39" i="5"/>
  <c r="AG40" i="5"/>
  <c r="AG41" i="5"/>
  <c r="AG42" i="5"/>
  <c r="AG43" i="5"/>
  <c r="AG44" i="5"/>
  <c r="AG45" i="5"/>
  <c r="AG46" i="5"/>
  <c r="AG47" i="5"/>
  <c r="AG48" i="5"/>
  <c r="AG49" i="5"/>
  <c r="AG50" i="5"/>
  <c r="AG51" i="5"/>
  <c r="AG52" i="5"/>
  <c r="AG53" i="5"/>
  <c r="AG54" i="5"/>
  <c r="AG55" i="5"/>
  <c r="AG56" i="5"/>
  <c r="AG57" i="5"/>
  <c r="AG58" i="5"/>
  <c r="AG59" i="5"/>
  <c r="AG60" i="5"/>
  <c r="AG61" i="5"/>
  <c r="AG62" i="5"/>
  <c r="AG63" i="5"/>
  <c r="AG64" i="5"/>
  <c r="AG65" i="5"/>
  <c r="AG66" i="5"/>
  <c r="AG67" i="5"/>
  <c r="AG68" i="5"/>
  <c r="AG69" i="5"/>
  <c r="AG70" i="5"/>
  <c r="AG71" i="5"/>
  <c r="AG72" i="5"/>
  <c r="AG73" i="5"/>
  <c r="AG74" i="5"/>
  <c r="AG3" i="5"/>
  <c r="W4" i="5"/>
  <c r="W5" i="5"/>
  <c r="W6" i="5"/>
  <c r="W7" i="5"/>
  <c r="W8" i="5"/>
  <c r="W9" i="5"/>
  <c r="W10" i="5"/>
  <c r="W11" i="5"/>
  <c r="W12" i="5"/>
  <c r="W13" i="5"/>
  <c r="W14" i="5"/>
  <c r="W15" i="5"/>
  <c r="W16" i="5"/>
  <c r="W17" i="5"/>
  <c r="W18" i="5"/>
  <c r="W19" i="5"/>
  <c r="W20" i="5"/>
  <c r="W21" i="5"/>
  <c r="W22" i="5"/>
  <c r="W23" i="5"/>
  <c r="W24" i="5"/>
  <c r="W25" i="5"/>
  <c r="W26" i="5"/>
  <c r="W27" i="5"/>
  <c r="W28" i="5"/>
  <c r="W29" i="5"/>
  <c r="W30" i="5"/>
  <c r="W31" i="5"/>
  <c r="W32" i="5"/>
  <c r="W33" i="5"/>
  <c r="W34" i="5"/>
  <c r="W35" i="5"/>
  <c r="W36" i="5"/>
  <c r="W37" i="5"/>
  <c r="W38" i="5"/>
  <c r="W39" i="5"/>
  <c r="W40" i="5"/>
  <c r="W41" i="5"/>
  <c r="W42" i="5"/>
  <c r="W43" i="5"/>
  <c r="W44" i="5"/>
  <c r="W45" i="5"/>
  <c r="W46" i="5"/>
  <c r="W47" i="5"/>
  <c r="W48" i="5"/>
  <c r="W49" i="5"/>
  <c r="W50" i="5"/>
  <c r="W51" i="5"/>
  <c r="W52" i="5"/>
  <c r="W53" i="5"/>
  <c r="W54" i="5"/>
  <c r="W55" i="5"/>
  <c r="W56" i="5"/>
  <c r="W57" i="5"/>
  <c r="W58" i="5"/>
  <c r="W59" i="5"/>
  <c r="W60" i="5"/>
  <c r="W61" i="5"/>
  <c r="W62" i="5"/>
  <c r="W63" i="5"/>
  <c r="W64" i="5"/>
  <c r="W65" i="5"/>
  <c r="W66" i="5"/>
  <c r="W67" i="5"/>
  <c r="W68" i="5"/>
  <c r="W69" i="5"/>
  <c r="W70" i="5"/>
  <c r="W71" i="5"/>
  <c r="W72" i="5"/>
  <c r="W73" i="5"/>
  <c r="W74" i="5"/>
  <c r="W3" i="5"/>
  <c r="I103" i="2"/>
  <c r="I104" i="2"/>
  <c r="I610" i="2"/>
  <c r="T74" i="5"/>
  <c r="T73" i="5"/>
  <c r="T72" i="5"/>
  <c r="T71" i="5"/>
  <c r="T70" i="5"/>
  <c r="T69" i="5"/>
  <c r="T68" i="5"/>
  <c r="T67" i="5"/>
  <c r="T66" i="5"/>
  <c r="T65" i="5"/>
  <c r="T64" i="5"/>
  <c r="T63" i="5"/>
  <c r="T62" i="5"/>
  <c r="T61" i="5"/>
  <c r="T60" i="5"/>
  <c r="T59" i="5"/>
  <c r="T58" i="5"/>
  <c r="T57" i="5"/>
  <c r="T56" i="5"/>
  <c r="T55" i="5"/>
  <c r="T54" i="5"/>
  <c r="T53" i="5"/>
  <c r="T52" i="5"/>
  <c r="T51" i="5"/>
  <c r="T50" i="5"/>
  <c r="T49" i="5"/>
  <c r="T48" i="5"/>
  <c r="T47" i="5"/>
  <c r="T46" i="5"/>
  <c r="T45" i="5"/>
  <c r="T44" i="5"/>
  <c r="T43" i="5"/>
  <c r="T42" i="5"/>
  <c r="T41" i="5"/>
  <c r="T40" i="5"/>
  <c r="T39" i="5"/>
  <c r="T38" i="5"/>
  <c r="T37" i="5"/>
  <c r="T36" i="5"/>
  <c r="T35" i="5"/>
  <c r="T34" i="5"/>
  <c r="T33" i="5"/>
  <c r="T32" i="5"/>
  <c r="T31" i="5"/>
  <c r="T30" i="5"/>
  <c r="T29" i="5"/>
  <c r="T28" i="5"/>
  <c r="T27" i="5"/>
  <c r="T26" i="5"/>
  <c r="T25" i="5"/>
  <c r="T24" i="5"/>
  <c r="T23" i="5"/>
  <c r="T22" i="5"/>
  <c r="T21" i="5"/>
  <c r="T20" i="5"/>
  <c r="T19" i="5"/>
  <c r="T18" i="5"/>
  <c r="T17" i="5"/>
  <c r="T16" i="5"/>
  <c r="T15" i="5"/>
  <c r="T14" i="5"/>
  <c r="T13" i="5"/>
  <c r="T12" i="5"/>
  <c r="T11" i="5"/>
  <c r="T10" i="5"/>
  <c r="T9" i="5"/>
  <c r="T8" i="5"/>
  <c r="T7" i="5"/>
  <c r="T6" i="5"/>
  <c r="T5" i="5"/>
  <c r="T4" i="5"/>
  <c r="T3" i="5"/>
  <c r="L4" i="5"/>
  <c r="L5" i="5"/>
  <c r="L6" i="5"/>
  <c r="L7" i="5"/>
  <c r="L8" i="5"/>
  <c r="L9" i="5"/>
  <c r="L10" i="5"/>
  <c r="L11" i="5"/>
  <c r="L12" i="5"/>
  <c r="L13" i="5"/>
  <c r="L14" i="5"/>
  <c r="L15" i="5"/>
  <c r="L16" i="5"/>
  <c r="L17" i="5"/>
  <c r="L18" i="5"/>
  <c r="L19" i="5"/>
  <c r="L20" i="5"/>
  <c r="L21" i="5"/>
  <c r="L22" i="5"/>
  <c r="L23" i="5"/>
  <c r="L24" i="5"/>
  <c r="L25" i="5"/>
  <c r="L26" i="5"/>
  <c r="L27" i="5"/>
  <c r="L28" i="5"/>
  <c r="L29" i="5"/>
  <c r="L30" i="5"/>
  <c r="L31" i="5"/>
  <c r="L32" i="5"/>
  <c r="L33" i="5"/>
  <c r="L34" i="5"/>
  <c r="L35" i="5"/>
  <c r="L36" i="5"/>
  <c r="L37" i="5"/>
  <c r="L38" i="5"/>
  <c r="L39" i="5"/>
  <c r="L40" i="5"/>
  <c r="L41" i="5"/>
  <c r="L42" i="5"/>
  <c r="L43" i="5"/>
  <c r="L44" i="5"/>
  <c r="L45" i="5"/>
  <c r="L46" i="5"/>
  <c r="L47" i="5"/>
  <c r="L48" i="5"/>
  <c r="L49" i="5"/>
  <c r="L50" i="5"/>
  <c r="L51" i="5"/>
  <c r="L52" i="5"/>
  <c r="L53" i="5"/>
  <c r="L54" i="5"/>
  <c r="L55" i="5"/>
  <c r="L56" i="5"/>
  <c r="L57" i="5"/>
  <c r="L58" i="5"/>
  <c r="L59" i="5"/>
  <c r="L60" i="5"/>
  <c r="L61" i="5"/>
  <c r="L62" i="5"/>
  <c r="L63" i="5"/>
  <c r="L64" i="5"/>
  <c r="L65" i="5"/>
  <c r="L66" i="5"/>
  <c r="L67" i="5"/>
  <c r="L68" i="5"/>
  <c r="L69" i="5"/>
  <c r="L70" i="5"/>
  <c r="L71" i="5"/>
  <c r="L72" i="5"/>
  <c r="L73" i="5"/>
  <c r="L74" i="5"/>
  <c r="L3" i="5"/>
  <c r="I113" i="2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3" i="5"/>
  <c r="I115" i="2"/>
  <c r="I116" i="2"/>
  <c r="I117" i="2"/>
  <c r="I597" i="2"/>
  <c r="I613" i="2"/>
  <c r="I614" i="2"/>
  <c r="I164" i="2"/>
  <c r="I235" i="2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I35" i="5"/>
  <c r="I36" i="5"/>
  <c r="I37" i="5"/>
  <c r="I38" i="5"/>
  <c r="I39" i="5"/>
  <c r="I40" i="5"/>
  <c r="I41" i="5"/>
  <c r="I42" i="5"/>
  <c r="I43" i="5"/>
  <c r="I44" i="5"/>
  <c r="I45" i="5"/>
  <c r="I46" i="5"/>
  <c r="I47" i="5"/>
  <c r="I48" i="5"/>
  <c r="I49" i="5"/>
  <c r="I50" i="5"/>
  <c r="I51" i="5"/>
  <c r="I52" i="5"/>
  <c r="I53" i="5"/>
  <c r="I54" i="5"/>
  <c r="I55" i="5"/>
  <c r="I56" i="5"/>
  <c r="I57" i="5"/>
  <c r="I58" i="5"/>
  <c r="I59" i="5"/>
  <c r="I60" i="5"/>
  <c r="I61" i="5"/>
  <c r="I62" i="5"/>
  <c r="I63" i="5"/>
  <c r="I64" i="5"/>
  <c r="I65" i="5"/>
  <c r="I66" i="5"/>
  <c r="I67" i="5"/>
  <c r="I68" i="5"/>
  <c r="I69" i="5"/>
  <c r="I70" i="5"/>
  <c r="I71" i="5"/>
  <c r="I72" i="5"/>
  <c r="I73" i="5"/>
  <c r="I74" i="5"/>
  <c r="I3" i="5"/>
  <c r="I90" i="2"/>
  <c r="I91" i="2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65" i="5"/>
  <c r="E66" i="5"/>
  <c r="E67" i="5"/>
  <c r="E68" i="5"/>
  <c r="E69" i="5"/>
  <c r="E70" i="5"/>
  <c r="E71" i="5"/>
  <c r="E72" i="5"/>
  <c r="E73" i="5"/>
  <c r="E74" i="5"/>
  <c r="E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3" i="5"/>
  <c r="I86" i="2"/>
  <c r="I87" i="2"/>
  <c r="I88" i="2"/>
  <c r="I89" i="2"/>
  <c r="I85" i="2"/>
  <c r="I92" i="2"/>
  <c r="I114" i="2"/>
  <c r="I57" i="2"/>
  <c r="I58" i="2"/>
  <c r="I59" i="2"/>
  <c r="I60" i="2"/>
  <c r="I61" i="2"/>
  <c r="I62" i="2"/>
  <c r="I56" i="2"/>
  <c r="I63" i="2"/>
  <c r="B11" i="5"/>
  <c r="E32" i="12"/>
  <c r="F12" i="12"/>
  <c r="F21" i="12"/>
  <c r="F26" i="12"/>
  <c r="F30" i="12"/>
  <c r="B32" i="12"/>
  <c r="I333" i="2" l="1"/>
  <c r="I160" i="2"/>
  <c r="I539" i="2"/>
  <c r="B62" i="5"/>
  <c r="C62" i="5"/>
  <c r="F62" i="5"/>
  <c r="G62" i="5"/>
  <c r="H62" i="5" s="1"/>
  <c r="J62" i="5"/>
  <c r="K62" i="5"/>
  <c r="M62" i="5"/>
  <c r="N62" i="5"/>
  <c r="O62" i="5"/>
  <c r="Q62" i="5"/>
  <c r="R62" i="5"/>
  <c r="S62" i="5"/>
  <c r="U62" i="5"/>
  <c r="V62" i="5"/>
  <c r="X62" i="5"/>
  <c r="Y62" i="5"/>
  <c r="Z62" i="5"/>
  <c r="AA62" i="5"/>
  <c r="AB62" i="5"/>
  <c r="AC62" i="5"/>
  <c r="AD62" i="5"/>
  <c r="AE62" i="5"/>
  <c r="AF62" i="5"/>
  <c r="AH62" i="5"/>
  <c r="AI62" i="5"/>
  <c r="AJ62" i="5"/>
  <c r="B63" i="5"/>
  <c r="C63" i="5"/>
  <c r="F63" i="5"/>
  <c r="G63" i="5"/>
  <c r="H63" i="5" s="1"/>
  <c r="J63" i="5"/>
  <c r="K63" i="5"/>
  <c r="M63" i="5"/>
  <c r="N63" i="5"/>
  <c r="O63" i="5"/>
  <c r="Q63" i="5"/>
  <c r="R63" i="5"/>
  <c r="S63" i="5"/>
  <c r="U63" i="5"/>
  <c r="V63" i="5"/>
  <c r="X63" i="5"/>
  <c r="Y63" i="5"/>
  <c r="Z63" i="5"/>
  <c r="AA63" i="5"/>
  <c r="AB63" i="5"/>
  <c r="AC63" i="5"/>
  <c r="AD63" i="5"/>
  <c r="AE63" i="5"/>
  <c r="AF63" i="5"/>
  <c r="AH63" i="5"/>
  <c r="AI63" i="5"/>
  <c r="AJ63" i="5"/>
  <c r="B64" i="5"/>
  <c r="C64" i="5"/>
  <c r="F64" i="5"/>
  <c r="G64" i="5"/>
  <c r="H64" i="5" s="1"/>
  <c r="J64" i="5"/>
  <c r="K64" i="5"/>
  <c r="M64" i="5"/>
  <c r="N64" i="5"/>
  <c r="O64" i="5"/>
  <c r="Q64" i="5"/>
  <c r="R64" i="5"/>
  <c r="S64" i="5"/>
  <c r="U64" i="5"/>
  <c r="V64" i="5"/>
  <c r="X64" i="5"/>
  <c r="Y64" i="5"/>
  <c r="Z64" i="5"/>
  <c r="AA64" i="5"/>
  <c r="AB64" i="5"/>
  <c r="AC64" i="5"/>
  <c r="AD64" i="5"/>
  <c r="AE64" i="5"/>
  <c r="AF64" i="5"/>
  <c r="AH64" i="5"/>
  <c r="AI64" i="5"/>
  <c r="AJ64" i="5"/>
  <c r="B65" i="5"/>
  <c r="C65" i="5"/>
  <c r="F65" i="5"/>
  <c r="G65" i="5"/>
  <c r="H65" i="5" s="1"/>
  <c r="J65" i="5"/>
  <c r="K65" i="5"/>
  <c r="M65" i="5"/>
  <c r="N65" i="5"/>
  <c r="O65" i="5"/>
  <c r="Q65" i="5"/>
  <c r="R65" i="5"/>
  <c r="S65" i="5"/>
  <c r="U65" i="5"/>
  <c r="V65" i="5"/>
  <c r="X65" i="5"/>
  <c r="Y65" i="5"/>
  <c r="Z65" i="5"/>
  <c r="AA65" i="5"/>
  <c r="AB65" i="5"/>
  <c r="AC65" i="5"/>
  <c r="AD65" i="5"/>
  <c r="AE65" i="5"/>
  <c r="AF65" i="5"/>
  <c r="AH65" i="5"/>
  <c r="AI65" i="5"/>
  <c r="AJ65" i="5"/>
  <c r="B66" i="5"/>
  <c r="C66" i="5"/>
  <c r="F66" i="5"/>
  <c r="G66" i="5"/>
  <c r="H66" i="5" s="1"/>
  <c r="J66" i="5"/>
  <c r="K66" i="5"/>
  <c r="M66" i="5"/>
  <c r="N66" i="5"/>
  <c r="O66" i="5"/>
  <c r="Q66" i="5"/>
  <c r="R66" i="5"/>
  <c r="S66" i="5"/>
  <c r="U66" i="5"/>
  <c r="V66" i="5"/>
  <c r="X66" i="5"/>
  <c r="Y66" i="5"/>
  <c r="Z66" i="5"/>
  <c r="AA66" i="5"/>
  <c r="AB66" i="5"/>
  <c r="AC66" i="5"/>
  <c r="AD66" i="5"/>
  <c r="AE66" i="5"/>
  <c r="AF66" i="5"/>
  <c r="AH66" i="5"/>
  <c r="AI66" i="5"/>
  <c r="AJ66" i="5"/>
  <c r="B67" i="5"/>
  <c r="C67" i="5"/>
  <c r="F67" i="5"/>
  <c r="G67" i="5"/>
  <c r="H67" i="5" s="1"/>
  <c r="J67" i="5"/>
  <c r="K67" i="5"/>
  <c r="M67" i="5"/>
  <c r="N67" i="5"/>
  <c r="O67" i="5"/>
  <c r="Q67" i="5"/>
  <c r="R67" i="5"/>
  <c r="S67" i="5"/>
  <c r="U67" i="5"/>
  <c r="V67" i="5"/>
  <c r="X67" i="5"/>
  <c r="Y67" i="5"/>
  <c r="Z67" i="5"/>
  <c r="AA67" i="5"/>
  <c r="AB67" i="5"/>
  <c r="AC67" i="5"/>
  <c r="AD67" i="5"/>
  <c r="AE67" i="5"/>
  <c r="AF67" i="5"/>
  <c r="AH67" i="5"/>
  <c r="AI67" i="5"/>
  <c r="AJ67" i="5"/>
  <c r="B68" i="5"/>
  <c r="C68" i="5"/>
  <c r="F68" i="5"/>
  <c r="G68" i="5"/>
  <c r="H68" i="5" s="1"/>
  <c r="J68" i="5"/>
  <c r="K68" i="5"/>
  <c r="M68" i="5"/>
  <c r="N68" i="5"/>
  <c r="O68" i="5"/>
  <c r="Q68" i="5"/>
  <c r="R68" i="5"/>
  <c r="S68" i="5"/>
  <c r="U68" i="5"/>
  <c r="V68" i="5"/>
  <c r="X68" i="5"/>
  <c r="Y68" i="5"/>
  <c r="Z68" i="5"/>
  <c r="AA68" i="5"/>
  <c r="AB68" i="5"/>
  <c r="AC68" i="5"/>
  <c r="AD68" i="5"/>
  <c r="AE68" i="5"/>
  <c r="AF68" i="5"/>
  <c r="AH68" i="5"/>
  <c r="AI68" i="5"/>
  <c r="AJ68" i="5"/>
  <c r="B69" i="5"/>
  <c r="C69" i="5"/>
  <c r="F69" i="5"/>
  <c r="G69" i="5"/>
  <c r="H69" i="5" s="1"/>
  <c r="J69" i="5"/>
  <c r="K69" i="5"/>
  <c r="M69" i="5"/>
  <c r="N69" i="5"/>
  <c r="O69" i="5"/>
  <c r="Q69" i="5"/>
  <c r="R69" i="5"/>
  <c r="S69" i="5"/>
  <c r="U69" i="5"/>
  <c r="V69" i="5"/>
  <c r="X69" i="5"/>
  <c r="Y69" i="5"/>
  <c r="Z69" i="5"/>
  <c r="AA69" i="5"/>
  <c r="AB69" i="5"/>
  <c r="AC69" i="5"/>
  <c r="AD69" i="5"/>
  <c r="AE69" i="5"/>
  <c r="AF69" i="5"/>
  <c r="AH69" i="5"/>
  <c r="AI69" i="5"/>
  <c r="AJ69" i="5"/>
  <c r="B70" i="5"/>
  <c r="C70" i="5"/>
  <c r="F70" i="5"/>
  <c r="G70" i="5"/>
  <c r="H70" i="5" s="1"/>
  <c r="J70" i="5"/>
  <c r="K70" i="5"/>
  <c r="M70" i="5"/>
  <c r="N70" i="5"/>
  <c r="O70" i="5"/>
  <c r="Q70" i="5"/>
  <c r="R70" i="5"/>
  <c r="S70" i="5"/>
  <c r="U70" i="5"/>
  <c r="V70" i="5"/>
  <c r="X70" i="5"/>
  <c r="Y70" i="5"/>
  <c r="Z70" i="5"/>
  <c r="AA70" i="5"/>
  <c r="AB70" i="5"/>
  <c r="AC70" i="5"/>
  <c r="AD70" i="5"/>
  <c r="AE70" i="5"/>
  <c r="AF70" i="5"/>
  <c r="AH70" i="5"/>
  <c r="AI70" i="5"/>
  <c r="AJ70" i="5"/>
  <c r="B71" i="5"/>
  <c r="C71" i="5"/>
  <c r="F71" i="5"/>
  <c r="G71" i="5"/>
  <c r="H71" i="5" s="1"/>
  <c r="J71" i="5"/>
  <c r="K71" i="5"/>
  <c r="M71" i="5"/>
  <c r="N71" i="5"/>
  <c r="O71" i="5"/>
  <c r="Q71" i="5"/>
  <c r="R71" i="5"/>
  <c r="S71" i="5"/>
  <c r="U71" i="5"/>
  <c r="V71" i="5"/>
  <c r="X71" i="5"/>
  <c r="Y71" i="5"/>
  <c r="Z71" i="5"/>
  <c r="AA71" i="5"/>
  <c r="AB71" i="5"/>
  <c r="AC71" i="5"/>
  <c r="AD71" i="5"/>
  <c r="AE71" i="5"/>
  <c r="AF71" i="5"/>
  <c r="AH71" i="5"/>
  <c r="AI71" i="5"/>
  <c r="AJ71" i="5"/>
  <c r="B72" i="5"/>
  <c r="C72" i="5"/>
  <c r="F72" i="5"/>
  <c r="G72" i="5"/>
  <c r="H72" i="5" s="1"/>
  <c r="J72" i="5"/>
  <c r="K72" i="5"/>
  <c r="M72" i="5"/>
  <c r="N72" i="5"/>
  <c r="O72" i="5"/>
  <c r="Q72" i="5"/>
  <c r="R72" i="5"/>
  <c r="S72" i="5"/>
  <c r="U72" i="5"/>
  <c r="V72" i="5"/>
  <c r="X72" i="5"/>
  <c r="Y72" i="5"/>
  <c r="Z72" i="5"/>
  <c r="AA72" i="5"/>
  <c r="AB72" i="5"/>
  <c r="AC72" i="5"/>
  <c r="AD72" i="5"/>
  <c r="AE72" i="5"/>
  <c r="AF72" i="5"/>
  <c r="AH72" i="5"/>
  <c r="AI72" i="5"/>
  <c r="AJ72" i="5"/>
  <c r="I591" i="2"/>
  <c r="B169" i="3"/>
  <c r="B165" i="3"/>
  <c r="E165" i="3"/>
  <c r="G165" i="3"/>
  <c r="I416" i="2"/>
  <c r="AN72" i="5" l="1"/>
  <c r="AO69" i="5"/>
  <c r="AL69" i="5"/>
  <c r="AO66" i="5"/>
  <c r="AO67" i="5"/>
  <c r="AP65" i="5"/>
  <c r="AP62" i="5"/>
  <c r="AM62" i="5"/>
  <c r="AP66" i="5"/>
  <c r="AO63" i="5"/>
  <c r="AN64" i="5"/>
  <c r="AL62" i="5"/>
  <c r="AL63" i="5"/>
  <c r="AL70" i="5"/>
  <c r="AN65" i="5"/>
  <c r="AP72" i="5"/>
  <c r="AO71" i="5"/>
  <c r="AN69" i="5"/>
  <c r="AP68" i="5"/>
  <c r="AM68" i="5"/>
  <c r="AM72" i="5"/>
  <c r="AP71" i="5"/>
  <c r="AK71" i="5"/>
  <c r="AK62" i="5"/>
  <c r="AM71" i="5"/>
  <c r="AM67" i="5"/>
  <c r="AK67" i="5"/>
  <c r="AN70" i="5"/>
  <c r="AM65" i="5"/>
  <c r="AN67" i="5"/>
  <c r="AN66" i="5"/>
  <c r="AN62" i="5"/>
  <c r="AP69" i="5"/>
  <c r="AL68" i="5"/>
  <c r="AO64" i="5"/>
  <c r="AL64" i="5"/>
  <c r="AK72" i="5"/>
  <c r="AO72" i="5"/>
  <c r="AM69" i="5"/>
  <c r="AO68" i="5"/>
  <c r="AK68" i="5"/>
  <c r="AO65" i="5"/>
  <c r="AK63" i="5"/>
  <c r="AN71" i="5"/>
  <c r="AN63" i="5"/>
  <c r="AP70" i="5"/>
  <c r="AP67" i="5"/>
  <c r="AK70" i="5"/>
  <c r="AM66" i="5"/>
  <c r="AK69" i="5"/>
  <c r="AK65" i="5"/>
  <c r="AK64" i="5"/>
  <c r="AP63" i="5"/>
  <c r="AM63" i="5"/>
  <c r="AN68" i="5"/>
  <c r="AK66" i="5"/>
  <c r="AP64" i="5"/>
  <c r="AM64" i="5"/>
  <c r="AO62" i="5"/>
  <c r="AL66" i="5"/>
  <c r="AO70" i="5"/>
  <c r="AL65" i="5"/>
  <c r="AL72" i="5"/>
  <c r="AL71" i="5"/>
  <c r="AM70" i="5"/>
  <c r="AL67" i="5"/>
  <c r="I97" i="2"/>
  <c r="B457" i="3"/>
  <c r="B456" i="3"/>
  <c r="G406" i="3"/>
  <c r="D558" i="3"/>
  <c r="I439" i="2"/>
  <c r="I586" i="2"/>
  <c r="I516" i="2"/>
  <c r="I407" i="2"/>
  <c r="I273" i="2"/>
  <c r="I167" i="2"/>
  <c r="I48" i="2"/>
  <c r="I445" i="2"/>
  <c r="I609" i="2"/>
  <c r="I172" i="2"/>
  <c r="I288" i="2"/>
  <c r="B482" i="3"/>
  <c r="I511" i="2"/>
  <c r="I291" i="2"/>
  <c r="I460" i="2"/>
  <c r="I465" i="2"/>
  <c r="I292" i="2"/>
  <c r="I428" i="2"/>
  <c r="I632" i="2"/>
  <c r="I444" i="2"/>
  <c r="I494" i="2"/>
  <c r="AI4" i="5"/>
  <c r="AI5" i="5"/>
  <c r="AI6" i="5"/>
  <c r="AI7" i="5"/>
  <c r="AI8" i="5"/>
  <c r="AI9" i="5"/>
  <c r="AI10" i="5"/>
  <c r="AI11" i="5"/>
  <c r="AI12" i="5"/>
  <c r="AI13" i="5"/>
  <c r="AI14" i="5"/>
  <c r="AI15" i="5"/>
  <c r="AI16" i="5"/>
  <c r="AI17" i="5"/>
  <c r="AI18" i="5"/>
  <c r="AI19" i="5"/>
  <c r="AI20" i="5"/>
  <c r="AI21" i="5"/>
  <c r="AI22" i="5"/>
  <c r="AI23" i="5"/>
  <c r="AI24" i="5"/>
  <c r="AI25" i="5"/>
  <c r="AI26" i="5"/>
  <c r="AI27" i="5"/>
  <c r="AI28" i="5"/>
  <c r="AI29" i="5"/>
  <c r="AI30" i="5"/>
  <c r="AI31" i="5"/>
  <c r="AI32" i="5"/>
  <c r="AI33" i="5"/>
  <c r="AI34" i="5"/>
  <c r="AI35" i="5"/>
  <c r="AI36" i="5"/>
  <c r="AI37" i="5"/>
  <c r="AI38" i="5"/>
  <c r="AI39" i="5"/>
  <c r="AI40" i="5"/>
  <c r="AI41" i="5"/>
  <c r="AI42" i="5"/>
  <c r="AI43" i="5"/>
  <c r="AI44" i="5"/>
  <c r="AI45" i="5"/>
  <c r="AI46" i="5"/>
  <c r="AI47" i="5"/>
  <c r="AI48" i="5"/>
  <c r="AI49" i="5"/>
  <c r="AI50" i="5"/>
  <c r="AI51" i="5"/>
  <c r="AI52" i="5"/>
  <c r="AI53" i="5"/>
  <c r="AI54" i="5"/>
  <c r="AI55" i="5"/>
  <c r="AI56" i="5"/>
  <c r="AI57" i="5"/>
  <c r="AI58" i="5"/>
  <c r="AI59" i="5"/>
  <c r="AI60" i="5"/>
  <c r="AI61" i="5"/>
  <c r="AI73" i="5"/>
  <c r="AI74" i="5"/>
  <c r="AI3" i="5"/>
  <c r="AH4" i="5"/>
  <c r="AH5" i="5"/>
  <c r="AH6" i="5"/>
  <c r="AH7" i="5"/>
  <c r="AH8" i="5"/>
  <c r="AH9" i="5"/>
  <c r="AH10" i="5"/>
  <c r="AH11" i="5"/>
  <c r="AH12" i="5"/>
  <c r="AH13" i="5"/>
  <c r="AH14" i="5"/>
  <c r="AH15" i="5"/>
  <c r="AH16" i="5"/>
  <c r="AH17" i="5"/>
  <c r="AH18" i="5"/>
  <c r="AH19" i="5"/>
  <c r="AH20" i="5"/>
  <c r="AH21" i="5"/>
  <c r="AH22" i="5"/>
  <c r="AH23" i="5"/>
  <c r="AH24" i="5"/>
  <c r="AH25" i="5"/>
  <c r="AH26" i="5"/>
  <c r="AH27" i="5"/>
  <c r="AH28" i="5"/>
  <c r="AH29" i="5"/>
  <c r="AH30" i="5"/>
  <c r="AH31" i="5"/>
  <c r="AH32" i="5"/>
  <c r="AH33" i="5"/>
  <c r="AH34" i="5"/>
  <c r="AH35" i="5"/>
  <c r="AH36" i="5"/>
  <c r="AH37" i="5"/>
  <c r="AH38" i="5"/>
  <c r="AH39" i="5"/>
  <c r="AH40" i="5"/>
  <c r="AH41" i="5"/>
  <c r="AH42" i="5"/>
  <c r="AH43" i="5"/>
  <c r="AH44" i="5"/>
  <c r="AH45" i="5"/>
  <c r="AH46" i="5"/>
  <c r="AH47" i="5"/>
  <c r="AH48" i="5"/>
  <c r="AH49" i="5"/>
  <c r="AH50" i="5"/>
  <c r="AH51" i="5"/>
  <c r="AH52" i="5"/>
  <c r="AH53" i="5"/>
  <c r="AH54" i="5"/>
  <c r="AH55" i="5"/>
  <c r="AH56" i="5"/>
  <c r="AH57" i="5"/>
  <c r="AH58" i="5"/>
  <c r="AH59" i="5"/>
  <c r="AH60" i="5"/>
  <c r="AH61" i="5"/>
  <c r="AH73" i="5"/>
  <c r="AH74" i="5"/>
  <c r="AH3" i="5"/>
  <c r="AF4" i="5"/>
  <c r="AF5" i="5"/>
  <c r="AF6" i="5"/>
  <c r="AF7" i="5"/>
  <c r="AF8" i="5"/>
  <c r="AF9" i="5"/>
  <c r="AF10" i="5"/>
  <c r="AF11" i="5"/>
  <c r="AF12" i="5"/>
  <c r="AF13" i="5"/>
  <c r="AF14" i="5"/>
  <c r="AF15" i="5"/>
  <c r="AF16" i="5"/>
  <c r="AF17" i="5"/>
  <c r="AF18" i="5"/>
  <c r="AF19" i="5"/>
  <c r="AF20" i="5"/>
  <c r="AF21" i="5"/>
  <c r="AF22" i="5"/>
  <c r="AF23" i="5"/>
  <c r="AF24" i="5"/>
  <c r="AF25" i="5"/>
  <c r="AF26" i="5"/>
  <c r="AF27" i="5"/>
  <c r="AF28" i="5"/>
  <c r="AF29" i="5"/>
  <c r="AF30" i="5"/>
  <c r="AF31" i="5"/>
  <c r="AF32" i="5"/>
  <c r="AF33" i="5"/>
  <c r="AF34" i="5"/>
  <c r="AF35" i="5"/>
  <c r="AF36" i="5"/>
  <c r="AF37" i="5"/>
  <c r="AF38" i="5"/>
  <c r="AF39" i="5"/>
  <c r="AF40" i="5"/>
  <c r="AF41" i="5"/>
  <c r="AF42" i="5"/>
  <c r="AF43" i="5"/>
  <c r="AF44" i="5"/>
  <c r="AF45" i="5"/>
  <c r="AF46" i="5"/>
  <c r="AF47" i="5"/>
  <c r="AF48" i="5"/>
  <c r="AF49" i="5"/>
  <c r="AF50" i="5"/>
  <c r="AF51" i="5"/>
  <c r="AF52" i="5"/>
  <c r="AF53" i="5"/>
  <c r="AF54" i="5"/>
  <c r="AF55" i="5"/>
  <c r="AF56" i="5"/>
  <c r="AF57" i="5"/>
  <c r="AF58" i="5"/>
  <c r="AF59" i="5"/>
  <c r="AF60" i="5"/>
  <c r="AF61" i="5"/>
  <c r="AF73" i="5"/>
  <c r="AF74" i="5"/>
  <c r="AF3" i="5"/>
  <c r="AE4" i="5"/>
  <c r="AE5" i="5"/>
  <c r="AE6" i="5"/>
  <c r="AE7" i="5"/>
  <c r="AE8" i="5"/>
  <c r="AE9" i="5"/>
  <c r="AE10" i="5"/>
  <c r="AE11" i="5"/>
  <c r="AE12" i="5"/>
  <c r="AE13" i="5"/>
  <c r="AE14" i="5"/>
  <c r="AE15" i="5"/>
  <c r="AE16" i="5"/>
  <c r="AE17" i="5"/>
  <c r="AE18" i="5"/>
  <c r="AE19" i="5"/>
  <c r="AE20" i="5"/>
  <c r="AE21" i="5"/>
  <c r="AE22" i="5"/>
  <c r="AE23" i="5"/>
  <c r="AE24" i="5"/>
  <c r="AE25" i="5"/>
  <c r="AE26" i="5"/>
  <c r="AE27" i="5"/>
  <c r="AE28" i="5"/>
  <c r="AE29" i="5"/>
  <c r="AE30" i="5"/>
  <c r="AE31" i="5"/>
  <c r="AE32" i="5"/>
  <c r="AE33" i="5"/>
  <c r="AE34" i="5"/>
  <c r="AE35" i="5"/>
  <c r="AE36" i="5"/>
  <c r="AE37" i="5"/>
  <c r="AE38" i="5"/>
  <c r="AE39" i="5"/>
  <c r="AE40" i="5"/>
  <c r="AE41" i="5"/>
  <c r="AE42" i="5"/>
  <c r="AE43" i="5"/>
  <c r="AE44" i="5"/>
  <c r="AE45" i="5"/>
  <c r="AE46" i="5"/>
  <c r="AE47" i="5"/>
  <c r="AE48" i="5"/>
  <c r="AE49" i="5"/>
  <c r="AE50" i="5"/>
  <c r="AE51" i="5"/>
  <c r="AE52" i="5"/>
  <c r="AE53" i="5"/>
  <c r="AE54" i="5"/>
  <c r="AE55" i="5"/>
  <c r="AE56" i="5"/>
  <c r="AE57" i="5"/>
  <c r="AE58" i="5"/>
  <c r="AE59" i="5"/>
  <c r="AE60" i="5"/>
  <c r="AE61" i="5"/>
  <c r="AE73" i="5"/>
  <c r="AE74" i="5"/>
  <c r="AE3" i="5"/>
  <c r="AD4" i="5"/>
  <c r="AD5" i="5"/>
  <c r="AD6" i="5"/>
  <c r="AD7" i="5"/>
  <c r="AD8" i="5"/>
  <c r="AD9" i="5"/>
  <c r="AD10" i="5"/>
  <c r="AD11" i="5"/>
  <c r="AD12" i="5"/>
  <c r="AD13" i="5"/>
  <c r="AD14" i="5"/>
  <c r="AD15" i="5"/>
  <c r="AD16" i="5"/>
  <c r="AD17" i="5"/>
  <c r="AD18" i="5"/>
  <c r="AD19" i="5"/>
  <c r="AD20" i="5"/>
  <c r="AD21" i="5"/>
  <c r="AD22" i="5"/>
  <c r="AD23" i="5"/>
  <c r="AD24" i="5"/>
  <c r="AD25" i="5"/>
  <c r="AD26" i="5"/>
  <c r="AD27" i="5"/>
  <c r="AD28" i="5"/>
  <c r="AD29" i="5"/>
  <c r="AD30" i="5"/>
  <c r="AD31" i="5"/>
  <c r="AD32" i="5"/>
  <c r="AD33" i="5"/>
  <c r="AD34" i="5"/>
  <c r="AD35" i="5"/>
  <c r="AD36" i="5"/>
  <c r="AD37" i="5"/>
  <c r="AD38" i="5"/>
  <c r="AD39" i="5"/>
  <c r="AD40" i="5"/>
  <c r="AD41" i="5"/>
  <c r="AD42" i="5"/>
  <c r="AD43" i="5"/>
  <c r="AD44" i="5"/>
  <c r="AD45" i="5"/>
  <c r="AD46" i="5"/>
  <c r="AD47" i="5"/>
  <c r="AD48" i="5"/>
  <c r="AD49" i="5"/>
  <c r="AD50" i="5"/>
  <c r="AD51" i="5"/>
  <c r="AD52" i="5"/>
  <c r="AD53" i="5"/>
  <c r="AD54" i="5"/>
  <c r="AD55" i="5"/>
  <c r="AD56" i="5"/>
  <c r="AD57" i="5"/>
  <c r="AD58" i="5"/>
  <c r="AD59" i="5"/>
  <c r="AD60" i="5"/>
  <c r="AD61" i="5"/>
  <c r="AD73" i="5"/>
  <c r="AD74" i="5"/>
  <c r="AD3" i="5"/>
  <c r="AB4" i="5"/>
  <c r="AB5" i="5"/>
  <c r="AB6" i="5"/>
  <c r="AB7" i="5"/>
  <c r="AB8" i="5"/>
  <c r="AB9" i="5"/>
  <c r="AB10" i="5"/>
  <c r="AB11" i="5"/>
  <c r="AB12" i="5"/>
  <c r="AB13" i="5"/>
  <c r="AB14" i="5"/>
  <c r="AB15" i="5"/>
  <c r="AB16" i="5"/>
  <c r="AB17" i="5"/>
  <c r="AB18" i="5"/>
  <c r="AB19" i="5"/>
  <c r="AB20" i="5"/>
  <c r="AB21" i="5"/>
  <c r="AB22" i="5"/>
  <c r="AB23" i="5"/>
  <c r="AB24" i="5"/>
  <c r="AB25" i="5"/>
  <c r="AB26" i="5"/>
  <c r="AB27" i="5"/>
  <c r="AB28" i="5"/>
  <c r="AB29" i="5"/>
  <c r="AB30" i="5"/>
  <c r="AB31" i="5"/>
  <c r="AB32" i="5"/>
  <c r="AB33" i="5"/>
  <c r="AB34" i="5"/>
  <c r="AB35" i="5"/>
  <c r="AB36" i="5"/>
  <c r="AB37" i="5"/>
  <c r="AB38" i="5"/>
  <c r="AB39" i="5"/>
  <c r="AB40" i="5"/>
  <c r="AB41" i="5"/>
  <c r="AB42" i="5"/>
  <c r="AB43" i="5"/>
  <c r="AB44" i="5"/>
  <c r="AB45" i="5"/>
  <c r="AB46" i="5"/>
  <c r="AB47" i="5"/>
  <c r="AB48" i="5"/>
  <c r="AB49" i="5"/>
  <c r="AB50" i="5"/>
  <c r="AB51" i="5"/>
  <c r="AB52" i="5"/>
  <c r="AB53" i="5"/>
  <c r="AB54" i="5"/>
  <c r="AB55" i="5"/>
  <c r="AB56" i="5"/>
  <c r="AB57" i="5"/>
  <c r="AB58" i="5"/>
  <c r="AB59" i="5"/>
  <c r="AB60" i="5"/>
  <c r="AB61" i="5"/>
  <c r="AB73" i="5"/>
  <c r="AB74" i="5"/>
  <c r="AB3" i="5"/>
  <c r="AA4" i="5"/>
  <c r="AA5" i="5"/>
  <c r="AA6" i="5"/>
  <c r="AA7" i="5"/>
  <c r="AA8" i="5"/>
  <c r="AA9" i="5"/>
  <c r="AA10" i="5"/>
  <c r="AA11" i="5"/>
  <c r="AA12" i="5"/>
  <c r="AA13" i="5"/>
  <c r="AA14" i="5"/>
  <c r="AA15" i="5"/>
  <c r="AA16" i="5"/>
  <c r="AA17" i="5"/>
  <c r="AA18" i="5"/>
  <c r="AA19" i="5"/>
  <c r="AA20" i="5"/>
  <c r="AA21" i="5"/>
  <c r="AA22" i="5"/>
  <c r="AA23" i="5"/>
  <c r="AA24" i="5"/>
  <c r="AA25" i="5"/>
  <c r="AA26" i="5"/>
  <c r="AA27" i="5"/>
  <c r="AA28" i="5"/>
  <c r="AA29" i="5"/>
  <c r="AA30" i="5"/>
  <c r="AA31" i="5"/>
  <c r="AA32" i="5"/>
  <c r="AA33" i="5"/>
  <c r="AA34" i="5"/>
  <c r="AA35" i="5"/>
  <c r="AA36" i="5"/>
  <c r="AA37" i="5"/>
  <c r="AA38" i="5"/>
  <c r="AA39" i="5"/>
  <c r="AA40" i="5"/>
  <c r="AA41" i="5"/>
  <c r="AA42" i="5"/>
  <c r="AA43" i="5"/>
  <c r="AA44" i="5"/>
  <c r="AA45" i="5"/>
  <c r="AA46" i="5"/>
  <c r="AA47" i="5"/>
  <c r="AA48" i="5"/>
  <c r="AA49" i="5"/>
  <c r="AA50" i="5"/>
  <c r="AA51" i="5"/>
  <c r="AA52" i="5"/>
  <c r="AA53" i="5"/>
  <c r="AA54" i="5"/>
  <c r="AA55" i="5"/>
  <c r="AA56" i="5"/>
  <c r="AA57" i="5"/>
  <c r="AA58" i="5"/>
  <c r="AA59" i="5"/>
  <c r="AA60" i="5"/>
  <c r="AA61" i="5"/>
  <c r="AA73" i="5"/>
  <c r="AA74" i="5"/>
  <c r="AA3" i="5"/>
  <c r="Z4" i="5"/>
  <c r="Z5" i="5"/>
  <c r="Z6" i="5"/>
  <c r="Z7" i="5"/>
  <c r="Z8" i="5"/>
  <c r="Z9" i="5"/>
  <c r="Z10" i="5"/>
  <c r="Z11" i="5"/>
  <c r="Z12" i="5"/>
  <c r="Z13" i="5"/>
  <c r="Z14" i="5"/>
  <c r="Z15" i="5"/>
  <c r="Z16" i="5"/>
  <c r="Z17" i="5"/>
  <c r="Z18" i="5"/>
  <c r="Z19" i="5"/>
  <c r="Z20" i="5"/>
  <c r="Z21" i="5"/>
  <c r="Z22" i="5"/>
  <c r="Z23" i="5"/>
  <c r="Z24" i="5"/>
  <c r="Z25" i="5"/>
  <c r="Z26" i="5"/>
  <c r="Z27" i="5"/>
  <c r="Z28" i="5"/>
  <c r="Z29" i="5"/>
  <c r="Z30" i="5"/>
  <c r="Z31" i="5"/>
  <c r="Z32" i="5"/>
  <c r="Z33" i="5"/>
  <c r="Z34" i="5"/>
  <c r="Z35" i="5"/>
  <c r="Z36" i="5"/>
  <c r="Z37" i="5"/>
  <c r="Z38" i="5"/>
  <c r="Z39" i="5"/>
  <c r="Z40" i="5"/>
  <c r="Z41" i="5"/>
  <c r="Z42" i="5"/>
  <c r="Z43" i="5"/>
  <c r="Z44" i="5"/>
  <c r="Z45" i="5"/>
  <c r="Z46" i="5"/>
  <c r="Z47" i="5"/>
  <c r="Z48" i="5"/>
  <c r="Z49" i="5"/>
  <c r="Z50" i="5"/>
  <c r="Z51" i="5"/>
  <c r="Z52" i="5"/>
  <c r="Z53" i="5"/>
  <c r="Z54" i="5"/>
  <c r="Z55" i="5"/>
  <c r="Z56" i="5"/>
  <c r="Z57" i="5"/>
  <c r="Z58" i="5"/>
  <c r="Z59" i="5"/>
  <c r="Z60" i="5"/>
  <c r="Z61" i="5"/>
  <c r="Z73" i="5"/>
  <c r="Z74" i="5"/>
  <c r="Z3" i="5"/>
  <c r="Y4" i="5"/>
  <c r="Y5" i="5"/>
  <c r="Y6" i="5"/>
  <c r="Y7" i="5"/>
  <c r="Y8" i="5"/>
  <c r="Y9" i="5"/>
  <c r="Y10" i="5"/>
  <c r="Y11" i="5"/>
  <c r="Y12" i="5"/>
  <c r="Y13" i="5"/>
  <c r="Y14" i="5"/>
  <c r="Y15" i="5"/>
  <c r="Y16" i="5"/>
  <c r="Y17" i="5"/>
  <c r="Y18" i="5"/>
  <c r="Y19" i="5"/>
  <c r="Y20" i="5"/>
  <c r="Y21" i="5"/>
  <c r="Y22" i="5"/>
  <c r="Y23" i="5"/>
  <c r="Y24" i="5"/>
  <c r="Y25" i="5"/>
  <c r="Y26" i="5"/>
  <c r="Y27" i="5"/>
  <c r="Y28" i="5"/>
  <c r="Y29" i="5"/>
  <c r="Y30" i="5"/>
  <c r="Y31" i="5"/>
  <c r="Y32" i="5"/>
  <c r="Y33" i="5"/>
  <c r="Y34" i="5"/>
  <c r="Y35" i="5"/>
  <c r="Y36" i="5"/>
  <c r="Y37" i="5"/>
  <c r="Y38" i="5"/>
  <c r="Y39" i="5"/>
  <c r="Y40" i="5"/>
  <c r="Y41" i="5"/>
  <c r="Y42" i="5"/>
  <c r="Y43" i="5"/>
  <c r="Y44" i="5"/>
  <c r="Y45" i="5"/>
  <c r="Y46" i="5"/>
  <c r="Y47" i="5"/>
  <c r="Y48" i="5"/>
  <c r="Y49" i="5"/>
  <c r="Y50" i="5"/>
  <c r="Y51" i="5"/>
  <c r="Y52" i="5"/>
  <c r="Y53" i="5"/>
  <c r="Y54" i="5"/>
  <c r="Y55" i="5"/>
  <c r="Y56" i="5"/>
  <c r="Y57" i="5"/>
  <c r="Y58" i="5"/>
  <c r="Y59" i="5"/>
  <c r="Y60" i="5"/>
  <c r="Y61" i="5"/>
  <c r="Y73" i="5"/>
  <c r="Y74" i="5"/>
  <c r="Y3" i="5"/>
  <c r="X4" i="5"/>
  <c r="X5" i="5"/>
  <c r="X6" i="5"/>
  <c r="X7" i="5"/>
  <c r="X8" i="5"/>
  <c r="X9" i="5"/>
  <c r="X10" i="5"/>
  <c r="X11" i="5"/>
  <c r="X12" i="5"/>
  <c r="X13" i="5"/>
  <c r="X14" i="5"/>
  <c r="X15" i="5"/>
  <c r="X16" i="5"/>
  <c r="X17" i="5"/>
  <c r="X18" i="5"/>
  <c r="X19" i="5"/>
  <c r="X20" i="5"/>
  <c r="X21" i="5"/>
  <c r="X22" i="5"/>
  <c r="X23" i="5"/>
  <c r="X24" i="5"/>
  <c r="X25" i="5"/>
  <c r="X26" i="5"/>
  <c r="X27" i="5"/>
  <c r="X28" i="5"/>
  <c r="X29" i="5"/>
  <c r="X30" i="5"/>
  <c r="X31" i="5"/>
  <c r="X32" i="5"/>
  <c r="X33" i="5"/>
  <c r="X34" i="5"/>
  <c r="X35" i="5"/>
  <c r="X36" i="5"/>
  <c r="X37" i="5"/>
  <c r="X38" i="5"/>
  <c r="X39" i="5"/>
  <c r="X40" i="5"/>
  <c r="X41" i="5"/>
  <c r="X42" i="5"/>
  <c r="X43" i="5"/>
  <c r="X44" i="5"/>
  <c r="X45" i="5"/>
  <c r="X46" i="5"/>
  <c r="X47" i="5"/>
  <c r="X48" i="5"/>
  <c r="X49" i="5"/>
  <c r="X50" i="5"/>
  <c r="X51" i="5"/>
  <c r="X52" i="5"/>
  <c r="X53" i="5"/>
  <c r="X54" i="5"/>
  <c r="X55" i="5"/>
  <c r="X56" i="5"/>
  <c r="X57" i="5"/>
  <c r="X58" i="5"/>
  <c r="X59" i="5"/>
  <c r="X60" i="5"/>
  <c r="X61" i="5"/>
  <c r="X73" i="5"/>
  <c r="X74" i="5"/>
  <c r="X3" i="5"/>
  <c r="U4" i="5"/>
  <c r="U5" i="5"/>
  <c r="U6" i="5"/>
  <c r="U7" i="5"/>
  <c r="U8" i="5"/>
  <c r="U9" i="5"/>
  <c r="U10" i="5"/>
  <c r="U11" i="5"/>
  <c r="U12" i="5"/>
  <c r="U13" i="5"/>
  <c r="U14" i="5"/>
  <c r="U15" i="5"/>
  <c r="U16" i="5"/>
  <c r="U17" i="5"/>
  <c r="U18" i="5"/>
  <c r="U19" i="5"/>
  <c r="U20" i="5"/>
  <c r="U21" i="5"/>
  <c r="U22" i="5"/>
  <c r="U23" i="5"/>
  <c r="U24" i="5"/>
  <c r="U25" i="5"/>
  <c r="U26" i="5"/>
  <c r="U27" i="5"/>
  <c r="U28" i="5"/>
  <c r="U29" i="5"/>
  <c r="U30" i="5"/>
  <c r="U31" i="5"/>
  <c r="U32" i="5"/>
  <c r="U33" i="5"/>
  <c r="U34" i="5"/>
  <c r="U35" i="5"/>
  <c r="U36" i="5"/>
  <c r="U37" i="5"/>
  <c r="U38" i="5"/>
  <c r="U39" i="5"/>
  <c r="U40" i="5"/>
  <c r="U41" i="5"/>
  <c r="U42" i="5"/>
  <c r="U43" i="5"/>
  <c r="U44" i="5"/>
  <c r="U45" i="5"/>
  <c r="U46" i="5"/>
  <c r="U47" i="5"/>
  <c r="U48" i="5"/>
  <c r="U49" i="5"/>
  <c r="U50" i="5"/>
  <c r="U51" i="5"/>
  <c r="U52" i="5"/>
  <c r="U53" i="5"/>
  <c r="U54" i="5"/>
  <c r="U55" i="5"/>
  <c r="U56" i="5"/>
  <c r="U57" i="5"/>
  <c r="U58" i="5"/>
  <c r="U59" i="5"/>
  <c r="U60" i="5"/>
  <c r="U61" i="5"/>
  <c r="U73" i="5"/>
  <c r="U74" i="5"/>
  <c r="U3" i="5"/>
  <c r="S4" i="5"/>
  <c r="S5" i="5"/>
  <c r="S6" i="5"/>
  <c r="S7" i="5"/>
  <c r="S8" i="5"/>
  <c r="S9" i="5"/>
  <c r="S10" i="5"/>
  <c r="S11" i="5"/>
  <c r="S12" i="5"/>
  <c r="S13" i="5"/>
  <c r="S14" i="5"/>
  <c r="S15" i="5"/>
  <c r="S16" i="5"/>
  <c r="S17" i="5"/>
  <c r="S18" i="5"/>
  <c r="S19" i="5"/>
  <c r="S20" i="5"/>
  <c r="S21" i="5"/>
  <c r="S22" i="5"/>
  <c r="S23" i="5"/>
  <c r="S24" i="5"/>
  <c r="S25" i="5"/>
  <c r="S26" i="5"/>
  <c r="S27" i="5"/>
  <c r="S28" i="5"/>
  <c r="S29" i="5"/>
  <c r="S30" i="5"/>
  <c r="S31" i="5"/>
  <c r="S32" i="5"/>
  <c r="S33" i="5"/>
  <c r="S34" i="5"/>
  <c r="S35" i="5"/>
  <c r="S36" i="5"/>
  <c r="S37" i="5"/>
  <c r="S38" i="5"/>
  <c r="S39" i="5"/>
  <c r="S40" i="5"/>
  <c r="S41" i="5"/>
  <c r="S42" i="5"/>
  <c r="S43" i="5"/>
  <c r="S44" i="5"/>
  <c r="S45" i="5"/>
  <c r="S46" i="5"/>
  <c r="S47" i="5"/>
  <c r="S48" i="5"/>
  <c r="S49" i="5"/>
  <c r="S50" i="5"/>
  <c r="S51" i="5"/>
  <c r="S52" i="5"/>
  <c r="S53" i="5"/>
  <c r="S54" i="5"/>
  <c r="S55" i="5"/>
  <c r="S56" i="5"/>
  <c r="S57" i="5"/>
  <c r="S58" i="5"/>
  <c r="S59" i="5"/>
  <c r="S60" i="5"/>
  <c r="S61" i="5"/>
  <c r="S73" i="5"/>
  <c r="S74" i="5"/>
  <c r="S3" i="5"/>
  <c r="R4" i="5"/>
  <c r="R5" i="5"/>
  <c r="R6" i="5"/>
  <c r="R7" i="5"/>
  <c r="R8" i="5"/>
  <c r="R9" i="5"/>
  <c r="R10" i="5"/>
  <c r="R11" i="5"/>
  <c r="R12" i="5"/>
  <c r="R13" i="5"/>
  <c r="R14" i="5"/>
  <c r="R15" i="5"/>
  <c r="R16" i="5"/>
  <c r="R17" i="5"/>
  <c r="R18" i="5"/>
  <c r="R19" i="5"/>
  <c r="R20" i="5"/>
  <c r="R21" i="5"/>
  <c r="R22" i="5"/>
  <c r="R23" i="5"/>
  <c r="R24" i="5"/>
  <c r="R25" i="5"/>
  <c r="R26" i="5"/>
  <c r="R27" i="5"/>
  <c r="R28" i="5"/>
  <c r="R29" i="5"/>
  <c r="R30" i="5"/>
  <c r="R31" i="5"/>
  <c r="R32" i="5"/>
  <c r="R33" i="5"/>
  <c r="R34" i="5"/>
  <c r="R35" i="5"/>
  <c r="R36" i="5"/>
  <c r="R37" i="5"/>
  <c r="R38" i="5"/>
  <c r="R39" i="5"/>
  <c r="R40" i="5"/>
  <c r="R41" i="5"/>
  <c r="R42" i="5"/>
  <c r="R43" i="5"/>
  <c r="R44" i="5"/>
  <c r="R45" i="5"/>
  <c r="R46" i="5"/>
  <c r="R47" i="5"/>
  <c r="R48" i="5"/>
  <c r="R49" i="5"/>
  <c r="R50" i="5"/>
  <c r="R51" i="5"/>
  <c r="R52" i="5"/>
  <c r="R53" i="5"/>
  <c r="R54" i="5"/>
  <c r="R55" i="5"/>
  <c r="R56" i="5"/>
  <c r="R57" i="5"/>
  <c r="R58" i="5"/>
  <c r="R59" i="5"/>
  <c r="R60" i="5"/>
  <c r="R61" i="5"/>
  <c r="R73" i="5"/>
  <c r="R74" i="5"/>
  <c r="R3" i="5"/>
  <c r="Q4" i="5"/>
  <c r="Q5" i="5"/>
  <c r="Q6" i="5"/>
  <c r="Q7" i="5"/>
  <c r="Q8" i="5"/>
  <c r="Q9" i="5"/>
  <c r="Q10" i="5"/>
  <c r="Q11" i="5"/>
  <c r="Q12" i="5"/>
  <c r="Q13" i="5"/>
  <c r="Q14" i="5"/>
  <c r="Q15" i="5"/>
  <c r="Q16" i="5"/>
  <c r="Q17" i="5"/>
  <c r="Q18" i="5"/>
  <c r="Q19" i="5"/>
  <c r="Q20" i="5"/>
  <c r="Q21" i="5"/>
  <c r="Q22" i="5"/>
  <c r="Q23" i="5"/>
  <c r="Q24" i="5"/>
  <c r="Q25" i="5"/>
  <c r="Q26" i="5"/>
  <c r="Q27" i="5"/>
  <c r="Q28" i="5"/>
  <c r="Q29" i="5"/>
  <c r="Q30" i="5"/>
  <c r="Q31" i="5"/>
  <c r="Q32" i="5"/>
  <c r="Q33" i="5"/>
  <c r="Q34" i="5"/>
  <c r="Q35" i="5"/>
  <c r="Q36" i="5"/>
  <c r="Q37" i="5"/>
  <c r="Q38" i="5"/>
  <c r="Q39" i="5"/>
  <c r="Q40" i="5"/>
  <c r="Q41" i="5"/>
  <c r="Q42" i="5"/>
  <c r="Q43" i="5"/>
  <c r="Q44" i="5"/>
  <c r="Q45" i="5"/>
  <c r="Q46" i="5"/>
  <c r="Q47" i="5"/>
  <c r="Q48" i="5"/>
  <c r="Q49" i="5"/>
  <c r="Q50" i="5"/>
  <c r="Q51" i="5"/>
  <c r="Q52" i="5"/>
  <c r="Q53" i="5"/>
  <c r="Q54" i="5"/>
  <c r="Q55" i="5"/>
  <c r="Q56" i="5"/>
  <c r="Q57" i="5"/>
  <c r="Q58" i="5"/>
  <c r="Q59" i="5"/>
  <c r="Q60" i="5"/>
  <c r="Q61" i="5"/>
  <c r="Q73" i="5"/>
  <c r="Q74" i="5"/>
  <c r="Q3" i="5"/>
  <c r="N4" i="5"/>
  <c r="N5" i="5"/>
  <c r="N6" i="5"/>
  <c r="N7" i="5"/>
  <c r="N8" i="5"/>
  <c r="N9" i="5"/>
  <c r="N10" i="5"/>
  <c r="N11" i="5"/>
  <c r="N12" i="5"/>
  <c r="N13" i="5"/>
  <c r="N14" i="5"/>
  <c r="N15" i="5"/>
  <c r="N16" i="5"/>
  <c r="N17" i="5"/>
  <c r="N18" i="5"/>
  <c r="N19" i="5"/>
  <c r="N20" i="5"/>
  <c r="N21" i="5"/>
  <c r="N22" i="5"/>
  <c r="N23" i="5"/>
  <c r="N24" i="5"/>
  <c r="N25" i="5"/>
  <c r="N26" i="5"/>
  <c r="N27" i="5"/>
  <c r="N28" i="5"/>
  <c r="N29" i="5"/>
  <c r="N30" i="5"/>
  <c r="N31" i="5"/>
  <c r="N32" i="5"/>
  <c r="N33" i="5"/>
  <c r="N34" i="5"/>
  <c r="N35" i="5"/>
  <c r="N36" i="5"/>
  <c r="N37" i="5"/>
  <c r="N38" i="5"/>
  <c r="N39" i="5"/>
  <c r="N40" i="5"/>
  <c r="N41" i="5"/>
  <c r="N42" i="5"/>
  <c r="N43" i="5"/>
  <c r="N44" i="5"/>
  <c r="N45" i="5"/>
  <c r="N46" i="5"/>
  <c r="N47" i="5"/>
  <c r="N48" i="5"/>
  <c r="N49" i="5"/>
  <c r="N50" i="5"/>
  <c r="N51" i="5"/>
  <c r="N52" i="5"/>
  <c r="N53" i="5"/>
  <c r="N54" i="5"/>
  <c r="N55" i="5"/>
  <c r="N56" i="5"/>
  <c r="N57" i="5"/>
  <c r="N58" i="5"/>
  <c r="N59" i="5"/>
  <c r="N60" i="5"/>
  <c r="N61" i="5"/>
  <c r="N73" i="5"/>
  <c r="N74" i="5"/>
  <c r="N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73" i="5"/>
  <c r="M74" i="5"/>
  <c r="M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73" i="5"/>
  <c r="K74" i="5"/>
  <c r="K3" i="5"/>
  <c r="J4" i="5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5" i="5"/>
  <c r="J36" i="5"/>
  <c r="J37" i="5"/>
  <c r="J38" i="5"/>
  <c r="J39" i="5"/>
  <c r="J40" i="5"/>
  <c r="J41" i="5"/>
  <c r="J42" i="5"/>
  <c r="J43" i="5"/>
  <c r="J44" i="5"/>
  <c r="J45" i="5"/>
  <c r="J46" i="5"/>
  <c r="J47" i="5"/>
  <c r="J48" i="5"/>
  <c r="J49" i="5"/>
  <c r="J50" i="5"/>
  <c r="J51" i="5"/>
  <c r="J52" i="5"/>
  <c r="J53" i="5"/>
  <c r="J54" i="5"/>
  <c r="J55" i="5"/>
  <c r="J56" i="5"/>
  <c r="J57" i="5"/>
  <c r="J58" i="5"/>
  <c r="J59" i="5"/>
  <c r="J60" i="5"/>
  <c r="J61" i="5"/>
  <c r="J73" i="5"/>
  <c r="J74" i="5"/>
  <c r="J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37" i="5"/>
  <c r="G38" i="5"/>
  <c r="G39" i="5"/>
  <c r="G40" i="5"/>
  <c r="G41" i="5"/>
  <c r="G42" i="5"/>
  <c r="G43" i="5"/>
  <c r="G44" i="5"/>
  <c r="G45" i="5"/>
  <c r="G46" i="5"/>
  <c r="G47" i="5"/>
  <c r="G48" i="5"/>
  <c r="G49" i="5"/>
  <c r="G50" i="5"/>
  <c r="G51" i="5"/>
  <c r="G52" i="5"/>
  <c r="G53" i="5"/>
  <c r="G54" i="5"/>
  <c r="G55" i="5"/>
  <c r="G56" i="5"/>
  <c r="G57" i="5"/>
  <c r="G58" i="5"/>
  <c r="G59" i="5"/>
  <c r="G60" i="5"/>
  <c r="G61" i="5"/>
  <c r="G73" i="5"/>
  <c r="G74" i="5"/>
  <c r="G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73" i="5"/>
  <c r="F74" i="5"/>
  <c r="F3" i="5"/>
  <c r="C3" i="5"/>
  <c r="C4" i="5"/>
  <c r="C5" i="5"/>
  <c r="C6" i="5"/>
  <c r="C7" i="5"/>
  <c r="C8" i="5"/>
  <c r="C9" i="5"/>
  <c r="C10" i="5"/>
  <c r="C11" i="5"/>
  <c r="C12" i="5"/>
  <c r="C13" i="5"/>
  <c r="C14" i="5"/>
  <c r="C15" i="5"/>
  <c r="C16" i="5"/>
  <c r="C17" i="5"/>
  <c r="C18" i="5"/>
  <c r="C19" i="5"/>
  <c r="C20" i="5"/>
  <c r="C21" i="5"/>
  <c r="C22" i="5"/>
  <c r="C23" i="5"/>
  <c r="C24" i="5"/>
  <c r="C25" i="5"/>
  <c r="C26" i="5"/>
  <c r="C27" i="5"/>
  <c r="C28" i="5"/>
  <c r="C29" i="5"/>
  <c r="C30" i="5"/>
  <c r="C31" i="5"/>
  <c r="C32" i="5"/>
  <c r="C33" i="5"/>
  <c r="C34" i="5"/>
  <c r="C35" i="5"/>
  <c r="C36" i="5"/>
  <c r="C37" i="5"/>
  <c r="C38" i="5"/>
  <c r="C39" i="5"/>
  <c r="C40" i="5"/>
  <c r="C41" i="5"/>
  <c r="C42" i="5"/>
  <c r="C43" i="5"/>
  <c r="C44" i="5"/>
  <c r="C45" i="5"/>
  <c r="C46" i="5"/>
  <c r="C47" i="5"/>
  <c r="C48" i="5"/>
  <c r="C49" i="5"/>
  <c r="C50" i="5"/>
  <c r="C51" i="5"/>
  <c r="C52" i="5"/>
  <c r="C53" i="5"/>
  <c r="C54" i="5"/>
  <c r="C55" i="5"/>
  <c r="C56" i="5"/>
  <c r="C57" i="5"/>
  <c r="C58" i="5"/>
  <c r="C59" i="5"/>
  <c r="C60" i="5"/>
  <c r="C61" i="5"/>
  <c r="C73" i="5"/>
  <c r="C74" i="5"/>
  <c r="AN28" i="5" l="1"/>
  <c r="AN45" i="5"/>
  <c r="AM14" i="5"/>
  <c r="AM46" i="5"/>
  <c r="AN46" i="5"/>
  <c r="AN6" i="5"/>
  <c r="AO26" i="5"/>
  <c r="AP6" i="5"/>
  <c r="AN74" i="5"/>
  <c r="AN26" i="5"/>
  <c r="AO6" i="5"/>
  <c r="AP46" i="5"/>
  <c r="AO24" i="5"/>
  <c r="AP48" i="5"/>
  <c r="AP28" i="5"/>
  <c r="AP44" i="5"/>
  <c r="AO25" i="5"/>
  <c r="AP49" i="5"/>
  <c r="AO4" i="5"/>
  <c r="AP27" i="5"/>
  <c r="AP7" i="5"/>
  <c r="AN48" i="5"/>
  <c r="AP24" i="5"/>
  <c r="AP29" i="5"/>
  <c r="AP45" i="5"/>
  <c r="AO13" i="5"/>
  <c r="AM8" i="5"/>
  <c r="AP4" i="5"/>
  <c r="AP26" i="5"/>
  <c r="AO73" i="5"/>
  <c r="AM45" i="5"/>
  <c r="AM25" i="5"/>
  <c r="AM44" i="5"/>
  <c r="AN7" i="5"/>
  <c r="AO47" i="5"/>
  <c r="AP47" i="5"/>
  <c r="AN25" i="5"/>
  <c r="AN5" i="5"/>
  <c r="AO44" i="5"/>
  <c r="AP8" i="5"/>
  <c r="AM48" i="5"/>
  <c r="AM50" i="5"/>
  <c r="AM49" i="5"/>
  <c r="AP25" i="5"/>
  <c r="AO45" i="5"/>
  <c r="AM47" i="5"/>
  <c r="AM27" i="5"/>
  <c r="AM7" i="5"/>
  <c r="AM31" i="5"/>
  <c r="AN55" i="5"/>
  <c r="AN47" i="5"/>
  <c r="AN27" i="5"/>
  <c r="AO27" i="5"/>
  <c r="AO7" i="5"/>
  <c r="AN54" i="5"/>
  <c r="AO74" i="5"/>
  <c r="AO34" i="5"/>
  <c r="AM24" i="5"/>
  <c r="AM4" i="5"/>
  <c r="AN9" i="5"/>
  <c r="AO5" i="5"/>
  <c r="AP11" i="5"/>
  <c r="AO46" i="5"/>
  <c r="AP30" i="5"/>
  <c r="AN4" i="5"/>
  <c r="AM6" i="5"/>
  <c r="AM26" i="5"/>
  <c r="AN24" i="5"/>
  <c r="AN8" i="5"/>
  <c r="AM5" i="5"/>
  <c r="AM29" i="5"/>
  <c r="AN44" i="5"/>
  <c r="AO15" i="5"/>
  <c r="AO14" i="5"/>
  <c r="AP5" i="5"/>
  <c r="AO28" i="5"/>
  <c r="AO8" i="5"/>
  <c r="AO12" i="5"/>
  <c r="AP57" i="5"/>
  <c r="AP51" i="5"/>
  <c r="AP55" i="5"/>
  <c r="AP50" i="5"/>
  <c r="AP56" i="5"/>
  <c r="AP10" i="5"/>
  <c r="AP54" i="5"/>
  <c r="AP9" i="5"/>
  <c r="AP14" i="5"/>
  <c r="AP74" i="5"/>
  <c r="AP34" i="5"/>
  <c r="AP35" i="5"/>
  <c r="AP52" i="5"/>
  <c r="AP32" i="5"/>
  <c r="AP31" i="5"/>
  <c r="AP42" i="5"/>
  <c r="AP22" i="5"/>
  <c r="AP61" i="5"/>
  <c r="AP41" i="5"/>
  <c r="AP21" i="5"/>
  <c r="AP40" i="5"/>
  <c r="AP20" i="5"/>
  <c r="AP39" i="5"/>
  <c r="AP38" i="5"/>
  <c r="AP37" i="5"/>
  <c r="AP17" i="5"/>
  <c r="AP60" i="5"/>
  <c r="AP59" i="5"/>
  <c r="AP19" i="5"/>
  <c r="AP58" i="5"/>
  <c r="AP18" i="5"/>
  <c r="AP36" i="5"/>
  <c r="AP16" i="5"/>
  <c r="AP15" i="5"/>
  <c r="AP12" i="5"/>
  <c r="AP43" i="5"/>
  <c r="AP23" i="5"/>
  <c r="AP73" i="5"/>
  <c r="AP53" i="5"/>
  <c r="AP33" i="5"/>
  <c r="AP13" i="5"/>
  <c r="AO11" i="5"/>
  <c r="AO18" i="5"/>
  <c r="AO10" i="5"/>
  <c r="AO9" i="5"/>
  <c r="AO29" i="5"/>
  <c r="AO50" i="5"/>
  <c r="AO30" i="5"/>
  <c r="AO51" i="5"/>
  <c r="AO31" i="5"/>
  <c r="AO49" i="5"/>
  <c r="AO48" i="5"/>
  <c r="AO19" i="5"/>
  <c r="AO38" i="5"/>
  <c r="AO37" i="5"/>
  <c r="AO17" i="5"/>
  <c r="AO36" i="5"/>
  <c r="AO16" i="5"/>
  <c r="AO58" i="5"/>
  <c r="AO53" i="5"/>
  <c r="AO33" i="5"/>
  <c r="AO35" i="5"/>
  <c r="AO52" i="5"/>
  <c r="AO32" i="5"/>
  <c r="AO23" i="5"/>
  <c r="AO43" i="5"/>
  <c r="AO42" i="5"/>
  <c r="AO22" i="5"/>
  <c r="AO55" i="5"/>
  <c r="AO59" i="5"/>
  <c r="AO39" i="5"/>
  <c r="AO57" i="5"/>
  <c r="AO56" i="5"/>
  <c r="AO54" i="5"/>
  <c r="AO61" i="5"/>
  <c r="AO41" i="5"/>
  <c r="AO21" i="5"/>
  <c r="AO60" i="5"/>
  <c r="AO40" i="5"/>
  <c r="AO20" i="5"/>
  <c r="AN11" i="5"/>
  <c r="AN10" i="5"/>
  <c r="AN29" i="5"/>
  <c r="AN73" i="5"/>
  <c r="AN13" i="5"/>
  <c r="AN31" i="5"/>
  <c r="AN30" i="5"/>
  <c r="AN53" i="5"/>
  <c r="AN12" i="5"/>
  <c r="AN51" i="5"/>
  <c r="AN50" i="5"/>
  <c r="AN49" i="5"/>
  <c r="AN15" i="5"/>
  <c r="AN14" i="5"/>
  <c r="AN33" i="5"/>
  <c r="AN35" i="5"/>
  <c r="AN34" i="5"/>
  <c r="AN52" i="5"/>
  <c r="AN32" i="5"/>
  <c r="AN43" i="5"/>
  <c r="AN23" i="5"/>
  <c r="AN42" i="5"/>
  <c r="AN22" i="5"/>
  <c r="AN61" i="5"/>
  <c r="AN41" i="5"/>
  <c r="AN21" i="5"/>
  <c r="AN40" i="5"/>
  <c r="AN20" i="5"/>
  <c r="AN39" i="5"/>
  <c r="AN58" i="5"/>
  <c r="AN18" i="5"/>
  <c r="AN57" i="5"/>
  <c r="AN17" i="5"/>
  <c r="AN36" i="5"/>
  <c r="AN60" i="5"/>
  <c r="AN59" i="5"/>
  <c r="AN19" i="5"/>
  <c r="AN38" i="5"/>
  <c r="AN37" i="5"/>
  <c r="AN56" i="5"/>
  <c r="AN16" i="5"/>
  <c r="AM28" i="5"/>
  <c r="AM56" i="5"/>
  <c r="AM30" i="5"/>
  <c r="AM54" i="5"/>
  <c r="AM55" i="5"/>
  <c r="AM74" i="5"/>
  <c r="AM34" i="5"/>
  <c r="AM51" i="5"/>
  <c r="AM11" i="5"/>
  <c r="AM10" i="5"/>
  <c r="AM9" i="5"/>
  <c r="AM53" i="5"/>
  <c r="AM33" i="5"/>
  <c r="AM13" i="5"/>
  <c r="AM32" i="5"/>
  <c r="AM36" i="5"/>
  <c r="AM15" i="5"/>
  <c r="AM73" i="5"/>
  <c r="AM16" i="5"/>
  <c r="AM35" i="5"/>
  <c r="AM52" i="5"/>
  <c r="AM12" i="5"/>
  <c r="AM43" i="5"/>
  <c r="AM23" i="5"/>
  <c r="AM42" i="5"/>
  <c r="AM22" i="5"/>
  <c r="AM61" i="5"/>
  <c r="AM41" i="5"/>
  <c r="AM21" i="5"/>
  <c r="AM59" i="5"/>
  <c r="AM19" i="5"/>
  <c r="AM58" i="5"/>
  <c r="AM38" i="5"/>
  <c r="AM18" i="5"/>
  <c r="AM57" i="5"/>
  <c r="AM37" i="5"/>
  <c r="AM17" i="5"/>
  <c r="AM60" i="5"/>
  <c r="AM40" i="5"/>
  <c r="AM20" i="5"/>
  <c r="AM39" i="5"/>
  <c r="AT2" i="5" l="1" a="1"/>
  <c r="AT2" i="5" s="1"/>
  <c r="B4" i="5"/>
  <c r="B5" i="5"/>
  <c r="B6" i="5"/>
  <c r="B7" i="5"/>
  <c r="B8" i="5"/>
  <c r="B9" i="5"/>
  <c r="B10" i="5"/>
  <c r="B12" i="5"/>
  <c r="B13" i="5"/>
  <c r="AL13" i="5" s="1"/>
  <c r="B14" i="5"/>
  <c r="AL14" i="5" s="1"/>
  <c r="B15" i="5"/>
  <c r="AL15" i="5" s="1"/>
  <c r="B16" i="5"/>
  <c r="AL16" i="5" s="1"/>
  <c r="B17" i="5"/>
  <c r="AL17" i="5" s="1"/>
  <c r="B18" i="5"/>
  <c r="AL18" i="5" s="1"/>
  <c r="B19" i="5"/>
  <c r="AL19" i="5" s="1"/>
  <c r="B20" i="5"/>
  <c r="AL20" i="5" s="1"/>
  <c r="B21" i="5"/>
  <c r="B22" i="5"/>
  <c r="B23" i="5"/>
  <c r="B24" i="5"/>
  <c r="AL24" i="5" s="1"/>
  <c r="B25" i="5"/>
  <c r="B26" i="5"/>
  <c r="B27" i="5"/>
  <c r="B28" i="5"/>
  <c r="B29" i="5"/>
  <c r="B30" i="5"/>
  <c r="B31" i="5"/>
  <c r="B32" i="5"/>
  <c r="B33" i="5"/>
  <c r="AL33" i="5" s="1"/>
  <c r="B34" i="5"/>
  <c r="AL34" i="5" s="1"/>
  <c r="B35" i="5"/>
  <c r="AL35" i="5" s="1"/>
  <c r="B36" i="5"/>
  <c r="AL36" i="5" s="1"/>
  <c r="B37" i="5"/>
  <c r="AL37" i="5" s="1"/>
  <c r="B38" i="5"/>
  <c r="AL38" i="5" s="1"/>
  <c r="B39" i="5"/>
  <c r="AL39" i="5" s="1"/>
  <c r="B40" i="5"/>
  <c r="AL40" i="5" s="1"/>
  <c r="B41" i="5"/>
  <c r="AL41" i="5" s="1"/>
  <c r="B42" i="5"/>
  <c r="AL42" i="5" s="1"/>
  <c r="B43" i="5"/>
  <c r="AL43" i="5" s="1"/>
  <c r="B44" i="5"/>
  <c r="AL44" i="5" s="1"/>
  <c r="B45" i="5"/>
  <c r="AL45" i="5" s="1"/>
  <c r="B46" i="5"/>
  <c r="AL46" i="5" s="1"/>
  <c r="B47" i="5"/>
  <c r="AL47" i="5" s="1"/>
  <c r="B48" i="5"/>
  <c r="AL48" i="5" s="1"/>
  <c r="B49" i="5"/>
  <c r="AL49" i="5" s="1"/>
  <c r="B50" i="5"/>
  <c r="AL50" i="5" s="1"/>
  <c r="B51" i="5"/>
  <c r="B52" i="5"/>
  <c r="B53" i="5"/>
  <c r="AL53" i="5" s="1"/>
  <c r="B54" i="5"/>
  <c r="B55" i="5"/>
  <c r="B56" i="5"/>
  <c r="B57" i="5"/>
  <c r="B58" i="5"/>
  <c r="B59" i="5"/>
  <c r="B60" i="5"/>
  <c r="B61" i="5"/>
  <c r="AL61" i="5" s="1"/>
  <c r="B73" i="5"/>
  <c r="AL73" i="5" s="1"/>
  <c r="B74" i="5"/>
  <c r="AL74" i="5" s="1"/>
  <c r="B3" i="5"/>
  <c r="AK3" i="5" s="1"/>
  <c r="H13" i="5"/>
  <c r="H33" i="5"/>
  <c r="H41" i="5"/>
  <c r="H42" i="5"/>
  <c r="H43" i="5"/>
  <c r="H53" i="5"/>
  <c r="H61" i="5"/>
  <c r="H73" i="5"/>
  <c r="H3" i="5"/>
  <c r="H14" i="5"/>
  <c r="H15" i="5"/>
  <c r="H16" i="5"/>
  <c r="H17" i="5"/>
  <c r="H18" i="5"/>
  <c r="H19" i="5"/>
  <c r="H20" i="5"/>
  <c r="H24" i="5"/>
  <c r="H35" i="5"/>
  <c r="H36" i="5"/>
  <c r="H37" i="5"/>
  <c r="H38" i="5"/>
  <c r="H39" i="5"/>
  <c r="H40" i="5"/>
  <c r="H45" i="5"/>
  <c r="H46" i="5"/>
  <c r="H47" i="5"/>
  <c r="H48" i="5"/>
  <c r="H49" i="5"/>
  <c r="H50" i="5"/>
  <c r="H74" i="5"/>
  <c r="H44" i="5"/>
  <c r="H34" i="5"/>
  <c r="I302" i="2"/>
  <c r="I303" i="2"/>
  <c r="I304" i="2"/>
  <c r="I305" i="2"/>
  <c r="I306" i="2"/>
  <c r="I307" i="2"/>
  <c r="I308" i="2"/>
  <c r="I309" i="2"/>
  <c r="I310" i="2"/>
  <c r="I311" i="2"/>
  <c r="I554" i="2"/>
  <c r="I315" i="2"/>
  <c r="I316" i="2"/>
  <c r="I317" i="2"/>
  <c r="I318" i="2"/>
  <c r="I319" i="2"/>
  <c r="I320" i="2"/>
  <c r="I321" i="2"/>
  <c r="I323" i="2"/>
  <c r="I324" i="2"/>
  <c r="I325" i="2"/>
  <c r="I327" i="2"/>
  <c r="I328" i="2"/>
  <c r="I326" i="2"/>
  <c r="I377" i="2"/>
  <c r="I209" i="2"/>
  <c r="I374" i="2"/>
  <c r="I334" i="2"/>
  <c r="I336" i="2"/>
  <c r="I337" i="2"/>
  <c r="I362" i="2"/>
  <c r="I360" i="2"/>
  <c r="I359" i="2"/>
  <c r="I339" i="2"/>
  <c r="I378" i="2"/>
  <c r="I340" i="2"/>
  <c r="I341" i="2"/>
  <c r="I342" i="2"/>
  <c r="I343" i="2"/>
  <c r="I345" i="2"/>
  <c r="I346" i="2"/>
  <c r="I348" i="2"/>
  <c r="I349" i="2"/>
  <c r="I350" i="2"/>
  <c r="I351" i="2"/>
  <c r="I352" i="2"/>
  <c r="I353" i="2"/>
  <c r="I354" i="2"/>
  <c r="I355" i="2"/>
  <c r="I356" i="2"/>
  <c r="I357" i="2"/>
  <c r="I347" i="2"/>
  <c r="I358" i="2"/>
  <c r="I375" i="2"/>
  <c r="I144" i="2"/>
  <c r="I363" i="2"/>
  <c r="I364" i="2"/>
  <c r="I365" i="2"/>
  <c r="I366" i="2"/>
  <c r="I368" i="2"/>
  <c r="I313" i="2"/>
  <c r="I369" i="2"/>
  <c r="I370" i="2"/>
  <c r="I371" i="2"/>
  <c r="I372" i="2"/>
  <c r="I373" i="2"/>
  <c r="I427" i="2"/>
  <c r="I335" i="2"/>
  <c r="I376" i="2"/>
  <c r="I233" i="2"/>
  <c r="I409" i="2"/>
  <c r="I361" i="2"/>
  <c r="I379" i="2"/>
  <c r="I338" i="2"/>
  <c r="I384" i="2"/>
  <c r="I385" i="2"/>
  <c r="I386" i="2"/>
  <c r="I387" i="2"/>
  <c r="I389" i="2"/>
  <c r="I390" i="2"/>
  <c r="I391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211" i="2"/>
  <c r="I168" i="2"/>
  <c r="I332" i="2"/>
  <c r="I170" i="2"/>
  <c r="I410" i="2"/>
  <c r="I411" i="2"/>
  <c r="I412" i="2"/>
  <c r="I413" i="2"/>
  <c r="I415" i="2"/>
  <c r="I417" i="2"/>
  <c r="I418" i="2"/>
  <c r="I419" i="2"/>
  <c r="I420" i="2"/>
  <c r="I438" i="2"/>
  <c r="I421" i="2"/>
  <c r="I169" i="2"/>
  <c r="I422" i="2"/>
  <c r="I425" i="2"/>
  <c r="I462" i="2"/>
  <c r="I429" i="2"/>
  <c r="I171" i="2"/>
  <c r="I430" i="2"/>
  <c r="I431" i="2"/>
  <c r="I432" i="2"/>
  <c r="I433" i="2"/>
  <c r="I435" i="2"/>
  <c r="I436" i="2"/>
  <c r="I437" i="2"/>
  <c r="I383" i="2"/>
  <c r="I126" i="2"/>
  <c r="I441" i="2"/>
  <c r="I442" i="2"/>
  <c r="I443" i="2"/>
  <c r="I446" i="2"/>
  <c r="I314" i="2"/>
  <c r="I447" i="2"/>
  <c r="I448" i="2"/>
  <c r="I449" i="2"/>
  <c r="I450" i="2"/>
  <c r="I451" i="2"/>
  <c r="I452" i="2"/>
  <c r="I453" i="2"/>
  <c r="I455" i="2"/>
  <c r="I456" i="2"/>
  <c r="I457" i="2"/>
  <c r="I458" i="2"/>
  <c r="I459" i="2"/>
  <c r="I461" i="2"/>
  <c r="I463" i="2"/>
  <c r="I464" i="2"/>
  <c r="I466" i="2"/>
  <c r="I467" i="2"/>
  <c r="I468" i="2"/>
  <c r="I469" i="2"/>
  <c r="I471" i="2"/>
  <c r="I472" i="2"/>
  <c r="I473" i="2"/>
  <c r="I474" i="2"/>
  <c r="I475" i="2"/>
  <c r="I476" i="2"/>
  <c r="I477" i="2"/>
  <c r="I478" i="2"/>
  <c r="I480" i="2"/>
  <c r="I481" i="2"/>
  <c r="I482" i="2"/>
  <c r="I483" i="2"/>
  <c r="I484" i="2"/>
  <c r="I485" i="2"/>
  <c r="I486" i="2"/>
  <c r="I487" i="2"/>
  <c r="I489" i="2"/>
  <c r="I491" i="2"/>
  <c r="I492" i="2"/>
  <c r="I493" i="2"/>
  <c r="I495" i="2"/>
  <c r="I534" i="2"/>
  <c r="I470" i="2"/>
  <c r="I496" i="2"/>
  <c r="I497" i="2"/>
  <c r="I498" i="2"/>
  <c r="I499" i="2"/>
  <c r="I501" i="2"/>
  <c r="I502" i="2"/>
  <c r="I503" i="2"/>
  <c r="I504" i="2"/>
  <c r="I505" i="2"/>
  <c r="I506" i="2"/>
  <c r="I507" i="2"/>
  <c r="I508" i="2"/>
  <c r="I509" i="2"/>
  <c r="I510" i="2"/>
  <c r="I585" i="2"/>
  <c r="I490" i="2"/>
  <c r="I488" i="2"/>
  <c r="I517" i="2"/>
  <c r="I518" i="2"/>
  <c r="I519" i="2"/>
  <c r="I520" i="2"/>
  <c r="I521" i="2"/>
  <c r="I522" i="2"/>
  <c r="I523" i="2"/>
  <c r="I525" i="2"/>
  <c r="I526" i="2"/>
  <c r="I527" i="2"/>
  <c r="I528" i="2"/>
  <c r="I529" i="2"/>
  <c r="I530" i="2"/>
  <c r="I531" i="2"/>
  <c r="I532" i="2"/>
  <c r="I514" i="2"/>
  <c r="I533" i="2"/>
  <c r="I535" i="2"/>
  <c r="I536" i="2"/>
  <c r="I537" i="2"/>
  <c r="I512" i="2"/>
  <c r="I538" i="2"/>
  <c r="I540" i="2"/>
  <c r="I541" i="2"/>
  <c r="I542" i="2"/>
  <c r="I543" i="2"/>
  <c r="I544" i="2"/>
  <c r="I546" i="2"/>
  <c r="I547" i="2"/>
  <c r="I548" i="2"/>
  <c r="I549" i="2"/>
  <c r="I550" i="2"/>
  <c r="I592" i="2"/>
  <c r="I551" i="2"/>
  <c r="I553" i="2"/>
  <c r="I552" i="2"/>
  <c r="I382" i="2"/>
  <c r="I301" i="2"/>
  <c r="H57" i="5" l="1"/>
  <c r="AL57" i="5"/>
  <c r="H54" i="5"/>
  <c r="AL54" i="5"/>
  <c r="H56" i="5"/>
  <c r="AL56" i="5"/>
  <c r="H55" i="5"/>
  <c r="AL55" i="5"/>
  <c r="H52" i="5"/>
  <c r="AL52" i="5"/>
  <c r="H32" i="5"/>
  <c r="AL32" i="5"/>
  <c r="H12" i="5"/>
  <c r="AL12" i="5"/>
  <c r="H60" i="5"/>
  <c r="AL60" i="5"/>
  <c r="H31" i="5"/>
  <c r="AL31" i="5"/>
  <c r="H29" i="5"/>
  <c r="AL29" i="5"/>
  <c r="H28" i="5"/>
  <c r="AL28" i="5"/>
  <c r="H27" i="5"/>
  <c r="AL27" i="5"/>
  <c r="H7" i="5"/>
  <c r="AL7" i="5"/>
  <c r="H51" i="5"/>
  <c r="AL51" i="5"/>
  <c r="H8" i="5"/>
  <c r="AL8" i="5"/>
  <c r="H26" i="5"/>
  <c r="AL26" i="5"/>
  <c r="H6" i="5"/>
  <c r="AL6" i="5"/>
  <c r="H10" i="5"/>
  <c r="AL10" i="5"/>
  <c r="H9" i="5"/>
  <c r="AL9" i="5"/>
  <c r="H25" i="5"/>
  <c r="AL25" i="5"/>
  <c r="H5" i="5"/>
  <c r="AL5" i="5"/>
  <c r="H4" i="5"/>
  <c r="AL4" i="5"/>
  <c r="H22" i="5"/>
  <c r="AL22" i="5"/>
  <c r="H21" i="5"/>
  <c r="AL21" i="5"/>
  <c r="H59" i="5"/>
  <c r="AL59" i="5"/>
  <c r="H58" i="5"/>
  <c r="AL58" i="5"/>
  <c r="H11" i="5"/>
  <c r="AL11" i="5"/>
  <c r="H30" i="5"/>
  <c r="AL30" i="5"/>
  <c r="H23" i="5"/>
  <c r="AL23" i="5"/>
  <c r="A9" i="3"/>
  <c r="A18" i="3"/>
  <c r="A207" i="3"/>
  <c r="A598" i="3"/>
  <c r="A599" i="3"/>
  <c r="B596" i="3" l="1"/>
  <c r="B597" i="3"/>
  <c r="B590" i="3"/>
  <c r="B591" i="3"/>
  <c r="B592" i="3"/>
  <c r="B593" i="3"/>
  <c r="B594" i="3"/>
  <c r="G590" i="3"/>
  <c r="G591" i="3"/>
  <c r="G592" i="3"/>
  <c r="G593" i="3"/>
  <c r="G594" i="3"/>
  <c r="G595" i="3"/>
  <c r="G596" i="3"/>
  <c r="G597" i="3"/>
  <c r="E590" i="3"/>
  <c r="A590" i="3" s="1"/>
  <c r="E591" i="3"/>
  <c r="E592" i="3"/>
  <c r="E593" i="3"/>
  <c r="E594" i="3"/>
  <c r="E595" i="3"/>
  <c r="E596" i="3"/>
  <c r="B583" i="3"/>
  <c r="B584" i="3"/>
  <c r="B585" i="3"/>
  <c r="B586" i="3"/>
  <c r="B587" i="3"/>
  <c r="B588" i="3"/>
  <c r="B589" i="3"/>
  <c r="G583" i="3"/>
  <c r="G584" i="3"/>
  <c r="G585" i="3"/>
  <c r="G586" i="3"/>
  <c r="G587" i="3"/>
  <c r="G588" i="3"/>
  <c r="G589" i="3"/>
  <c r="E583" i="3"/>
  <c r="A583" i="3" s="1"/>
  <c r="E584" i="3"/>
  <c r="E585" i="3"/>
  <c r="E586" i="3"/>
  <c r="E587" i="3"/>
  <c r="E588" i="3"/>
  <c r="E589" i="3"/>
  <c r="B573" i="3"/>
  <c r="B574" i="3"/>
  <c r="B575" i="3"/>
  <c r="B576" i="3"/>
  <c r="B577" i="3"/>
  <c r="B578" i="3"/>
  <c r="B579" i="3"/>
  <c r="B580" i="3"/>
  <c r="B581" i="3"/>
  <c r="B582" i="3"/>
  <c r="G573" i="3"/>
  <c r="G574" i="3"/>
  <c r="G575" i="3"/>
  <c r="G576" i="3"/>
  <c r="G577" i="3"/>
  <c r="G578" i="3"/>
  <c r="G579" i="3"/>
  <c r="G580" i="3"/>
  <c r="G581" i="3"/>
  <c r="G582" i="3"/>
  <c r="E573" i="3"/>
  <c r="A573" i="3" s="1"/>
  <c r="E574" i="3"/>
  <c r="E575" i="3"/>
  <c r="E576" i="3"/>
  <c r="E577" i="3"/>
  <c r="E578" i="3"/>
  <c r="E579" i="3"/>
  <c r="E580" i="3"/>
  <c r="E581" i="3"/>
  <c r="E582" i="3"/>
  <c r="B566" i="3"/>
  <c r="B567" i="3"/>
  <c r="B568" i="3"/>
  <c r="B569" i="3"/>
  <c r="B571" i="3"/>
  <c r="B572" i="3"/>
  <c r="G566" i="3"/>
  <c r="G567" i="3"/>
  <c r="G568" i="3"/>
  <c r="G569" i="3"/>
  <c r="G570" i="3"/>
  <c r="G571" i="3"/>
  <c r="G572" i="3"/>
  <c r="E566" i="3"/>
  <c r="A566" i="3" s="1"/>
  <c r="E567" i="3"/>
  <c r="E568" i="3"/>
  <c r="E569" i="3"/>
  <c r="E570" i="3"/>
  <c r="E571" i="3"/>
  <c r="E572" i="3"/>
  <c r="B533" i="3"/>
  <c r="B534" i="3"/>
  <c r="B535" i="3"/>
  <c r="B536" i="3"/>
  <c r="B537" i="3"/>
  <c r="B538" i="3"/>
  <c r="B539" i="3"/>
  <c r="B540" i="3"/>
  <c r="B557" i="3"/>
  <c r="B558" i="3"/>
  <c r="B559" i="3"/>
  <c r="B560" i="3"/>
  <c r="B561" i="3"/>
  <c r="B562" i="3"/>
  <c r="B563" i="3"/>
  <c r="B564" i="3"/>
  <c r="B565" i="3"/>
  <c r="G557" i="3"/>
  <c r="G558" i="3"/>
  <c r="G559" i="3"/>
  <c r="G560" i="3"/>
  <c r="G561" i="3"/>
  <c r="G562" i="3"/>
  <c r="G563" i="3"/>
  <c r="G564" i="3"/>
  <c r="G565" i="3"/>
  <c r="E557" i="3"/>
  <c r="A557" i="3" s="1"/>
  <c r="E558" i="3"/>
  <c r="E559" i="3"/>
  <c r="E560" i="3"/>
  <c r="E561" i="3"/>
  <c r="E562" i="3"/>
  <c r="E563" i="3"/>
  <c r="E564" i="3"/>
  <c r="E565" i="3"/>
  <c r="B549" i="3"/>
  <c r="B550" i="3"/>
  <c r="B551" i="3"/>
  <c r="B552" i="3"/>
  <c r="B553" i="3"/>
  <c r="B554" i="3"/>
  <c r="B555" i="3"/>
  <c r="B556" i="3"/>
  <c r="G549" i="3"/>
  <c r="G550" i="3"/>
  <c r="G551" i="3"/>
  <c r="G552" i="3"/>
  <c r="G553" i="3"/>
  <c r="G554" i="3"/>
  <c r="G555" i="3"/>
  <c r="G556" i="3"/>
  <c r="E549" i="3"/>
  <c r="A549" i="3" s="1"/>
  <c r="E550" i="3"/>
  <c r="E551" i="3"/>
  <c r="E552" i="3"/>
  <c r="E553" i="3"/>
  <c r="E554" i="3"/>
  <c r="E555" i="3"/>
  <c r="E556" i="3"/>
  <c r="B541" i="3"/>
  <c r="B542" i="3"/>
  <c r="B543" i="3"/>
  <c r="B544" i="3"/>
  <c r="B545" i="3"/>
  <c r="B546" i="3"/>
  <c r="B547" i="3"/>
  <c r="B548" i="3"/>
  <c r="G541" i="3"/>
  <c r="G542" i="3"/>
  <c r="G543" i="3"/>
  <c r="G544" i="3"/>
  <c r="G545" i="3"/>
  <c r="G546" i="3"/>
  <c r="G547" i="3"/>
  <c r="G548" i="3"/>
  <c r="E541" i="3"/>
  <c r="A541" i="3" s="1"/>
  <c r="E542" i="3"/>
  <c r="E543" i="3"/>
  <c r="E544" i="3"/>
  <c r="E545" i="3"/>
  <c r="E546" i="3"/>
  <c r="E547" i="3"/>
  <c r="E548" i="3"/>
  <c r="G533" i="3"/>
  <c r="G534" i="3"/>
  <c r="G535" i="3"/>
  <c r="G536" i="3"/>
  <c r="G537" i="3"/>
  <c r="G538" i="3"/>
  <c r="G539" i="3"/>
  <c r="G540" i="3"/>
  <c r="E533" i="3"/>
  <c r="A533" i="3" s="1"/>
  <c r="E534" i="3"/>
  <c r="E535" i="3"/>
  <c r="E536" i="3"/>
  <c r="E537" i="3"/>
  <c r="E538" i="3"/>
  <c r="E539" i="3"/>
  <c r="E540" i="3"/>
  <c r="B523" i="3"/>
  <c r="B525" i="3"/>
  <c r="B526" i="3"/>
  <c r="B164" i="3" s="1"/>
  <c r="B527" i="3"/>
  <c r="B528" i="3"/>
  <c r="B524" i="3" s="1"/>
  <c r="B529" i="3"/>
  <c r="B530" i="3"/>
  <c r="B531" i="3"/>
  <c r="B532" i="3"/>
  <c r="B166" i="3" s="1"/>
  <c r="G523" i="3"/>
  <c r="G524" i="3"/>
  <c r="G525" i="3"/>
  <c r="G526" i="3"/>
  <c r="G527" i="3"/>
  <c r="G528" i="3"/>
  <c r="G529" i="3"/>
  <c r="G530" i="3"/>
  <c r="G531" i="3"/>
  <c r="G532" i="3"/>
  <c r="E523" i="3"/>
  <c r="A523" i="3" s="1"/>
  <c r="E524" i="3"/>
  <c r="E525" i="3"/>
  <c r="E526" i="3"/>
  <c r="E527" i="3"/>
  <c r="E528" i="3"/>
  <c r="E529" i="3"/>
  <c r="E530" i="3"/>
  <c r="E531" i="3"/>
  <c r="E532" i="3"/>
  <c r="B513" i="3"/>
  <c r="B514" i="3"/>
  <c r="B515" i="3"/>
  <c r="B516" i="3"/>
  <c r="B517" i="3"/>
  <c r="B518" i="3"/>
  <c r="B519" i="3"/>
  <c r="B520" i="3"/>
  <c r="B521" i="3"/>
  <c r="B522" i="3"/>
  <c r="G513" i="3"/>
  <c r="G514" i="3"/>
  <c r="G515" i="3"/>
  <c r="G516" i="3"/>
  <c r="G517" i="3"/>
  <c r="G518" i="3"/>
  <c r="G519" i="3"/>
  <c r="G520" i="3"/>
  <c r="G521" i="3"/>
  <c r="G522" i="3"/>
  <c r="E513" i="3"/>
  <c r="A513" i="3" s="1"/>
  <c r="E514" i="3"/>
  <c r="E515" i="3"/>
  <c r="E516" i="3"/>
  <c r="E517" i="3"/>
  <c r="E518" i="3"/>
  <c r="E519" i="3"/>
  <c r="E520" i="3"/>
  <c r="E521" i="3"/>
  <c r="E522" i="3"/>
  <c r="B510" i="3"/>
  <c r="B511" i="3"/>
  <c r="B512" i="3"/>
  <c r="B505" i="3"/>
  <c r="B506" i="3"/>
  <c r="B507" i="3"/>
  <c r="B508" i="3"/>
  <c r="B509" i="3"/>
  <c r="G510" i="3"/>
  <c r="G511" i="3"/>
  <c r="G512" i="3"/>
  <c r="G505" i="3"/>
  <c r="G506" i="3"/>
  <c r="G507" i="3"/>
  <c r="G508" i="3"/>
  <c r="G509" i="3"/>
  <c r="E510" i="3"/>
  <c r="E511" i="3"/>
  <c r="E512" i="3"/>
  <c r="E505" i="3"/>
  <c r="A505" i="3" s="1"/>
  <c r="E506" i="3"/>
  <c r="E507" i="3"/>
  <c r="E508" i="3"/>
  <c r="E509" i="3"/>
  <c r="B498" i="3"/>
  <c r="B499" i="3"/>
  <c r="B500" i="3"/>
  <c r="B504" i="3"/>
  <c r="G498" i="3"/>
  <c r="G499" i="3"/>
  <c r="G500" i="3"/>
  <c r="G501" i="3"/>
  <c r="G502" i="3"/>
  <c r="G503" i="3"/>
  <c r="G504" i="3"/>
  <c r="E498" i="3"/>
  <c r="A498" i="3" s="1"/>
  <c r="E499" i="3"/>
  <c r="E500" i="3"/>
  <c r="E501" i="3"/>
  <c r="E502" i="3"/>
  <c r="E503" i="3"/>
  <c r="E504" i="3"/>
  <c r="G497" i="3"/>
  <c r="B485" i="3"/>
  <c r="B486" i="3"/>
  <c r="B487" i="3"/>
  <c r="B416" i="3" s="1"/>
  <c r="B488" i="3"/>
  <c r="B489" i="3"/>
  <c r="B490" i="3"/>
  <c r="B491" i="3"/>
  <c r="B492" i="3"/>
  <c r="B493" i="3"/>
  <c r="B484" i="3" s="1"/>
  <c r="B494" i="3"/>
  <c r="B496" i="3"/>
  <c r="G491" i="3"/>
  <c r="G492" i="3"/>
  <c r="G493" i="3"/>
  <c r="G494" i="3"/>
  <c r="G495" i="3"/>
  <c r="G496" i="3"/>
  <c r="E491" i="3"/>
  <c r="A491" i="3" s="1"/>
  <c r="E492" i="3"/>
  <c r="E493" i="3"/>
  <c r="E494" i="3"/>
  <c r="E495" i="3"/>
  <c r="E496" i="3"/>
  <c r="G483" i="3"/>
  <c r="G484" i="3"/>
  <c r="G485" i="3"/>
  <c r="G486" i="3"/>
  <c r="G487" i="3"/>
  <c r="G488" i="3"/>
  <c r="G489" i="3"/>
  <c r="G490" i="3"/>
  <c r="E483" i="3"/>
  <c r="A483" i="3" s="1"/>
  <c r="E484" i="3"/>
  <c r="E485" i="3"/>
  <c r="E486" i="3"/>
  <c r="E487" i="3"/>
  <c r="E488" i="3"/>
  <c r="E489" i="3"/>
  <c r="E490" i="3"/>
  <c r="B475" i="3"/>
  <c r="B476" i="3"/>
  <c r="B477" i="3"/>
  <c r="B478" i="3"/>
  <c r="B479" i="3"/>
  <c r="B480" i="3"/>
  <c r="G475" i="3"/>
  <c r="G476" i="3"/>
  <c r="G477" i="3"/>
  <c r="G478" i="3"/>
  <c r="G479" i="3"/>
  <c r="G480" i="3"/>
  <c r="G481" i="3"/>
  <c r="G482" i="3"/>
  <c r="E475" i="3"/>
  <c r="A475" i="3" s="1"/>
  <c r="E476" i="3"/>
  <c r="E477" i="3"/>
  <c r="E478" i="3"/>
  <c r="E479" i="3"/>
  <c r="E480" i="3"/>
  <c r="E481" i="3"/>
  <c r="E482" i="3"/>
  <c r="B468" i="3"/>
  <c r="B469" i="3"/>
  <c r="B470" i="3"/>
  <c r="B8" i="3" s="1"/>
  <c r="B471" i="3"/>
  <c r="B472" i="3"/>
  <c r="B473" i="3"/>
  <c r="B474" i="3"/>
  <c r="G467" i="3"/>
  <c r="G468" i="3"/>
  <c r="G469" i="3"/>
  <c r="G470" i="3"/>
  <c r="G471" i="3"/>
  <c r="G472" i="3"/>
  <c r="G473" i="3"/>
  <c r="G474" i="3"/>
  <c r="E467" i="3"/>
  <c r="A467" i="3" s="1"/>
  <c r="E468" i="3"/>
  <c r="E469" i="3"/>
  <c r="E470" i="3"/>
  <c r="E471" i="3"/>
  <c r="E472" i="3"/>
  <c r="E473" i="3"/>
  <c r="E474" i="3"/>
  <c r="B455" i="3"/>
  <c r="B458" i="3"/>
  <c r="B459" i="3"/>
  <c r="B460" i="3"/>
  <c r="B461" i="3"/>
  <c r="B462" i="3"/>
  <c r="B463" i="3"/>
  <c r="B464" i="3"/>
  <c r="B465" i="3"/>
  <c r="B466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E455" i="3"/>
  <c r="A455" i="3" s="1"/>
  <c r="E456" i="3"/>
  <c r="A456" i="3" s="1"/>
  <c r="E457" i="3"/>
  <c r="E458" i="3"/>
  <c r="E459" i="3"/>
  <c r="E460" i="3"/>
  <c r="E461" i="3"/>
  <c r="E462" i="3"/>
  <c r="E463" i="3"/>
  <c r="E464" i="3"/>
  <c r="E465" i="3"/>
  <c r="E466" i="3"/>
  <c r="B447" i="3"/>
  <c r="B448" i="3"/>
  <c r="B449" i="3"/>
  <c r="B450" i="3"/>
  <c r="B451" i="3"/>
  <c r="B452" i="3"/>
  <c r="B453" i="3"/>
  <c r="B454" i="3"/>
  <c r="G447" i="3"/>
  <c r="G448" i="3"/>
  <c r="G449" i="3"/>
  <c r="G450" i="3"/>
  <c r="G451" i="3"/>
  <c r="G452" i="3"/>
  <c r="G453" i="3"/>
  <c r="G454" i="3"/>
  <c r="E447" i="3"/>
  <c r="A447" i="3" s="1"/>
  <c r="E448" i="3"/>
  <c r="E449" i="3"/>
  <c r="E450" i="3"/>
  <c r="E451" i="3"/>
  <c r="E452" i="3"/>
  <c r="E453" i="3"/>
  <c r="E454" i="3"/>
  <c r="B439" i="3"/>
  <c r="B440" i="3"/>
  <c r="B441" i="3"/>
  <c r="B442" i="3"/>
  <c r="B443" i="3"/>
  <c r="B444" i="3"/>
  <c r="B445" i="3"/>
  <c r="B446" i="3"/>
  <c r="G439" i="3"/>
  <c r="G440" i="3"/>
  <c r="G441" i="3"/>
  <c r="G442" i="3"/>
  <c r="G443" i="3"/>
  <c r="G444" i="3"/>
  <c r="G445" i="3"/>
  <c r="G446" i="3"/>
  <c r="E439" i="3"/>
  <c r="A439" i="3" s="1"/>
  <c r="E440" i="3"/>
  <c r="E441" i="3"/>
  <c r="E442" i="3"/>
  <c r="E443" i="3"/>
  <c r="E444" i="3"/>
  <c r="E445" i="3"/>
  <c r="E446" i="3"/>
  <c r="B432" i="3"/>
  <c r="B433" i="3"/>
  <c r="B434" i="3"/>
  <c r="B435" i="3"/>
  <c r="B436" i="3"/>
  <c r="B437" i="3"/>
  <c r="B438" i="3"/>
  <c r="G432" i="3"/>
  <c r="G433" i="3"/>
  <c r="G434" i="3"/>
  <c r="G435" i="3"/>
  <c r="G436" i="3"/>
  <c r="G437" i="3"/>
  <c r="G438" i="3"/>
  <c r="E432" i="3"/>
  <c r="A432" i="3" s="1"/>
  <c r="E433" i="3"/>
  <c r="E434" i="3"/>
  <c r="E435" i="3"/>
  <c r="E436" i="3"/>
  <c r="E437" i="3"/>
  <c r="E438" i="3"/>
  <c r="B425" i="3"/>
  <c r="B426" i="3"/>
  <c r="B428" i="3"/>
  <c r="B429" i="3"/>
  <c r="B430" i="3"/>
  <c r="B431" i="3"/>
  <c r="G425" i="3"/>
  <c r="G426" i="3"/>
  <c r="G427" i="3"/>
  <c r="G428" i="3"/>
  <c r="G429" i="3"/>
  <c r="G430" i="3"/>
  <c r="G431" i="3"/>
  <c r="E425" i="3"/>
  <c r="A425" i="3" s="1"/>
  <c r="E426" i="3"/>
  <c r="E427" i="3"/>
  <c r="E428" i="3"/>
  <c r="E429" i="3"/>
  <c r="E430" i="3"/>
  <c r="E431" i="3"/>
  <c r="B417" i="3"/>
  <c r="B427" i="3" s="1"/>
  <c r="B495" i="3" s="1"/>
  <c r="B418" i="3"/>
  <c r="B419" i="3"/>
  <c r="B420" i="3"/>
  <c r="B421" i="3"/>
  <c r="B422" i="3"/>
  <c r="B423" i="3"/>
  <c r="B424" i="3"/>
  <c r="G417" i="3"/>
  <c r="G418" i="3"/>
  <c r="G419" i="3"/>
  <c r="G420" i="3"/>
  <c r="G421" i="3"/>
  <c r="G422" i="3"/>
  <c r="G423" i="3"/>
  <c r="G424" i="3"/>
  <c r="E417" i="3"/>
  <c r="A417" i="3" s="1"/>
  <c r="E418" i="3"/>
  <c r="E419" i="3"/>
  <c r="E420" i="3"/>
  <c r="E421" i="3"/>
  <c r="E422" i="3"/>
  <c r="E423" i="3"/>
  <c r="E424" i="3"/>
  <c r="B408" i="3"/>
  <c r="B409" i="3"/>
  <c r="B410" i="3"/>
  <c r="B411" i="3"/>
  <c r="B412" i="3"/>
  <c r="B413" i="3"/>
  <c r="B414" i="3"/>
  <c r="B415" i="3"/>
  <c r="B481" i="3" s="1"/>
  <c r="D409" i="3"/>
  <c r="D410" i="3" s="1"/>
  <c r="D411" i="3" s="1"/>
  <c r="D412" i="3" s="1"/>
  <c r="D413" i="3" s="1"/>
  <c r="D414" i="3" s="1"/>
  <c r="D415" i="3" s="1"/>
  <c r="D416" i="3" s="1"/>
  <c r="G408" i="3"/>
  <c r="G409" i="3"/>
  <c r="G410" i="3"/>
  <c r="G411" i="3"/>
  <c r="G412" i="3"/>
  <c r="G413" i="3"/>
  <c r="G414" i="3"/>
  <c r="G415" i="3"/>
  <c r="G416" i="3"/>
  <c r="E408" i="3"/>
  <c r="A408" i="3" s="1"/>
  <c r="E409" i="3"/>
  <c r="E410" i="3"/>
  <c r="E411" i="3"/>
  <c r="E412" i="3"/>
  <c r="E413" i="3"/>
  <c r="E414" i="3"/>
  <c r="E415" i="3"/>
  <c r="E416" i="3"/>
  <c r="B400" i="3"/>
  <c r="B401" i="3"/>
  <c r="B402" i="3"/>
  <c r="B404" i="3"/>
  <c r="B405" i="3"/>
  <c r="B406" i="3"/>
  <c r="B407" i="3"/>
  <c r="G400" i="3"/>
  <c r="G401" i="3"/>
  <c r="G402" i="3"/>
  <c r="G403" i="3"/>
  <c r="G404" i="3"/>
  <c r="G405" i="3"/>
  <c r="G407" i="3"/>
  <c r="E400" i="3"/>
  <c r="A400" i="3" s="1"/>
  <c r="E401" i="3"/>
  <c r="E402" i="3"/>
  <c r="E403" i="3"/>
  <c r="E404" i="3"/>
  <c r="E405" i="3"/>
  <c r="E406" i="3"/>
  <c r="E407" i="3"/>
  <c r="B393" i="3"/>
  <c r="B394" i="3"/>
  <c r="B395" i="3"/>
  <c r="B396" i="3"/>
  <c r="B397" i="3"/>
  <c r="B398" i="3"/>
  <c r="B399" i="3"/>
  <c r="G393" i="3"/>
  <c r="G394" i="3"/>
  <c r="G395" i="3"/>
  <c r="G396" i="3"/>
  <c r="G397" i="3"/>
  <c r="G398" i="3"/>
  <c r="G399" i="3"/>
  <c r="E393" i="3"/>
  <c r="A393" i="3" s="1"/>
  <c r="E394" i="3"/>
  <c r="E395" i="3"/>
  <c r="E396" i="3"/>
  <c r="E397" i="3"/>
  <c r="E398" i="3"/>
  <c r="E399" i="3"/>
  <c r="B384" i="3"/>
  <c r="B385" i="3"/>
  <c r="B386" i="3"/>
  <c r="B387" i="3"/>
  <c r="B388" i="3"/>
  <c r="B389" i="3"/>
  <c r="B390" i="3"/>
  <c r="B391" i="3"/>
  <c r="G384" i="3"/>
  <c r="G385" i="3"/>
  <c r="G386" i="3"/>
  <c r="G387" i="3"/>
  <c r="G388" i="3"/>
  <c r="G389" i="3"/>
  <c r="G390" i="3"/>
  <c r="G391" i="3"/>
  <c r="G392" i="3"/>
  <c r="E384" i="3"/>
  <c r="A384" i="3" s="1"/>
  <c r="E385" i="3"/>
  <c r="E386" i="3"/>
  <c r="E387" i="3"/>
  <c r="E388" i="3"/>
  <c r="E389" i="3"/>
  <c r="E390" i="3"/>
  <c r="E391" i="3"/>
  <c r="E392" i="3"/>
  <c r="B375" i="3"/>
  <c r="B376" i="3"/>
  <c r="B377" i="3"/>
  <c r="B378" i="3"/>
  <c r="B379" i="3"/>
  <c r="B380" i="3"/>
  <c r="B381" i="3"/>
  <c r="B382" i="3"/>
  <c r="B383" i="3"/>
  <c r="G375" i="3"/>
  <c r="G376" i="3"/>
  <c r="G377" i="3"/>
  <c r="G378" i="3"/>
  <c r="G379" i="3"/>
  <c r="G380" i="3"/>
  <c r="G381" i="3"/>
  <c r="G382" i="3"/>
  <c r="G383" i="3"/>
  <c r="E375" i="3"/>
  <c r="A375" i="3" s="1"/>
  <c r="E376" i="3"/>
  <c r="E377" i="3"/>
  <c r="E378" i="3"/>
  <c r="E379" i="3"/>
  <c r="E380" i="3"/>
  <c r="E381" i="3"/>
  <c r="E382" i="3"/>
  <c r="E383" i="3"/>
  <c r="B367" i="3"/>
  <c r="B368" i="3"/>
  <c r="B369" i="3"/>
  <c r="B370" i="3"/>
  <c r="B371" i="3"/>
  <c r="B373" i="3"/>
  <c r="B374" i="3"/>
  <c r="G367" i="3"/>
  <c r="G368" i="3"/>
  <c r="G369" i="3"/>
  <c r="G370" i="3"/>
  <c r="G371" i="3"/>
  <c r="G372" i="3"/>
  <c r="G373" i="3"/>
  <c r="G374" i="3"/>
  <c r="E367" i="3"/>
  <c r="A367" i="3" s="1"/>
  <c r="E368" i="3"/>
  <c r="E369" i="3"/>
  <c r="E370" i="3"/>
  <c r="E371" i="3"/>
  <c r="E372" i="3"/>
  <c r="E373" i="3"/>
  <c r="E374" i="3"/>
  <c r="B358" i="3"/>
  <c r="B359" i="3"/>
  <c r="B360" i="3"/>
  <c r="B361" i="3"/>
  <c r="B362" i="3"/>
  <c r="B363" i="3"/>
  <c r="B364" i="3"/>
  <c r="B365" i="3"/>
  <c r="B366" i="3"/>
  <c r="G358" i="3"/>
  <c r="G359" i="3"/>
  <c r="G360" i="3"/>
  <c r="G361" i="3"/>
  <c r="G362" i="3"/>
  <c r="G363" i="3"/>
  <c r="G364" i="3"/>
  <c r="G365" i="3"/>
  <c r="G366" i="3"/>
  <c r="E358" i="3"/>
  <c r="A358" i="3" s="1"/>
  <c r="E359" i="3"/>
  <c r="E360" i="3"/>
  <c r="E361" i="3"/>
  <c r="E362" i="3"/>
  <c r="E363" i="3"/>
  <c r="E364" i="3"/>
  <c r="E365" i="3"/>
  <c r="E366" i="3"/>
  <c r="B350" i="3"/>
  <c r="B351" i="3"/>
  <c r="B352" i="3"/>
  <c r="B353" i="3"/>
  <c r="B354" i="3"/>
  <c r="B355" i="3"/>
  <c r="B356" i="3"/>
  <c r="B357" i="3"/>
  <c r="G350" i="3"/>
  <c r="G351" i="3"/>
  <c r="G352" i="3"/>
  <c r="G353" i="3"/>
  <c r="G354" i="3"/>
  <c r="G355" i="3"/>
  <c r="G356" i="3"/>
  <c r="G357" i="3"/>
  <c r="E350" i="3"/>
  <c r="A350" i="3" s="1"/>
  <c r="E351" i="3"/>
  <c r="E352" i="3"/>
  <c r="E353" i="3"/>
  <c r="E354" i="3"/>
  <c r="E355" i="3"/>
  <c r="E356" i="3"/>
  <c r="E357" i="3"/>
  <c r="B341" i="3"/>
  <c r="B342" i="3"/>
  <c r="B343" i="3"/>
  <c r="B344" i="3"/>
  <c r="B345" i="3"/>
  <c r="B346" i="3"/>
  <c r="B347" i="3"/>
  <c r="B348" i="3"/>
  <c r="B349" i="3"/>
  <c r="G341" i="3"/>
  <c r="G342" i="3"/>
  <c r="G343" i="3"/>
  <c r="G344" i="3"/>
  <c r="G345" i="3"/>
  <c r="G346" i="3"/>
  <c r="G347" i="3"/>
  <c r="G348" i="3"/>
  <c r="G349" i="3"/>
  <c r="E341" i="3"/>
  <c r="A341" i="3" s="1"/>
  <c r="E342" i="3"/>
  <c r="E343" i="3"/>
  <c r="E344" i="3"/>
  <c r="E345" i="3"/>
  <c r="E346" i="3"/>
  <c r="E347" i="3"/>
  <c r="E348" i="3"/>
  <c r="E349" i="3"/>
  <c r="B334" i="3"/>
  <c r="B335" i="3"/>
  <c r="B336" i="3"/>
  <c r="B337" i="3"/>
  <c r="B338" i="3"/>
  <c r="B339" i="3"/>
  <c r="B340" i="3"/>
  <c r="G334" i="3"/>
  <c r="G335" i="3"/>
  <c r="G336" i="3"/>
  <c r="G337" i="3"/>
  <c r="G338" i="3"/>
  <c r="G339" i="3"/>
  <c r="G340" i="3"/>
  <c r="E334" i="3"/>
  <c r="A334" i="3" s="1"/>
  <c r="E335" i="3"/>
  <c r="E336" i="3"/>
  <c r="E337" i="3"/>
  <c r="E338" i="3"/>
  <c r="E339" i="3"/>
  <c r="E340" i="3"/>
  <c r="B328" i="3"/>
  <c r="B329" i="3"/>
  <c r="B330" i="3"/>
  <c r="B331" i="3"/>
  <c r="B332" i="3"/>
  <c r="B333" i="3"/>
  <c r="G328" i="3"/>
  <c r="G329" i="3"/>
  <c r="G330" i="3"/>
  <c r="G331" i="3"/>
  <c r="G332" i="3"/>
  <c r="G333" i="3"/>
  <c r="E328" i="3"/>
  <c r="A328" i="3" s="1"/>
  <c r="E329" i="3"/>
  <c r="E330" i="3"/>
  <c r="E331" i="3"/>
  <c r="E332" i="3"/>
  <c r="E333" i="3"/>
  <c r="B318" i="3"/>
  <c r="B319" i="3"/>
  <c r="B320" i="3"/>
  <c r="B321" i="3"/>
  <c r="B322" i="3"/>
  <c r="B323" i="3"/>
  <c r="B324" i="3"/>
  <c r="B325" i="3"/>
  <c r="B326" i="3"/>
  <c r="B327" i="3"/>
  <c r="G318" i="3"/>
  <c r="G319" i="3"/>
  <c r="G320" i="3"/>
  <c r="G321" i="3"/>
  <c r="G322" i="3"/>
  <c r="G323" i="3"/>
  <c r="G324" i="3"/>
  <c r="G325" i="3"/>
  <c r="G326" i="3"/>
  <c r="G327" i="3"/>
  <c r="E318" i="3"/>
  <c r="A318" i="3" s="1"/>
  <c r="E319" i="3"/>
  <c r="E320" i="3"/>
  <c r="A320" i="3" s="1"/>
  <c r="E321" i="3"/>
  <c r="E322" i="3"/>
  <c r="E323" i="3"/>
  <c r="E324" i="3"/>
  <c r="E325" i="3"/>
  <c r="E326" i="3"/>
  <c r="E327" i="3"/>
  <c r="B310" i="3"/>
  <c r="B311" i="3"/>
  <c r="B312" i="3"/>
  <c r="B313" i="3"/>
  <c r="B314" i="3"/>
  <c r="B315" i="3"/>
  <c r="B316" i="3"/>
  <c r="B317" i="3"/>
  <c r="G310" i="3"/>
  <c r="G311" i="3"/>
  <c r="G312" i="3"/>
  <c r="G313" i="3"/>
  <c r="G314" i="3"/>
  <c r="G315" i="3"/>
  <c r="G316" i="3"/>
  <c r="G317" i="3"/>
  <c r="E310" i="3"/>
  <c r="A310" i="3" s="1"/>
  <c r="E311" i="3"/>
  <c r="E312" i="3"/>
  <c r="E313" i="3"/>
  <c r="E314" i="3"/>
  <c r="E315" i="3"/>
  <c r="E316" i="3"/>
  <c r="E317" i="3"/>
  <c r="B303" i="3"/>
  <c r="B304" i="3"/>
  <c r="B305" i="3"/>
  <c r="B306" i="3"/>
  <c r="B307" i="3"/>
  <c r="B308" i="3"/>
  <c r="B309" i="3"/>
  <c r="G303" i="3"/>
  <c r="G304" i="3"/>
  <c r="G305" i="3"/>
  <c r="G306" i="3"/>
  <c r="G307" i="3"/>
  <c r="G308" i="3"/>
  <c r="G309" i="3"/>
  <c r="E303" i="3"/>
  <c r="A303" i="3" s="1"/>
  <c r="E304" i="3"/>
  <c r="E305" i="3"/>
  <c r="E306" i="3"/>
  <c r="E307" i="3"/>
  <c r="E308" i="3"/>
  <c r="E309" i="3"/>
  <c r="B295" i="3"/>
  <c r="B296" i="3"/>
  <c r="B297" i="3"/>
  <c r="B298" i="3"/>
  <c r="B299" i="3"/>
  <c r="B300" i="3"/>
  <c r="B301" i="3"/>
  <c r="B302" i="3"/>
  <c r="G295" i="3"/>
  <c r="G296" i="3"/>
  <c r="G297" i="3"/>
  <c r="G298" i="3"/>
  <c r="G299" i="3"/>
  <c r="G300" i="3"/>
  <c r="G301" i="3"/>
  <c r="G302" i="3"/>
  <c r="E295" i="3"/>
  <c r="A295" i="3" s="1"/>
  <c r="E296" i="3"/>
  <c r="E297" i="3"/>
  <c r="E298" i="3"/>
  <c r="E299" i="3"/>
  <c r="E300" i="3"/>
  <c r="E301" i="3"/>
  <c r="E302" i="3"/>
  <c r="B287" i="3"/>
  <c r="B288" i="3"/>
  <c r="B289" i="3"/>
  <c r="B290" i="3"/>
  <c r="B291" i="3"/>
  <c r="B292" i="3"/>
  <c r="B293" i="3"/>
  <c r="G287" i="3"/>
  <c r="G288" i="3"/>
  <c r="G289" i="3"/>
  <c r="G290" i="3"/>
  <c r="G291" i="3"/>
  <c r="G292" i="3"/>
  <c r="G293" i="3"/>
  <c r="G294" i="3"/>
  <c r="E287" i="3"/>
  <c r="A287" i="3" s="1"/>
  <c r="E288" i="3"/>
  <c r="E289" i="3"/>
  <c r="E290" i="3"/>
  <c r="E291" i="3"/>
  <c r="E292" i="3"/>
  <c r="E293" i="3"/>
  <c r="E294" i="3"/>
  <c r="B280" i="3"/>
  <c r="B281" i="3"/>
  <c r="B283" i="3"/>
  <c r="B284" i="3"/>
  <c r="B285" i="3"/>
  <c r="B286" i="3"/>
  <c r="G280" i="3"/>
  <c r="G281" i="3"/>
  <c r="G282" i="3"/>
  <c r="G283" i="3"/>
  <c r="G284" i="3"/>
  <c r="G285" i="3"/>
  <c r="G286" i="3"/>
  <c r="E280" i="3"/>
  <c r="A280" i="3" s="1"/>
  <c r="E281" i="3"/>
  <c r="E282" i="3"/>
  <c r="E283" i="3"/>
  <c r="E284" i="3"/>
  <c r="E285" i="3"/>
  <c r="E286" i="3"/>
  <c r="B270" i="3"/>
  <c r="B271" i="3"/>
  <c r="B272" i="3"/>
  <c r="B273" i="3"/>
  <c r="B274" i="3"/>
  <c r="B275" i="3"/>
  <c r="B276" i="3"/>
  <c r="B277" i="3"/>
  <c r="B278" i="3"/>
  <c r="G270" i="3"/>
  <c r="G271" i="3"/>
  <c r="G272" i="3"/>
  <c r="G273" i="3"/>
  <c r="G274" i="3"/>
  <c r="G275" i="3"/>
  <c r="G276" i="3"/>
  <c r="G277" i="3"/>
  <c r="G278" i="3"/>
  <c r="G279" i="3"/>
  <c r="E270" i="3"/>
  <c r="A270" i="3" s="1"/>
  <c r="E271" i="3"/>
  <c r="E272" i="3"/>
  <c r="E273" i="3"/>
  <c r="E274" i="3"/>
  <c r="E275" i="3"/>
  <c r="E276" i="3"/>
  <c r="E277" i="3"/>
  <c r="E278" i="3"/>
  <c r="E279" i="3"/>
  <c r="B263" i="3"/>
  <c r="B264" i="3"/>
  <c r="B265" i="3"/>
  <c r="B266" i="3"/>
  <c r="B267" i="3"/>
  <c r="B268" i="3"/>
  <c r="B269" i="3"/>
  <c r="G263" i="3"/>
  <c r="G264" i="3"/>
  <c r="G265" i="3"/>
  <c r="G266" i="3"/>
  <c r="G267" i="3"/>
  <c r="G268" i="3"/>
  <c r="G269" i="3"/>
  <c r="E263" i="3"/>
  <c r="A263" i="3" s="1"/>
  <c r="E264" i="3"/>
  <c r="E265" i="3"/>
  <c r="E266" i="3"/>
  <c r="E267" i="3"/>
  <c r="E268" i="3"/>
  <c r="E269" i="3"/>
  <c r="B255" i="3"/>
  <c r="B250" i="3" s="1"/>
  <c r="B256" i="3"/>
  <c r="B257" i="3"/>
  <c r="B258" i="3"/>
  <c r="B259" i="3"/>
  <c r="B260" i="3"/>
  <c r="B261" i="3"/>
  <c r="B262" i="3"/>
  <c r="G255" i="3"/>
  <c r="G256" i="3"/>
  <c r="G257" i="3"/>
  <c r="G258" i="3"/>
  <c r="G259" i="3"/>
  <c r="G260" i="3"/>
  <c r="G261" i="3"/>
  <c r="G262" i="3"/>
  <c r="E255" i="3"/>
  <c r="A255" i="3" s="1"/>
  <c r="E256" i="3"/>
  <c r="E257" i="3"/>
  <c r="E258" i="3"/>
  <c r="E259" i="3"/>
  <c r="E260" i="3"/>
  <c r="E261" i="3"/>
  <c r="E262" i="3"/>
  <c r="B246" i="3"/>
  <c r="B247" i="3"/>
  <c r="B248" i="3"/>
  <c r="B249" i="3"/>
  <c r="B251" i="3"/>
  <c r="B252" i="3"/>
  <c r="B253" i="3"/>
  <c r="B254" i="3"/>
  <c r="G246" i="3"/>
  <c r="G247" i="3"/>
  <c r="G248" i="3"/>
  <c r="G249" i="3"/>
  <c r="G250" i="3"/>
  <c r="G251" i="3"/>
  <c r="G252" i="3"/>
  <c r="G253" i="3"/>
  <c r="G254" i="3"/>
  <c r="E246" i="3"/>
  <c r="A246" i="3" s="1"/>
  <c r="E247" i="3"/>
  <c r="E249" i="3"/>
  <c r="E250" i="3"/>
  <c r="E251" i="3"/>
  <c r="E252" i="3"/>
  <c r="E253" i="3"/>
  <c r="E254" i="3"/>
  <c r="B239" i="3"/>
  <c r="B240" i="3"/>
  <c r="B241" i="3"/>
  <c r="B242" i="3"/>
  <c r="B243" i="3"/>
  <c r="B244" i="3"/>
  <c r="B245" i="3"/>
  <c r="G239" i="3"/>
  <c r="G240" i="3"/>
  <c r="G241" i="3"/>
  <c r="G242" i="3"/>
  <c r="G243" i="3"/>
  <c r="G244" i="3"/>
  <c r="G245" i="3"/>
  <c r="E239" i="3"/>
  <c r="A239" i="3" s="1"/>
  <c r="E240" i="3"/>
  <c r="E241" i="3"/>
  <c r="E242" i="3"/>
  <c r="E243" i="3"/>
  <c r="E244" i="3"/>
  <c r="E245" i="3"/>
  <c r="B231" i="3"/>
  <c r="B232" i="3"/>
  <c r="B233" i="3"/>
  <c r="B234" i="3"/>
  <c r="B235" i="3"/>
  <c r="B236" i="3"/>
  <c r="B237" i="3"/>
  <c r="B238" i="3"/>
  <c r="G231" i="3"/>
  <c r="G232" i="3"/>
  <c r="G233" i="3"/>
  <c r="G234" i="3"/>
  <c r="G235" i="3"/>
  <c r="G236" i="3"/>
  <c r="G237" i="3"/>
  <c r="G238" i="3"/>
  <c r="E231" i="3"/>
  <c r="A231" i="3" s="1"/>
  <c r="E232" i="3"/>
  <c r="E233" i="3"/>
  <c r="E234" i="3"/>
  <c r="E235" i="3"/>
  <c r="E236" i="3"/>
  <c r="E237" i="3"/>
  <c r="E238" i="3"/>
  <c r="B224" i="3"/>
  <c r="B225" i="3"/>
  <c r="B227" i="3"/>
  <c r="B228" i="3"/>
  <c r="B229" i="3"/>
  <c r="B230" i="3"/>
  <c r="G224" i="3"/>
  <c r="G225" i="3"/>
  <c r="G227" i="3"/>
  <c r="G228" i="3"/>
  <c r="G229" i="3"/>
  <c r="G230" i="3"/>
  <c r="E224" i="3"/>
  <c r="A224" i="3" s="1"/>
  <c r="E225" i="3"/>
  <c r="E227" i="3"/>
  <c r="E228" i="3"/>
  <c r="E229" i="3"/>
  <c r="E230" i="3"/>
  <c r="B214" i="3"/>
  <c r="B215" i="3"/>
  <c r="B216" i="3"/>
  <c r="B217" i="3"/>
  <c r="B218" i="3"/>
  <c r="B220" i="3"/>
  <c r="B221" i="3"/>
  <c r="B222" i="3"/>
  <c r="B223" i="3"/>
  <c r="G214" i="3"/>
  <c r="G215" i="3"/>
  <c r="G216" i="3"/>
  <c r="G217" i="3"/>
  <c r="G218" i="3"/>
  <c r="G220" i="3"/>
  <c r="G221" i="3"/>
  <c r="G222" i="3"/>
  <c r="G223" i="3"/>
  <c r="E214" i="3"/>
  <c r="A214" i="3" s="1"/>
  <c r="E215" i="3"/>
  <c r="E216" i="3"/>
  <c r="E217" i="3"/>
  <c r="E218" i="3"/>
  <c r="E220" i="3"/>
  <c r="E221" i="3"/>
  <c r="E222" i="3"/>
  <c r="E223" i="3"/>
  <c r="B207" i="3"/>
  <c r="B208" i="3"/>
  <c r="B210" i="3"/>
  <c r="B211" i="3"/>
  <c r="B212" i="3"/>
  <c r="B213" i="3"/>
  <c r="G207" i="3"/>
  <c r="G208" i="3"/>
  <c r="G209" i="3"/>
  <c r="G210" i="3"/>
  <c r="G211" i="3"/>
  <c r="G212" i="3"/>
  <c r="G213" i="3"/>
  <c r="B194" i="3"/>
  <c r="B195" i="3"/>
  <c r="B196" i="3"/>
  <c r="B197" i="3"/>
  <c r="B198" i="3"/>
  <c r="B199" i="3"/>
  <c r="B200" i="3"/>
  <c r="B201" i="3"/>
  <c r="B202" i="3"/>
  <c r="B203" i="3"/>
  <c r="B204" i="3"/>
  <c r="B205" i="3"/>
  <c r="B206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E205" i="3"/>
  <c r="E206" i="3"/>
  <c r="E204" i="3"/>
  <c r="E194" i="3"/>
  <c r="A194" i="3" s="1"/>
  <c r="E195" i="3"/>
  <c r="E196" i="3"/>
  <c r="E197" i="3"/>
  <c r="E198" i="3"/>
  <c r="E199" i="3"/>
  <c r="E200" i="3"/>
  <c r="E201" i="3"/>
  <c r="E202" i="3"/>
  <c r="E203" i="3"/>
  <c r="B185" i="3"/>
  <c r="B186" i="3"/>
  <c r="B187" i="3"/>
  <c r="B188" i="3"/>
  <c r="B189" i="3"/>
  <c r="B190" i="3"/>
  <c r="B191" i="3"/>
  <c r="B192" i="3"/>
  <c r="B193" i="3"/>
  <c r="G185" i="3"/>
  <c r="G186" i="3"/>
  <c r="G187" i="3"/>
  <c r="G188" i="3"/>
  <c r="G189" i="3"/>
  <c r="G190" i="3"/>
  <c r="G191" i="3"/>
  <c r="G192" i="3"/>
  <c r="G193" i="3"/>
  <c r="E185" i="3"/>
  <c r="A185" i="3" s="1"/>
  <c r="E186" i="3"/>
  <c r="E187" i="3"/>
  <c r="E188" i="3"/>
  <c r="E189" i="3"/>
  <c r="E190" i="3"/>
  <c r="E191" i="3"/>
  <c r="E192" i="3"/>
  <c r="E193" i="3"/>
  <c r="B178" i="3"/>
  <c r="B179" i="3"/>
  <c r="B180" i="3"/>
  <c r="B181" i="3"/>
  <c r="B182" i="3"/>
  <c r="B183" i="3"/>
  <c r="B184" i="3"/>
  <c r="G178" i="3"/>
  <c r="G179" i="3"/>
  <c r="G180" i="3"/>
  <c r="G181" i="3"/>
  <c r="G182" i="3"/>
  <c r="G183" i="3"/>
  <c r="G184" i="3"/>
  <c r="E178" i="3"/>
  <c r="A178" i="3" s="1"/>
  <c r="E179" i="3"/>
  <c r="E180" i="3"/>
  <c r="E181" i="3"/>
  <c r="E182" i="3"/>
  <c r="E183" i="3"/>
  <c r="E184" i="3"/>
  <c r="B170" i="3"/>
  <c r="B171" i="3"/>
  <c r="B172" i="3"/>
  <c r="B173" i="3"/>
  <c r="B174" i="3"/>
  <c r="B175" i="3"/>
  <c r="B176" i="3"/>
  <c r="B177" i="3"/>
  <c r="D170" i="3"/>
  <c r="D171" i="3" s="1"/>
  <c r="D172" i="3" s="1"/>
  <c r="D173" i="3" s="1"/>
  <c r="D174" i="3" s="1"/>
  <c r="D175" i="3" s="1"/>
  <c r="D176" i="3" s="1"/>
  <c r="D177" i="3" s="1"/>
  <c r="G169" i="3"/>
  <c r="G170" i="3"/>
  <c r="G171" i="3"/>
  <c r="G172" i="3"/>
  <c r="G173" i="3"/>
  <c r="G174" i="3"/>
  <c r="G175" i="3"/>
  <c r="G176" i="3"/>
  <c r="G177" i="3"/>
  <c r="E169" i="3"/>
  <c r="A169" i="3" s="1"/>
  <c r="E170" i="3"/>
  <c r="E171" i="3"/>
  <c r="E172" i="3"/>
  <c r="E173" i="3"/>
  <c r="E174" i="3"/>
  <c r="E175" i="3"/>
  <c r="E176" i="3"/>
  <c r="E177" i="3"/>
  <c r="B160" i="3"/>
  <c r="B161" i="3"/>
  <c r="B162" i="3"/>
  <c r="B163" i="3"/>
  <c r="B167" i="3"/>
  <c r="G160" i="3"/>
  <c r="G161" i="3"/>
  <c r="G162" i="3"/>
  <c r="G163" i="3"/>
  <c r="G167" i="3"/>
  <c r="E160" i="3"/>
  <c r="A160" i="3" s="1"/>
  <c r="E161" i="3"/>
  <c r="E162" i="3"/>
  <c r="E163" i="3"/>
  <c r="B149" i="3"/>
  <c r="B150" i="3"/>
  <c r="B151" i="3"/>
  <c r="B152" i="3"/>
  <c r="B153" i="3"/>
  <c r="B156" i="3"/>
  <c r="B157" i="3"/>
  <c r="B158" i="3"/>
  <c r="B159" i="3"/>
  <c r="G149" i="3"/>
  <c r="G150" i="3"/>
  <c r="G151" i="3"/>
  <c r="G152" i="3"/>
  <c r="G153" i="3"/>
  <c r="G156" i="3"/>
  <c r="G157" i="3"/>
  <c r="G158" i="3"/>
  <c r="G159" i="3"/>
  <c r="E149" i="3"/>
  <c r="A149" i="3" s="1"/>
  <c r="E150" i="3"/>
  <c r="E151" i="3"/>
  <c r="E152" i="3"/>
  <c r="E153" i="3"/>
  <c r="E156" i="3"/>
  <c r="E157" i="3"/>
  <c r="E159" i="3"/>
  <c r="B141" i="3"/>
  <c r="B142" i="3"/>
  <c r="B143" i="3"/>
  <c r="B144" i="3"/>
  <c r="B145" i="3"/>
  <c r="B146" i="3"/>
  <c r="B147" i="3"/>
  <c r="B148" i="3"/>
  <c r="E141" i="3"/>
  <c r="A141" i="3" s="1"/>
  <c r="E142" i="3"/>
  <c r="E143" i="3"/>
  <c r="E144" i="3"/>
  <c r="E145" i="3"/>
  <c r="E146" i="3"/>
  <c r="E147" i="3"/>
  <c r="E148" i="3"/>
  <c r="B134" i="3"/>
  <c r="B135" i="3"/>
  <c r="B136" i="3"/>
  <c r="B138" i="3"/>
  <c r="B139" i="3"/>
  <c r="B140" i="3"/>
  <c r="G134" i="3"/>
  <c r="G135" i="3"/>
  <c r="G136" i="3"/>
  <c r="G137" i="3"/>
  <c r="G138" i="3"/>
  <c r="G139" i="3"/>
  <c r="G140" i="3"/>
  <c r="E134" i="3"/>
  <c r="A134" i="3" s="1"/>
  <c r="E135" i="3"/>
  <c r="E136" i="3"/>
  <c r="E137" i="3"/>
  <c r="E138" i="3"/>
  <c r="E139" i="3"/>
  <c r="E140" i="3"/>
  <c r="B127" i="3"/>
  <c r="B128" i="3"/>
  <c r="B129" i="3"/>
  <c r="B130" i="3"/>
  <c r="B131" i="3"/>
  <c r="B132" i="3"/>
  <c r="B133" i="3"/>
  <c r="G127" i="3"/>
  <c r="G128" i="3"/>
  <c r="G129" i="3"/>
  <c r="G130" i="3"/>
  <c r="G131" i="3"/>
  <c r="G132" i="3"/>
  <c r="G133" i="3"/>
  <c r="E127" i="3"/>
  <c r="A127" i="3" s="1"/>
  <c r="E128" i="3"/>
  <c r="E129" i="3"/>
  <c r="E130" i="3"/>
  <c r="E131" i="3"/>
  <c r="E132" i="3"/>
  <c r="E133" i="3"/>
  <c r="B120" i="3"/>
  <c r="B121" i="3"/>
  <c r="B122" i="3"/>
  <c r="B123" i="3"/>
  <c r="B125" i="3"/>
  <c r="B126" i="3"/>
  <c r="D121" i="3"/>
  <c r="D122" i="3" s="1"/>
  <c r="D123" i="3" s="1"/>
  <c r="D124" i="3" s="1"/>
  <c r="D125" i="3" s="1"/>
  <c r="D126" i="3" s="1"/>
  <c r="G120" i="3"/>
  <c r="G121" i="3"/>
  <c r="G122" i="3"/>
  <c r="G123" i="3"/>
  <c r="G124" i="3"/>
  <c r="G125" i="3"/>
  <c r="G126" i="3"/>
  <c r="E120" i="3"/>
  <c r="A120" i="3" s="1"/>
  <c r="E121" i="3"/>
  <c r="E122" i="3"/>
  <c r="E123" i="3"/>
  <c r="E124" i="3"/>
  <c r="E125" i="3"/>
  <c r="E126" i="3"/>
  <c r="B110" i="3"/>
  <c r="B111" i="3"/>
  <c r="B112" i="3"/>
  <c r="B113" i="3"/>
  <c r="B114" i="3"/>
  <c r="B115" i="3"/>
  <c r="B116" i="3"/>
  <c r="B117" i="3"/>
  <c r="B118" i="3"/>
  <c r="G110" i="3"/>
  <c r="G111" i="3"/>
  <c r="G112" i="3"/>
  <c r="G113" i="3"/>
  <c r="G114" i="3"/>
  <c r="G115" i="3"/>
  <c r="G116" i="3"/>
  <c r="G117" i="3"/>
  <c r="G118" i="3"/>
  <c r="E110" i="3"/>
  <c r="A110" i="3" s="1"/>
  <c r="E111" i="3"/>
  <c r="E112" i="3"/>
  <c r="E113" i="3"/>
  <c r="E114" i="3"/>
  <c r="E115" i="3"/>
  <c r="E116" i="3"/>
  <c r="E117" i="3"/>
  <c r="E118" i="3"/>
  <c r="B102" i="3"/>
  <c r="B103" i="3"/>
  <c r="B104" i="3"/>
  <c r="B105" i="3"/>
  <c r="B106" i="3"/>
  <c r="B107" i="3"/>
  <c r="B108" i="3"/>
  <c r="B109" i="3"/>
  <c r="G102" i="3"/>
  <c r="G103" i="3"/>
  <c r="G104" i="3"/>
  <c r="G105" i="3"/>
  <c r="G106" i="3"/>
  <c r="G107" i="3"/>
  <c r="G108" i="3"/>
  <c r="E102" i="3"/>
  <c r="A102" i="3" s="1"/>
  <c r="E103" i="3"/>
  <c r="A103" i="3" s="1"/>
  <c r="E104" i="3"/>
  <c r="E105" i="3"/>
  <c r="E106" i="3"/>
  <c r="E107" i="3"/>
  <c r="E108" i="3"/>
  <c r="E109" i="3"/>
  <c r="E93" i="3"/>
  <c r="E92" i="3"/>
  <c r="B94" i="3"/>
  <c r="B95" i="3"/>
  <c r="B96" i="3"/>
  <c r="B97" i="3"/>
  <c r="B98" i="3"/>
  <c r="B99" i="3"/>
  <c r="B100" i="3"/>
  <c r="B101" i="3"/>
  <c r="G94" i="3"/>
  <c r="G95" i="3"/>
  <c r="G96" i="3"/>
  <c r="G97" i="3"/>
  <c r="G98" i="3"/>
  <c r="G99" i="3"/>
  <c r="G100" i="3"/>
  <c r="G101" i="3"/>
  <c r="E94" i="3"/>
  <c r="A94" i="3" s="1"/>
  <c r="E95" i="3"/>
  <c r="E96" i="3"/>
  <c r="E97" i="3"/>
  <c r="E98" i="3"/>
  <c r="E99" i="3"/>
  <c r="E100" i="3"/>
  <c r="E101" i="3"/>
  <c r="B85" i="3"/>
  <c r="B86" i="3"/>
  <c r="B87" i="3"/>
  <c r="B88" i="3"/>
  <c r="B89" i="3"/>
  <c r="B90" i="3"/>
  <c r="B91" i="3"/>
  <c r="B92" i="3"/>
  <c r="B93" i="3"/>
  <c r="G85" i="3"/>
  <c r="G86" i="3"/>
  <c r="G87" i="3"/>
  <c r="G88" i="3"/>
  <c r="G89" i="3"/>
  <c r="G90" i="3"/>
  <c r="G91" i="3"/>
  <c r="G92" i="3"/>
  <c r="G93" i="3"/>
  <c r="E85" i="3"/>
  <c r="A85" i="3" s="1"/>
  <c r="E86" i="3"/>
  <c r="E87" i="3"/>
  <c r="E88" i="3"/>
  <c r="E89" i="3"/>
  <c r="E90" i="3"/>
  <c r="E91" i="3"/>
  <c r="B76" i="3"/>
  <c r="B77" i="3"/>
  <c r="B78" i="3"/>
  <c r="B79" i="3"/>
  <c r="B80" i="3"/>
  <c r="B81" i="3"/>
  <c r="B82" i="3"/>
  <c r="B83" i="3"/>
  <c r="G76" i="3"/>
  <c r="G77" i="3"/>
  <c r="G78" i="3"/>
  <c r="G79" i="3"/>
  <c r="G80" i="3"/>
  <c r="G81" i="3"/>
  <c r="G82" i="3"/>
  <c r="G83" i="3"/>
  <c r="E76" i="3"/>
  <c r="A76" i="3" s="1"/>
  <c r="E77" i="3"/>
  <c r="E78" i="3"/>
  <c r="E79" i="3"/>
  <c r="E80" i="3"/>
  <c r="E81" i="3"/>
  <c r="E82" i="3"/>
  <c r="E83" i="3"/>
  <c r="E84" i="3"/>
  <c r="B68" i="3"/>
  <c r="B69" i="3"/>
  <c r="B70" i="3"/>
  <c r="B71" i="3"/>
  <c r="B72" i="3"/>
  <c r="B73" i="3"/>
  <c r="B74" i="3"/>
  <c r="B75" i="3"/>
  <c r="G68" i="3"/>
  <c r="G69" i="3"/>
  <c r="G70" i="3"/>
  <c r="G71" i="3"/>
  <c r="G72" i="3"/>
  <c r="G73" i="3"/>
  <c r="G74" i="3"/>
  <c r="G75" i="3"/>
  <c r="E68" i="3"/>
  <c r="A68" i="3" s="1"/>
  <c r="E69" i="3"/>
  <c r="E70" i="3"/>
  <c r="E71" i="3"/>
  <c r="E72" i="3"/>
  <c r="E73" i="3"/>
  <c r="E74" i="3"/>
  <c r="E75" i="3"/>
  <c r="B60" i="3"/>
  <c r="B61" i="3"/>
  <c r="B62" i="3"/>
  <c r="B63" i="3"/>
  <c r="B64" i="3"/>
  <c r="B65" i="3"/>
  <c r="B66" i="3"/>
  <c r="B67" i="3"/>
  <c r="G60" i="3"/>
  <c r="G61" i="3"/>
  <c r="G62" i="3"/>
  <c r="G63" i="3"/>
  <c r="G64" i="3"/>
  <c r="G65" i="3"/>
  <c r="G66" i="3"/>
  <c r="G67" i="3"/>
  <c r="E60" i="3"/>
  <c r="A60" i="3" s="1"/>
  <c r="E61" i="3"/>
  <c r="E62" i="3"/>
  <c r="E63" i="3"/>
  <c r="E64" i="3"/>
  <c r="E65" i="3"/>
  <c r="E66" i="3"/>
  <c r="E67" i="3"/>
  <c r="B53" i="3"/>
  <c r="B54" i="3"/>
  <c r="B55" i="3"/>
  <c r="B56" i="3"/>
  <c r="B57" i="3"/>
  <c r="B58" i="3"/>
  <c r="B59" i="3"/>
  <c r="G53" i="3"/>
  <c r="G54" i="3"/>
  <c r="G55" i="3"/>
  <c r="G56" i="3"/>
  <c r="G57" i="3"/>
  <c r="G58" i="3"/>
  <c r="G59" i="3"/>
  <c r="E53" i="3"/>
  <c r="A53" i="3" s="1"/>
  <c r="E54" i="3"/>
  <c r="E55" i="3"/>
  <c r="E56" i="3"/>
  <c r="E57" i="3"/>
  <c r="E58" i="3"/>
  <c r="E59" i="3"/>
  <c r="B45" i="3"/>
  <c r="B46" i="3"/>
  <c r="B47" i="3"/>
  <c r="B48" i="3"/>
  <c r="B49" i="3"/>
  <c r="B50" i="3"/>
  <c r="B51" i="3"/>
  <c r="B52" i="3"/>
  <c r="G45" i="3"/>
  <c r="G46" i="3"/>
  <c r="G47" i="3"/>
  <c r="G48" i="3"/>
  <c r="G49" i="3"/>
  <c r="G50" i="3"/>
  <c r="G51" i="3"/>
  <c r="G52" i="3"/>
  <c r="E45" i="3"/>
  <c r="A45" i="3" s="1"/>
  <c r="E46" i="3"/>
  <c r="E47" i="3"/>
  <c r="E48" i="3"/>
  <c r="E49" i="3"/>
  <c r="E50" i="3"/>
  <c r="E51" i="3"/>
  <c r="E52" i="3"/>
  <c r="B38" i="3"/>
  <c r="B39" i="3"/>
  <c r="B40" i="3"/>
  <c r="B41" i="3"/>
  <c r="B42" i="3"/>
  <c r="B43" i="3"/>
  <c r="B44" i="3"/>
  <c r="G38" i="3"/>
  <c r="G39" i="3"/>
  <c r="G40" i="3"/>
  <c r="G41" i="3"/>
  <c r="G42" i="3"/>
  <c r="G43" i="3"/>
  <c r="G44" i="3"/>
  <c r="E38" i="3"/>
  <c r="A38" i="3" s="1"/>
  <c r="E39" i="3"/>
  <c r="E40" i="3"/>
  <c r="E41" i="3"/>
  <c r="E42" i="3"/>
  <c r="E43" i="3"/>
  <c r="E44" i="3"/>
  <c r="B26" i="3"/>
  <c r="B27" i="3"/>
  <c r="B28" i="3"/>
  <c r="B29" i="3"/>
  <c r="B30" i="3"/>
  <c r="B31" i="3"/>
  <c r="B32" i="3"/>
  <c r="B33" i="3"/>
  <c r="B34" i="3"/>
  <c r="B35" i="3"/>
  <c r="B36" i="3"/>
  <c r="G26" i="3"/>
  <c r="G27" i="3"/>
  <c r="G28" i="3"/>
  <c r="G29" i="3"/>
  <c r="G30" i="3"/>
  <c r="G31" i="3"/>
  <c r="G32" i="3"/>
  <c r="G33" i="3"/>
  <c r="G34" i="3"/>
  <c r="G35" i="3"/>
  <c r="G36" i="3"/>
  <c r="G37" i="3"/>
  <c r="E26" i="3"/>
  <c r="A26" i="3" s="1"/>
  <c r="E27" i="3"/>
  <c r="E28" i="3"/>
  <c r="E29" i="3"/>
  <c r="E30" i="3"/>
  <c r="E31" i="3"/>
  <c r="E32" i="3"/>
  <c r="E33" i="3"/>
  <c r="E34" i="3"/>
  <c r="E35" i="3"/>
  <c r="E36" i="3"/>
  <c r="E37" i="3"/>
  <c r="G16" i="3"/>
  <c r="B13" i="3"/>
  <c r="B5" i="3"/>
  <c r="B3" i="3"/>
  <c r="D3" i="3"/>
  <c r="A3" i="3" s="1"/>
  <c r="F217" i="10"/>
  <c r="H217" i="10" s="1"/>
  <c r="F218" i="10"/>
  <c r="E218" i="10"/>
  <c r="A412" i="3" l="1"/>
  <c r="A409" i="3"/>
  <c r="A410" i="3"/>
  <c r="B570" i="3"/>
  <c r="B372" i="3"/>
  <c r="B403" i="3"/>
  <c r="B226" i="3"/>
  <c r="B219" i="3"/>
  <c r="A411" i="3"/>
  <c r="A177" i="3"/>
  <c r="A176" i="3"/>
  <c r="A124" i="3"/>
  <c r="A123" i="3"/>
  <c r="A122" i="3"/>
  <c r="A174" i="3"/>
  <c r="A173" i="3"/>
  <c r="A175" i="3"/>
  <c r="A172" i="3"/>
  <c r="A416" i="3"/>
  <c r="A171" i="3"/>
  <c r="A415" i="3"/>
  <c r="A126" i="3"/>
  <c r="A125" i="3"/>
  <c r="A121" i="3"/>
  <c r="A170" i="3"/>
  <c r="A414" i="3"/>
  <c r="A413" i="3"/>
  <c r="I217" i="10"/>
  <c r="J217" i="10"/>
  <c r="J39" i="10" l="1"/>
  <c r="J38" i="10"/>
  <c r="F205" i="10"/>
  <c r="H205" i="10" s="1"/>
  <c r="J205" i="10" s="1"/>
  <c r="F206" i="10"/>
  <c r="H206" i="10" s="1"/>
  <c r="J206" i="10" s="1"/>
  <c r="F386" i="10"/>
  <c r="E214" i="10"/>
  <c r="F214" i="10" s="1"/>
  <c r="H214" i="10" s="1"/>
  <c r="I424" i="10"/>
  <c r="J424" i="10"/>
  <c r="J129" i="10"/>
  <c r="I129" i="10"/>
  <c r="F215" i="10"/>
  <c r="F455" i="10"/>
  <c r="H455" i="10" s="1"/>
  <c r="J455" i="10" s="1"/>
  <c r="F480" i="10"/>
  <c r="H480" i="10" s="1"/>
  <c r="F481" i="10"/>
  <c r="H481" i="10" s="1"/>
  <c r="F482" i="10"/>
  <c r="H482" i="10" s="1"/>
  <c r="F483" i="10"/>
  <c r="H483" i="10" s="1"/>
  <c r="F484" i="10"/>
  <c r="H484" i="10" s="1"/>
  <c r="F485" i="10"/>
  <c r="H485" i="10" s="1"/>
  <c r="F486" i="10"/>
  <c r="H486" i="10" s="1"/>
  <c r="F487" i="10"/>
  <c r="H487" i="10" s="1"/>
  <c r="F488" i="10"/>
  <c r="H488" i="10" s="1"/>
  <c r="F489" i="10"/>
  <c r="H489" i="10" s="1"/>
  <c r="F490" i="10"/>
  <c r="H490" i="10" s="1"/>
  <c r="I490" i="10" s="1"/>
  <c r="F491" i="10"/>
  <c r="H491" i="10" s="1"/>
  <c r="I491" i="10" s="1"/>
  <c r="F492" i="10"/>
  <c r="H492" i="10" s="1"/>
  <c r="J492" i="10" s="1"/>
  <c r="F479" i="10"/>
  <c r="H479" i="10" s="1"/>
  <c r="J479" i="10" s="1"/>
  <c r="H435" i="10"/>
  <c r="I435" i="10" s="1"/>
  <c r="H436" i="10"/>
  <c r="I436" i="10" s="1"/>
  <c r="H215" i="10"/>
  <c r="I215" i="10" s="1"/>
  <c r="H437" i="10"/>
  <c r="I437" i="10" s="1"/>
  <c r="H438" i="10"/>
  <c r="I438" i="10" s="1"/>
  <c r="H439" i="10"/>
  <c r="J439" i="10" s="1"/>
  <c r="H440" i="10"/>
  <c r="I440" i="10" s="1"/>
  <c r="H441" i="10"/>
  <c r="J441" i="10" s="1"/>
  <c r="H442" i="10"/>
  <c r="J442" i="10" s="1"/>
  <c r="H443" i="10"/>
  <c r="J443" i="10" s="1"/>
  <c r="H444" i="10"/>
  <c r="J444" i="10" s="1"/>
  <c r="H445" i="10"/>
  <c r="I445" i="10" s="1"/>
  <c r="H446" i="10"/>
  <c r="I446" i="10" s="1"/>
  <c r="H447" i="10"/>
  <c r="I447" i="10" s="1"/>
  <c r="H448" i="10"/>
  <c r="I448" i="10" s="1"/>
  <c r="H449" i="10"/>
  <c r="J449" i="10" s="1"/>
  <c r="H450" i="10"/>
  <c r="J450" i="10" s="1"/>
  <c r="H451" i="10"/>
  <c r="I451" i="10" s="1"/>
  <c r="H452" i="10"/>
  <c r="J452" i="10" s="1"/>
  <c r="H453" i="10"/>
  <c r="J453" i="10" s="1"/>
  <c r="H454" i="10"/>
  <c r="I454" i="10" s="1"/>
  <c r="H456" i="10"/>
  <c r="J456" i="10" s="1"/>
  <c r="H457" i="10"/>
  <c r="J457" i="10" s="1"/>
  <c r="H458" i="10"/>
  <c r="J458" i="10" s="1"/>
  <c r="H459" i="10"/>
  <c r="J459" i="10" s="1"/>
  <c r="H460" i="10"/>
  <c r="J460" i="10" s="1"/>
  <c r="H461" i="10"/>
  <c r="I461" i="10" s="1"/>
  <c r="H462" i="10"/>
  <c r="I462" i="10" s="1"/>
  <c r="H463" i="10"/>
  <c r="J463" i="10" s="1"/>
  <c r="H464" i="10"/>
  <c r="I464" i="10" s="1"/>
  <c r="H465" i="10"/>
  <c r="J465" i="10" s="1"/>
  <c r="H466" i="10"/>
  <c r="J466" i="10" s="1"/>
  <c r="H467" i="10"/>
  <c r="J467" i="10" s="1"/>
  <c r="H468" i="10"/>
  <c r="J468" i="10" s="1"/>
  <c r="H469" i="10"/>
  <c r="J469" i="10" s="1"/>
  <c r="H470" i="10"/>
  <c r="J470" i="10" s="1"/>
  <c r="H471" i="10"/>
  <c r="J471" i="10" s="1"/>
  <c r="H472" i="10"/>
  <c r="J472" i="10" s="1"/>
  <c r="H473" i="10"/>
  <c r="J473" i="10" s="1"/>
  <c r="H474" i="10"/>
  <c r="I474" i="10" s="1"/>
  <c r="H475" i="10"/>
  <c r="J475" i="10" s="1"/>
  <c r="H476" i="10"/>
  <c r="I476" i="10" s="1"/>
  <c r="H477" i="10"/>
  <c r="I477" i="10" s="1"/>
  <c r="H478" i="10"/>
  <c r="J478" i="10" s="1"/>
  <c r="H434" i="10"/>
  <c r="I434" i="10" s="1"/>
  <c r="J422" i="10"/>
  <c r="J210" i="10"/>
  <c r="J211" i="10"/>
  <c r="J212" i="10"/>
  <c r="J423" i="10"/>
  <c r="J425" i="10"/>
  <c r="J426" i="10"/>
  <c r="J427" i="10"/>
  <c r="J428" i="10"/>
  <c r="J429" i="10"/>
  <c r="J430" i="10"/>
  <c r="J431" i="10"/>
  <c r="J432" i="10"/>
  <c r="J433" i="10"/>
  <c r="I422" i="10"/>
  <c r="I210" i="10"/>
  <c r="I211" i="10"/>
  <c r="I212" i="10"/>
  <c r="I423" i="10"/>
  <c r="I425" i="10"/>
  <c r="I426" i="10"/>
  <c r="I427" i="10"/>
  <c r="I428" i="10"/>
  <c r="I429" i="10"/>
  <c r="I430" i="10"/>
  <c r="I431" i="10"/>
  <c r="I432" i="10"/>
  <c r="I433" i="10"/>
  <c r="H327" i="10"/>
  <c r="I327" i="10" s="1"/>
  <c r="H328" i="10"/>
  <c r="I328" i="10" s="1"/>
  <c r="H329" i="10"/>
  <c r="I329" i="10" s="1"/>
  <c r="H330" i="10"/>
  <c r="I330" i="10" s="1"/>
  <c r="H331" i="10"/>
  <c r="I331" i="10" s="1"/>
  <c r="H332" i="10"/>
  <c r="I332" i="10" s="1"/>
  <c r="H333" i="10"/>
  <c r="I333" i="10" s="1"/>
  <c r="H334" i="10"/>
  <c r="I334" i="10" s="1"/>
  <c r="H335" i="10"/>
  <c r="I335" i="10" s="1"/>
  <c r="H336" i="10"/>
  <c r="I336" i="10" s="1"/>
  <c r="H337" i="10"/>
  <c r="I337" i="10" s="1"/>
  <c r="H338" i="10"/>
  <c r="I338" i="10" s="1"/>
  <c r="H339" i="10"/>
  <c r="I339" i="10" s="1"/>
  <c r="H340" i="10"/>
  <c r="I340" i="10" s="1"/>
  <c r="H341" i="10"/>
  <c r="I341" i="10" s="1"/>
  <c r="H342" i="10"/>
  <c r="I342" i="10" s="1"/>
  <c r="H343" i="10"/>
  <c r="I343" i="10" s="1"/>
  <c r="H344" i="10"/>
  <c r="I344" i="10" s="1"/>
  <c r="H345" i="10"/>
  <c r="I345" i="10" s="1"/>
  <c r="H346" i="10"/>
  <c r="I346" i="10" s="1"/>
  <c r="H347" i="10"/>
  <c r="I347" i="10" s="1"/>
  <c r="H348" i="10"/>
  <c r="I348" i="10" s="1"/>
  <c r="H349" i="10"/>
  <c r="I349" i="10" s="1"/>
  <c r="H350" i="10"/>
  <c r="I350" i="10" s="1"/>
  <c r="H351" i="10"/>
  <c r="I351" i="10" s="1"/>
  <c r="H352" i="10"/>
  <c r="I352" i="10" s="1"/>
  <c r="H353" i="10"/>
  <c r="I353" i="10" s="1"/>
  <c r="H354" i="10"/>
  <c r="I354" i="10" s="1"/>
  <c r="H355" i="10"/>
  <c r="I355" i="10" s="1"/>
  <c r="H356" i="10"/>
  <c r="I356" i="10" s="1"/>
  <c r="H357" i="10"/>
  <c r="I357" i="10" s="1"/>
  <c r="H358" i="10"/>
  <c r="I358" i="10" s="1"/>
  <c r="H359" i="10"/>
  <c r="I359" i="10" s="1"/>
  <c r="H360" i="10"/>
  <c r="I360" i="10" s="1"/>
  <c r="H361" i="10"/>
  <c r="I361" i="10" s="1"/>
  <c r="H362" i="10"/>
  <c r="I362" i="10" s="1"/>
  <c r="H363" i="10"/>
  <c r="I363" i="10" s="1"/>
  <c r="H364" i="10"/>
  <c r="I364" i="10" s="1"/>
  <c r="H365" i="10"/>
  <c r="I365" i="10" s="1"/>
  <c r="H366" i="10"/>
  <c r="I366" i="10" s="1"/>
  <c r="H367" i="10"/>
  <c r="I367" i="10" s="1"/>
  <c r="H368" i="10"/>
  <c r="I368" i="10" s="1"/>
  <c r="H369" i="10"/>
  <c r="I369" i="10" s="1"/>
  <c r="H370" i="10"/>
  <c r="I370" i="10" s="1"/>
  <c r="H371" i="10"/>
  <c r="I371" i="10" s="1"/>
  <c r="H372" i="10"/>
  <c r="I372" i="10" s="1"/>
  <c r="H373" i="10"/>
  <c r="I373" i="10" s="1"/>
  <c r="H374" i="10"/>
  <c r="I374" i="10" s="1"/>
  <c r="H375" i="10"/>
  <c r="I375" i="10" s="1"/>
  <c r="H376" i="10"/>
  <c r="I376" i="10" s="1"/>
  <c r="H377" i="10"/>
  <c r="I377" i="10" s="1"/>
  <c r="H378" i="10"/>
  <c r="I378" i="10" s="1"/>
  <c r="F310" i="10"/>
  <c r="F388" i="10"/>
  <c r="H388" i="10" s="1"/>
  <c r="I388" i="10" s="1"/>
  <c r="F392" i="10"/>
  <c r="H392" i="10" s="1"/>
  <c r="I392" i="10" s="1"/>
  <c r="F393" i="10"/>
  <c r="H393" i="10" s="1"/>
  <c r="I393" i="10" s="1"/>
  <c r="F398" i="10"/>
  <c r="H398" i="10" s="1"/>
  <c r="J398" i="10" s="1"/>
  <c r="J366" i="10" l="1"/>
  <c r="J365" i="10"/>
  <c r="J364" i="10"/>
  <c r="J363" i="10"/>
  <c r="J347" i="10"/>
  <c r="J362" i="10"/>
  <c r="J344" i="10"/>
  <c r="J359" i="10"/>
  <c r="J345" i="10"/>
  <c r="J343" i="10"/>
  <c r="J361" i="10"/>
  <c r="J346" i="10"/>
  <c r="J342" i="10"/>
  <c r="J341" i="10"/>
  <c r="J360" i="10"/>
  <c r="J340" i="10"/>
  <c r="J371" i="10"/>
  <c r="J339" i="10"/>
  <c r="J378" i="10"/>
  <c r="J358" i="10"/>
  <c r="J334" i="10"/>
  <c r="J377" i="10"/>
  <c r="J357" i="10"/>
  <c r="J332" i="10"/>
  <c r="J376" i="10"/>
  <c r="J356" i="10"/>
  <c r="J331" i="10"/>
  <c r="J375" i="10"/>
  <c r="J355" i="10"/>
  <c r="J330" i="10"/>
  <c r="J374" i="10"/>
  <c r="J350" i="10"/>
  <c r="J329" i="10"/>
  <c r="J373" i="10"/>
  <c r="J349" i="10"/>
  <c r="J328" i="10"/>
  <c r="J372" i="10"/>
  <c r="J348" i="10"/>
  <c r="J327" i="10"/>
  <c r="J367" i="10"/>
  <c r="J351" i="10"/>
  <c r="J335" i="10"/>
  <c r="J333" i="10"/>
  <c r="J388" i="10"/>
  <c r="J370" i="10"/>
  <c r="J354" i="10"/>
  <c r="J338" i="10"/>
  <c r="J393" i="10"/>
  <c r="J392" i="10"/>
  <c r="J369" i="10"/>
  <c r="J353" i="10"/>
  <c r="J337" i="10"/>
  <c r="J368" i="10"/>
  <c r="J352" i="10"/>
  <c r="J336" i="10"/>
  <c r="I205" i="10"/>
  <c r="I206" i="10"/>
  <c r="I453" i="10"/>
  <c r="I452" i="10"/>
  <c r="J454" i="10"/>
  <c r="I450" i="10"/>
  <c r="J451" i="10"/>
  <c r="J214" i="10"/>
  <c r="I214" i="10"/>
  <c r="J436" i="10"/>
  <c r="I471" i="10"/>
  <c r="I470" i="10"/>
  <c r="J434" i="10"/>
  <c r="I473" i="10"/>
  <c r="I472" i="10"/>
  <c r="J435" i="10"/>
  <c r="I469" i="10"/>
  <c r="J437" i="10"/>
  <c r="I468" i="10"/>
  <c r="J438" i="10"/>
  <c r="J440" i="10"/>
  <c r="I467" i="10"/>
  <c r="I466" i="10"/>
  <c r="J481" i="10"/>
  <c r="I481" i="10"/>
  <c r="J480" i="10"/>
  <c r="I480" i="10"/>
  <c r="I443" i="10"/>
  <c r="I398" i="10"/>
  <c r="I459" i="10"/>
  <c r="I458" i="10"/>
  <c r="I457" i="10"/>
  <c r="I444" i="10"/>
  <c r="I442" i="10"/>
  <c r="I456" i="10"/>
  <c r="I441" i="10"/>
  <c r="I439" i="10"/>
  <c r="I460" i="10"/>
  <c r="J215" i="10"/>
  <c r="I489" i="10"/>
  <c r="J489" i="10"/>
  <c r="J485" i="10"/>
  <c r="I485" i="10"/>
  <c r="J484" i="10"/>
  <c r="I484" i="10"/>
  <c r="J482" i="10"/>
  <c r="I482" i="10"/>
  <c r="J488" i="10"/>
  <c r="I488" i="10"/>
  <c r="J487" i="10"/>
  <c r="I487" i="10"/>
  <c r="J483" i="10"/>
  <c r="I483" i="10"/>
  <c r="J486" i="10"/>
  <c r="I486" i="10"/>
  <c r="I479" i="10"/>
  <c r="I455" i="10"/>
  <c r="J461" i="10"/>
  <c r="J464" i="10"/>
  <c r="J462" i="10"/>
  <c r="I465" i="10"/>
  <c r="I449" i="10"/>
  <c r="J448" i="10"/>
  <c r="J447" i="10"/>
  <c r="J446" i="10"/>
  <c r="I463" i="10"/>
  <c r="J445" i="10"/>
  <c r="J477" i="10"/>
  <c r="J476" i="10"/>
  <c r="J491" i="10"/>
  <c r="J474" i="10"/>
  <c r="I478" i="10"/>
  <c r="J490" i="10"/>
  <c r="I492" i="10"/>
  <c r="I475" i="10"/>
  <c r="F399" i="10"/>
  <c r="H399" i="10" s="1"/>
  <c r="J399" i="10" s="1"/>
  <c r="F382" i="10"/>
  <c r="H382" i="10" s="1"/>
  <c r="F383" i="10"/>
  <c r="H383" i="10" s="1"/>
  <c r="J383" i="10" s="1"/>
  <c r="F384" i="10"/>
  <c r="H384" i="10" s="1"/>
  <c r="J384" i="10" s="1"/>
  <c r="F385" i="10"/>
  <c r="H385" i="10" s="1"/>
  <c r="H386" i="10"/>
  <c r="F387" i="10"/>
  <c r="H387" i="10" s="1"/>
  <c r="F389" i="10"/>
  <c r="H389" i="10" s="1"/>
  <c r="J389" i="10" s="1"/>
  <c r="F390" i="10"/>
  <c r="H390" i="10" s="1"/>
  <c r="J390" i="10" s="1"/>
  <c r="F391" i="10"/>
  <c r="H391" i="10" s="1"/>
  <c r="J391" i="10" s="1"/>
  <c r="F417" i="10"/>
  <c r="H417" i="10" s="1"/>
  <c r="F394" i="10"/>
  <c r="H394" i="10" s="1"/>
  <c r="F395" i="10"/>
  <c r="H395" i="10" s="1"/>
  <c r="F396" i="10"/>
  <c r="H396" i="10" s="1"/>
  <c r="F397" i="10"/>
  <c r="H397" i="10" s="1"/>
  <c r="F408" i="10"/>
  <c r="H408" i="10" s="1"/>
  <c r="I408" i="10" s="1"/>
  <c r="F409" i="10"/>
  <c r="H409" i="10" s="1"/>
  <c r="F410" i="10"/>
  <c r="H410" i="10" s="1"/>
  <c r="F411" i="10"/>
  <c r="H411" i="10" s="1"/>
  <c r="I411" i="10" s="1"/>
  <c r="F412" i="10"/>
  <c r="H412" i="10" s="1"/>
  <c r="I412" i="10" s="1"/>
  <c r="F413" i="10"/>
  <c r="H413" i="10" s="1"/>
  <c r="F414" i="10"/>
  <c r="H414" i="10" s="1"/>
  <c r="I414" i="10" s="1"/>
  <c r="F415" i="10"/>
  <c r="H415" i="10" s="1"/>
  <c r="I415" i="10" s="1"/>
  <c r="F416" i="10"/>
  <c r="H416" i="10" s="1"/>
  <c r="F418" i="10"/>
  <c r="H418" i="10" s="1"/>
  <c r="I418" i="10" s="1"/>
  <c r="F419" i="10"/>
  <c r="H419" i="10" s="1"/>
  <c r="I419" i="10" s="1"/>
  <c r="F420" i="10"/>
  <c r="H420" i="10" s="1"/>
  <c r="I420" i="10" s="1"/>
  <c r="F421" i="10"/>
  <c r="H421" i="10" s="1"/>
  <c r="I421" i="10" s="1"/>
  <c r="F208" i="10"/>
  <c r="H208" i="10" s="1"/>
  <c r="F209" i="10"/>
  <c r="H209" i="10" s="1"/>
  <c r="F213" i="10"/>
  <c r="H213" i="10" s="1"/>
  <c r="B45" i="9"/>
  <c r="E292" i="10"/>
  <c r="F292" i="10" s="1"/>
  <c r="H292" i="10" s="1"/>
  <c r="I292" i="10" s="1"/>
  <c r="E293" i="10"/>
  <c r="F293" i="10" s="1"/>
  <c r="H293" i="10" s="1"/>
  <c r="F299" i="10"/>
  <c r="H299" i="10" s="1"/>
  <c r="F300" i="10"/>
  <c r="H300" i="10" s="1"/>
  <c r="I300" i="10" s="1"/>
  <c r="F301" i="10"/>
  <c r="H301" i="10" s="1"/>
  <c r="J301" i="10" s="1"/>
  <c r="F302" i="10"/>
  <c r="H302" i="10" s="1"/>
  <c r="I302" i="10" s="1"/>
  <c r="F294" i="10"/>
  <c r="H294" i="10" s="1"/>
  <c r="I294" i="10" s="1"/>
  <c r="F295" i="10"/>
  <c r="H295" i="10" s="1"/>
  <c r="I295" i="10" s="1"/>
  <c r="F296" i="10"/>
  <c r="H296" i="10" s="1"/>
  <c r="I296" i="10" s="1"/>
  <c r="F297" i="10"/>
  <c r="H297" i="10" s="1"/>
  <c r="F298" i="10"/>
  <c r="H298" i="10" s="1"/>
  <c r="J298" i="10" s="1"/>
  <c r="E290" i="10"/>
  <c r="F290" i="10" s="1"/>
  <c r="H290" i="10" s="1"/>
  <c r="F283" i="10"/>
  <c r="H283" i="10" s="1"/>
  <c r="J283" i="10" s="1"/>
  <c r="F25" i="10"/>
  <c r="H25" i="10" s="1"/>
  <c r="J25" i="10" s="1"/>
  <c r="F26" i="10"/>
  <c r="H26" i="10" s="1"/>
  <c r="J26" i="10" s="1"/>
  <c r="H310" i="10"/>
  <c r="F7" i="10"/>
  <c r="H7" i="10" s="1"/>
  <c r="F8" i="10"/>
  <c r="H8" i="10" s="1"/>
  <c r="F9" i="10"/>
  <c r="H9" i="10" s="1"/>
  <c r="F10" i="10"/>
  <c r="H10" i="10" s="1"/>
  <c r="F11" i="10"/>
  <c r="H11" i="10" s="1"/>
  <c r="F12" i="10"/>
  <c r="H12" i="10" s="1"/>
  <c r="F13" i="10"/>
  <c r="H13" i="10" s="1"/>
  <c r="F14" i="10"/>
  <c r="H14" i="10" s="1"/>
  <c r="F15" i="10"/>
  <c r="H15" i="10" s="1"/>
  <c r="F16" i="10"/>
  <c r="H16" i="10" s="1"/>
  <c r="F17" i="10"/>
  <c r="H17" i="10" s="1"/>
  <c r="J17" i="10" s="1"/>
  <c r="F18" i="10"/>
  <c r="H18" i="10" s="1"/>
  <c r="J18" i="10" s="1"/>
  <c r="F22" i="10"/>
  <c r="H22" i="10" s="1"/>
  <c r="F204" i="10"/>
  <c r="H204" i="10" s="1"/>
  <c r="F207" i="10"/>
  <c r="H207" i="10" s="1"/>
  <c r="F228" i="10"/>
  <c r="H228" i="10" s="1"/>
  <c r="I228" i="10" s="1"/>
  <c r="F238" i="10"/>
  <c r="H238" i="10" s="1"/>
  <c r="J238" i="10" s="1"/>
  <c r="F239" i="10"/>
  <c r="H239" i="10" s="1"/>
  <c r="I239" i="10" s="1"/>
  <c r="F240" i="10"/>
  <c r="H240" i="10" s="1"/>
  <c r="J240" i="10" s="1"/>
  <c r="F241" i="10"/>
  <c r="H241" i="10" s="1"/>
  <c r="F242" i="10"/>
  <c r="H242" i="10" s="1"/>
  <c r="F243" i="10"/>
  <c r="H243" i="10" s="1"/>
  <c r="F244" i="10"/>
  <c r="H244" i="10" s="1"/>
  <c r="J244" i="10" s="1"/>
  <c r="F245" i="10"/>
  <c r="H245" i="10" s="1"/>
  <c r="J245" i="10" s="1"/>
  <c r="F246" i="10"/>
  <c r="H246" i="10" s="1"/>
  <c r="J246" i="10" s="1"/>
  <c r="F247" i="10"/>
  <c r="H247" i="10" s="1"/>
  <c r="J247" i="10" s="1"/>
  <c r="F248" i="10"/>
  <c r="H248" i="10" s="1"/>
  <c r="J248" i="10" s="1"/>
  <c r="F249" i="10"/>
  <c r="H249" i="10" s="1"/>
  <c r="F250" i="10"/>
  <c r="H250" i="10" s="1"/>
  <c r="F251" i="10"/>
  <c r="H251" i="10" s="1"/>
  <c r="F252" i="10"/>
  <c r="H252" i="10" s="1"/>
  <c r="F253" i="10"/>
  <c r="H253" i="10" s="1"/>
  <c r="F254" i="10"/>
  <c r="H254" i="10" s="1"/>
  <c r="F270" i="10"/>
  <c r="H270" i="10" s="1"/>
  <c r="I270" i="10" s="1"/>
  <c r="F312" i="10"/>
  <c r="H312" i="10" s="1"/>
  <c r="I312" i="10" s="1"/>
  <c r="F313" i="10"/>
  <c r="H313" i="10" s="1"/>
  <c r="I313" i="10" s="1"/>
  <c r="F314" i="10"/>
  <c r="H314" i="10" s="1"/>
  <c r="I314" i="10" s="1"/>
  <c r="F315" i="10"/>
  <c r="H315" i="10" s="1"/>
  <c r="I315" i="10" s="1"/>
  <c r="F316" i="10"/>
  <c r="H316" i="10" s="1"/>
  <c r="I316" i="10" s="1"/>
  <c r="F317" i="10"/>
  <c r="H317" i="10" s="1"/>
  <c r="I317" i="10" s="1"/>
  <c r="F379" i="10"/>
  <c r="H379" i="10" s="1"/>
  <c r="J379" i="10" s="1"/>
  <c r="F6" i="10"/>
  <c r="H6" i="10" s="1"/>
  <c r="I6" i="10" s="1"/>
  <c r="F7" i="11"/>
  <c r="H7" i="11" s="1"/>
  <c r="F8" i="11"/>
  <c r="H8" i="11" s="1"/>
  <c r="F9" i="11"/>
  <c r="H9" i="11"/>
  <c r="F10" i="11"/>
  <c r="H10" i="11" s="1"/>
  <c r="F11" i="11"/>
  <c r="H11" i="11"/>
  <c r="I11" i="11"/>
  <c r="J11" i="11" s="1"/>
  <c r="F12" i="11"/>
  <c r="H12" i="11"/>
  <c r="I12" i="11"/>
  <c r="J12" i="11"/>
  <c r="I387" i="10" l="1"/>
  <c r="J387" i="10"/>
  <c r="I382" i="10"/>
  <c r="J382" i="10"/>
  <c r="I397" i="10"/>
  <c r="J397" i="10"/>
  <c r="I396" i="10"/>
  <c r="J396" i="10"/>
  <c r="I385" i="10"/>
  <c r="J385" i="10"/>
  <c r="I395" i="10"/>
  <c r="J395" i="10"/>
  <c r="I394" i="10"/>
  <c r="J394" i="10"/>
  <c r="I386" i="10"/>
  <c r="J386" i="10"/>
  <c r="I389" i="10"/>
  <c r="I384" i="10"/>
  <c r="I383" i="10"/>
  <c r="I390" i="10"/>
  <c r="J416" i="10"/>
  <c r="I416" i="10"/>
  <c r="J413" i="10"/>
  <c r="I413" i="10"/>
  <c r="J410" i="10"/>
  <c r="I410" i="10"/>
  <c r="J409" i="10"/>
  <c r="I409" i="10"/>
  <c r="I399" i="10"/>
  <c r="J213" i="10"/>
  <c r="I213" i="10"/>
  <c r="J209" i="10"/>
  <c r="I209" i="10"/>
  <c r="J208" i="10"/>
  <c r="I208" i="10"/>
  <c r="I379" i="10"/>
  <c r="J417" i="10"/>
  <c r="I417" i="10"/>
  <c r="I391" i="10"/>
  <c r="I310" i="10"/>
  <c r="J310" i="10"/>
  <c r="J421" i="10"/>
  <c r="J420" i="10"/>
  <c r="J419" i="10"/>
  <c r="J418" i="10"/>
  <c r="J415" i="10"/>
  <c r="J414" i="10"/>
  <c r="J412" i="10"/>
  <c r="J411" i="10"/>
  <c r="J408" i="10"/>
  <c r="J292" i="10"/>
  <c r="J296" i="10"/>
  <c r="J295" i="10"/>
  <c r="J294" i="10"/>
  <c r="I293" i="10"/>
  <c r="J293" i="10"/>
  <c r="J302" i="10"/>
  <c r="I301" i="10"/>
  <c r="J300" i="10"/>
  <c r="I299" i="10"/>
  <c r="J299" i="10"/>
  <c r="I298" i="10"/>
  <c r="I297" i="10"/>
  <c r="J297" i="10"/>
  <c r="J290" i="10"/>
  <c r="I290" i="10"/>
  <c r="I283" i="10"/>
  <c r="I25" i="10"/>
  <c r="I26" i="10"/>
  <c r="I7" i="11"/>
  <c r="J7" i="11" s="1"/>
  <c r="I10" i="11"/>
  <c r="J10" i="11"/>
  <c r="I9" i="11"/>
  <c r="J9" i="11" s="1"/>
  <c r="I8" i="11"/>
  <c r="J8" i="11"/>
  <c r="I13" i="11"/>
  <c r="H13" i="11"/>
  <c r="J22" i="10"/>
  <c r="I22" i="10"/>
  <c r="I245" i="10"/>
  <c r="I247" i="10"/>
  <c r="I238" i="10"/>
  <c r="J228" i="10"/>
  <c r="I246" i="10"/>
  <c r="I17" i="10"/>
  <c r="J239" i="10"/>
  <c r="I244" i="10"/>
  <c r="I240" i="10"/>
  <c r="J316" i="10"/>
  <c r="J315" i="10"/>
  <c r="J241" i="10"/>
  <c r="I241" i="10"/>
  <c r="J317" i="10"/>
  <c r="I251" i="10"/>
  <c r="J251" i="10"/>
  <c r="J207" i="10"/>
  <c r="I207" i="10"/>
  <c r="J313" i="10"/>
  <c r="J204" i="10"/>
  <c r="I204" i="10"/>
  <c r="J312" i="10"/>
  <c r="J253" i="10"/>
  <c r="I253" i="10"/>
  <c r="I252" i="10"/>
  <c r="J252" i="10"/>
  <c r="I250" i="10"/>
  <c r="J250" i="10"/>
  <c r="J254" i="10"/>
  <c r="I254" i="10"/>
  <c r="J314" i="10"/>
  <c r="J270" i="10"/>
  <c r="J243" i="10"/>
  <c r="I243" i="10"/>
  <c r="J242" i="10"/>
  <c r="I242" i="10"/>
  <c r="I249" i="10"/>
  <c r="J249" i="10"/>
  <c r="I248" i="10"/>
  <c r="I18" i="10"/>
  <c r="J16" i="10"/>
  <c r="I16" i="10"/>
  <c r="J15" i="10"/>
  <c r="I15" i="10"/>
  <c r="J14" i="10"/>
  <c r="I14" i="10"/>
  <c r="J9" i="10"/>
  <c r="I9" i="10"/>
  <c r="J12" i="10"/>
  <c r="I12" i="10"/>
  <c r="I11" i="10"/>
  <c r="J11" i="10"/>
  <c r="I10" i="10"/>
  <c r="J10" i="10"/>
  <c r="J8" i="10"/>
  <c r="I8" i="10"/>
  <c r="J7" i="10"/>
  <c r="I7" i="10"/>
  <c r="J13" i="10"/>
  <c r="I13" i="10"/>
  <c r="J6" i="10"/>
  <c r="E233" i="10"/>
  <c r="F233" i="10" s="1"/>
  <c r="H233" i="10" s="1"/>
  <c r="E234" i="10"/>
  <c r="F234" i="10" s="1"/>
  <c r="H234" i="10" s="1"/>
  <c r="E235" i="10"/>
  <c r="F235" i="10" s="1"/>
  <c r="H235" i="10" s="1"/>
  <c r="E236" i="10"/>
  <c r="F236" i="10" s="1"/>
  <c r="H236" i="10" s="1"/>
  <c r="E237" i="10"/>
  <c r="F237" i="10" s="1"/>
  <c r="H237" i="10" s="1"/>
  <c r="E19" i="10"/>
  <c r="F19" i="10" s="1"/>
  <c r="H19" i="10" s="1"/>
  <c r="E20" i="10"/>
  <c r="F20" i="10" s="1"/>
  <c r="H20" i="10" s="1"/>
  <c r="E21" i="10"/>
  <c r="F21" i="10" s="1"/>
  <c r="H21" i="10" s="1"/>
  <c r="E23" i="10"/>
  <c r="F23" i="10" s="1"/>
  <c r="H23" i="10" s="1"/>
  <c r="E24" i="10"/>
  <c r="F24" i="10" s="1"/>
  <c r="H24" i="10" s="1"/>
  <c r="E27" i="10"/>
  <c r="F27" i="10" s="1"/>
  <c r="H27" i="10" s="1"/>
  <c r="J27" i="10" s="1"/>
  <c r="E28" i="10"/>
  <c r="F28" i="10" s="1"/>
  <c r="H28" i="10" s="1"/>
  <c r="E216" i="10"/>
  <c r="F216" i="10" s="1"/>
  <c r="H216" i="10" s="1"/>
  <c r="E178" i="10"/>
  <c r="F178" i="10" s="1"/>
  <c r="H178" i="10" s="1"/>
  <c r="E179" i="10"/>
  <c r="F179" i="10" s="1"/>
  <c r="H179" i="10" s="1"/>
  <c r="E180" i="10"/>
  <c r="F180" i="10" s="1"/>
  <c r="H180" i="10" s="1"/>
  <c r="E181" i="10"/>
  <c r="F181" i="10" s="1"/>
  <c r="H181" i="10" s="1"/>
  <c r="E182" i="10"/>
  <c r="F182" i="10" s="1"/>
  <c r="H182" i="10" s="1"/>
  <c r="E183" i="10"/>
  <c r="F183" i="10" s="1"/>
  <c r="H183" i="10" s="1"/>
  <c r="E184" i="10"/>
  <c r="F184" i="10" s="1"/>
  <c r="H184" i="10" s="1"/>
  <c r="E185" i="10"/>
  <c r="F185" i="10" s="1"/>
  <c r="H185" i="10" s="1"/>
  <c r="E186" i="10"/>
  <c r="F186" i="10" s="1"/>
  <c r="H186" i="10" s="1"/>
  <c r="E187" i="10"/>
  <c r="F187" i="10" s="1"/>
  <c r="H187" i="10" s="1"/>
  <c r="E188" i="10"/>
  <c r="F188" i="10" s="1"/>
  <c r="H188" i="10" s="1"/>
  <c r="E189" i="10"/>
  <c r="F189" i="10" s="1"/>
  <c r="H189" i="10" s="1"/>
  <c r="E190" i="10"/>
  <c r="F190" i="10" s="1"/>
  <c r="H190" i="10" s="1"/>
  <c r="E191" i="10"/>
  <c r="F191" i="10" s="1"/>
  <c r="H191" i="10" s="1"/>
  <c r="E192" i="10"/>
  <c r="F192" i="10" s="1"/>
  <c r="H192" i="10" s="1"/>
  <c r="E193" i="10"/>
  <c r="F193" i="10" s="1"/>
  <c r="H193" i="10" s="1"/>
  <c r="E194" i="10"/>
  <c r="F194" i="10" s="1"/>
  <c r="H194" i="10" s="1"/>
  <c r="E195" i="10"/>
  <c r="F195" i="10" s="1"/>
  <c r="H195" i="10" s="1"/>
  <c r="E196" i="10"/>
  <c r="F196" i="10" s="1"/>
  <c r="H196" i="10" s="1"/>
  <c r="E197" i="10"/>
  <c r="F197" i="10" s="1"/>
  <c r="H197" i="10" s="1"/>
  <c r="E198" i="10"/>
  <c r="F198" i="10" s="1"/>
  <c r="H198" i="10" s="1"/>
  <c r="E199" i="10"/>
  <c r="F199" i="10" s="1"/>
  <c r="H199" i="10" s="1"/>
  <c r="E200" i="10"/>
  <c r="F200" i="10" s="1"/>
  <c r="H200" i="10" s="1"/>
  <c r="E201" i="10"/>
  <c r="F201" i="10" s="1"/>
  <c r="H201" i="10" s="1"/>
  <c r="E202" i="10"/>
  <c r="F202" i="10" s="1"/>
  <c r="H202" i="10" s="1"/>
  <c r="E203" i="10"/>
  <c r="F203" i="10" s="1"/>
  <c r="H203" i="10" s="1"/>
  <c r="H218" i="10"/>
  <c r="E219" i="10"/>
  <c r="F219" i="10" s="1"/>
  <c r="H219" i="10" s="1"/>
  <c r="E220" i="10"/>
  <c r="F220" i="10" s="1"/>
  <c r="H220" i="10" s="1"/>
  <c r="E221" i="10"/>
  <c r="F221" i="10" s="1"/>
  <c r="H221" i="10" s="1"/>
  <c r="E222" i="10"/>
  <c r="F222" i="10" s="1"/>
  <c r="H222" i="10" s="1"/>
  <c r="E223" i="10"/>
  <c r="F223" i="10" s="1"/>
  <c r="H223" i="10" s="1"/>
  <c r="E224" i="10"/>
  <c r="F224" i="10" s="1"/>
  <c r="H224" i="10" s="1"/>
  <c r="E225" i="10"/>
  <c r="F225" i="10" s="1"/>
  <c r="H225" i="10" s="1"/>
  <c r="E226" i="10"/>
  <c r="F226" i="10" s="1"/>
  <c r="H226" i="10" s="1"/>
  <c r="E227" i="10"/>
  <c r="F227" i="10" s="1"/>
  <c r="H227" i="10" s="1"/>
  <c r="E229" i="10"/>
  <c r="F229" i="10" s="1"/>
  <c r="H229" i="10" s="1"/>
  <c r="E230" i="10"/>
  <c r="F230" i="10" s="1"/>
  <c r="H230" i="10" s="1"/>
  <c r="E231" i="10"/>
  <c r="F231" i="10" s="1"/>
  <c r="H231" i="10" s="1"/>
  <c r="E232" i="10"/>
  <c r="F232" i="10" s="1"/>
  <c r="H232" i="10" s="1"/>
  <c r="E255" i="10"/>
  <c r="F255" i="10" s="1"/>
  <c r="H255" i="10" s="1"/>
  <c r="E256" i="10"/>
  <c r="F256" i="10" s="1"/>
  <c r="H256" i="10" s="1"/>
  <c r="E257" i="10"/>
  <c r="F257" i="10" s="1"/>
  <c r="H257" i="10" s="1"/>
  <c r="E258" i="10"/>
  <c r="F258" i="10" s="1"/>
  <c r="H258" i="10" s="1"/>
  <c r="E259" i="10"/>
  <c r="F259" i="10" s="1"/>
  <c r="H259" i="10" s="1"/>
  <c r="E260" i="10"/>
  <c r="F260" i="10" s="1"/>
  <c r="H260" i="10" s="1"/>
  <c r="E261" i="10"/>
  <c r="F261" i="10" s="1"/>
  <c r="H261" i="10" s="1"/>
  <c r="E262" i="10"/>
  <c r="F262" i="10" s="1"/>
  <c r="H262" i="10" s="1"/>
  <c r="E263" i="10"/>
  <c r="F263" i="10" s="1"/>
  <c r="H263" i="10" s="1"/>
  <c r="E264" i="10"/>
  <c r="F264" i="10" s="1"/>
  <c r="H264" i="10" s="1"/>
  <c r="E265" i="10"/>
  <c r="F265" i="10" s="1"/>
  <c r="H265" i="10" s="1"/>
  <c r="E266" i="10"/>
  <c r="F266" i="10" s="1"/>
  <c r="H266" i="10" s="1"/>
  <c r="E267" i="10"/>
  <c r="F267" i="10" s="1"/>
  <c r="H267" i="10" s="1"/>
  <c r="E268" i="10"/>
  <c r="F268" i="10" s="1"/>
  <c r="H268" i="10" s="1"/>
  <c r="E269" i="10"/>
  <c r="F269" i="10" s="1"/>
  <c r="H269" i="10" s="1"/>
  <c r="E271" i="10"/>
  <c r="F271" i="10" s="1"/>
  <c r="H271" i="10" s="1"/>
  <c r="E272" i="10"/>
  <c r="F272" i="10" s="1"/>
  <c r="H272" i="10" s="1"/>
  <c r="E273" i="10"/>
  <c r="F273" i="10" s="1"/>
  <c r="H273" i="10" s="1"/>
  <c r="E274" i="10"/>
  <c r="F274" i="10" s="1"/>
  <c r="H274" i="10" s="1"/>
  <c r="E275" i="10"/>
  <c r="F275" i="10" s="1"/>
  <c r="H275" i="10" s="1"/>
  <c r="E276" i="10"/>
  <c r="F276" i="10" s="1"/>
  <c r="H276" i="10" s="1"/>
  <c r="E277" i="10"/>
  <c r="F277" i="10" s="1"/>
  <c r="H277" i="10" s="1"/>
  <c r="E278" i="10"/>
  <c r="F278" i="10" s="1"/>
  <c r="H278" i="10" s="1"/>
  <c r="E279" i="10"/>
  <c r="F279" i="10" s="1"/>
  <c r="H279" i="10" s="1"/>
  <c r="E280" i="10"/>
  <c r="F280" i="10" s="1"/>
  <c r="H280" i="10" s="1"/>
  <c r="E281" i="10"/>
  <c r="F281" i="10" s="1"/>
  <c r="H281" i="10" s="1"/>
  <c r="E282" i="10"/>
  <c r="F282" i="10" s="1"/>
  <c r="H282" i="10" s="1"/>
  <c r="E284" i="10"/>
  <c r="F284" i="10" s="1"/>
  <c r="H284" i="10" s="1"/>
  <c r="E285" i="10"/>
  <c r="F285" i="10" s="1"/>
  <c r="H285" i="10" s="1"/>
  <c r="E286" i="10"/>
  <c r="F286" i="10" s="1"/>
  <c r="H286" i="10" s="1"/>
  <c r="E287" i="10"/>
  <c r="F287" i="10" s="1"/>
  <c r="H287" i="10" s="1"/>
  <c r="E288" i="10"/>
  <c r="F288" i="10" s="1"/>
  <c r="H288" i="10" s="1"/>
  <c r="E289" i="10"/>
  <c r="F289" i="10" s="1"/>
  <c r="H289" i="10" s="1"/>
  <c r="E291" i="10"/>
  <c r="E303" i="10"/>
  <c r="F303" i="10" s="1"/>
  <c r="E304" i="10"/>
  <c r="E305" i="10"/>
  <c r="E306" i="10"/>
  <c r="E307" i="10"/>
  <c r="E308" i="10"/>
  <c r="E309" i="10"/>
  <c r="E311" i="10"/>
  <c r="E318" i="10"/>
  <c r="F318" i="10" s="1"/>
  <c r="H318" i="10" s="1"/>
  <c r="E319" i="10"/>
  <c r="F319" i="10" s="1"/>
  <c r="H319" i="10" s="1"/>
  <c r="E320" i="10"/>
  <c r="F320" i="10" s="1"/>
  <c r="H320" i="10" s="1"/>
  <c r="J320" i="10" s="1"/>
  <c r="E321" i="10"/>
  <c r="F321" i="10" s="1"/>
  <c r="H321" i="10" s="1"/>
  <c r="J321" i="10" s="1"/>
  <c r="E322" i="10"/>
  <c r="F322" i="10" s="1"/>
  <c r="H322" i="10" s="1"/>
  <c r="J322" i="10" s="1"/>
  <c r="E323" i="10"/>
  <c r="F323" i="10" s="1"/>
  <c r="H323" i="10" s="1"/>
  <c r="J323" i="10" s="1"/>
  <c r="E324" i="10"/>
  <c r="F324" i="10" s="1"/>
  <c r="H324" i="10" s="1"/>
  <c r="J324" i="10" s="1"/>
  <c r="E325" i="10"/>
  <c r="F325" i="10" s="1"/>
  <c r="H325" i="10" s="1"/>
  <c r="J325" i="10" s="1"/>
  <c r="E326" i="10"/>
  <c r="F326" i="10" s="1"/>
  <c r="H326" i="10" s="1"/>
  <c r="E380" i="10"/>
  <c r="F380" i="10" s="1"/>
  <c r="H380" i="10" s="1"/>
  <c r="E381" i="10"/>
  <c r="F381" i="10" s="1"/>
  <c r="H381" i="10" s="1"/>
  <c r="E400" i="10"/>
  <c r="F400" i="10" s="1"/>
  <c r="H400" i="10" s="1"/>
  <c r="E401" i="10"/>
  <c r="F401" i="10" s="1"/>
  <c r="H401" i="10" s="1"/>
  <c r="E402" i="10"/>
  <c r="F402" i="10" s="1"/>
  <c r="H402" i="10" s="1"/>
  <c r="E403" i="10"/>
  <c r="F403" i="10" s="1"/>
  <c r="H403" i="10" s="1"/>
  <c r="E404" i="10"/>
  <c r="F404" i="10" s="1"/>
  <c r="H404" i="10" s="1"/>
  <c r="E405" i="10"/>
  <c r="F405" i="10" s="1"/>
  <c r="H405" i="10" s="1"/>
  <c r="J405" i="10" s="1"/>
  <c r="E406" i="10"/>
  <c r="F406" i="10" s="1"/>
  <c r="H406" i="10" s="1"/>
  <c r="J406" i="10" s="1"/>
  <c r="E407" i="10"/>
  <c r="F407" i="10" s="1"/>
  <c r="H407" i="10" s="1"/>
  <c r="I407" i="10" s="1"/>
  <c r="I404" i="10" l="1"/>
  <c r="J404" i="10"/>
  <c r="I381" i="10"/>
  <c r="J381" i="10"/>
  <c r="I380" i="10"/>
  <c r="J380" i="10"/>
  <c r="I326" i="10"/>
  <c r="J326" i="10"/>
  <c r="I403" i="10"/>
  <c r="J403" i="10"/>
  <c r="I401" i="10"/>
  <c r="J401" i="10"/>
  <c r="I400" i="10"/>
  <c r="J400" i="10"/>
  <c r="I402" i="10"/>
  <c r="J402" i="10"/>
  <c r="J407" i="10"/>
  <c r="I405" i="10"/>
  <c r="I406" i="10"/>
  <c r="F311" i="10"/>
  <c r="H311" i="10" s="1"/>
  <c r="F308" i="10"/>
  <c r="H308" i="10" s="1"/>
  <c r="F306" i="10"/>
  <c r="H306" i="10" s="1"/>
  <c r="F309" i="10"/>
  <c r="H309" i="10" s="1"/>
  <c r="F307" i="10"/>
  <c r="H307" i="10" s="1"/>
  <c r="F305" i="10"/>
  <c r="H305" i="10" s="1"/>
  <c r="F304" i="10"/>
  <c r="H304" i="10" s="1"/>
  <c r="F291" i="10"/>
  <c r="H291" i="10" s="1"/>
  <c r="H303" i="10"/>
  <c r="J13" i="11"/>
  <c r="J218" i="10"/>
  <c r="I218" i="10"/>
  <c r="I324" i="10"/>
  <c r="I323" i="10"/>
  <c r="J263" i="10"/>
  <c r="I263" i="10"/>
  <c r="I198" i="10"/>
  <c r="J198" i="10"/>
  <c r="J262" i="10"/>
  <c r="I262" i="10"/>
  <c r="I197" i="10"/>
  <c r="J197" i="10"/>
  <c r="I181" i="10"/>
  <c r="J181" i="10"/>
  <c r="I321" i="10"/>
  <c r="J261" i="10"/>
  <c r="I261" i="10"/>
  <c r="I223" i="10"/>
  <c r="J223" i="10"/>
  <c r="I196" i="10"/>
  <c r="J196" i="10"/>
  <c r="I180" i="10"/>
  <c r="J180" i="10"/>
  <c r="I320" i="10"/>
  <c r="J277" i="10"/>
  <c r="I277" i="10"/>
  <c r="J260" i="10"/>
  <c r="I260" i="10"/>
  <c r="I222" i="10"/>
  <c r="J222" i="10"/>
  <c r="J195" i="10"/>
  <c r="I195" i="10"/>
  <c r="J179" i="10"/>
  <c r="I179" i="10"/>
  <c r="J19" i="10"/>
  <c r="I19" i="10"/>
  <c r="J230" i="10"/>
  <c r="I230" i="10"/>
  <c r="I187" i="10"/>
  <c r="J187" i="10"/>
  <c r="J237" i="10"/>
  <c r="I237" i="10"/>
  <c r="I267" i="10"/>
  <c r="J267" i="10"/>
  <c r="I266" i="10"/>
  <c r="J266" i="10"/>
  <c r="J201" i="10"/>
  <c r="I201" i="10"/>
  <c r="I235" i="10"/>
  <c r="J235" i="10"/>
  <c r="I265" i="10"/>
  <c r="J265" i="10"/>
  <c r="J200" i="10"/>
  <c r="I200" i="10"/>
  <c r="J264" i="10"/>
  <c r="I264" i="10"/>
  <c r="I199" i="10"/>
  <c r="J199" i="10"/>
  <c r="I233" i="10"/>
  <c r="J233" i="10"/>
  <c r="I322" i="10"/>
  <c r="J224" i="10"/>
  <c r="I224" i="10"/>
  <c r="J259" i="10"/>
  <c r="I259" i="10"/>
  <c r="J28" i="10"/>
  <c r="I28" i="10"/>
  <c r="I319" i="10"/>
  <c r="J319" i="10"/>
  <c r="I275" i="10"/>
  <c r="J275" i="10"/>
  <c r="J258" i="10"/>
  <c r="I258" i="10"/>
  <c r="I220" i="10"/>
  <c r="J220" i="10"/>
  <c r="J193" i="10"/>
  <c r="I193" i="10"/>
  <c r="I27" i="10"/>
  <c r="J269" i="10"/>
  <c r="I269" i="10"/>
  <c r="I268" i="10"/>
  <c r="J268" i="10"/>
  <c r="J229" i="10"/>
  <c r="I229" i="10"/>
  <c r="J202" i="10"/>
  <c r="I202" i="10"/>
  <c r="J186" i="10"/>
  <c r="I186" i="10"/>
  <c r="I236" i="10"/>
  <c r="J236" i="10"/>
  <c r="I281" i="10"/>
  <c r="J281" i="10"/>
  <c r="J185" i="10"/>
  <c r="I185" i="10"/>
  <c r="I325" i="10"/>
  <c r="I227" i="10"/>
  <c r="J227" i="10"/>
  <c r="I279" i="10"/>
  <c r="J279" i="10"/>
  <c r="J23" i="10"/>
  <c r="I23" i="10"/>
  <c r="J284" i="10"/>
  <c r="I284" i="10"/>
  <c r="J188" i="10"/>
  <c r="I188" i="10"/>
  <c r="J282" i="10"/>
  <c r="I282" i="10"/>
  <c r="J203" i="10"/>
  <c r="I203" i="10"/>
  <c r="J184" i="10"/>
  <c r="I184" i="10"/>
  <c r="I234" i="10"/>
  <c r="J234" i="10"/>
  <c r="J226" i="10"/>
  <c r="I226" i="10"/>
  <c r="J225" i="10"/>
  <c r="I225" i="10"/>
  <c r="I182" i="10"/>
  <c r="J182" i="10"/>
  <c r="J289" i="10"/>
  <c r="I289" i="10"/>
  <c r="I221" i="10"/>
  <c r="J221" i="10"/>
  <c r="J194" i="10"/>
  <c r="I194" i="10"/>
  <c r="I318" i="10"/>
  <c r="J318" i="10"/>
  <c r="J257" i="10"/>
  <c r="I257" i="10"/>
  <c r="J287" i="10"/>
  <c r="I287" i="10"/>
  <c r="I273" i="10"/>
  <c r="J273" i="10"/>
  <c r="J191" i="10"/>
  <c r="I191" i="10"/>
  <c r="J286" i="10"/>
  <c r="I286" i="10"/>
  <c r="I272" i="10"/>
  <c r="J272" i="10"/>
  <c r="I255" i="10"/>
  <c r="J255" i="10"/>
  <c r="I190" i="10"/>
  <c r="J190" i="10"/>
  <c r="J21" i="10"/>
  <c r="I21" i="10"/>
  <c r="J231" i="10"/>
  <c r="I231" i="10"/>
  <c r="I280" i="10"/>
  <c r="J280" i="10"/>
  <c r="I183" i="10"/>
  <c r="J183" i="10"/>
  <c r="J278" i="10"/>
  <c r="I278" i="10"/>
  <c r="I276" i="10"/>
  <c r="J276" i="10"/>
  <c r="J178" i="10"/>
  <c r="I178" i="10"/>
  <c r="J288" i="10"/>
  <c r="I288" i="10"/>
  <c r="I274" i="10"/>
  <c r="J274" i="10"/>
  <c r="J219" i="10"/>
  <c r="I219" i="10"/>
  <c r="J192" i="10"/>
  <c r="I192" i="10"/>
  <c r="J24" i="10"/>
  <c r="I24" i="10"/>
  <c r="J256" i="10"/>
  <c r="I256" i="10"/>
  <c r="J216" i="10"/>
  <c r="I216" i="10"/>
  <c r="J285" i="10"/>
  <c r="I285" i="10"/>
  <c r="I271" i="10"/>
  <c r="J271" i="10"/>
  <c r="J232" i="10"/>
  <c r="I232" i="10"/>
  <c r="I189" i="10"/>
  <c r="J189" i="10"/>
  <c r="J20" i="10"/>
  <c r="I20" i="10"/>
  <c r="I305" i="10" l="1"/>
  <c r="J305" i="10"/>
  <c r="I309" i="10"/>
  <c r="J309" i="10"/>
  <c r="I306" i="10"/>
  <c r="J306" i="10"/>
  <c r="I304" i="10"/>
  <c r="J304" i="10"/>
  <c r="I307" i="10"/>
  <c r="J307" i="10"/>
  <c r="I308" i="10"/>
  <c r="J308" i="10"/>
  <c r="I311" i="10"/>
  <c r="J311" i="10"/>
  <c r="I303" i="10"/>
  <c r="J303" i="10"/>
  <c r="I291" i="10"/>
  <c r="J291" i="10"/>
  <c r="H495" i="10"/>
  <c r="H498" i="10" s="1"/>
  <c r="J495" i="10" l="1"/>
  <c r="J498" i="10" s="1"/>
  <c r="I495" i="10"/>
  <c r="I498" i="10" s="1"/>
  <c r="B3" i="9"/>
  <c r="C3" i="9"/>
  <c r="B4" i="9"/>
  <c r="C4" i="9"/>
  <c r="B5" i="9"/>
  <c r="C5" i="9"/>
  <c r="B6" i="9"/>
  <c r="C6" i="9"/>
  <c r="B7" i="9"/>
  <c r="C7" i="9"/>
  <c r="B8" i="9"/>
  <c r="C8" i="9"/>
  <c r="B9" i="9"/>
  <c r="C9" i="9"/>
  <c r="B10" i="9"/>
  <c r="C10" i="9"/>
  <c r="B11" i="9"/>
  <c r="C11" i="9"/>
  <c r="B12" i="9"/>
  <c r="C12" i="9"/>
  <c r="B13" i="9"/>
  <c r="C13" i="9"/>
  <c r="B14" i="9"/>
  <c r="C14" i="9"/>
  <c r="B15" i="9"/>
  <c r="C15" i="9"/>
  <c r="B16" i="9"/>
  <c r="C16" i="9"/>
  <c r="B17" i="9"/>
  <c r="C17" i="9"/>
  <c r="B18" i="9"/>
  <c r="C18" i="9"/>
  <c r="B19" i="9"/>
  <c r="C19" i="9"/>
  <c r="B20" i="9"/>
  <c r="C20" i="9"/>
  <c r="B21" i="9"/>
  <c r="C21" i="9"/>
  <c r="B22" i="9"/>
  <c r="C22" i="9"/>
  <c r="B23" i="9"/>
  <c r="C23" i="9"/>
  <c r="B24" i="9"/>
  <c r="C24" i="9"/>
  <c r="B25" i="9"/>
  <c r="C25" i="9"/>
  <c r="B26" i="9"/>
  <c r="C26" i="9"/>
  <c r="B27" i="9"/>
  <c r="C27" i="9"/>
  <c r="B30" i="9"/>
  <c r="C30" i="9"/>
  <c r="B31" i="9"/>
  <c r="C31" i="9"/>
  <c r="B32" i="9"/>
  <c r="C32" i="9"/>
  <c r="B33" i="9"/>
  <c r="C33" i="9"/>
  <c r="B34" i="9"/>
  <c r="C34" i="9"/>
  <c r="B35" i="9"/>
  <c r="C35" i="9"/>
  <c r="B36" i="9"/>
  <c r="C36" i="9"/>
  <c r="B37" i="9"/>
  <c r="C37" i="9"/>
  <c r="B38" i="9"/>
  <c r="C38" i="9"/>
  <c r="B39" i="9"/>
  <c r="C39" i="9"/>
  <c r="B40" i="9"/>
  <c r="C40" i="9"/>
  <c r="B41" i="9"/>
  <c r="C41" i="9"/>
  <c r="B42" i="9"/>
  <c r="C42" i="9"/>
  <c r="B43" i="9"/>
  <c r="C43" i="9"/>
  <c r="B44" i="9"/>
  <c r="C44" i="9"/>
  <c r="C45" i="9"/>
  <c r="B46" i="9"/>
  <c r="C46" i="9"/>
  <c r="B47" i="9"/>
  <c r="C47" i="9"/>
  <c r="B48" i="9"/>
  <c r="C48" i="9"/>
  <c r="B49" i="9"/>
  <c r="C49" i="9"/>
  <c r="B50" i="9"/>
  <c r="C50" i="9"/>
  <c r="B51" i="9"/>
  <c r="C51" i="9"/>
  <c r="B52" i="9"/>
  <c r="C52" i="9"/>
  <c r="B53" i="9"/>
  <c r="C53" i="9"/>
  <c r="B54" i="9"/>
  <c r="C54" i="9"/>
  <c r="B57" i="9"/>
  <c r="C57" i="9"/>
  <c r="B58" i="9"/>
  <c r="C58" i="9"/>
  <c r="B59" i="9"/>
  <c r="C59" i="9"/>
  <c r="B60" i="9"/>
  <c r="C60" i="9"/>
  <c r="B61" i="9"/>
  <c r="C61" i="9"/>
  <c r="B62" i="9"/>
  <c r="C62" i="9"/>
  <c r="B63" i="9"/>
  <c r="C63" i="9"/>
  <c r="B64" i="9"/>
  <c r="C64" i="9"/>
  <c r="B65" i="9"/>
  <c r="C65" i="9"/>
  <c r="B66" i="9"/>
  <c r="C66" i="9"/>
  <c r="B67" i="9"/>
  <c r="C67" i="9"/>
  <c r="B68" i="9"/>
  <c r="C68" i="9"/>
  <c r="B69" i="9"/>
  <c r="C69" i="9"/>
  <c r="B70" i="9"/>
  <c r="C70" i="9"/>
  <c r="B71" i="9"/>
  <c r="C71" i="9"/>
  <c r="B72" i="9"/>
  <c r="C72" i="9"/>
  <c r="B73" i="9"/>
  <c r="C73" i="9"/>
  <c r="B74" i="9"/>
  <c r="C74" i="9"/>
  <c r="B75" i="9"/>
  <c r="C75" i="9"/>
  <c r="B76" i="9"/>
  <c r="C76" i="9"/>
  <c r="B77" i="9"/>
  <c r="C77" i="9"/>
  <c r="B78" i="9"/>
  <c r="C78" i="9"/>
  <c r="B79" i="9"/>
  <c r="C79" i="9"/>
  <c r="B80" i="9"/>
  <c r="C80" i="9"/>
  <c r="B81" i="9"/>
  <c r="C81" i="9"/>
  <c r="B82" i="9"/>
  <c r="C82" i="9"/>
  <c r="B85" i="9"/>
  <c r="C85" i="9"/>
  <c r="B86" i="9"/>
  <c r="C86" i="9"/>
  <c r="B87" i="9"/>
  <c r="C87" i="9"/>
  <c r="B88" i="9"/>
  <c r="C88" i="9"/>
  <c r="B89" i="9"/>
  <c r="C89" i="9"/>
  <c r="B90" i="9"/>
  <c r="C90" i="9"/>
  <c r="B91" i="9"/>
  <c r="C91" i="9"/>
  <c r="B92" i="9"/>
  <c r="C92" i="9"/>
  <c r="B93" i="9"/>
  <c r="C93" i="9"/>
  <c r="B94" i="9"/>
  <c r="C94" i="9"/>
  <c r="B95" i="9"/>
  <c r="C95" i="9"/>
  <c r="B96" i="9"/>
  <c r="C96" i="9"/>
  <c r="B97" i="9"/>
  <c r="C97" i="9"/>
  <c r="B98" i="9"/>
  <c r="C98" i="9"/>
  <c r="B99" i="9"/>
  <c r="C99" i="9"/>
  <c r="B100" i="9"/>
  <c r="C100" i="9"/>
  <c r="B101" i="9"/>
  <c r="C101" i="9"/>
  <c r="B102" i="9"/>
  <c r="C102" i="9"/>
  <c r="B103" i="9"/>
  <c r="C103" i="9"/>
  <c r="B104" i="9"/>
  <c r="C104" i="9"/>
  <c r="B105" i="9"/>
  <c r="C105" i="9"/>
  <c r="B106" i="9"/>
  <c r="C106" i="9"/>
  <c r="B107" i="9"/>
  <c r="C107" i="9"/>
  <c r="B108" i="9"/>
  <c r="C108" i="9"/>
  <c r="B109" i="9"/>
  <c r="C109" i="9"/>
  <c r="B110" i="9"/>
  <c r="C110" i="9"/>
  <c r="B113" i="9"/>
  <c r="C113" i="9"/>
  <c r="B114" i="9"/>
  <c r="C114" i="9"/>
  <c r="B115" i="9"/>
  <c r="C115" i="9"/>
  <c r="B116" i="9"/>
  <c r="C116" i="9"/>
  <c r="B117" i="9"/>
  <c r="C117" i="9"/>
  <c r="B118" i="9"/>
  <c r="C118" i="9"/>
  <c r="B119" i="9"/>
  <c r="C119" i="9"/>
  <c r="B120" i="9"/>
  <c r="C120" i="9"/>
  <c r="B121" i="9"/>
  <c r="C121" i="9"/>
  <c r="B122" i="9"/>
  <c r="C122" i="9"/>
  <c r="B123" i="9"/>
  <c r="C123" i="9"/>
  <c r="B124" i="9"/>
  <c r="C124" i="9"/>
  <c r="B125" i="9"/>
  <c r="C125" i="9"/>
  <c r="B126" i="9"/>
  <c r="C126" i="9"/>
  <c r="B127" i="9"/>
  <c r="C127" i="9"/>
  <c r="B128" i="9"/>
  <c r="C128" i="9"/>
  <c r="B129" i="9"/>
  <c r="C129" i="9"/>
  <c r="B130" i="9"/>
  <c r="C130" i="9"/>
  <c r="B131" i="9"/>
  <c r="C131" i="9"/>
  <c r="B132" i="9"/>
  <c r="C132" i="9"/>
  <c r="B133" i="9"/>
  <c r="C133" i="9"/>
  <c r="B134" i="9"/>
  <c r="C134" i="9"/>
  <c r="B135" i="9"/>
  <c r="C135" i="9"/>
  <c r="B136" i="9"/>
  <c r="C136" i="9"/>
  <c r="B137" i="9"/>
  <c r="C137" i="9"/>
  <c r="B138" i="9"/>
  <c r="C138" i="9"/>
  <c r="B141" i="9"/>
  <c r="C141" i="9"/>
  <c r="B142" i="9"/>
  <c r="C142" i="9"/>
  <c r="B143" i="9"/>
  <c r="C143" i="9"/>
  <c r="B144" i="9"/>
  <c r="C144" i="9"/>
  <c r="B145" i="9"/>
  <c r="C145" i="9"/>
  <c r="B146" i="9"/>
  <c r="C146" i="9"/>
  <c r="B147" i="9"/>
  <c r="C147" i="9"/>
  <c r="B148" i="9"/>
  <c r="C148" i="9"/>
  <c r="B149" i="9"/>
  <c r="C149" i="9"/>
  <c r="B150" i="9"/>
  <c r="C150" i="9"/>
  <c r="B151" i="9"/>
  <c r="C151" i="9"/>
  <c r="B152" i="9"/>
  <c r="C152" i="9"/>
  <c r="B153" i="9"/>
  <c r="C153" i="9"/>
  <c r="B154" i="9"/>
  <c r="C154" i="9"/>
  <c r="B155" i="9"/>
  <c r="C155" i="9"/>
  <c r="B156" i="9"/>
  <c r="C156" i="9"/>
  <c r="B157" i="9"/>
  <c r="C157" i="9"/>
  <c r="B158" i="9"/>
  <c r="C158" i="9"/>
  <c r="B159" i="9"/>
  <c r="C159" i="9"/>
  <c r="B160" i="9"/>
  <c r="C160" i="9"/>
  <c r="B161" i="9"/>
  <c r="C161" i="9"/>
  <c r="B162" i="9"/>
  <c r="C162" i="9"/>
  <c r="B163" i="9"/>
  <c r="C163" i="9"/>
  <c r="B164" i="9"/>
  <c r="C164" i="9"/>
  <c r="B165" i="9"/>
  <c r="C165" i="9"/>
  <c r="B168" i="9"/>
  <c r="C168" i="9"/>
  <c r="B169" i="9"/>
  <c r="C169" i="9"/>
  <c r="B170" i="9"/>
  <c r="C170" i="9"/>
  <c r="B171" i="9"/>
  <c r="C171" i="9"/>
  <c r="B172" i="9"/>
  <c r="C172" i="9"/>
  <c r="B173" i="9"/>
  <c r="C173" i="9"/>
  <c r="B174" i="9"/>
  <c r="C174" i="9"/>
  <c r="B175" i="9"/>
  <c r="C175" i="9"/>
  <c r="B176" i="9"/>
  <c r="C176" i="9"/>
  <c r="B177" i="9"/>
  <c r="C177" i="9"/>
  <c r="B178" i="9"/>
  <c r="C178" i="9"/>
  <c r="B179" i="9"/>
  <c r="C179" i="9"/>
  <c r="B180" i="9"/>
  <c r="C180" i="9"/>
  <c r="B181" i="9"/>
  <c r="C181" i="9"/>
  <c r="B182" i="9"/>
  <c r="C182" i="9"/>
  <c r="B183" i="9"/>
  <c r="C183" i="9"/>
  <c r="B184" i="9"/>
  <c r="C184" i="9"/>
  <c r="B185" i="9"/>
  <c r="C185" i="9"/>
  <c r="B186" i="9"/>
  <c r="C186" i="9"/>
  <c r="B187" i="9"/>
  <c r="C187" i="9"/>
  <c r="B188" i="9"/>
  <c r="C188" i="9"/>
  <c r="B189" i="9"/>
  <c r="C189" i="9"/>
  <c r="B190" i="9"/>
  <c r="C190" i="9"/>
  <c r="B191" i="9"/>
  <c r="C191" i="9"/>
  <c r="B192" i="9"/>
  <c r="C192" i="9"/>
  <c r="B195" i="9"/>
  <c r="C195" i="9"/>
  <c r="B196" i="9"/>
  <c r="C196" i="9"/>
  <c r="B197" i="9"/>
  <c r="C197" i="9"/>
  <c r="B198" i="9"/>
  <c r="C198" i="9"/>
  <c r="B199" i="9"/>
  <c r="C199" i="9"/>
  <c r="B200" i="9"/>
  <c r="C200" i="9"/>
  <c r="B201" i="9"/>
  <c r="C201" i="9"/>
  <c r="B202" i="9"/>
  <c r="C202" i="9"/>
  <c r="B203" i="9"/>
  <c r="C203" i="9"/>
  <c r="B204" i="9"/>
  <c r="C204" i="9"/>
  <c r="B205" i="9"/>
  <c r="C205" i="9"/>
  <c r="B206" i="9"/>
  <c r="C206" i="9"/>
  <c r="B207" i="9"/>
  <c r="C207" i="9"/>
  <c r="B208" i="9"/>
  <c r="C208" i="9"/>
  <c r="B209" i="9"/>
  <c r="C209" i="9"/>
  <c r="B210" i="9"/>
  <c r="C210" i="9"/>
  <c r="B211" i="9"/>
  <c r="C211" i="9"/>
  <c r="B212" i="9"/>
  <c r="C212" i="9"/>
  <c r="B213" i="9"/>
  <c r="C213" i="9"/>
  <c r="B214" i="9"/>
  <c r="C214" i="9"/>
  <c r="B215" i="9"/>
  <c r="C215" i="9"/>
  <c r="B216" i="9"/>
  <c r="C216" i="9"/>
  <c r="B217" i="9"/>
  <c r="C217" i="9"/>
  <c r="B218" i="9"/>
  <c r="C218" i="9"/>
  <c r="B219" i="9"/>
  <c r="C219" i="9"/>
  <c r="B220" i="9"/>
  <c r="C220" i="9"/>
  <c r="B223" i="9"/>
  <c r="C223" i="9"/>
  <c r="B224" i="9"/>
  <c r="C224" i="9"/>
  <c r="B225" i="9"/>
  <c r="C225" i="9"/>
  <c r="B226" i="9"/>
  <c r="C226" i="9"/>
  <c r="B227" i="9"/>
  <c r="C227" i="9"/>
  <c r="B228" i="9"/>
  <c r="C228" i="9"/>
  <c r="B229" i="9"/>
  <c r="C229" i="9"/>
  <c r="B230" i="9"/>
  <c r="C230" i="9"/>
  <c r="B231" i="9"/>
  <c r="C231" i="9"/>
  <c r="B232" i="9"/>
  <c r="C232" i="9"/>
  <c r="B233" i="9"/>
  <c r="C233" i="9"/>
  <c r="B234" i="9"/>
  <c r="C234" i="9"/>
  <c r="B235" i="9"/>
  <c r="C235" i="9"/>
  <c r="B236" i="9"/>
  <c r="C236" i="9"/>
  <c r="B237" i="9"/>
  <c r="C237" i="9"/>
  <c r="B238" i="9"/>
  <c r="C238" i="9"/>
  <c r="B239" i="9"/>
  <c r="C239" i="9"/>
  <c r="B240" i="9"/>
  <c r="C240" i="9"/>
  <c r="B241" i="9"/>
  <c r="C241" i="9"/>
  <c r="B242" i="9"/>
  <c r="C242" i="9"/>
  <c r="B243" i="9"/>
  <c r="C243" i="9"/>
  <c r="B244" i="9"/>
  <c r="C244" i="9"/>
  <c r="B245" i="9"/>
  <c r="C245" i="9"/>
  <c r="B246" i="9"/>
  <c r="C246" i="9"/>
  <c r="B247" i="9"/>
  <c r="C247" i="9"/>
  <c r="B248" i="9"/>
  <c r="C248" i="9"/>
  <c r="B249" i="9"/>
  <c r="C249" i="9"/>
  <c r="B252" i="9"/>
  <c r="C252" i="9"/>
  <c r="B253" i="9"/>
  <c r="C253" i="9"/>
  <c r="B254" i="9"/>
  <c r="C254" i="9"/>
  <c r="B255" i="9"/>
  <c r="C255" i="9"/>
  <c r="B256" i="9"/>
  <c r="C256" i="9"/>
  <c r="B257" i="9"/>
  <c r="C257" i="9"/>
  <c r="B258" i="9"/>
  <c r="C258" i="9"/>
  <c r="B259" i="9"/>
  <c r="C259" i="9"/>
  <c r="B260" i="9"/>
  <c r="C260" i="9"/>
  <c r="B261" i="9"/>
  <c r="C261" i="9"/>
  <c r="B262" i="9"/>
  <c r="C262" i="9"/>
  <c r="B263" i="9"/>
  <c r="C263" i="9"/>
  <c r="B264" i="9"/>
  <c r="C264" i="9"/>
  <c r="B265" i="9"/>
  <c r="C265" i="9"/>
  <c r="B266" i="9"/>
  <c r="C266" i="9"/>
  <c r="B267" i="9"/>
  <c r="C267" i="9"/>
  <c r="B268" i="9"/>
  <c r="C268" i="9"/>
  <c r="B269" i="9"/>
  <c r="C269" i="9"/>
  <c r="B270" i="9"/>
  <c r="C270" i="9"/>
  <c r="B271" i="9"/>
  <c r="C271" i="9"/>
  <c r="B272" i="9"/>
  <c r="C272" i="9"/>
  <c r="B273" i="9"/>
  <c r="C273" i="9"/>
  <c r="B274" i="9"/>
  <c r="C274" i="9"/>
  <c r="B275" i="9"/>
  <c r="C275" i="9"/>
  <c r="B276" i="9"/>
  <c r="C276" i="9"/>
  <c r="B277" i="9"/>
  <c r="C277" i="9"/>
  <c r="B278" i="9"/>
  <c r="C278" i="9"/>
  <c r="B281" i="9"/>
  <c r="C281" i="9"/>
  <c r="B282" i="9"/>
  <c r="C282" i="9"/>
  <c r="B283" i="9"/>
  <c r="C283" i="9"/>
  <c r="B284" i="9"/>
  <c r="C284" i="9"/>
  <c r="B285" i="9"/>
  <c r="C285" i="9"/>
  <c r="B286" i="9"/>
  <c r="C286" i="9"/>
  <c r="B287" i="9"/>
  <c r="C287" i="9"/>
  <c r="B288" i="9"/>
  <c r="C288" i="9"/>
  <c r="B289" i="9"/>
  <c r="C289" i="9"/>
  <c r="B290" i="9"/>
  <c r="C290" i="9"/>
  <c r="B291" i="9"/>
  <c r="C291" i="9"/>
  <c r="B292" i="9"/>
  <c r="C292" i="9"/>
  <c r="B293" i="9"/>
  <c r="C293" i="9"/>
  <c r="B294" i="9"/>
  <c r="C294" i="9"/>
  <c r="B295" i="9"/>
  <c r="C295" i="9"/>
  <c r="B296" i="9"/>
  <c r="C296" i="9"/>
  <c r="B297" i="9"/>
  <c r="C297" i="9"/>
  <c r="B298" i="9"/>
  <c r="C298" i="9"/>
  <c r="B299" i="9"/>
  <c r="C299" i="9"/>
  <c r="B300" i="9"/>
  <c r="C300" i="9"/>
  <c r="B301" i="9"/>
  <c r="C301" i="9"/>
  <c r="B302" i="9"/>
  <c r="C302" i="9"/>
  <c r="B303" i="9"/>
  <c r="C303" i="9"/>
  <c r="B304" i="9"/>
  <c r="C304" i="9"/>
  <c r="B305" i="9"/>
  <c r="C305" i="9"/>
  <c r="B306" i="9"/>
  <c r="C306" i="9"/>
  <c r="B309" i="9"/>
  <c r="C309" i="9"/>
  <c r="B310" i="9"/>
  <c r="C310" i="9"/>
  <c r="B311" i="9"/>
  <c r="C311" i="9"/>
  <c r="B312" i="9"/>
  <c r="C312" i="9"/>
  <c r="B313" i="9"/>
  <c r="C313" i="9"/>
  <c r="B314" i="9"/>
  <c r="C314" i="9"/>
  <c r="B315" i="9"/>
  <c r="C315" i="9"/>
  <c r="B316" i="9"/>
  <c r="C316" i="9"/>
  <c r="B317" i="9"/>
  <c r="C317" i="9"/>
  <c r="B318" i="9"/>
  <c r="C318" i="9"/>
  <c r="B319" i="9"/>
  <c r="C319" i="9"/>
  <c r="B320" i="9"/>
  <c r="C320" i="9"/>
  <c r="B321" i="9"/>
  <c r="C321" i="9"/>
  <c r="B322" i="9"/>
  <c r="C322" i="9"/>
  <c r="B323" i="9"/>
  <c r="C323" i="9"/>
  <c r="B324" i="9"/>
  <c r="C324" i="9"/>
  <c r="B325" i="9"/>
  <c r="C325" i="9"/>
  <c r="B326" i="9"/>
  <c r="C326" i="9"/>
  <c r="B327" i="9"/>
  <c r="C327" i="9"/>
  <c r="B328" i="9"/>
  <c r="C328" i="9"/>
  <c r="B329" i="9"/>
  <c r="C329" i="9"/>
  <c r="B330" i="9"/>
  <c r="C330" i="9"/>
  <c r="B331" i="9"/>
  <c r="C331" i="9"/>
  <c r="B332" i="9"/>
  <c r="C332" i="9"/>
  <c r="B333" i="9"/>
  <c r="C333" i="9"/>
  <c r="B334" i="9"/>
  <c r="C334" i="9"/>
  <c r="B335" i="9"/>
  <c r="C335" i="9"/>
  <c r="B336" i="9"/>
  <c r="B337" i="9"/>
  <c r="B338" i="9"/>
  <c r="C338" i="9"/>
  <c r="B339" i="9"/>
  <c r="C339" i="9"/>
  <c r="B340" i="9"/>
  <c r="C340" i="9"/>
  <c r="B341" i="9"/>
  <c r="C341" i="9"/>
  <c r="B342" i="9"/>
  <c r="C342" i="9"/>
  <c r="B343" i="9"/>
  <c r="C343" i="9"/>
  <c r="B344" i="9"/>
  <c r="C344" i="9"/>
  <c r="B345" i="9"/>
  <c r="C345" i="9"/>
  <c r="B346" i="9"/>
  <c r="C346" i="9"/>
  <c r="B347" i="9"/>
  <c r="C347" i="9"/>
  <c r="B348" i="9"/>
  <c r="C348" i="9"/>
  <c r="B349" i="9"/>
  <c r="C349" i="9"/>
  <c r="B350" i="9"/>
  <c r="C350" i="9"/>
  <c r="B351" i="9"/>
  <c r="C351" i="9"/>
  <c r="B352" i="9"/>
  <c r="C352" i="9"/>
  <c r="B353" i="9"/>
  <c r="C353" i="9"/>
  <c r="B354" i="9"/>
  <c r="C354" i="9"/>
  <c r="B355" i="9"/>
  <c r="C355" i="9"/>
  <c r="B356" i="9"/>
  <c r="C356" i="9"/>
  <c r="B357" i="9"/>
  <c r="C357" i="9"/>
  <c r="B358" i="9"/>
  <c r="C358" i="9"/>
  <c r="B359" i="9"/>
  <c r="C359" i="9"/>
  <c r="B360" i="9"/>
  <c r="C360" i="9"/>
  <c r="B361" i="9"/>
  <c r="C361" i="9"/>
  <c r="B362" i="9"/>
  <c r="C362" i="9"/>
  <c r="B363" i="9"/>
  <c r="C363" i="9"/>
  <c r="B364" i="9"/>
  <c r="C364" i="9"/>
  <c r="B365" i="9"/>
  <c r="C365" i="9"/>
  <c r="B368" i="9"/>
  <c r="C368" i="9"/>
  <c r="B369" i="9"/>
  <c r="C369" i="9"/>
  <c r="B370" i="9"/>
  <c r="C370" i="9"/>
  <c r="B371" i="9"/>
  <c r="C371" i="9"/>
  <c r="B372" i="9"/>
  <c r="C372" i="9"/>
  <c r="B373" i="9"/>
  <c r="C373" i="9"/>
  <c r="B374" i="9"/>
  <c r="C374" i="9"/>
  <c r="B375" i="9"/>
  <c r="C375" i="9"/>
  <c r="B376" i="9"/>
  <c r="C376" i="9"/>
  <c r="B377" i="9"/>
  <c r="C377" i="9"/>
  <c r="B378" i="9"/>
  <c r="C378" i="9"/>
  <c r="B379" i="9"/>
  <c r="C379" i="9"/>
  <c r="B380" i="9"/>
  <c r="C380" i="9"/>
  <c r="B381" i="9"/>
  <c r="C381" i="9"/>
  <c r="B382" i="9"/>
  <c r="C382" i="9"/>
  <c r="B383" i="9"/>
  <c r="C383" i="9"/>
  <c r="B384" i="9"/>
  <c r="C384" i="9"/>
  <c r="B385" i="9"/>
  <c r="C385" i="9"/>
  <c r="B386" i="9"/>
  <c r="C386" i="9"/>
  <c r="B387" i="9"/>
  <c r="C387" i="9"/>
  <c r="B388" i="9"/>
  <c r="C388" i="9"/>
  <c r="B389" i="9"/>
  <c r="C389" i="9"/>
  <c r="B390" i="9"/>
  <c r="C390" i="9"/>
  <c r="B391" i="9"/>
  <c r="C391" i="9"/>
  <c r="B392" i="9"/>
  <c r="C392" i="9"/>
  <c r="B393" i="9"/>
  <c r="C393" i="9"/>
  <c r="B396" i="9"/>
  <c r="C396" i="9"/>
  <c r="B397" i="9"/>
  <c r="C397" i="9"/>
  <c r="B398" i="9"/>
  <c r="C398" i="9"/>
  <c r="B399" i="9"/>
  <c r="C399" i="9"/>
  <c r="B400" i="9"/>
  <c r="C400" i="9"/>
  <c r="B401" i="9"/>
  <c r="C401" i="9"/>
  <c r="B402" i="9"/>
  <c r="C402" i="9"/>
  <c r="B403" i="9"/>
  <c r="C403" i="9"/>
  <c r="B404" i="9"/>
  <c r="C404" i="9"/>
  <c r="B405" i="9"/>
  <c r="C405" i="9"/>
  <c r="B406" i="9"/>
  <c r="C406" i="9"/>
  <c r="B407" i="9"/>
  <c r="C407" i="9"/>
  <c r="B408" i="9"/>
  <c r="C408" i="9"/>
  <c r="B409" i="9"/>
  <c r="C409" i="9"/>
  <c r="B410" i="9"/>
  <c r="C410" i="9"/>
  <c r="B411" i="9"/>
  <c r="C411" i="9"/>
  <c r="B412" i="9"/>
  <c r="C412" i="9"/>
  <c r="B413" i="9"/>
  <c r="C413" i="9"/>
  <c r="B414" i="9"/>
  <c r="C414" i="9"/>
  <c r="B415" i="9"/>
  <c r="C415" i="9"/>
  <c r="B416" i="9"/>
  <c r="C416" i="9"/>
  <c r="B417" i="9"/>
  <c r="C417" i="9"/>
  <c r="B418" i="9"/>
  <c r="C418" i="9"/>
  <c r="B419" i="9"/>
  <c r="C419" i="9"/>
  <c r="B420" i="9"/>
  <c r="C420" i="9"/>
  <c r="B421" i="9"/>
  <c r="C421" i="9"/>
  <c r="B422" i="9"/>
  <c r="C422" i="9"/>
  <c r="B425" i="9"/>
  <c r="C425" i="9"/>
  <c r="B426" i="9"/>
  <c r="C426" i="9"/>
  <c r="B427" i="9"/>
  <c r="C427" i="9"/>
  <c r="B428" i="9"/>
  <c r="C428" i="9"/>
  <c r="B429" i="9"/>
  <c r="C429" i="9"/>
  <c r="B430" i="9"/>
  <c r="C430" i="9"/>
  <c r="B431" i="9"/>
  <c r="C431" i="9"/>
  <c r="B432" i="9"/>
  <c r="C432" i="9"/>
  <c r="B433" i="9"/>
  <c r="C433" i="9"/>
  <c r="B434" i="9"/>
  <c r="C434" i="9"/>
  <c r="B435" i="9"/>
  <c r="C435" i="9"/>
  <c r="B436" i="9"/>
  <c r="C436" i="9"/>
  <c r="B437" i="9"/>
  <c r="C437" i="9"/>
  <c r="B438" i="9"/>
  <c r="C438" i="9"/>
  <c r="B439" i="9"/>
  <c r="C439" i="9"/>
  <c r="B440" i="9"/>
  <c r="C440" i="9"/>
  <c r="B441" i="9"/>
  <c r="C441" i="9"/>
  <c r="B442" i="9"/>
  <c r="C442" i="9"/>
  <c r="B443" i="9"/>
  <c r="C443" i="9"/>
  <c r="B444" i="9"/>
  <c r="C444" i="9"/>
  <c r="B445" i="9"/>
  <c r="C445" i="9"/>
  <c r="B446" i="9"/>
  <c r="C446" i="9"/>
  <c r="B447" i="9"/>
  <c r="C447" i="9"/>
  <c r="B448" i="9"/>
  <c r="C448" i="9"/>
  <c r="B449" i="9"/>
  <c r="C449" i="9"/>
  <c r="B450" i="9"/>
  <c r="C450" i="9"/>
  <c r="B451" i="9"/>
  <c r="C451" i="9"/>
  <c r="B454" i="9"/>
  <c r="C454" i="9"/>
  <c r="B455" i="9"/>
  <c r="C455" i="9"/>
  <c r="B456" i="9"/>
  <c r="C456" i="9"/>
  <c r="B457" i="9"/>
  <c r="C457" i="9"/>
  <c r="B458" i="9"/>
  <c r="C458" i="9"/>
  <c r="B459" i="9"/>
  <c r="C459" i="9"/>
  <c r="B460" i="9"/>
  <c r="C460" i="9"/>
  <c r="B461" i="9"/>
  <c r="C461" i="9"/>
  <c r="B462" i="9"/>
  <c r="C462" i="9"/>
  <c r="B463" i="9"/>
  <c r="C463" i="9"/>
  <c r="B464" i="9"/>
  <c r="C464" i="9"/>
  <c r="B465" i="9"/>
  <c r="C465" i="9"/>
  <c r="B466" i="9"/>
  <c r="C466" i="9"/>
  <c r="B467" i="9"/>
  <c r="C467" i="9"/>
  <c r="B468" i="9"/>
  <c r="C468" i="9"/>
  <c r="B469" i="9"/>
  <c r="C469" i="9"/>
  <c r="B470" i="9"/>
  <c r="C470" i="9"/>
  <c r="B471" i="9"/>
  <c r="C471" i="9"/>
  <c r="B472" i="9"/>
  <c r="C472" i="9"/>
  <c r="B473" i="9"/>
  <c r="C473" i="9"/>
  <c r="B474" i="9"/>
  <c r="C474" i="9"/>
  <c r="B475" i="9"/>
  <c r="C475" i="9"/>
  <c r="B476" i="9"/>
  <c r="C476" i="9"/>
  <c r="B477" i="9"/>
  <c r="C477" i="9"/>
  <c r="B478" i="9"/>
  <c r="C478" i="9"/>
  <c r="B479" i="9"/>
  <c r="C479" i="9"/>
  <c r="B480" i="9"/>
  <c r="C480" i="9"/>
  <c r="B483" i="9"/>
  <c r="C483" i="9"/>
  <c r="B484" i="9"/>
  <c r="C484" i="9"/>
  <c r="B485" i="9"/>
  <c r="C485" i="9"/>
  <c r="B486" i="9"/>
  <c r="C486" i="9"/>
  <c r="B487" i="9"/>
  <c r="C487" i="9"/>
  <c r="B488" i="9"/>
  <c r="C488" i="9"/>
  <c r="B489" i="9"/>
  <c r="C489" i="9"/>
  <c r="B490" i="9"/>
  <c r="C490" i="9"/>
  <c r="B491" i="9"/>
  <c r="C491" i="9"/>
  <c r="B492" i="9"/>
  <c r="C492" i="9"/>
  <c r="B493" i="9"/>
  <c r="C493" i="9"/>
  <c r="B494" i="9"/>
  <c r="C494" i="9"/>
  <c r="B495" i="9"/>
  <c r="C495" i="9"/>
  <c r="B496" i="9"/>
  <c r="C496" i="9"/>
  <c r="B497" i="9"/>
  <c r="C497" i="9"/>
  <c r="B498" i="9"/>
  <c r="C498" i="9"/>
  <c r="B499" i="9"/>
  <c r="C499" i="9"/>
  <c r="B500" i="9"/>
  <c r="C500" i="9"/>
  <c r="B501" i="9"/>
  <c r="C501" i="9"/>
  <c r="B502" i="9"/>
  <c r="C502" i="9"/>
  <c r="B503" i="9"/>
  <c r="C503" i="9"/>
  <c r="B504" i="9"/>
  <c r="C504" i="9"/>
  <c r="B505" i="9"/>
  <c r="C505" i="9"/>
  <c r="B506" i="9"/>
  <c r="C506" i="9"/>
  <c r="B507" i="9"/>
  <c r="C507" i="9"/>
  <c r="B508" i="9"/>
  <c r="C508" i="9"/>
  <c r="B511" i="9"/>
  <c r="C511" i="9"/>
  <c r="B512" i="9"/>
  <c r="C512" i="9"/>
  <c r="B513" i="9"/>
  <c r="C513" i="9"/>
  <c r="B514" i="9"/>
  <c r="C514" i="9"/>
  <c r="B515" i="9"/>
  <c r="C515" i="9"/>
  <c r="B516" i="9"/>
  <c r="C516" i="9"/>
  <c r="B517" i="9"/>
  <c r="C517" i="9"/>
  <c r="B518" i="9"/>
  <c r="C518" i="9"/>
  <c r="B519" i="9"/>
  <c r="C519" i="9"/>
  <c r="B520" i="9"/>
  <c r="C520" i="9"/>
  <c r="B521" i="9"/>
  <c r="C521" i="9"/>
  <c r="B522" i="9"/>
  <c r="C522" i="9"/>
  <c r="B523" i="9"/>
  <c r="C523" i="9"/>
  <c r="B524" i="9"/>
  <c r="C524" i="9"/>
  <c r="B525" i="9"/>
  <c r="C525" i="9"/>
  <c r="B526" i="9"/>
  <c r="C526" i="9"/>
  <c r="B527" i="9"/>
  <c r="C527" i="9"/>
  <c r="B528" i="9"/>
  <c r="C528" i="9"/>
  <c r="B529" i="9"/>
  <c r="C529" i="9"/>
  <c r="B530" i="9"/>
  <c r="C530" i="9"/>
  <c r="B531" i="9"/>
  <c r="C531" i="9"/>
  <c r="B532" i="9"/>
  <c r="C532" i="9"/>
  <c r="B533" i="9"/>
  <c r="C533" i="9"/>
  <c r="B534" i="9"/>
  <c r="C534" i="9"/>
  <c r="B535" i="9"/>
  <c r="C535" i="9"/>
  <c r="B536" i="9"/>
  <c r="C536" i="9"/>
  <c r="B537" i="9"/>
  <c r="C537" i="9"/>
  <c r="B539" i="9"/>
  <c r="B540" i="9"/>
  <c r="C540" i="9"/>
  <c r="B541" i="9"/>
  <c r="C541" i="9"/>
  <c r="B542" i="9"/>
  <c r="C542" i="9"/>
  <c r="B543" i="9"/>
  <c r="C543" i="9"/>
  <c r="B544" i="9"/>
  <c r="C544" i="9"/>
  <c r="B545" i="9"/>
  <c r="C545" i="9"/>
  <c r="B546" i="9"/>
  <c r="C546" i="9"/>
  <c r="B547" i="9"/>
  <c r="C547" i="9"/>
  <c r="B548" i="9"/>
  <c r="C548" i="9"/>
  <c r="B549" i="9"/>
  <c r="C549" i="9"/>
  <c r="B550" i="9"/>
  <c r="C550" i="9"/>
  <c r="B551" i="9"/>
  <c r="C551" i="9"/>
  <c r="B552" i="9"/>
  <c r="C552" i="9"/>
  <c r="B553" i="9"/>
  <c r="C553" i="9"/>
  <c r="B554" i="9"/>
  <c r="C554" i="9"/>
  <c r="B555" i="9"/>
  <c r="C555" i="9"/>
  <c r="B556" i="9"/>
  <c r="C556" i="9"/>
  <c r="B557" i="9"/>
  <c r="C557" i="9"/>
  <c r="B558" i="9"/>
  <c r="C558" i="9"/>
  <c r="B559" i="9"/>
  <c r="C559" i="9"/>
  <c r="B560" i="9"/>
  <c r="C560" i="9"/>
  <c r="B561" i="9"/>
  <c r="C561" i="9"/>
  <c r="B562" i="9"/>
  <c r="C562" i="9"/>
  <c r="B563" i="9"/>
  <c r="C563" i="9"/>
  <c r="B564" i="9"/>
  <c r="C564" i="9"/>
  <c r="B565" i="9"/>
  <c r="C565" i="9"/>
  <c r="B566" i="9"/>
  <c r="C566" i="9"/>
  <c r="B567" i="9"/>
  <c r="C567" i="9"/>
  <c r="B570" i="9"/>
  <c r="C570" i="9"/>
  <c r="B571" i="9"/>
  <c r="C571" i="9"/>
  <c r="B572" i="9"/>
  <c r="C572" i="9"/>
  <c r="B573" i="9"/>
  <c r="C573" i="9"/>
  <c r="B574" i="9"/>
  <c r="C574" i="9"/>
  <c r="B575" i="9"/>
  <c r="C575" i="9"/>
  <c r="B576" i="9"/>
  <c r="C576" i="9"/>
  <c r="B577" i="9"/>
  <c r="C577" i="9"/>
  <c r="B578" i="9"/>
  <c r="C578" i="9"/>
  <c r="B579" i="9"/>
  <c r="C579" i="9"/>
  <c r="B580" i="9"/>
  <c r="C580" i="9"/>
  <c r="B581" i="9"/>
  <c r="C581" i="9"/>
  <c r="B582" i="9"/>
  <c r="C582" i="9"/>
  <c r="B583" i="9"/>
  <c r="C583" i="9"/>
  <c r="B584" i="9"/>
  <c r="C584" i="9"/>
  <c r="B585" i="9"/>
  <c r="C585" i="9"/>
  <c r="B586" i="9"/>
  <c r="C586" i="9"/>
  <c r="B587" i="9"/>
  <c r="C587" i="9"/>
  <c r="B588" i="9"/>
  <c r="C588" i="9"/>
  <c r="B589" i="9"/>
  <c r="C589" i="9"/>
  <c r="B590" i="9"/>
  <c r="C590" i="9"/>
  <c r="B591" i="9"/>
  <c r="C591" i="9"/>
  <c r="B592" i="9"/>
  <c r="C592" i="9"/>
  <c r="B593" i="9"/>
  <c r="C593" i="9"/>
  <c r="B594" i="9"/>
  <c r="C594" i="9"/>
  <c r="B597" i="9"/>
  <c r="C597" i="9"/>
  <c r="B598" i="9"/>
  <c r="C598" i="9"/>
  <c r="B599" i="9"/>
  <c r="C599" i="9"/>
  <c r="B600" i="9"/>
  <c r="C600" i="9"/>
  <c r="B601" i="9"/>
  <c r="C601" i="9"/>
  <c r="B602" i="9"/>
  <c r="C602" i="9"/>
  <c r="B603" i="9"/>
  <c r="C603" i="9"/>
  <c r="B604" i="9"/>
  <c r="C604" i="9"/>
  <c r="B605" i="9"/>
  <c r="C605" i="9"/>
  <c r="B606" i="9"/>
  <c r="C606" i="9"/>
  <c r="B607" i="9"/>
  <c r="C607" i="9"/>
  <c r="B608" i="9"/>
  <c r="C608" i="9"/>
  <c r="B609" i="9"/>
  <c r="C609" i="9"/>
  <c r="B610" i="9"/>
  <c r="C610" i="9"/>
  <c r="B611" i="9"/>
  <c r="C611" i="9"/>
  <c r="B612" i="9"/>
  <c r="C612" i="9"/>
  <c r="B613" i="9"/>
  <c r="C613" i="9"/>
  <c r="B614" i="9"/>
  <c r="C614" i="9"/>
  <c r="B615" i="9"/>
  <c r="C615" i="9"/>
  <c r="B616" i="9"/>
  <c r="C616" i="9"/>
  <c r="B617" i="9"/>
  <c r="C617" i="9"/>
  <c r="B618" i="9"/>
  <c r="C618" i="9"/>
  <c r="B619" i="9"/>
  <c r="C619" i="9"/>
  <c r="B622" i="9"/>
  <c r="C622" i="9"/>
  <c r="B623" i="9"/>
  <c r="C623" i="9"/>
  <c r="B624" i="9"/>
  <c r="C624" i="9"/>
  <c r="B625" i="9"/>
  <c r="C625" i="9"/>
  <c r="B626" i="9"/>
  <c r="C626" i="9"/>
  <c r="B627" i="9"/>
  <c r="C627" i="9"/>
  <c r="B628" i="9"/>
  <c r="C628" i="9"/>
  <c r="B629" i="9"/>
  <c r="C629" i="9"/>
  <c r="B630" i="9"/>
  <c r="C630" i="9"/>
  <c r="B631" i="9"/>
  <c r="C631" i="9"/>
  <c r="B632" i="9"/>
  <c r="C632" i="9"/>
  <c r="B633" i="9"/>
  <c r="C633" i="9"/>
  <c r="B634" i="9"/>
  <c r="C634" i="9"/>
  <c r="B635" i="9"/>
  <c r="C635" i="9"/>
  <c r="B636" i="9"/>
  <c r="C636" i="9"/>
  <c r="B637" i="9"/>
  <c r="C637" i="9"/>
  <c r="B638" i="9"/>
  <c r="C638" i="9"/>
  <c r="B639" i="9"/>
  <c r="C639" i="9"/>
  <c r="B640" i="9"/>
  <c r="C640" i="9"/>
  <c r="B641" i="9"/>
  <c r="C641" i="9"/>
  <c r="B642" i="9"/>
  <c r="C642" i="9"/>
  <c r="B643" i="9"/>
  <c r="C643" i="9"/>
  <c r="B644" i="9"/>
  <c r="C644" i="9"/>
  <c r="B645" i="9"/>
  <c r="C645" i="9"/>
  <c r="B646" i="9"/>
  <c r="C646" i="9"/>
  <c r="B647" i="9"/>
  <c r="C647" i="9"/>
  <c r="B650" i="9"/>
  <c r="C650" i="9"/>
  <c r="B651" i="9"/>
  <c r="C651" i="9"/>
  <c r="B652" i="9"/>
  <c r="C652" i="9"/>
  <c r="B653" i="9"/>
  <c r="C653" i="9"/>
  <c r="B654" i="9"/>
  <c r="C654" i="9"/>
  <c r="B655" i="9"/>
  <c r="C655" i="9"/>
  <c r="B656" i="9"/>
  <c r="C656" i="9"/>
  <c r="B657" i="9"/>
  <c r="C657" i="9"/>
  <c r="B658" i="9"/>
  <c r="C658" i="9"/>
  <c r="B659" i="9"/>
  <c r="C659" i="9"/>
  <c r="B660" i="9"/>
  <c r="C660" i="9"/>
  <c r="B661" i="9"/>
  <c r="C661" i="9"/>
  <c r="B662" i="9"/>
  <c r="C662" i="9"/>
  <c r="B663" i="9"/>
  <c r="C663" i="9"/>
  <c r="B664" i="9"/>
  <c r="C664" i="9"/>
  <c r="B665" i="9"/>
  <c r="C665" i="9"/>
  <c r="B666" i="9"/>
  <c r="C666" i="9"/>
  <c r="B667" i="9"/>
  <c r="C667" i="9"/>
  <c r="B668" i="9"/>
  <c r="C668" i="9"/>
  <c r="B669" i="9"/>
  <c r="C669" i="9"/>
  <c r="B670" i="9"/>
  <c r="C670" i="9"/>
  <c r="B671" i="9"/>
  <c r="C671" i="9"/>
  <c r="B672" i="9"/>
  <c r="C672" i="9"/>
  <c r="B673" i="9"/>
  <c r="C673" i="9"/>
  <c r="B674" i="9"/>
  <c r="C674" i="9"/>
  <c r="B675" i="9"/>
  <c r="C675" i="9"/>
  <c r="B678" i="9"/>
  <c r="C678" i="9"/>
  <c r="B679" i="9"/>
  <c r="C679" i="9"/>
  <c r="B680" i="9"/>
  <c r="C680" i="9"/>
  <c r="B681" i="9"/>
  <c r="C681" i="9"/>
  <c r="B682" i="9"/>
  <c r="C682" i="9"/>
  <c r="B683" i="9"/>
  <c r="C683" i="9"/>
  <c r="B684" i="9"/>
  <c r="C684" i="9"/>
  <c r="B685" i="9"/>
  <c r="C685" i="9"/>
  <c r="B686" i="9"/>
  <c r="C686" i="9"/>
  <c r="B687" i="9"/>
  <c r="C687" i="9"/>
  <c r="B688" i="9"/>
  <c r="C688" i="9"/>
  <c r="B689" i="9"/>
  <c r="C689" i="9"/>
  <c r="B690" i="9"/>
  <c r="C690" i="9"/>
  <c r="B691" i="9"/>
  <c r="C691" i="9"/>
  <c r="B692" i="9"/>
  <c r="C692" i="9"/>
  <c r="B693" i="9"/>
  <c r="C693" i="9"/>
  <c r="B694" i="9"/>
  <c r="C694" i="9"/>
  <c r="B695" i="9"/>
  <c r="C695" i="9"/>
  <c r="B696" i="9"/>
  <c r="C696" i="9"/>
  <c r="B697" i="9"/>
  <c r="C697" i="9"/>
  <c r="B698" i="9"/>
  <c r="C698" i="9"/>
  <c r="B699" i="9"/>
  <c r="C699" i="9"/>
  <c r="B700" i="9"/>
  <c r="C700" i="9"/>
  <c r="B701" i="9"/>
  <c r="C701" i="9"/>
  <c r="B702" i="9"/>
  <c r="C702" i="9"/>
  <c r="B703" i="9"/>
  <c r="C703" i="9"/>
  <c r="B704" i="9"/>
  <c r="C704" i="9"/>
  <c r="B708" i="9"/>
  <c r="C708" i="9"/>
  <c r="B709" i="9"/>
  <c r="C709" i="9"/>
  <c r="B710" i="9"/>
  <c r="C710" i="9"/>
  <c r="B711" i="9"/>
  <c r="C711" i="9"/>
  <c r="B712" i="9"/>
  <c r="C712" i="9"/>
  <c r="B713" i="9"/>
  <c r="C713" i="9"/>
  <c r="B714" i="9"/>
  <c r="C714" i="9"/>
  <c r="B715" i="9"/>
  <c r="C715" i="9"/>
  <c r="B716" i="9"/>
  <c r="C716" i="9"/>
  <c r="B717" i="9"/>
  <c r="C717" i="9"/>
  <c r="B718" i="9"/>
  <c r="C718" i="9"/>
  <c r="B719" i="9"/>
  <c r="C719" i="9"/>
  <c r="B720" i="9"/>
  <c r="C720" i="9"/>
  <c r="B721" i="9"/>
  <c r="C721" i="9"/>
  <c r="B722" i="9"/>
  <c r="C722" i="9"/>
  <c r="B723" i="9"/>
  <c r="C723" i="9"/>
  <c r="B724" i="9"/>
  <c r="C724" i="9"/>
  <c r="B725" i="9"/>
  <c r="C725" i="9"/>
  <c r="B726" i="9"/>
  <c r="C726" i="9"/>
  <c r="B727" i="9"/>
  <c r="C727" i="9"/>
  <c r="B728" i="9"/>
  <c r="C728" i="9"/>
  <c r="B729" i="9"/>
  <c r="C729" i="9"/>
  <c r="B730" i="9"/>
  <c r="C730" i="9"/>
  <c r="B731" i="9"/>
  <c r="C731" i="9"/>
  <c r="B732" i="9"/>
  <c r="C732" i="9"/>
  <c r="B735" i="9"/>
  <c r="C735" i="9"/>
  <c r="B736" i="9"/>
  <c r="C736" i="9"/>
  <c r="B737" i="9"/>
  <c r="C737" i="9"/>
  <c r="B738" i="9"/>
  <c r="C738" i="9"/>
  <c r="B739" i="9"/>
  <c r="C739" i="9"/>
  <c r="B740" i="9"/>
  <c r="C740" i="9"/>
  <c r="B741" i="9"/>
  <c r="C741" i="9"/>
  <c r="B742" i="9"/>
  <c r="C742" i="9"/>
  <c r="B743" i="9"/>
  <c r="C743" i="9"/>
  <c r="B744" i="9"/>
  <c r="C744" i="9"/>
  <c r="B745" i="9"/>
  <c r="C745" i="9"/>
  <c r="B746" i="9"/>
  <c r="C746" i="9"/>
  <c r="B747" i="9"/>
  <c r="C747" i="9"/>
  <c r="B748" i="9"/>
  <c r="C748" i="9"/>
  <c r="B749" i="9"/>
  <c r="C749" i="9"/>
  <c r="B750" i="9"/>
  <c r="C750" i="9"/>
  <c r="B751" i="9"/>
  <c r="C751" i="9"/>
  <c r="B752" i="9"/>
  <c r="C752" i="9"/>
  <c r="B753" i="9"/>
  <c r="C753" i="9"/>
  <c r="B754" i="9"/>
  <c r="C754" i="9"/>
  <c r="B755" i="9"/>
  <c r="C755" i="9"/>
  <c r="B756" i="9"/>
  <c r="C756" i="9"/>
  <c r="B757" i="9"/>
  <c r="C757" i="9"/>
  <c r="B758" i="9"/>
  <c r="C758" i="9"/>
  <c r="B759" i="9"/>
  <c r="C759" i="9"/>
  <c r="B760" i="9"/>
  <c r="C760" i="9"/>
  <c r="B761" i="9"/>
  <c r="C761" i="9"/>
  <c r="B764" i="9"/>
  <c r="C764" i="9"/>
  <c r="B765" i="9"/>
  <c r="C765" i="9"/>
  <c r="B766" i="9"/>
  <c r="C766" i="9"/>
  <c r="B767" i="9"/>
  <c r="C767" i="9"/>
  <c r="B768" i="9"/>
  <c r="C768" i="9"/>
  <c r="B769" i="9"/>
  <c r="C769" i="9"/>
  <c r="B770" i="9"/>
  <c r="C770" i="9"/>
  <c r="B771" i="9"/>
  <c r="C771" i="9"/>
  <c r="B772" i="9"/>
  <c r="C772" i="9"/>
  <c r="B773" i="9"/>
  <c r="C773" i="9"/>
  <c r="B774" i="9"/>
  <c r="C774" i="9"/>
  <c r="B775" i="9"/>
  <c r="C775" i="9"/>
  <c r="B776" i="9"/>
  <c r="C776" i="9"/>
  <c r="B777" i="9"/>
  <c r="C777" i="9"/>
  <c r="B778" i="9"/>
  <c r="C778" i="9"/>
  <c r="B779" i="9"/>
  <c r="C779" i="9"/>
  <c r="B780" i="9"/>
  <c r="C780" i="9"/>
  <c r="B781" i="9"/>
  <c r="C781" i="9"/>
  <c r="B782" i="9"/>
  <c r="C782" i="9"/>
  <c r="B783" i="9"/>
  <c r="C783" i="9"/>
  <c r="B784" i="9"/>
  <c r="C784" i="9"/>
  <c r="B785" i="9"/>
  <c r="C785" i="9"/>
  <c r="B786" i="9"/>
  <c r="C786" i="9"/>
  <c r="B787" i="9"/>
  <c r="C787" i="9"/>
  <c r="B788" i="9"/>
  <c r="C788" i="9"/>
  <c r="B789" i="9"/>
  <c r="C789" i="9"/>
  <c r="B790" i="9"/>
  <c r="C790" i="9"/>
  <c r="B793" i="9"/>
  <c r="C793" i="9"/>
  <c r="B794" i="9"/>
  <c r="C794" i="9"/>
  <c r="B795" i="9"/>
  <c r="C795" i="9"/>
  <c r="B796" i="9"/>
  <c r="C796" i="9"/>
  <c r="B797" i="9"/>
  <c r="C797" i="9"/>
  <c r="B798" i="9"/>
  <c r="C798" i="9"/>
  <c r="B799" i="9"/>
  <c r="C799" i="9"/>
  <c r="B800" i="9"/>
  <c r="C800" i="9"/>
  <c r="B801" i="9"/>
  <c r="C801" i="9"/>
  <c r="B802" i="9"/>
  <c r="C802" i="9"/>
  <c r="B803" i="9"/>
  <c r="C803" i="9"/>
  <c r="B804" i="9"/>
  <c r="C804" i="9"/>
  <c r="B805" i="9"/>
  <c r="C805" i="9"/>
  <c r="B806" i="9"/>
  <c r="C806" i="9"/>
  <c r="B807" i="9"/>
  <c r="C807" i="9"/>
  <c r="B808" i="9"/>
  <c r="C808" i="9"/>
  <c r="B809" i="9"/>
  <c r="C809" i="9"/>
  <c r="B810" i="9"/>
  <c r="C810" i="9"/>
  <c r="B811" i="9"/>
  <c r="C811" i="9"/>
  <c r="B812" i="9"/>
  <c r="C812" i="9"/>
  <c r="B813" i="9"/>
  <c r="C813" i="9"/>
  <c r="B814" i="9"/>
  <c r="C814" i="9"/>
  <c r="B815" i="9"/>
  <c r="C815" i="9"/>
  <c r="B816" i="9"/>
  <c r="C816" i="9"/>
  <c r="B817" i="9"/>
  <c r="C817" i="9"/>
  <c r="B818" i="9"/>
  <c r="C818" i="9"/>
  <c r="B821" i="9"/>
  <c r="C821" i="9"/>
  <c r="B822" i="9"/>
  <c r="C822" i="9"/>
  <c r="B823" i="9"/>
  <c r="C823" i="9"/>
  <c r="B824" i="9"/>
  <c r="C824" i="9"/>
  <c r="B825" i="9"/>
  <c r="C825" i="9"/>
  <c r="B826" i="9"/>
  <c r="C826" i="9"/>
  <c r="B827" i="9"/>
  <c r="C827" i="9"/>
  <c r="B828" i="9"/>
  <c r="C828" i="9"/>
  <c r="B829" i="9"/>
  <c r="C829" i="9"/>
  <c r="B830" i="9"/>
  <c r="C830" i="9"/>
  <c r="B831" i="9"/>
  <c r="C831" i="9"/>
  <c r="B832" i="9"/>
  <c r="C832" i="9"/>
  <c r="B833" i="9"/>
  <c r="C833" i="9"/>
  <c r="B834" i="9"/>
  <c r="C834" i="9"/>
  <c r="B835" i="9"/>
  <c r="C835" i="9"/>
  <c r="B836" i="9"/>
  <c r="C836" i="9"/>
  <c r="B837" i="9"/>
  <c r="C837" i="9"/>
  <c r="B838" i="9"/>
  <c r="C838" i="9"/>
  <c r="B839" i="9"/>
  <c r="C839" i="9"/>
  <c r="B840" i="9"/>
  <c r="C840" i="9"/>
  <c r="B841" i="9"/>
  <c r="C841" i="9"/>
  <c r="B842" i="9"/>
  <c r="C842" i="9"/>
  <c r="B843" i="9"/>
  <c r="C843" i="9"/>
  <c r="B844" i="9"/>
  <c r="C844" i="9"/>
  <c r="B845" i="9"/>
  <c r="C845" i="9"/>
  <c r="B846" i="9"/>
  <c r="C846" i="9"/>
  <c r="B849" i="9"/>
  <c r="C849" i="9"/>
  <c r="B850" i="9"/>
  <c r="C850" i="9"/>
  <c r="B851" i="9"/>
  <c r="C851" i="9"/>
  <c r="B852" i="9"/>
  <c r="C852" i="9"/>
  <c r="B853" i="9"/>
  <c r="C853" i="9"/>
  <c r="B854" i="9"/>
  <c r="C854" i="9"/>
  <c r="B855" i="9"/>
  <c r="C855" i="9"/>
  <c r="B856" i="9"/>
  <c r="C856" i="9"/>
  <c r="B857" i="9"/>
  <c r="C857" i="9"/>
  <c r="B858" i="9"/>
  <c r="C858" i="9"/>
  <c r="B859" i="9"/>
  <c r="C859" i="9"/>
  <c r="B860" i="9"/>
  <c r="C860" i="9"/>
  <c r="B861" i="9"/>
  <c r="C861" i="9"/>
  <c r="B862" i="9"/>
  <c r="C862" i="9"/>
  <c r="B863" i="9"/>
  <c r="C863" i="9"/>
  <c r="B864" i="9"/>
  <c r="C864" i="9"/>
  <c r="B865" i="9"/>
  <c r="C865" i="9"/>
  <c r="B866" i="9"/>
  <c r="C866" i="9"/>
  <c r="B867" i="9"/>
  <c r="C867" i="9"/>
  <c r="B868" i="9"/>
  <c r="C868" i="9"/>
  <c r="B869" i="9"/>
  <c r="C869" i="9"/>
  <c r="B870" i="9"/>
  <c r="C870" i="9"/>
  <c r="B871" i="9"/>
  <c r="C871" i="9"/>
  <c r="B872" i="9"/>
  <c r="C872" i="9"/>
  <c r="B873" i="9"/>
  <c r="C873" i="9"/>
  <c r="B874" i="9"/>
  <c r="C874" i="9"/>
  <c r="B875" i="9"/>
  <c r="C875" i="9"/>
  <c r="B878" i="9"/>
  <c r="C878" i="9"/>
  <c r="B879" i="9"/>
  <c r="C879" i="9"/>
  <c r="B880" i="9"/>
  <c r="C880" i="9"/>
  <c r="B881" i="9"/>
  <c r="C881" i="9"/>
  <c r="B882" i="9"/>
  <c r="C882" i="9"/>
  <c r="B883" i="9"/>
  <c r="C883" i="9"/>
  <c r="B884" i="9"/>
  <c r="C884" i="9"/>
  <c r="B885" i="9"/>
  <c r="C885" i="9"/>
  <c r="B886" i="9"/>
  <c r="C886" i="9"/>
  <c r="B887" i="9"/>
  <c r="C887" i="9"/>
  <c r="B888" i="9"/>
  <c r="C888" i="9"/>
  <c r="B889" i="9"/>
  <c r="C889" i="9"/>
  <c r="B890" i="9"/>
  <c r="C890" i="9"/>
  <c r="B891" i="9"/>
  <c r="C891" i="9"/>
  <c r="B892" i="9"/>
  <c r="C892" i="9"/>
  <c r="B893" i="9"/>
  <c r="C893" i="9"/>
  <c r="B894" i="9"/>
  <c r="C894" i="9"/>
  <c r="B895" i="9"/>
  <c r="C895" i="9"/>
  <c r="B896" i="9"/>
  <c r="C896" i="9"/>
  <c r="B897" i="9"/>
  <c r="C897" i="9"/>
  <c r="B898" i="9"/>
  <c r="C898" i="9"/>
  <c r="B899" i="9"/>
  <c r="C899" i="9"/>
  <c r="B900" i="9"/>
  <c r="C900" i="9"/>
  <c r="B901" i="9"/>
  <c r="C901" i="9"/>
  <c r="B902" i="9"/>
  <c r="C902" i="9"/>
  <c r="B903" i="9"/>
  <c r="C903" i="9"/>
  <c r="B904" i="9"/>
  <c r="C904" i="9"/>
  <c r="I293" i="2" l="1"/>
  <c r="E5" i="7"/>
  <c r="I5" i="7"/>
  <c r="E6" i="7"/>
  <c r="G6" i="7"/>
  <c r="I6" i="7"/>
  <c r="E7" i="7"/>
  <c r="G7" i="7" s="1"/>
  <c r="I7" i="7"/>
  <c r="E8" i="7"/>
  <c r="G8" i="7"/>
  <c r="I8" i="7"/>
  <c r="E9" i="7"/>
  <c r="I9" i="7" s="1"/>
  <c r="G9" i="7"/>
  <c r="E10" i="7"/>
  <c r="G10" i="7"/>
  <c r="I10" i="7"/>
  <c r="E11" i="7"/>
  <c r="G11" i="7" s="1"/>
  <c r="E12" i="7"/>
  <c r="G12" i="7"/>
  <c r="I12" i="7"/>
  <c r="E13" i="7"/>
  <c r="G13" i="7" s="1"/>
  <c r="I13" i="7"/>
  <c r="E14" i="7"/>
  <c r="G14" i="7"/>
  <c r="I14" i="7"/>
  <c r="E15" i="7"/>
  <c r="G15" i="7" s="1"/>
  <c r="I15" i="7"/>
  <c r="E16" i="7"/>
  <c r="G16" i="7"/>
  <c r="I16" i="7"/>
  <c r="E17" i="7"/>
  <c r="G17" i="7"/>
  <c r="I17" i="7"/>
  <c r="E18" i="7"/>
  <c r="G18" i="7"/>
  <c r="I18" i="7"/>
  <c r="E19" i="7"/>
  <c r="G19" i="7" s="1"/>
  <c r="I19" i="7"/>
  <c r="E20" i="7"/>
  <c r="G20" i="7"/>
  <c r="I20" i="7"/>
  <c r="E21" i="7"/>
  <c r="G21" i="7" s="1"/>
  <c r="I21" i="7"/>
  <c r="E22" i="7"/>
  <c r="G22" i="7" s="1"/>
  <c r="E23" i="7"/>
  <c r="G23" i="7" s="1"/>
  <c r="E24" i="7"/>
  <c r="G24" i="7"/>
  <c r="I24" i="7"/>
  <c r="E25" i="7"/>
  <c r="G25" i="7"/>
  <c r="I25" i="7"/>
  <c r="E26" i="7"/>
  <c r="G26" i="7"/>
  <c r="I26" i="7"/>
  <c r="E27" i="7"/>
  <c r="G27" i="7" s="1"/>
  <c r="I27" i="7"/>
  <c r="E28" i="7"/>
  <c r="G28" i="7"/>
  <c r="I28" i="7"/>
  <c r="E29" i="7"/>
  <c r="G29" i="7"/>
  <c r="I29" i="7"/>
  <c r="I31" i="7"/>
  <c r="I32" i="7"/>
  <c r="I33" i="7"/>
  <c r="I34" i="7"/>
  <c r="I35" i="7"/>
  <c r="I36" i="7"/>
  <c r="G37" i="7"/>
  <c r="I37" i="7"/>
  <c r="G38" i="7"/>
  <c r="I38" i="7"/>
  <c r="C40" i="7"/>
  <c r="D40" i="7"/>
  <c r="I23" i="7" l="1"/>
  <c r="I22" i="7"/>
  <c r="I11" i="7"/>
  <c r="G5" i="7"/>
  <c r="G40" i="7" s="1"/>
  <c r="I159" i="2" l="1"/>
  <c r="I31" i="2"/>
  <c r="I271" i="2"/>
  <c r="I30" i="2"/>
  <c r="I575" i="2"/>
  <c r="I49" i="2" l="1"/>
  <c r="I158" i="2"/>
  <c r="I556" i="2"/>
  <c r="I440" i="2"/>
  <c r="I329" i="2" l="1"/>
  <c r="I75" i="2"/>
  <c r="I74" i="2"/>
  <c r="I73" i="2"/>
  <c r="I312" i="2"/>
  <c r="I231" i="2" l="1"/>
  <c r="I157" i="2"/>
  <c r="I156" i="2"/>
  <c r="I155" i="2"/>
  <c r="I154" i="2"/>
  <c r="I574" i="2"/>
  <c r="I267" i="2"/>
  <c r="I636" i="2"/>
  <c r="I635" i="2"/>
  <c r="I189" i="2"/>
  <c r="I96" i="2"/>
  <c r="O3" i="5" l="1"/>
  <c r="V3" i="5"/>
  <c r="AC3" i="5"/>
  <c r="AJ3" i="5"/>
  <c r="O4" i="5"/>
  <c r="V4" i="5"/>
  <c r="AC4" i="5"/>
  <c r="AJ4" i="5"/>
  <c r="O5" i="5"/>
  <c r="V5" i="5"/>
  <c r="AC5" i="5"/>
  <c r="AJ5" i="5"/>
  <c r="O6" i="5"/>
  <c r="V6" i="5"/>
  <c r="AC6" i="5"/>
  <c r="AJ6" i="5"/>
  <c r="O7" i="5"/>
  <c r="V7" i="5"/>
  <c r="AC7" i="5"/>
  <c r="AJ7" i="5"/>
  <c r="O8" i="5"/>
  <c r="V8" i="5"/>
  <c r="AC8" i="5"/>
  <c r="AJ8" i="5"/>
  <c r="O9" i="5"/>
  <c r="V9" i="5"/>
  <c r="AC9" i="5"/>
  <c r="AJ9" i="5"/>
  <c r="O10" i="5"/>
  <c r="V10" i="5"/>
  <c r="AC10" i="5"/>
  <c r="AJ10" i="5"/>
  <c r="O11" i="5"/>
  <c r="V11" i="5"/>
  <c r="AC11" i="5"/>
  <c r="AJ11" i="5"/>
  <c r="O12" i="5"/>
  <c r="V12" i="5"/>
  <c r="AC12" i="5"/>
  <c r="AJ12" i="5"/>
  <c r="O13" i="5"/>
  <c r="V13" i="5"/>
  <c r="AC13" i="5"/>
  <c r="AJ13" i="5"/>
  <c r="O14" i="5"/>
  <c r="V14" i="5"/>
  <c r="AC14" i="5"/>
  <c r="AJ14" i="5"/>
  <c r="O15" i="5"/>
  <c r="V15" i="5"/>
  <c r="AC15" i="5"/>
  <c r="AJ15" i="5"/>
  <c r="O16" i="5"/>
  <c r="V16" i="5"/>
  <c r="AC16" i="5"/>
  <c r="AJ16" i="5"/>
  <c r="O17" i="5"/>
  <c r="V17" i="5"/>
  <c r="AC17" i="5"/>
  <c r="AJ17" i="5"/>
  <c r="O18" i="5"/>
  <c r="V18" i="5"/>
  <c r="AC18" i="5"/>
  <c r="AJ18" i="5"/>
  <c r="O19" i="5"/>
  <c r="V19" i="5"/>
  <c r="AC19" i="5"/>
  <c r="AJ19" i="5"/>
  <c r="O20" i="5"/>
  <c r="V20" i="5"/>
  <c r="AC20" i="5"/>
  <c r="AJ20" i="5"/>
  <c r="O21" i="5"/>
  <c r="V21" i="5"/>
  <c r="AC21" i="5"/>
  <c r="AJ21" i="5"/>
  <c r="O22" i="5"/>
  <c r="V22" i="5"/>
  <c r="AC22" i="5"/>
  <c r="AJ22" i="5"/>
  <c r="O23" i="5"/>
  <c r="V23" i="5"/>
  <c r="AC23" i="5"/>
  <c r="AJ23" i="5"/>
  <c r="O24" i="5"/>
  <c r="V24" i="5"/>
  <c r="AC24" i="5"/>
  <c r="AJ24" i="5"/>
  <c r="O25" i="5"/>
  <c r="V25" i="5"/>
  <c r="AC25" i="5"/>
  <c r="AJ25" i="5"/>
  <c r="O26" i="5"/>
  <c r="V26" i="5"/>
  <c r="AC26" i="5"/>
  <c r="AJ26" i="5"/>
  <c r="O27" i="5"/>
  <c r="V27" i="5"/>
  <c r="AC27" i="5"/>
  <c r="AJ27" i="5"/>
  <c r="O28" i="5"/>
  <c r="V28" i="5"/>
  <c r="AC28" i="5"/>
  <c r="AJ28" i="5"/>
  <c r="O29" i="5"/>
  <c r="V29" i="5"/>
  <c r="AC29" i="5"/>
  <c r="AJ29" i="5"/>
  <c r="O30" i="5"/>
  <c r="V30" i="5"/>
  <c r="AC30" i="5"/>
  <c r="AJ30" i="5"/>
  <c r="O31" i="5"/>
  <c r="V31" i="5"/>
  <c r="AC31" i="5"/>
  <c r="AJ31" i="5"/>
  <c r="O32" i="5"/>
  <c r="V32" i="5"/>
  <c r="AC32" i="5"/>
  <c r="AJ32" i="5"/>
  <c r="O33" i="5"/>
  <c r="V33" i="5"/>
  <c r="AC33" i="5"/>
  <c r="AJ33" i="5"/>
  <c r="O34" i="5"/>
  <c r="V34" i="5"/>
  <c r="AC34" i="5"/>
  <c r="AJ34" i="5"/>
  <c r="O35" i="5"/>
  <c r="V35" i="5"/>
  <c r="AC35" i="5"/>
  <c r="AJ35" i="5"/>
  <c r="O36" i="5"/>
  <c r="V36" i="5"/>
  <c r="AC36" i="5"/>
  <c r="AJ36" i="5"/>
  <c r="O37" i="5"/>
  <c r="V37" i="5"/>
  <c r="AC37" i="5"/>
  <c r="AJ37" i="5"/>
  <c r="O38" i="5"/>
  <c r="V38" i="5"/>
  <c r="AC38" i="5"/>
  <c r="AJ38" i="5"/>
  <c r="O39" i="5"/>
  <c r="V39" i="5"/>
  <c r="AC39" i="5"/>
  <c r="AJ39" i="5"/>
  <c r="O40" i="5"/>
  <c r="V40" i="5"/>
  <c r="AC40" i="5"/>
  <c r="AJ40" i="5"/>
  <c r="O41" i="5"/>
  <c r="V41" i="5"/>
  <c r="AC41" i="5"/>
  <c r="AJ41" i="5"/>
  <c r="O42" i="5"/>
  <c r="V42" i="5"/>
  <c r="AC42" i="5"/>
  <c r="AJ42" i="5"/>
  <c r="O43" i="5"/>
  <c r="V43" i="5"/>
  <c r="AC43" i="5"/>
  <c r="AJ43" i="5"/>
  <c r="O44" i="5"/>
  <c r="V44" i="5"/>
  <c r="AC44" i="5"/>
  <c r="AJ44" i="5"/>
  <c r="O45" i="5"/>
  <c r="V45" i="5"/>
  <c r="AC45" i="5"/>
  <c r="AJ45" i="5"/>
  <c r="O46" i="5"/>
  <c r="V46" i="5"/>
  <c r="AC46" i="5"/>
  <c r="AJ46" i="5"/>
  <c r="O47" i="5"/>
  <c r="V47" i="5"/>
  <c r="AC47" i="5"/>
  <c r="AJ47" i="5"/>
  <c r="O48" i="5"/>
  <c r="V48" i="5"/>
  <c r="AC48" i="5"/>
  <c r="AJ48" i="5"/>
  <c r="O49" i="5"/>
  <c r="V49" i="5"/>
  <c r="AC49" i="5"/>
  <c r="AJ49" i="5"/>
  <c r="O50" i="5"/>
  <c r="V50" i="5"/>
  <c r="AC50" i="5"/>
  <c r="AJ50" i="5"/>
  <c r="O51" i="5"/>
  <c r="V51" i="5"/>
  <c r="AC51" i="5"/>
  <c r="AJ51" i="5"/>
  <c r="O52" i="5"/>
  <c r="V52" i="5"/>
  <c r="AC52" i="5"/>
  <c r="AJ52" i="5"/>
  <c r="O53" i="5"/>
  <c r="V53" i="5"/>
  <c r="AC53" i="5"/>
  <c r="AJ53" i="5"/>
  <c r="O54" i="5"/>
  <c r="V54" i="5"/>
  <c r="AC54" i="5"/>
  <c r="AJ54" i="5"/>
  <c r="O55" i="5"/>
  <c r="V55" i="5"/>
  <c r="AC55" i="5"/>
  <c r="AJ55" i="5"/>
  <c r="O56" i="5"/>
  <c r="V56" i="5"/>
  <c r="AC56" i="5"/>
  <c r="AJ56" i="5"/>
  <c r="O57" i="5"/>
  <c r="V57" i="5"/>
  <c r="AC57" i="5"/>
  <c r="AJ57" i="5"/>
  <c r="O58" i="5"/>
  <c r="V58" i="5"/>
  <c r="AC58" i="5"/>
  <c r="AJ58" i="5"/>
  <c r="O59" i="5"/>
  <c r="V59" i="5"/>
  <c r="AC59" i="5"/>
  <c r="AJ59" i="5"/>
  <c r="O60" i="5"/>
  <c r="V60" i="5"/>
  <c r="AC60" i="5"/>
  <c r="AJ60" i="5"/>
  <c r="O61" i="5"/>
  <c r="V61" i="5"/>
  <c r="AC61" i="5"/>
  <c r="AJ61" i="5"/>
  <c r="O73" i="5"/>
  <c r="V73" i="5"/>
  <c r="AC73" i="5"/>
  <c r="AJ73" i="5"/>
  <c r="O74" i="5"/>
  <c r="V74" i="5"/>
  <c r="AC74" i="5"/>
  <c r="AJ74" i="5"/>
  <c r="AP3" i="5" l="1"/>
  <c r="AK47" i="5"/>
  <c r="AK15" i="5"/>
  <c r="AK30" i="5"/>
  <c r="AK45" i="5"/>
  <c r="AK61" i="5"/>
  <c r="AK41" i="5"/>
  <c r="AK21" i="5"/>
  <c r="AK49" i="5"/>
  <c r="AK4" i="5"/>
  <c r="AK8" i="5"/>
  <c r="AK44" i="5"/>
  <c r="AK23" i="5"/>
  <c r="AK7" i="5"/>
  <c r="AK40" i="5"/>
  <c r="AK27" i="5"/>
  <c r="AK11" i="5"/>
  <c r="AK25" i="5"/>
  <c r="AK48" i="5"/>
  <c r="AK12" i="5"/>
  <c r="AK56" i="5"/>
  <c r="AK60" i="5"/>
  <c r="AK31" i="5"/>
  <c r="AK42" i="5"/>
  <c r="AK74" i="5"/>
  <c r="AK17" i="5"/>
  <c r="AK37" i="5"/>
  <c r="AK33" i="5"/>
  <c r="AO3" i="5"/>
  <c r="AK20" i="5"/>
  <c r="AK16" i="5"/>
  <c r="AK43" i="5"/>
  <c r="AK19" i="5"/>
  <c r="AK36" i="5"/>
  <c r="AK24" i="5"/>
  <c r="AK51" i="5"/>
  <c r="AK35" i="5"/>
  <c r="AK58" i="5"/>
  <c r="AK57" i="5"/>
  <c r="AK5" i="5"/>
  <c r="AM3" i="5"/>
  <c r="AK22" i="5"/>
  <c r="AK6" i="5"/>
  <c r="AK13" i="5"/>
  <c r="AK73" i="5"/>
  <c r="AK53" i="5"/>
  <c r="AK32" i="5"/>
  <c r="AK28" i="5"/>
  <c r="AK55" i="5"/>
  <c r="AK39" i="5"/>
  <c r="AK54" i="5"/>
  <c r="AK18" i="5"/>
  <c r="AN3" i="5"/>
  <c r="AK14" i="5"/>
  <c r="AK9" i="5"/>
  <c r="AK29" i="5"/>
  <c r="AK52" i="5"/>
  <c r="AK59" i="5"/>
  <c r="AK50" i="5"/>
  <c r="AK38" i="5"/>
  <c r="AK34" i="5"/>
  <c r="AK26" i="5"/>
  <c r="AK10" i="5"/>
  <c r="AK46" i="5"/>
  <c r="AL3" i="5"/>
  <c r="I611" i="2" l="1"/>
  <c r="D591" i="3"/>
  <c r="A591" i="3" s="1"/>
  <c r="I122" i="2" l="1"/>
  <c r="I204" i="2"/>
  <c r="I146" i="2"/>
  <c r="I289" i="2"/>
  <c r="I27" i="2"/>
  <c r="A2" i="3" l="1"/>
  <c r="D4" i="3"/>
  <c r="D10" i="3"/>
  <c r="A10" i="3" s="1"/>
  <c r="D19" i="3"/>
  <c r="A19" i="3" s="1"/>
  <c r="D27" i="3"/>
  <c r="A27" i="3" s="1"/>
  <c r="D39" i="3"/>
  <c r="D46" i="3"/>
  <c r="A46" i="3" s="1"/>
  <c r="D54" i="3"/>
  <c r="A54" i="3" s="1"/>
  <c r="D61" i="3"/>
  <c r="A61" i="3" s="1"/>
  <c r="D69" i="3"/>
  <c r="D77" i="3"/>
  <c r="A77" i="3" s="1"/>
  <c r="D86" i="3"/>
  <c r="D95" i="3"/>
  <c r="A95" i="3" s="1"/>
  <c r="D104" i="3"/>
  <c r="A104" i="3" s="1"/>
  <c r="D111" i="3"/>
  <c r="A111" i="3" s="1"/>
  <c r="D128" i="3"/>
  <c r="A128" i="3" s="1"/>
  <c r="D135" i="3"/>
  <c r="A135" i="3" s="1"/>
  <c r="D142" i="3"/>
  <c r="A142" i="3" s="1"/>
  <c r="D150" i="3"/>
  <c r="A150" i="3" s="1"/>
  <c r="D161" i="3"/>
  <c r="D179" i="3"/>
  <c r="A179" i="3" s="1"/>
  <c r="D186" i="3"/>
  <c r="A186" i="3" s="1"/>
  <c r="D195" i="3"/>
  <c r="A195" i="3" s="1"/>
  <c r="D225" i="3"/>
  <c r="D232" i="3"/>
  <c r="A232" i="3" s="1"/>
  <c r="D240" i="3"/>
  <c r="A240" i="3" s="1"/>
  <c r="D247" i="3"/>
  <c r="A247" i="3" s="1"/>
  <c r="D256" i="3"/>
  <c r="A256" i="3" s="1"/>
  <c r="D264" i="3"/>
  <c r="A264" i="3" s="1"/>
  <c r="D271" i="3"/>
  <c r="A271" i="3" s="1"/>
  <c r="D281" i="3"/>
  <c r="A281" i="3" s="1"/>
  <c r="D288" i="3"/>
  <c r="A288" i="3" s="1"/>
  <c r="D296" i="3"/>
  <c r="A296" i="3" s="1"/>
  <c r="D304" i="3"/>
  <c r="A304" i="3" s="1"/>
  <c r="D311" i="3"/>
  <c r="A311" i="3" s="1"/>
  <c r="D319" i="3"/>
  <c r="A319" i="3" s="1"/>
  <c r="D329" i="3"/>
  <c r="A329" i="3" s="1"/>
  <c r="D335" i="3"/>
  <c r="A335" i="3" s="1"/>
  <c r="D342" i="3"/>
  <c r="A342" i="3" s="1"/>
  <c r="D351" i="3"/>
  <c r="A351" i="3" s="1"/>
  <c r="D359" i="3"/>
  <c r="A359" i="3" s="1"/>
  <c r="D368" i="3"/>
  <c r="A368" i="3" s="1"/>
  <c r="D376" i="3"/>
  <c r="A376" i="3" s="1"/>
  <c r="D385" i="3"/>
  <c r="A385" i="3" s="1"/>
  <c r="D394" i="3"/>
  <c r="A394" i="3" s="1"/>
  <c r="D401" i="3"/>
  <c r="A401" i="3" s="1"/>
  <c r="D418" i="3"/>
  <c r="A418" i="3" s="1"/>
  <c r="D426" i="3"/>
  <c r="A426" i="3" s="1"/>
  <c r="D433" i="3"/>
  <c r="A433" i="3" s="1"/>
  <c r="D440" i="3"/>
  <c r="A440" i="3" s="1"/>
  <c r="D448" i="3"/>
  <c r="A448" i="3" s="1"/>
  <c r="D457" i="3"/>
  <c r="A457" i="3" s="1"/>
  <c r="D468" i="3"/>
  <c r="A468" i="3" s="1"/>
  <c r="D476" i="3"/>
  <c r="A476" i="3" s="1"/>
  <c r="D484" i="3"/>
  <c r="A484" i="3" s="1"/>
  <c r="D492" i="3"/>
  <c r="A492" i="3" s="1"/>
  <c r="D499" i="3"/>
  <c r="A499" i="3" s="1"/>
  <c r="D506" i="3"/>
  <c r="A506" i="3" s="1"/>
  <c r="D514" i="3"/>
  <c r="A514" i="3" s="1"/>
  <c r="D524" i="3"/>
  <c r="A524" i="3" s="1"/>
  <c r="D534" i="3"/>
  <c r="A534" i="3" s="1"/>
  <c r="D542" i="3"/>
  <c r="A542" i="3" s="1"/>
  <c r="D550" i="3"/>
  <c r="A550" i="3" s="1"/>
  <c r="A558" i="3"/>
  <c r="D567" i="3"/>
  <c r="A567" i="3" s="1"/>
  <c r="D574" i="3"/>
  <c r="A574" i="3" s="1"/>
  <c r="D584" i="3"/>
  <c r="A584" i="3" s="1"/>
  <c r="A225" i="3" l="1"/>
  <c r="D226" i="3"/>
  <c r="A226" i="3" s="1"/>
  <c r="D162" i="3"/>
  <c r="A161" i="3"/>
  <c r="D70" i="3"/>
  <c r="A70" i="3" s="1"/>
  <c r="A69" i="3"/>
  <c r="D40" i="3"/>
  <c r="A39" i="3"/>
  <c r="D87" i="3"/>
  <c r="A87" i="3" s="1"/>
  <c r="A86" i="3"/>
  <c r="D5" i="3"/>
  <c r="A5" i="3" s="1"/>
  <c r="A4" i="3"/>
  <c r="D330" i="3"/>
  <c r="A330" i="3" s="1"/>
  <c r="D477" i="3"/>
  <c r="A477" i="3" s="1"/>
  <c r="D289" i="3"/>
  <c r="A289" i="3" s="1"/>
  <c r="D441" i="3"/>
  <c r="A441" i="3" s="1"/>
  <c r="D427" i="3"/>
  <c r="A427" i="3" s="1"/>
  <c r="D419" i="3"/>
  <c r="A419" i="3" s="1"/>
  <c r="D402" i="3"/>
  <c r="A402" i="3" s="1"/>
  <c r="D395" i="3"/>
  <c r="A395" i="3" s="1"/>
  <c r="D535" i="3"/>
  <c r="A535" i="3" s="1"/>
  <c r="D352" i="3"/>
  <c r="A352" i="3" s="1"/>
  <c r="D575" i="3"/>
  <c r="A575" i="3" s="1"/>
  <c r="D248" i="3"/>
  <c r="A248" i="3" s="1"/>
  <c r="D233" i="3"/>
  <c r="A233" i="3" s="1"/>
  <c r="D369" i="3"/>
  <c r="A369" i="3" s="1"/>
  <c r="D515" i="3"/>
  <c r="A515" i="3" s="1"/>
  <c r="D507" i="3"/>
  <c r="A507" i="3" s="1"/>
  <c r="D343" i="3"/>
  <c r="A343" i="3" s="1"/>
  <c r="D272" i="3"/>
  <c r="A272" i="3" s="1"/>
  <c r="D585" i="3"/>
  <c r="A585" i="3" s="1"/>
  <c r="D20" i="3"/>
  <c r="A20" i="3" s="1"/>
  <c r="D257" i="3"/>
  <c r="A257" i="3" s="1"/>
  <c r="D377" i="3"/>
  <c r="A377" i="3" s="1"/>
  <c r="D543" i="3"/>
  <c r="A543" i="3" s="1"/>
  <c r="D592" i="3"/>
  <c r="A592" i="3" s="1"/>
  <c r="D129" i="3"/>
  <c r="A129" i="3" s="1"/>
  <c r="D458" i="3"/>
  <c r="A458" i="3" s="1"/>
  <c r="D297" i="3"/>
  <c r="A297" i="3" s="1"/>
  <c r="D449" i="3"/>
  <c r="A449" i="3" s="1"/>
  <c r="D500" i="3"/>
  <c r="A500" i="3" s="1"/>
  <c r="D241" i="3"/>
  <c r="A241" i="3" s="1"/>
  <c r="D187" i="3"/>
  <c r="D265" i="3"/>
  <c r="A265" i="3" s="1"/>
  <c r="D215" i="3"/>
  <c r="A215" i="3" s="1"/>
  <c r="D11" i="3"/>
  <c r="A11" i="3" s="1"/>
  <c r="D525" i="3"/>
  <c r="A525" i="3" s="1"/>
  <c r="D227" i="3"/>
  <c r="A227" i="3" s="1"/>
  <c r="D47" i="3"/>
  <c r="A47" i="3" s="1"/>
  <c r="D180" i="3"/>
  <c r="A180" i="3" s="1"/>
  <c r="D78" i="3"/>
  <c r="A78" i="3" s="1"/>
  <c r="D493" i="3"/>
  <c r="A493" i="3" s="1"/>
  <c r="D71" i="3"/>
  <c r="D568" i="3"/>
  <c r="A568" i="3" s="1"/>
  <c r="D434" i="3"/>
  <c r="A434" i="3" s="1"/>
  <c r="D360" i="3"/>
  <c r="A360" i="3" s="1"/>
  <c r="D336" i="3"/>
  <c r="A336" i="3" s="1"/>
  <c r="D196" i="3"/>
  <c r="A196" i="3" s="1"/>
  <c r="D551" i="3"/>
  <c r="A551" i="3" s="1"/>
  <c r="D485" i="3"/>
  <c r="A485" i="3" s="1"/>
  <c r="D386" i="3"/>
  <c r="A386" i="3" s="1"/>
  <c r="D55" i="3"/>
  <c r="A55" i="3" s="1"/>
  <c r="D62" i="3"/>
  <c r="A62" i="3" s="1"/>
  <c r="D96" i="3"/>
  <c r="A96" i="3" s="1"/>
  <c r="D305" i="3"/>
  <c r="A305" i="3" s="1"/>
  <c r="D112" i="3"/>
  <c r="A112" i="3" s="1"/>
  <c r="D576" i="3"/>
  <c r="A576" i="3" s="1"/>
  <c r="D151" i="3"/>
  <c r="A151" i="3" s="1"/>
  <c r="D164" i="3"/>
  <c r="D469" i="3"/>
  <c r="A469" i="3" s="1"/>
  <c r="D28" i="3"/>
  <c r="A28" i="3" s="1"/>
  <c r="D143" i="3"/>
  <c r="A143" i="3" s="1"/>
  <c r="D321" i="3"/>
  <c r="A321" i="3" s="1"/>
  <c r="D559" i="3"/>
  <c r="A559" i="3" s="1"/>
  <c r="D282" i="3"/>
  <c r="A282" i="3" s="1"/>
  <c r="D136" i="3"/>
  <c r="A136" i="3" s="1"/>
  <c r="D312" i="3"/>
  <c r="A312" i="3" s="1"/>
  <c r="D88" i="3"/>
  <c r="A88" i="3" s="1"/>
  <c r="D331" i="3"/>
  <c r="A331" i="3" s="1"/>
  <c r="D105" i="3"/>
  <c r="A105" i="3" s="1"/>
  <c r="A162" i="3" l="1"/>
  <c r="D163" i="3"/>
  <c r="D165" i="3" s="1"/>
  <c r="A163" i="3"/>
  <c r="D166" i="3"/>
  <c r="D41" i="3"/>
  <c r="A40" i="3"/>
  <c r="D72" i="3"/>
  <c r="A71" i="3"/>
  <c r="D188" i="3"/>
  <c r="A188" i="3" s="1"/>
  <c r="A187" i="3"/>
  <c r="D353" i="3"/>
  <c r="A353" i="3" s="1"/>
  <c r="D6" i="3"/>
  <c r="A6" i="3" s="1"/>
  <c r="D290" i="3"/>
  <c r="A290" i="3" s="1"/>
  <c r="D370" i="3"/>
  <c r="A370" i="3" s="1"/>
  <c r="D249" i="3"/>
  <c r="A249" i="3" s="1"/>
  <c r="D234" i="3"/>
  <c r="A234" i="3" s="1"/>
  <c r="D420" i="3"/>
  <c r="A420" i="3" s="1"/>
  <c r="D494" i="3"/>
  <c r="A494" i="3" s="1"/>
  <c r="D536" i="3"/>
  <c r="A536" i="3" s="1"/>
  <c r="D403" i="3"/>
  <c r="A403" i="3" s="1"/>
  <c r="D501" i="3"/>
  <c r="A501" i="3" s="1"/>
  <c r="D344" i="3"/>
  <c r="A344" i="3" s="1"/>
  <c r="D516" i="3"/>
  <c r="A516" i="3" s="1"/>
  <c r="D586" i="3"/>
  <c r="A586" i="3" s="1"/>
  <c r="D273" i="3"/>
  <c r="A273" i="3" s="1"/>
  <c r="D396" i="3"/>
  <c r="A396" i="3" s="1"/>
  <c r="D450" i="3"/>
  <c r="A450" i="3" s="1"/>
  <c r="D459" i="3"/>
  <c r="A459" i="3" s="1"/>
  <c r="D21" i="3"/>
  <c r="D478" i="3"/>
  <c r="A478" i="3" s="1"/>
  <c r="D526" i="3"/>
  <c r="A526" i="3" s="1"/>
  <c r="D428" i="3"/>
  <c r="A428" i="3" s="1"/>
  <c r="D508" i="3"/>
  <c r="A508" i="3" s="1"/>
  <c r="D552" i="3"/>
  <c r="A552" i="3" s="1"/>
  <c r="D258" i="3"/>
  <c r="A258" i="3" s="1"/>
  <c r="D442" i="3"/>
  <c r="A442" i="3" s="1"/>
  <c r="D378" i="3"/>
  <c r="A378" i="3" s="1"/>
  <c r="D593" i="3"/>
  <c r="A593" i="3" s="1"/>
  <c r="D298" i="3"/>
  <c r="A298" i="3" s="1"/>
  <c r="D544" i="3"/>
  <c r="A544" i="3" s="1"/>
  <c r="D266" i="3"/>
  <c r="A266" i="3" s="1"/>
  <c r="D216" i="3"/>
  <c r="A216" i="3" s="1"/>
  <c r="D130" i="3"/>
  <c r="A130" i="3" s="1"/>
  <c r="D12" i="3"/>
  <c r="A12" i="3" s="1"/>
  <c r="D242" i="3"/>
  <c r="A242" i="3" s="1"/>
  <c r="D79" i="3"/>
  <c r="A79" i="3" s="1"/>
  <c r="D48" i="3"/>
  <c r="A48" i="3" s="1"/>
  <c r="D228" i="3"/>
  <c r="A228" i="3" s="1"/>
  <c r="D181" i="3"/>
  <c r="A181" i="3" s="1"/>
  <c r="D337" i="3"/>
  <c r="A337" i="3" s="1"/>
  <c r="D361" i="3"/>
  <c r="A361" i="3" s="1"/>
  <c r="D56" i="3"/>
  <c r="A56" i="3" s="1"/>
  <c r="D435" i="3"/>
  <c r="A435" i="3" s="1"/>
  <c r="D387" i="3"/>
  <c r="A387" i="3" s="1"/>
  <c r="D569" i="3"/>
  <c r="A569" i="3" s="1"/>
  <c r="D197" i="3"/>
  <c r="A197" i="3" s="1"/>
  <c r="D486" i="3"/>
  <c r="A486" i="3" s="1"/>
  <c r="D487" i="3"/>
  <c r="A487" i="3" s="1"/>
  <c r="D97" i="3"/>
  <c r="A97" i="3" s="1"/>
  <c r="D63" i="3"/>
  <c r="A63" i="3" s="1"/>
  <c r="D89" i="3"/>
  <c r="A89" i="3" s="1"/>
  <c r="D560" i="3"/>
  <c r="A560" i="3" s="1"/>
  <c r="D113" i="3"/>
  <c r="A113" i="3" s="1"/>
  <c r="D313" i="3"/>
  <c r="A313" i="3" s="1"/>
  <c r="D144" i="3"/>
  <c r="A144" i="3" s="1"/>
  <c r="D306" i="3"/>
  <c r="A306" i="3" s="1"/>
  <c r="D106" i="3"/>
  <c r="A106" i="3" s="1"/>
  <c r="D322" i="3"/>
  <c r="A322" i="3" s="1"/>
  <c r="D29" i="3"/>
  <c r="A29" i="3" s="1"/>
  <c r="D152" i="3"/>
  <c r="A152" i="3" s="1"/>
  <c r="D283" i="3"/>
  <c r="A283" i="3" s="1"/>
  <c r="D332" i="3"/>
  <c r="A332" i="3" s="1"/>
  <c r="D137" i="3"/>
  <c r="A137" i="3" s="1"/>
  <c r="D470" i="3"/>
  <c r="A470" i="3" s="1"/>
  <c r="D577" i="3"/>
  <c r="A577" i="3" s="1"/>
  <c r="A165" i="3" l="1"/>
  <c r="A164" i="3"/>
  <c r="D189" i="3"/>
  <c r="A189" i="3" s="1"/>
  <c r="D250" i="3"/>
  <c r="A250" i="3" s="1"/>
  <c r="D291" i="3"/>
  <c r="A291" i="3" s="1"/>
  <c r="D371" i="3"/>
  <c r="A371" i="3" s="1"/>
  <c r="D587" i="3"/>
  <c r="A587" i="3" s="1"/>
  <c r="D509" i="3"/>
  <c r="A509" i="3" s="1"/>
  <c r="D73" i="3"/>
  <c r="A72" i="3"/>
  <c r="D7" i="3"/>
  <c r="A7" i="3" s="1"/>
  <c r="D354" i="3"/>
  <c r="A354" i="3" s="1"/>
  <c r="D443" i="3"/>
  <c r="A443" i="3" s="1"/>
  <c r="D22" i="3"/>
  <c r="A22" i="3" s="1"/>
  <c r="A21" i="3"/>
  <c r="D42" i="3"/>
  <c r="A41" i="3"/>
  <c r="D235" i="3"/>
  <c r="A235" i="3" s="1"/>
  <c r="D495" i="3"/>
  <c r="A495" i="3" s="1"/>
  <c r="D421" i="3"/>
  <c r="A421" i="3" s="1"/>
  <c r="D379" i="3"/>
  <c r="A379" i="3" s="1"/>
  <c r="D404" i="3"/>
  <c r="A404" i="3" s="1"/>
  <c r="D553" i="3"/>
  <c r="A553" i="3" s="1"/>
  <c r="D274" i="3"/>
  <c r="A274" i="3" s="1"/>
  <c r="D460" i="3"/>
  <c r="A460" i="3" s="1"/>
  <c r="D594" i="3"/>
  <c r="A594" i="3" s="1"/>
  <c r="D345" i="3"/>
  <c r="A345" i="3" s="1"/>
  <c r="D479" i="3"/>
  <c r="A479" i="3" s="1"/>
  <c r="D299" i="3"/>
  <c r="A299" i="3" s="1"/>
  <c r="D451" i="3"/>
  <c r="A451" i="3" s="1"/>
  <c r="D502" i="3"/>
  <c r="A502" i="3" s="1"/>
  <c r="D537" i="3"/>
  <c r="A537" i="3" s="1"/>
  <c r="D259" i="3"/>
  <c r="A259" i="3" s="1"/>
  <c r="D517" i="3"/>
  <c r="A517" i="3" s="1"/>
  <c r="D527" i="3"/>
  <c r="A527" i="3" s="1"/>
  <c r="D429" i="3"/>
  <c r="A429" i="3" s="1"/>
  <c r="D397" i="3"/>
  <c r="A397" i="3" s="1"/>
  <c r="D217" i="3"/>
  <c r="A217" i="3" s="1"/>
  <c r="D388" i="3"/>
  <c r="A388" i="3" s="1"/>
  <c r="D398" i="3"/>
  <c r="A398" i="3" s="1"/>
  <c r="D545" i="3"/>
  <c r="A545" i="3" s="1"/>
  <c r="D13" i="3"/>
  <c r="A13" i="3" s="1"/>
  <c r="D131" i="3"/>
  <c r="A131" i="3" s="1"/>
  <c r="D267" i="3"/>
  <c r="A267" i="3" s="1"/>
  <c r="D243" i="3"/>
  <c r="A243" i="3" s="1"/>
  <c r="D182" i="3"/>
  <c r="A182" i="3" s="1"/>
  <c r="D229" i="3"/>
  <c r="A229" i="3" s="1"/>
  <c r="D80" i="3"/>
  <c r="A80" i="3" s="1"/>
  <c r="D49" i="3"/>
  <c r="A49" i="3" s="1"/>
  <c r="D198" i="3"/>
  <c r="A198" i="3" s="1"/>
  <c r="D57" i="3"/>
  <c r="A57" i="3" s="1"/>
  <c r="D362" i="3"/>
  <c r="A362" i="3" s="1"/>
  <c r="D488" i="3"/>
  <c r="A488" i="3" s="1"/>
  <c r="D251" i="3"/>
  <c r="A251" i="3" s="1"/>
  <c r="D436" i="3"/>
  <c r="A436" i="3" s="1"/>
  <c r="D570" i="3"/>
  <c r="A570" i="3" s="1"/>
  <c r="D338" i="3"/>
  <c r="A338" i="3" s="1"/>
  <c r="D323" i="3"/>
  <c r="A323" i="3" s="1"/>
  <c r="D145" i="3"/>
  <c r="A145" i="3" s="1"/>
  <c r="D561" i="3"/>
  <c r="A561" i="3" s="1"/>
  <c r="D90" i="3"/>
  <c r="A90" i="3" s="1"/>
  <c r="D578" i="3"/>
  <c r="A578" i="3" s="1"/>
  <c r="D64" i="3"/>
  <c r="A64" i="3" s="1"/>
  <c r="D138" i="3"/>
  <c r="A138" i="3" s="1"/>
  <c r="D284" i="3"/>
  <c r="A284" i="3" s="1"/>
  <c r="D153" i="3"/>
  <c r="A153" i="3" s="1"/>
  <c r="D98" i="3"/>
  <c r="A98" i="3" s="1"/>
  <c r="D167" i="3"/>
  <c r="D168" i="3" s="1"/>
  <c r="A168" i="3" s="1"/>
  <c r="D314" i="3"/>
  <c r="A314" i="3" s="1"/>
  <c r="D114" i="3"/>
  <c r="A114" i="3" s="1"/>
  <c r="D30" i="3"/>
  <c r="D107" i="3"/>
  <c r="D307" i="3"/>
  <c r="A307" i="3" s="1"/>
  <c r="D333" i="3"/>
  <c r="A333" i="3" s="1"/>
  <c r="D471" i="3"/>
  <c r="A471" i="3" s="1"/>
  <c r="D275" i="3"/>
  <c r="A275" i="3" s="1"/>
  <c r="A167" i="3" l="1"/>
  <c r="A166" i="3"/>
  <c r="D292" i="3"/>
  <c r="A292" i="3" s="1"/>
  <c r="D372" i="3"/>
  <c r="A372" i="3" s="1"/>
  <c r="D190" i="3"/>
  <c r="A190" i="3" s="1"/>
  <c r="D422" i="3"/>
  <c r="A422" i="3" s="1"/>
  <c r="D554" i="3"/>
  <c r="A554" i="3" s="1"/>
  <c r="D236" i="3"/>
  <c r="A236" i="3" s="1"/>
  <c r="D355" i="3"/>
  <c r="A355" i="3" s="1"/>
  <c r="D380" i="3"/>
  <c r="A380" i="3" s="1"/>
  <c r="D496" i="3"/>
  <c r="A496" i="3" s="1"/>
  <c r="D405" i="3"/>
  <c r="A405" i="3" s="1"/>
  <c r="D588" i="3"/>
  <c r="A588" i="3" s="1"/>
  <c r="D108" i="3"/>
  <c r="A108" i="3" s="1"/>
  <c r="A107" i="3"/>
  <c r="D23" i="3"/>
  <c r="A23" i="3" s="1"/>
  <c r="D595" i="3"/>
  <c r="A595" i="3" s="1"/>
  <c r="D31" i="3"/>
  <c r="A31" i="3" s="1"/>
  <c r="A30" i="3"/>
  <c r="A73" i="3"/>
  <c r="D74" i="3"/>
  <c r="D8" i="3"/>
  <c r="A8" i="3" s="1"/>
  <c r="D510" i="3"/>
  <c r="A510" i="3" s="1"/>
  <c r="D444" i="3"/>
  <c r="A42" i="3"/>
  <c r="D43" i="3"/>
  <c r="D518" i="3"/>
  <c r="A518" i="3" s="1"/>
  <c r="D452" i="3"/>
  <c r="A452" i="3" s="1"/>
  <c r="D480" i="3"/>
  <c r="A480" i="3" s="1"/>
  <c r="D300" i="3"/>
  <c r="A300" i="3" s="1"/>
  <c r="D430" i="3"/>
  <c r="A430" i="3" s="1"/>
  <c r="D538" i="3"/>
  <c r="A538" i="3" s="1"/>
  <c r="D503" i="3"/>
  <c r="A503" i="3" s="1"/>
  <c r="D260" i="3"/>
  <c r="A260" i="3" s="1"/>
  <c r="D346" i="3"/>
  <c r="A346" i="3" s="1"/>
  <c r="D528" i="3"/>
  <c r="A528" i="3" s="1"/>
  <c r="D461" i="3"/>
  <c r="A461" i="3" s="1"/>
  <c r="D389" i="3"/>
  <c r="A389" i="3" s="1"/>
  <c r="D218" i="3"/>
  <c r="D373" i="3"/>
  <c r="A373" i="3" s="1"/>
  <c r="D14" i="3"/>
  <c r="A14" i="3" s="1"/>
  <c r="D546" i="3"/>
  <c r="A546" i="3" s="1"/>
  <c r="D399" i="3"/>
  <c r="A399" i="3" s="1"/>
  <c r="D268" i="3"/>
  <c r="A268" i="3" s="1"/>
  <c r="D132" i="3"/>
  <c r="A132" i="3" s="1"/>
  <c r="D191" i="3"/>
  <c r="A191" i="3" s="1"/>
  <c r="D244" i="3"/>
  <c r="A244" i="3" s="1"/>
  <c r="D230" i="3"/>
  <c r="A230" i="3" s="1"/>
  <c r="D50" i="3"/>
  <c r="A50" i="3" s="1"/>
  <c r="D81" i="3"/>
  <c r="A81" i="3" s="1"/>
  <c r="D183" i="3"/>
  <c r="A183" i="3" s="1"/>
  <c r="D489" i="3"/>
  <c r="A489" i="3" s="1"/>
  <c r="D58" i="3"/>
  <c r="A58" i="3" s="1"/>
  <c r="D571" i="3"/>
  <c r="A571" i="3" s="1"/>
  <c r="D199" i="3"/>
  <c r="A199" i="3" s="1"/>
  <c r="D252" i="3"/>
  <c r="A252" i="3" s="1"/>
  <c r="D363" i="3"/>
  <c r="A363" i="3" s="1"/>
  <c r="D339" i="3"/>
  <c r="A339" i="3" s="1"/>
  <c r="D437" i="3"/>
  <c r="A437" i="3" s="1"/>
  <c r="D276" i="3"/>
  <c r="A276" i="3" s="1"/>
  <c r="D99" i="3"/>
  <c r="A99" i="3" s="1"/>
  <c r="D562" i="3"/>
  <c r="A562" i="3" s="1"/>
  <c r="D146" i="3"/>
  <c r="A146" i="3" s="1"/>
  <c r="D308" i="3"/>
  <c r="A308" i="3" s="1"/>
  <c r="D293" i="3"/>
  <c r="A293" i="3" s="1"/>
  <c r="D65" i="3"/>
  <c r="A65" i="3" s="1"/>
  <c r="D315" i="3"/>
  <c r="A315" i="3" s="1"/>
  <c r="D156" i="3"/>
  <c r="A156" i="3" s="1"/>
  <c r="D579" i="3"/>
  <c r="A579" i="3" s="1"/>
  <c r="D91" i="3"/>
  <c r="A91" i="3" s="1"/>
  <c r="D115" i="3"/>
  <c r="A115" i="3" s="1"/>
  <c r="D472" i="3"/>
  <c r="A472" i="3" s="1"/>
  <c r="D356" i="3"/>
  <c r="A356" i="3" s="1"/>
  <c r="D497" i="3"/>
  <c r="A497" i="3" s="1"/>
  <c r="D139" i="3"/>
  <c r="A139" i="3" s="1"/>
  <c r="D285" i="3"/>
  <c r="A285" i="3" s="1"/>
  <c r="D324" i="3"/>
  <c r="A324" i="3" s="1"/>
  <c r="I202" i="2"/>
  <c r="I1" i="2"/>
  <c r="I2" i="2"/>
  <c r="I3" i="2"/>
  <c r="I4" i="2"/>
  <c r="I7" i="2"/>
  <c r="I8" i="2"/>
  <c r="I9" i="2"/>
  <c r="I10" i="2"/>
  <c r="I5" i="2"/>
  <c r="I6" i="2"/>
  <c r="I15" i="2"/>
  <c r="I11" i="2"/>
  <c r="I12" i="2"/>
  <c r="I14" i="2"/>
  <c r="I13" i="2"/>
  <c r="I25" i="2"/>
  <c r="I16" i="2"/>
  <c r="I625" i="2"/>
  <c r="I626" i="2"/>
  <c r="I28" i="2"/>
  <c r="I32" i="2"/>
  <c r="I33" i="2"/>
  <c r="I34" i="2"/>
  <c r="I35" i="2"/>
  <c r="I36" i="2"/>
  <c r="I37" i="2"/>
  <c r="I38" i="2"/>
  <c r="I40" i="2"/>
  <c r="I41" i="2"/>
  <c r="I630" i="2"/>
  <c r="I46" i="2"/>
  <c r="I50" i="2"/>
  <c r="I51" i="2"/>
  <c r="I52" i="2"/>
  <c r="I53" i="2"/>
  <c r="I54" i="2"/>
  <c r="I55" i="2"/>
  <c r="I64" i="2"/>
  <c r="I65" i="2"/>
  <c r="I66" i="2"/>
  <c r="I134" i="2"/>
  <c r="I69" i="2"/>
  <c r="I70" i="2"/>
  <c r="I71" i="2"/>
  <c r="I72" i="2"/>
  <c r="I99" i="2"/>
  <c r="I77" i="2"/>
  <c r="I78" i="2"/>
  <c r="I79" i="2"/>
  <c r="I80" i="2"/>
  <c r="I81" i="2"/>
  <c r="I82" i="2"/>
  <c r="I83" i="2"/>
  <c r="I84" i="2"/>
  <c r="I180" i="2"/>
  <c r="I181" i="2"/>
  <c r="I182" i="2"/>
  <c r="I185" i="2"/>
  <c r="I186" i="2"/>
  <c r="I187" i="2"/>
  <c r="I183" i="2"/>
  <c r="I188" i="2"/>
  <c r="I184" i="2"/>
  <c r="I196" i="2"/>
  <c r="I190" i="2"/>
  <c r="I191" i="2"/>
  <c r="I26" i="2"/>
  <c r="I124" i="2"/>
  <c r="I100" i="2"/>
  <c r="I105" i="2"/>
  <c r="I106" i="2"/>
  <c r="I107" i="2"/>
  <c r="I108" i="2"/>
  <c r="I109" i="2"/>
  <c r="I110" i="2"/>
  <c r="I111" i="2"/>
  <c r="I195" i="2"/>
  <c r="I194" i="2"/>
  <c r="I192" i="2"/>
  <c r="I193" i="2"/>
  <c r="I197" i="2"/>
  <c r="I112" i="2"/>
  <c r="I45" i="2"/>
  <c r="I44" i="2"/>
  <c r="I119" i="2"/>
  <c r="I120" i="2"/>
  <c r="I67" i="2"/>
  <c r="I68" i="2"/>
  <c r="I127" i="2"/>
  <c r="I128" i="2"/>
  <c r="I129" i="2"/>
  <c r="I130" i="2"/>
  <c r="I131" i="2"/>
  <c r="I132" i="2"/>
  <c r="I133" i="2"/>
  <c r="I118" i="2"/>
  <c r="I392" i="2"/>
  <c r="I123" i="2"/>
  <c r="I125" i="2"/>
  <c r="I135" i="2"/>
  <c r="I136" i="2"/>
  <c r="I137" i="2"/>
  <c r="I138" i="2"/>
  <c r="I139" i="2"/>
  <c r="I121" i="2"/>
  <c r="I147" i="2"/>
  <c r="I148" i="2"/>
  <c r="I149" i="2"/>
  <c r="I150" i="2"/>
  <c r="I151" i="2"/>
  <c r="A152" i="2"/>
  <c r="I152" i="2" s="1"/>
  <c r="I153" i="2"/>
  <c r="I161" i="2"/>
  <c r="I229" i="2"/>
  <c r="I162" i="2"/>
  <c r="I17" i="2"/>
  <c r="I18" i="2"/>
  <c r="I19" i="2"/>
  <c r="I20" i="2"/>
  <c r="I21" i="2"/>
  <c r="I22" i="2"/>
  <c r="I264" i="2"/>
  <c r="I165" i="2"/>
  <c r="I166" i="2"/>
  <c r="I173" i="2"/>
  <c r="I208" i="2"/>
  <c r="I210" i="2"/>
  <c r="I174" i="2"/>
  <c r="I177" i="2"/>
  <c r="A178" i="2"/>
  <c r="I178" i="2" s="1"/>
  <c r="I179" i="2"/>
  <c r="I248" i="2"/>
  <c r="I249" i="2"/>
  <c r="I250" i="2"/>
  <c r="I93" i="2"/>
  <c r="I94" i="2"/>
  <c r="I95" i="2"/>
  <c r="I98" i="2"/>
  <c r="I380" i="2"/>
  <c r="I39" i="2"/>
  <c r="I43" i="2"/>
  <c r="I213" i="2"/>
  <c r="I252" i="2"/>
  <c r="I251" i="2"/>
  <c r="I198" i="2"/>
  <c r="I199" i="2"/>
  <c r="I200" i="2"/>
  <c r="I201" i="2"/>
  <c r="I203" i="2"/>
  <c r="I272" i="2"/>
  <c r="I205" i="2"/>
  <c r="I206" i="2"/>
  <c r="I270" i="2"/>
  <c r="I207" i="2"/>
  <c r="I255" i="2"/>
  <c r="I214" i="2"/>
  <c r="I215" i="2"/>
  <c r="I216" i="2"/>
  <c r="I217" i="2"/>
  <c r="I218" i="2"/>
  <c r="I219" i="2"/>
  <c r="I220" i="2"/>
  <c r="A221" i="2"/>
  <c r="I221" i="2" s="1"/>
  <c r="I222" i="2"/>
  <c r="I223" i="2"/>
  <c r="I224" i="2"/>
  <c r="I230" i="2"/>
  <c r="I225" i="2"/>
  <c r="I226" i="2"/>
  <c r="I227" i="2"/>
  <c r="I232" i="2"/>
  <c r="I228" i="2"/>
  <c r="I266" i="2"/>
  <c r="I141" i="2"/>
  <c r="I606" i="2"/>
  <c r="I236" i="2"/>
  <c r="I237" i="2"/>
  <c r="I238" i="2"/>
  <c r="I239" i="2"/>
  <c r="A240" i="2"/>
  <c r="I240" i="2" s="1"/>
  <c r="I241" i="2"/>
  <c r="I242" i="2"/>
  <c r="I244" i="2"/>
  <c r="I245" i="2"/>
  <c r="I247" i="2"/>
  <c r="I243" i="2"/>
  <c r="I246" i="2"/>
  <c r="I163" i="2"/>
  <c r="I253" i="2"/>
  <c r="I140" i="2"/>
  <c r="I269" i="2"/>
  <c r="I212" i="2"/>
  <c r="I256" i="2"/>
  <c r="I257" i="2"/>
  <c r="I258" i="2"/>
  <c r="I259" i="2"/>
  <c r="I260" i="2"/>
  <c r="I261" i="2"/>
  <c r="A262" i="2"/>
  <c r="I262" i="2" s="1"/>
  <c r="I263" i="2"/>
  <c r="I331" i="2"/>
  <c r="I254" i="2"/>
  <c r="I652" i="2"/>
  <c r="I268" i="2"/>
  <c r="I265" i="2"/>
  <c r="I275" i="2"/>
  <c r="I276" i="2"/>
  <c r="I277" i="2"/>
  <c r="I278" i="2"/>
  <c r="I279" i="2"/>
  <c r="I280" i="2"/>
  <c r="A281" i="2"/>
  <c r="I281" i="2" s="1"/>
  <c r="I282" i="2"/>
  <c r="I513" i="2"/>
  <c r="I283" i="2"/>
  <c r="I284" i="2"/>
  <c r="I285" i="2"/>
  <c r="I286" i="2"/>
  <c r="I287" i="2"/>
  <c r="I290" i="2"/>
  <c r="I294" i="2"/>
  <c r="I408" i="2"/>
  <c r="I295" i="2"/>
  <c r="I296" i="2"/>
  <c r="I297" i="2"/>
  <c r="I298" i="2"/>
  <c r="A299" i="2"/>
  <c r="I299" i="2" s="1"/>
  <c r="I300" i="2"/>
  <c r="I29" i="2"/>
  <c r="A322" i="2"/>
  <c r="I322" i="2" s="1"/>
  <c r="I649" i="2"/>
  <c r="I598" i="2"/>
  <c r="A344" i="2"/>
  <c r="I344" i="2" s="1"/>
  <c r="A367" i="2"/>
  <c r="I367" i="2" s="1"/>
  <c r="I42" i="2"/>
  <c r="A388" i="2"/>
  <c r="I388" i="2" s="1"/>
  <c r="I142" i="2"/>
  <c r="I143" i="2"/>
  <c r="A414" i="2"/>
  <c r="I414" i="2" s="1"/>
  <c r="I76" i="2"/>
  <c r="A434" i="2"/>
  <c r="I434" i="2" s="1"/>
  <c r="I102" i="2"/>
  <c r="I651" i="2"/>
  <c r="A454" i="2"/>
  <c r="I454" i="2" s="1"/>
  <c r="I605" i="2"/>
  <c r="A479" i="2"/>
  <c r="I479" i="2" s="1"/>
  <c r="A500" i="2"/>
  <c r="I500" i="2" s="1"/>
  <c r="A524" i="2"/>
  <c r="I524" i="2" s="1"/>
  <c r="A545" i="2"/>
  <c r="I545" i="2" s="1"/>
  <c r="I101" i="2"/>
  <c r="I560" i="2"/>
  <c r="A561" i="2"/>
  <c r="I561" i="2" s="1"/>
  <c r="I562" i="2"/>
  <c r="I563" i="2"/>
  <c r="I564" i="2"/>
  <c r="I565" i="2"/>
  <c r="I566" i="2"/>
  <c r="I567" i="2"/>
  <c r="I568" i="2"/>
  <c r="I555" i="2"/>
  <c r="I577" i="2"/>
  <c r="I569" i="2"/>
  <c r="I572" i="2"/>
  <c r="I573" i="2"/>
  <c r="I578" i="2"/>
  <c r="I581" i="2"/>
  <c r="A582" i="2"/>
  <c r="I582" i="2" s="1"/>
  <c r="I583" i="2"/>
  <c r="I584" i="2"/>
  <c r="I330" i="2"/>
  <c r="I587" i="2"/>
  <c r="I624" i="2"/>
  <c r="I588" i="2"/>
  <c r="I570" i="2"/>
  <c r="I571" i="2"/>
  <c r="I593" i="2"/>
  <c r="I594" i="2"/>
  <c r="I426" i="2"/>
  <c r="I381" i="2"/>
  <c r="I596" i="2"/>
  <c r="I617" i="2"/>
  <c r="I424" i="2"/>
  <c r="I599" i="2"/>
  <c r="I602" i="2"/>
  <c r="A603" i="2"/>
  <c r="I603" i="2" s="1"/>
  <c r="I604" i="2"/>
  <c r="I24" i="2"/>
  <c r="I650" i="2"/>
  <c r="I607" i="2"/>
  <c r="I23" i="2"/>
  <c r="I595" i="2"/>
  <c r="I616" i="2"/>
  <c r="I618" i="2"/>
  <c r="I621" i="2"/>
  <c r="A622" i="2"/>
  <c r="I622" i="2" s="1"/>
  <c r="I623" i="2"/>
  <c r="I646" i="2"/>
  <c r="I627" i="2"/>
  <c r="I628" i="2"/>
  <c r="I629" i="2"/>
  <c r="I631" i="2"/>
  <c r="I634" i="2"/>
  <c r="I608" i="2"/>
  <c r="I633" i="2"/>
  <c r="I640" i="2"/>
  <c r="A641" i="2"/>
  <c r="I641" i="2" s="1"/>
  <c r="I642" i="2"/>
  <c r="I643" i="2"/>
  <c r="I644" i="2"/>
  <c r="I645" i="2"/>
  <c r="I612" i="2"/>
  <c r="I589" i="2"/>
  <c r="I590" i="2"/>
  <c r="I647" i="2"/>
  <c r="I653" i="2"/>
  <c r="I648" i="2"/>
  <c r="I423" i="2"/>
  <c r="I654" i="2"/>
  <c r="I655" i="2"/>
  <c r="D555" i="3" l="1"/>
  <c r="A555" i="3" s="1"/>
  <c r="D423" i="3"/>
  <c r="A423" i="3" s="1"/>
  <c r="D589" i="3"/>
  <c r="A589" i="3" s="1"/>
  <c r="D237" i="3"/>
  <c r="A237" i="3" s="1"/>
  <c r="A218" i="3"/>
  <c r="D219" i="3"/>
  <c r="A219" i="3" s="1"/>
  <c r="D406" i="3"/>
  <c r="A406" i="3" s="1"/>
  <c r="D381" i="3"/>
  <c r="A381" i="3" s="1"/>
  <c r="A444" i="3"/>
  <c r="D445" i="3"/>
  <c r="D596" i="3"/>
  <c r="D597" i="3" s="1"/>
  <c r="D24" i="3"/>
  <c r="A24" i="3" s="1"/>
  <c r="D511" i="3"/>
  <c r="A511" i="3" s="1"/>
  <c r="A74" i="3"/>
  <c r="D75" i="3"/>
  <c r="A75" i="3" s="1"/>
  <c r="A43" i="3"/>
  <c r="D44" i="3"/>
  <c r="A44" i="3" s="1"/>
  <c r="D539" i="3"/>
  <c r="A539" i="3" s="1"/>
  <c r="D431" i="3"/>
  <c r="A431" i="3" s="1"/>
  <c r="D347" i="3"/>
  <c r="A347" i="3" s="1"/>
  <c r="D374" i="3"/>
  <c r="A374" i="3" s="1"/>
  <c r="D301" i="3"/>
  <c r="A301" i="3" s="1"/>
  <c r="D481" i="3"/>
  <c r="A481" i="3" s="1"/>
  <c r="D261" i="3"/>
  <c r="A261" i="3" s="1"/>
  <c r="D453" i="3"/>
  <c r="A453" i="3" s="1"/>
  <c r="D504" i="3"/>
  <c r="A504" i="3" s="1"/>
  <c r="D462" i="3"/>
  <c r="A462" i="3" s="1"/>
  <c r="D220" i="3"/>
  <c r="A220" i="3" s="1"/>
  <c r="D529" i="3"/>
  <c r="A529" i="3" s="1"/>
  <c r="D519" i="3"/>
  <c r="A519" i="3" s="1"/>
  <c r="D390" i="3"/>
  <c r="A390" i="3" s="1"/>
  <c r="D15" i="3"/>
  <c r="A15" i="3" s="1"/>
  <c r="D547" i="3"/>
  <c r="A547" i="3" s="1"/>
  <c r="D133" i="3"/>
  <c r="A133" i="3" s="1"/>
  <c r="D556" i="3"/>
  <c r="A556" i="3" s="1"/>
  <c r="D269" i="3"/>
  <c r="A269" i="3" s="1"/>
  <c r="D245" i="3"/>
  <c r="A245" i="3" s="1"/>
  <c r="D192" i="3"/>
  <c r="A192" i="3" s="1"/>
  <c r="D51" i="3"/>
  <c r="A51" i="3" s="1"/>
  <c r="D82" i="3"/>
  <c r="A82" i="3" s="1"/>
  <c r="D184" i="3"/>
  <c r="A184" i="3" s="1"/>
  <c r="D572" i="3"/>
  <c r="A572" i="3" s="1"/>
  <c r="D59" i="3"/>
  <c r="A59" i="3" s="1"/>
  <c r="D340" i="3"/>
  <c r="A340" i="3" s="1"/>
  <c r="D364" i="3"/>
  <c r="A364" i="3" s="1"/>
  <c r="D200" i="3"/>
  <c r="A200" i="3" s="1"/>
  <c r="D253" i="3"/>
  <c r="A253" i="3" s="1"/>
  <c r="D438" i="3"/>
  <c r="A438" i="3" s="1"/>
  <c r="D490" i="3"/>
  <c r="A490" i="3" s="1"/>
  <c r="D116" i="3"/>
  <c r="A116" i="3" s="1"/>
  <c r="D286" i="3"/>
  <c r="A286" i="3" s="1"/>
  <c r="D316" i="3"/>
  <c r="A316" i="3" s="1"/>
  <c r="D92" i="3"/>
  <c r="A92" i="3" s="1"/>
  <c r="D563" i="3"/>
  <c r="A563" i="3" s="1"/>
  <c r="D32" i="3"/>
  <c r="A32" i="3" s="1"/>
  <c r="D140" i="3"/>
  <c r="A140" i="3" s="1"/>
  <c r="D309" i="3"/>
  <c r="A309" i="3" s="1"/>
  <c r="D277" i="3"/>
  <c r="A277" i="3" s="1"/>
  <c r="D473" i="3"/>
  <c r="A473" i="3" s="1"/>
  <c r="D294" i="3"/>
  <c r="A294" i="3" s="1"/>
  <c r="D66" i="3"/>
  <c r="A66" i="3" s="1"/>
  <c r="D580" i="3"/>
  <c r="A580" i="3" s="1"/>
  <c r="D100" i="3"/>
  <c r="A100" i="3" s="1"/>
  <c r="D325" i="3"/>
  <c r="A325" i="3" s="1"/>
  <c r="D109" i="3"/>
  <c r="A109" i="3" s="1"/>
  <c r="D424" i="3"/>
  <c r="A424" i="3" s="1"/>
  <c r="D357" i="3"/>
  <c r="A357" i="3" s="1"/>
  <c r="D238" i="3"/>
  <c r="A238" i="3" s="1"/>
  <c r="D147" i="3"/>
  <c r="A147" i="3" s="1"/>
  <c r="D157" i="3"/>
  <c r="A157" i="3" s="1"/>
  <c r="D407" i="3" l="1"/>
  <c r="A407" i="3" s="1"/>
  <c r="D382" i="3"/>
  <c r="A382" i="3" s="1"/>
  <c r="D512" i="3"/>
  <c r="A512" i="3" s="1"/>
  <c r="D25" i="3"/>
  <c r="A25" i="3" s="1"/>
  <c r="A597" i="3"/>
  <c r="D221" i="3"/>
  <c r="A221" i="3" s="1"/>
  <c r="A445" i="3"/>
  <c r="D446" i="3"/>
  <c r="A446" i="3" s="1"/>
  <c r="A596" i="3"/>
  <c r="D391" i="3"/>
  <c r="A391" i="3" s="1"/>
  <c r="D482" i="3"/>
  <c r="A482" i="3" s="1"/>
  <c r="D474" i="3"/>
  <c r="A474" i="3" s="1"/>
  <c r="D348" i="3"/>
  <c r="A348" i="3" s="1"/>
  <c r="D262" i="3"/>
  <c r="A262" i="3" s="1"/>
  <c r="D530" i="3"/>
  <c r="A530" i="3" s="1"/>
  <c r="D540" i="3"/>
  <c r="D463" i="3"/>
  <c r="A463" i="3" s="1"/>
  <c r="D302" i="3"/>
  <c r="A302" i="3" s="1"/>
  <c r="D520" i="3"/>
  <c r="A520" i="3" s="1"/>
  <c r="D454" i="3"/>
  <c r="A454" i="3" s="1"/>
  <c r="D16" i="3"/>
  <c r="A16" i="3" s="1"/>
  <c r="D548" i="3"/>
  <c r="A548" i="3" s="1"/>
  <c r="D193" i="3"/>
  <c r="A193" i="3" s="1"/>
  <c r="D383" i="3"/>
  <c r="A383" i="3" s="1"/>
  <c r="D83" i="3"/>
  <c r="A83" i="3" s="1"/>
  <c r="D52" i="3"/>
  <c r="A52" i="3" s="1"/>
  <c r="D254" i="3"/>
  <c r="A254" i="3" s="1"/>
  <c r="D201" i="3"/>
  <c r="A201" i="3" s="1"/>
  <c r="D365" i="3"/>
  <c r="A365" i="3" s="1"/>
  <c r="D158" i="3"/>
  <c r="A158" i="3" s="1"/>
  <c r="D278" i="3"/>
  <c r="A278" i="3" s="1"/>
  <c r="D93" i="3"/>
  <c r="A93" i="3" s="1"/>
  <c r="D326" i="3"/>
  <c r="A326" i="3" s="1"/>
  <c r="D101" i="3"/>
  <c r="A101" i="3" s="1"/>
  <c r="D33" i="3"/>
  <c r="A33" i="3" s="1"/>
  <c r="D317" i="3"/>
  <c r="A317" i="3" s="1"/>
  <c r="D148" i="3"/>
  <c r="A148" i="3" s="1"/>
  <c r="D581" i="3"/>
  <c r="A581" i="3" s="1"/>
  <c r="D117" i="3"/>
  <c r="A117" i="3" s="1"/>
  <c r="D564" i="3"/>
  <c r="A564" i="3" s="1"/>
  <c r="D67" i="3"/>
  <c r="A67" i="3" s="1"/>
  <c r="D222" i="3" l="1"/>
  <c r="A222" i="3" s="1"/>
  <c r="A540" i="3"/>
  <c r="D17" i="3"/>
  <c r="A17" i="3" s="1"/>
  <c r="D392" i="3"/>
  <c r="A392" i="3" s="1"/>
  <c r="D531" i="3"/>
  <c r="A531" i="3" s="1"/>
  <c r="D521" i="3"/>
  <c r="A521" i="3" s="1"/>
  <c r="D464" i="3"/>
  <c r="A464" i="3" s="1"/>
  <c r="D349" i="3"/>
  <c r="A349" i="3" s="1"/>
  <c r="D223" i="3"/>
  <c r="A223" i="3" s="1"/>
  <c r="D84" i="3"/>
  <c r="A84" i="3" s="1"/>
  <c r="D202" i="3"/>
  <c r="D366" i="3"/>
  <c r="A366" i="3" s="1"/>
  <c r="D582" i="3"/>
  <c r="D565" i="3"/>
  <c r="A565" i="3" s="1"/>
  <c r="D279" i="3"/>
  <c r="A279" i="3" s="1"/>
  <c r="D118" i="3"/>
  <c r="D34" i="3"/>
  <c r="A34" i="3" s="1"/>
  <c r="D159" i="3"/>
  <c r="A159" i="3" s="1"/>
  <c r="D327" i="3"/>
  <c r="A327" i="3" s="1"/>
  <c r="A118" i="3" l="1"/>
  <c r="D119" i="3"/>
  <c r="A119" i="3" s="1"/>
  <c r="A582" i="3"/>
  <c r="D203" i="3"/>
  <c r="A203" i="3" s="1"/>
  <c r="A202" i="3"/>
  <c r="D522" i="3"/>
  <c r="A522" i="3" s="1"/>
  <c r="D465" i="3"/>
  <c r="A465" i="3" s="1"/>
  <c r="D532" i="3"/>
  <c r="A532" i="3" s="1"/>
  <c r="D35" i="3"/>
  <c r="A35" i="3" s="1"/>
  <c r="D466" i="3" l="1"/>
  <c r="D204" i="3"/>
  <c r="A204" i="3" s="1"/>
  <c r="D36" i="3"/>
  <c r="A36" i="3" s="1"/>
  <c r="A466" i="3" l="1"/>
  <c r="D205" i="3"/>
  <c r="A205" i="3" s="1"/>
  <c r="D37" i="3"/>
  <c r="A37" i="3" s="1"/>
  <c r="D206" i="3" l="1"/>
  <c r="A206" i="3" l="1"/>
  <c r="D208" i="3"/>
  <c r="A208" i="3" s="1"/>
  <c r="D209" i="3" l="1"/>
  <c r="A209" i="3" s="1"/>
  <c r="D210" i="3" l="1"/>
  <c r="A210" i="3" s="1"/>
  <c r="D211" i="3" l="1"/>
  <c r="A211" i="3" s="1"/>
  <c r="D212" i="3" l="1"/>
  <c r="A212" i="3" s="1"/>
  <c r="D213" i="3" l="1"/>
  <c r="A213" i="3" l="1"/>
  <c r="E283" i="2" s="1" a="1"/>
  <c r="E283" i="2" s="1"/>
  <c r="C390" i="2" a="1"/>
  <c r="C390" i="2" s="1"/>
  <c r="B180" i="2" a="1"/>
  <c r="B180" i="2" s="1"/>
  <c r="E605" i="2" a="1"/>
  <c r="G615" i="2" s="1"/>
  <c r="E436" i="2" a="1"/>
  <c r="E563" i="2" a="1"/>
  <c r="G576" i="2" s="1"/>
  <c r="E301" i="2" a="1"/>
  <c r="E481" i="2" a="1"/>
  <c r="E346" i="2" a="1"/>
  <c r="B301" i="2" a="1"/>
  <c r="B301" i="2" s="1"/>
  <c r="E584" i="2" a="1"/>
  <c r="G597" i="2" s="1"/>
  <c r="E624" i="2" l="1" a="1"/>
  <c r="G629" i="2" s="1"/>
  <c r="E643" i="2" a="1"/>
  <c r="B283" i="2" a="1"/>
  <c r="B283" i="2" s="1"/>
  <c r="E242" i="2" a="1"/>
  <c r="E242" i="2" s="1"/>
  <c r="E258" i="2" s="1"/>
  <c r="E223" i="2" a="1"/>
  <c r="E223" i="2" s="1"/>
  <c r="C264" i="2" a="1"/>
  <c r="C264" i="2" s="1"/>
  <c r="E264" i="2" a="1"/>
  <c r="E264" i="2" s="1"/>
  <c r="B242" i="2" a="1"/>
  <c r="B242" i="2" s="1"/>
  <c r="C283" i="2" a="1"/>
  <c r="C283" i="2" s="1"/>
  <c r="C346" i="2" a="1"/>
  <c r="C346" i="2" s="1"/>
  <c r="B204" i="2" a="1"/>
  <c r="B204" i="2" s="1"/>
  <c r="C180" i="2" a="1"/>
  <c r="C180" i="2" s="1"/>
  <c r="C416" i="2" a="1"/>
  <c r="C416" i="2" s="1"/>
  <c r="B56" i="2" a="1"/>
  <c r="B56" i="2" s="1"/>
  <c r="B584" i="2" a="1"/>
  <c r="B584" i="2" s="1"/>
  <c r="C56" i="2" a="1"/>
  <c r="C56" i="2" s="1"/>
  <c r="C547" i="2" a="1"/>
  <c r="C547" i="2" s="1"/>
  <c r="E154" i="2" a="1"/>
  <c r="E204" i="2" a="1"/>
  <c r="E369" i="2" a="1"/>
  <c r="B223" i="2" a="1"/>
  <c r="B223" i="2" s="1"/>
  <c r="C369" i="2" a="1"/>
  <c r="C369" i="2" s="1"/>
  <c r="C154" i="2" a="1"/>
  <c r="C154" i="2" s="1"/>
  <c r="C223" i="2" a="1"/>
  <c r="C223" i="2" s="1"/>
  <c r="C526" i="2" a="1"/>
  <c r="C526" i="2" s="1"/>
  <c r="C324" i="2" a="1"/>
  <c r="C324" i="2" s="1"/>
  <c r="B85" i="2" a="1"/>
  <c r="B85" i="2" s="1"/>
  <c r="E112" i="2" a="1"/>
  <c r="B369" i="2" a="1"/>
  <c r="B369" i="2" s="1"/>
  <c r="E526" i="2" a="1"/>
  <c r="C112" i="2" a="1"/>
  <c r="C112" i="2" s="1"/>
  <c r="B416" i="2" a="1"/>
  <c r="B416" i="2" s="1"/>
  <c r="B547" i="2" a="1"/>
  <c r="B547" i="2" s="1"/>
  <c r="E547" i="2" a="1"/>
  <c r="C85" i="2" a="1"/>
  <c r="C85" i="2" s="1"/>
  <c r="E85" i="2" a="1"/>
  <c r="B154" i="2" a="1"/>
  <c r="B154" i="2" s="1"/>
  <c r="E324" i="2" a="1"/>
  <c r="B112" i="2" a="1"/>
  <c r="B112" i="2" s="1"/>
  <c r="E56" i="2" a="1"/>
  <c r="B324" i="2" a="1"/>
  <c r="B324" i="2" s="1"/>
  <c r="E416" i="2" a="1"/>
  <c r="C204" i="2" a="1"/>
  <c r="C204" i="2" s="1"/>
  <c r="E180" i="2" a="1"/>
  <c r="E180" i="2" s="1"/>
  <c r="G180" i="2" s="1"/>
  <c r="B390" i="2" a="1"/>
  <c r="B390" i="2" s="1"/>
  <c r="E390" i="2" a="1"/>
  <c r="G590" i="2"/>
  <c r="G596" i="2"/>
  <c r="G591" i="2"/>
  <c r="G595" i="2"/>
  <c r="G592" i="2"/>
  <c r="G593" i="2"/>
  <c r="G594" i="2"/>
  <c r="G589" i="2"/>
  <c r="G585" i="2"/>
  <c r="G587" i="2"/>
  <c r="G586" i="2"/>
  <c r="G588" i="2"/>
  <c r="E481" i="2"/>
  <c r="G484" i="2"/>
  <c r="G485" i="2"/>
  <c r="G482" i="2"/>
  <c r="G486" i="2"/>
  <c r="G483" i="2"/>
  <c r="G487" i="2"/>
  <c r="G489" i="2"/>
  <c r="G490" i="2"/>
  <c r="G491" i="2"/>
  <c r="G492" i="2"/>
  <c r="G494" i="2"/>
  <c r="G495" i="2"/>
  <c r="G493" i="2"/>
  <c r="G488" i="2"/>
  <c r="G308" i="2"/>
  <c r="G313" i="2"/>
  <c r="G309" i="2"/>
  <c r="G314" i="2"/>
  <c r="G315" i="2"/>
  <c r="G310" i="2"/>
  <c r="G311" i="2"/>
  <c r="G312" i="2"/>
  <c r="G317" i="2"/>
  <c r="G307" i="2"/>
  <c r="G306" i="2"/>
  <c r="G302" i="2"/>
  <c r="G303" i="2"/>
  <c r="G304" i="2"/>
  <c r="G305" i="2"/>
  <c r="G316" i="2"/>
  <c r="G607" i="2"/>
  <c r="G606" i="2"/>
  <c r="G609" i="2"/>
  <c r="G610" i="2"/>
  <c r="G611" i="2"/>
  <c r="G612" i="2"/>
  <c r="G617" i="2"/>
  <c r="G608" i="2"/>
  <c r="G616" i="2"/>
  <c r="E363" i="2"/>
  <c r="G360" i="2"/>
  <c r="G361" i="2"/>
  <c r="G362" i="2"/>
  <c r="G347" i="2"/>
  <c r="G349" i="2"/>
  <c r="G350" i="2"/>
  <c r="G351" i="2"/>
  <c r="G353" i="2"/>
  <c r="G358" i="2"/>
  <c r="G354" i="2"/>
  <c r="G357" i="2"/>
  <c r="G359" i="2"/>
  <c r="G352" i="2"/>
  <c r="G355" i="2"/>
  <c r="G356" i="2"/>
  <c r="G348" i="2"/>
  <c r="G633" i="2"/>
  <c r="G634" i="2"/>
  <c r="G635" i="2"/>
  <c r="G636" i="2"/>
  <c r="G627" i="2"/>
  <c r="E450" i="2"/>
  <c r="G446" i="2"/>
  <c r="G447" i="2"/>
  <c r="G448" i="2"/>
  <c r="G449" i="2"/>
  <c r="G437" i="2"/>
  <c r="G440" i="2"/>
  <c r="G442" i="2"/>
  <c r="G444" i="2"/>
  <c r="G445" i="2"/>
  <c r="G438" i="2"/>
  <c r="G443" i="2"/>
  <c r="G439" i="2"/>
  <c r="G441" i="2"/>
  <c r="G564" i="2"/>
  <c r="G566" i="2"/>
  <c r="G567" i="2"/>
  <c r="G568" i="2"/>
  <c r="G569" i="2"/>
  <c r="G572" i="2"/>
  <c r="G573" i="2"/>
  <c r="G577" i="2"/>
  <c r="G571" i="2"/>
  <c r="G574" i="2"/>
  <c r="G565" i="2"/>
  <c r="G575" i="2"/>
  <c r="G570" i="2"/>
  <c r="E502" i="2" a="1"/>
  <c r="B436" i="2" a="1"/>
  <c r="B436" i="2" s="1"/>
  <c r="B346" i="2" a="1"/>
  <c r="B346" i="2" s="1"/>
  <c r="E4" i="2" a="1"/>
  <c r="B38" i="2" a="1"/>
  <c r="B38" i="2" s="1"/>
  <c r="B481" i="2" a="1"/>
  <c r="B481" i="2" s="1"/>
  <c r="B4" i="2" a="1"/>
  <c r="B4" i="2" s="1"/>
  <c r="C4" i="2" a="1"/>
  <c r="C4" i="2" s="1"/>
  <c r="B605" i="2" a="1"/>
  <c r="B605" i="2" s="1"/>
  <c r="E133" i="2" a="1"/>
  <c r="E38" i="2" a="1"/>
  <c r="C38" i="2" a="1"/>
  <c r="C38" i="2" s="1"/>
  <c r="E624" i="2"/>
  <c r="E637" i="2" s="1"/>
  <c r="E563" i="2"/>
  <c r="E578" i="2" s="1"/>
  <c r="C624" i="2" a="1"/>
  <c r="C624" i="2" s="1"/>
  <c r="B563" i="2" a="1"/>
  <c r="B563" i="2" s="1"/>
  <c r="C643" i="2" a="1"/>
  <c r="C643" i="2" s="1"/>
  <c r="C502" i="2" a="1"/>
  <c r="C502" i="2" s="1"/>
  <c r="B643" i="2" a="1"/>
  <c r="B643" i="2" s="1"/>
  <c r="C584" i="2" a="1"/>
  <c r="C584" i="2" s="1"/>
  <c r="C563" i="2" a="1"/>
  <c r="C563" i="2" s="1"/>
  <c r="B133" i="2" a="1"/>
  <c r="B133" i="2" s="1"/>
  <c r="C456" i="2" a="1"/>
  <c r="C456" i="2" s="1"/>
  <c r="B456" i="2" a="1"/>
  <c r="B456" i="2" s="1"/>
  <c r="C605" i="2" a="1"/>
  <c r="C605" i="2" s="1"/>
  <c r="B624" i="2" a="1"/>
  <c r="B624" i="2" s="1"/>
  <c r="C133" i="2" a="1"/>
  <c r="C133" i="2" s="1"/>
  <c r="C436" i="2" a="1"/>
  <c r="C436" i="2" s="1"/>
  <c r="B502" i="2" a="1"/>
  <c r="B502" i="2" s="1"/>
  <c r="C301" i="2" a="1"/>
  <c r="C301" i="2" s="1"/>
  <c r="B526" i="2" a="1"/>
  <c r="B526" i="2" s="1"/>
  <c r="C242" i="2" a="1"/>
  <c r="C242" i="2" s="1"/>
  <c r="B264" i="2" a="1"/>
  <c r="B264" i="2" s="1"/>
  <c r="C481" i="2" a="1"/>
  <c r="C481" i="2" s="1"/>
  <c r="E436" i="2"/>
  <c r="G436" i="2" s="1"/>
  <c r="E584" i="2"/>
  <c r="E599" i="2" s="1"/>
  <c r="G598" i="2"/>
  <c r="E605" i="2"/>
  <c r="E618" i="2" s="1"/>
  <c r="E346" i="2"/>
  <c r="E301" i="2"/>
  <c r="E318" i="2" s="1"/>
  <c r="E456" i="2" a="1"/>
  <c r="E643" i="2" l="1"/>
  <c r="E655" i="2" s="1"/>
  <c r="G515" i="2"/>
  <c r="G647" i="2"/>
  <c r="G648" i="2"/>
  <c r="G650" i="2"/>
  <c r="G653" i="2"/>
  <c r="G646" i="2"/>
  <c r="G644" i="2"/>
  <c r="G654" i="2"/>
  <c r="G652" i="2"/>
  <c r="G645" i="2"/>
  <c r="G651" i="2"/>
  <c r="G649" i="2"/>
  <c r="G626" i="2"/>
  <c r="G631" i="2"/>
  <c r="G628" i="2"/>
  <c r="G625" i="2"/>
  <c r="G255" i="2"/>
  <c r="G253" i="2"/>
  <c r="G247" i="2"/>
  <c r="G246" i="2"/>
  <c r="G248" i="2"/>
  <c r="G243" i="2"/>
  <c r="G256" i="2"/>
  <c r="G252" i="2"/>
  <c r="G251" i="2"/>
  <c r="G249" i="2"/>
  <c r="G254" i="2"/>
  <c r="G257" i="2"/>
  <c r="G244" i="2"/>
  <c r="G250" i="2"/>
  <c r="G245" i="2"/>
  <c r="G630" i="2"/>
  <c r="G274" i="2"/>
  <c r="G632" i="2"/>
  <c r="E148" i="2"/>
  <c r="G145" i="2"/>
  <c r="G191" i="2"/>
  <c r="E198" i="2"/>
  <c r="G185" i="2"/>
  <c r="G58" i="2"/>
  <c r="G57" i="2"/>
  <c r="G69" i="2"/>
  <c r="G60" i="2"/>
  <c r="G67" i="2"/>
  <c r="G72" i="2"/>
  <c r="G74" i="2"/>
  <c r="G73" i="2"/>
  <c r="G64" i="2"/>
  <c r="G614" i="2"/>
  <c r="G66" i="2"/>
  <c r="G76" i="2"/>
  <c r="G63" i="2"/>
  <c r="G68" i="2"/>
  <c r="G75" i="2"/>
  <c r="G71" i="2"/>
  <c r="G70" i="2"/>
  <c r="G61" i="2"/>
  <c r="G65" i="2"/>
  <c r="G78" i="2"/>
  <c r="G77" i="2"/>
  <c r="G62" i="2"/>
  <c r="G613" i="2"/>
  <c r="G59" i="2"/>
  <c r="E56" i="2"/>
  <c r="G56" i="2" s="1"/>
  <c r="E79" i="2"/>
  <c r="G381" i="2"/>
  <c r="G376" i="2"/>
  <c r="G375" i="2"/>
  <c r="G379" i="2"/>
  <c r="G380" i="2"/>
  <c r="G377" i="2"/>
  <c r="E369" i="2"/>
  <c r="G372" i="2"/>
  <c r="G373" i="2"/>
  <c r="G378" i="2"/>
  <c r="G371" i="2"/>
  <c r="G383" i="2"/>
  <c r="G382" i="2"/>
  <c r="G374" i="2"/>
  <c r="G370" i="2"/>
  <c r="G189" i="2"/>
  <c r="G234" i="2"/>
  <c r="G229" i="2"/>
  <c r="G224" i="2"/>
  <c r="G226" i="2"/>
  <c r="G230" i="2"/>
  <c r="G232" i="2"/>
  <c r="G233" i="2"/>
  <c r="G228" i="2"/>
  <c r="G231" i="2"/>
  <c r="E236" i="2"/>
  <c r="G227" i="2"/>
  <c r="G235" i="2"/>
  <c r="G225" i="2"/>
  <c r="G190" i="2"/>
  <c r="E324" i="2"/>
  <c r="G334" i="2"/>
  <c r="G335" i="2"/>
  <c r="G328" i="2"/>
  <c r="G329" i="2"/>
  <c r="G332" i="2"/>
  <c r="G327" i="2"/>
  <c r="G339" i="2"/>
  <c r="G338" i="2"/>
  <c r="G336" i="2"/>
  <c r="G337" i="2"/>
  <c r="G330" i="2"/>
  <c r="G331" i="2"/>
  <c r="G325" i="2"/>
  <c r="G333" i="2"/>
  <c r="G326" i="2"/>
  <c r="E204" i="2"/>
  <c r="G213" i="2"/>
  <c r="G205" i="2"/>
  <c r="G206" i="2"/>
  <c r="G208" i="2"/>
  <c r="G210" i="2"/>
  <c r="G211" i="2"/>
  <c r="G212" i="2"/>
  <c r="G209" i="2"/>
  <c r="G216" i="2"/>
  <c r="G215" i="2"/>
  <c r="G207" i="2"/>
  <c r="G214" i="2"/>
  <c r="G187" i="2"/>
  <c r="G167" i="2"/>
  <c r="G171" i="2"/>
  <c r="E154" i="2"/>
  <c r="G154" i="2" s="1"/>
  <c r="G162" i="2"/>
  <c r="G169" i="2"/>
  <c r="G172" i="2"/>
  <c r="E174" i="2"/>
  <c r="G173" i="2"/>
  <c r="G155" i="2"/>
  <c r="G161" i="2"/>
  <c r="G168" i="2"/>
  <c r="G163" i="2"/>
  <c r="G164" i="2"/>
  <c r="G158" i="2"/>
  <c r="G159" i="2"/>
  <c r="G170" i="2"/>
  <c r="G160" i="2"/>
  <c r="G156" i="2"/>
  <c r="G157" i="2"/>
  <c r="G166" i="2"/>
  <c r="G165" i="2"/>
  <c r="G183" i="2"/>
  <c r="G93" i="2"/>
  <c r="G97" i="2"/>
  <c r="G86" i="2"/>
  <c r="E85" i="2"/>
  <c r="G85" i="2" s="1"/>
  <c r="G91" i="2"/>
  <c r="G98" i="2"/>
  <c r="G105" i="2"/>
  <c r="G99" i="2"/>
  <c r="G104" i="2"/>
  <c r="G94" i="2"/>
  <c r="G103" i="2"/>
  <c r="E106" i="2"/>
  <c r="G102" i="2"/>
  <c r="G95" i="2"/>
  <c r="G101" i="2"/>
  <c r="G88" i="2"/>
  <c r="G100" i="2"/>
  <c r="G87" i="2"/>
  <c r="G90" i="2"/>
  <c r="G89" i="2"/>
  <c r="G96" i="2"/>
  <c r="G92" i="2"/>
  <c r="E416" i="2"/>
  <c r="G416" i="2" s="1"/>
  <c r="G421" i="2"/>
  <c r="G427" i="2"/>
  <c r="G423" i="2"/>
  <c r="G428" i="2"/>
  <c r="G419" i="2"/>
  <c r="E430" i="2"/>
  <c r="G426" i="2"/>
  <c r="G425" i="2"/>
  <c r="G418" i="2"/>
  <c r="G417" i="2"/>
  <c r="G424" i="2"/>
  <c r="G429" i="2"/>
  <c r="G422" i="2"/>
  <c r="G420" i="2"/>
  <c r="G182" i="2"/>
  <c r="G186" i="2"/>
  <c r="G188" i="2"/>
  <c r="G181" i="2"/>
  <c r="G548" i="2"/>
  <c r="G552" i="2"/>
  <c r="G550" i="2"/>
  <c r="G551" i="2"/>
  <c r="G556" i="2"/>
  <c r="G555" i="2"/>
  <c r="G549" i="2"/>
  <c r="E547" i="2"/>
  <c r="G554" i="2"/>
  <c r="G553" i="2"/>
  <c r="G195" i="2"/>
  <c r="G184" i="2"/>
  <c r="G194" i="2"/>
  <c r="G286" i="2"/>
  <c r="G292" i="2"/>
  <c r="G293" i="2"/>
  <c r="G289" i="2"/>
  <c r="G284" i="2"/>
  <c r="G285" i="2"/>
  <c r="G288" i="2"/>
  <c r="G283" i="2"/>
  <c r="G287" i="2"/>
  <c r="G294" i="2"/>
  <c r="G291" i="2"/>
  <c r="G290" i="2"/>
  <c r="G196" i="2"/>
  <c r="G193" i="2"/>
  <c r="E541" i="2"/>
  <c r="G535" i="2"/>
  <c r="G527" i="2"/>
  <c r="G533" i="2"/>
  <c r="G539" i="2"/>
  <c r="G528" i="2"/>
  <c r="G530" i="2"/>
  <c r="G529" i="2"/>
  <c r="G531" i="2"/>
  <c r="G532" i="2"/>
  <c r="G540" i="2"/>
  <c r="G536" i="2"/>
  <c r="G538" i="2"/>
  <c r="G534" i="2"/>
  <c r="E526" i="2"/>
  <c r="G526" i="2" s="1"/>
  <c r="G537" i="2"/>
  <c r="G197" i="2"/>
  <c r="E390" i="2"/>
  <c r="G390" i="2" s="1"/>
  <c r="E410" i="2"/>
  <c r="G408" i="2"/>
  <c r="G399" i="2"/>
  <c r="G391" i="2"/>
  <c r="G405" i="2"/>
  <c r="G407" i="2"/>
  <c r="G396" i="2"/>
  <c r="G398" i="2"/>
  <c r="G400" i="2"/>
  <c r="G395" i="2"/>
  <c r="G394" i="2"/>
  <c r="G401" i="2"/>
  <c r="G404" i="2"/>
  <c r="G406" i="2"/>
  <c r="G402" i="2"/>
  <c r="G397" i="2"/>
  <c r="G403" i="2"/>
  <c r="G409" i="2"/>
  <c r="G393" i="2"/>
  <c r="G192" i="2"/>
  <c r="G116" i="2"/>
  <c r="G118" i="2"/>
  <c r="G125" i="2"/>
  <c r="G114" i="2"/>
  <c r="G119" i="2"/>
  <c r="G115" i="2"/>
  <c r="G123" i="2"/>
  <c r="E112" i="2"/>
  <c r="G117" i="2"/>
  <c r="G113" i="2"/>
  <c r="G120" i="2"/>
  <c r="E127" i="2"/>
  <c r="G124" i="2"/>
  <c r="G126" i="2"/>
  <c r="G121" i="2"/>
  <c r="G122" i="2"/>
  <c r="G276" i="2"/>
  <c r="G267" i="2"/>
  <c r="G273" i="2"/>
  <c r="E277" i="2"/>
  <c r="G269" i="2"/>
  <c r="G271" i="2"/>
  <c r="G275" i="2"/>
  <c r="G270" i="2"/>
  <c r="G266" i="2"/>
  <c r="G265" i="2"/>
  <c r="G268" i="2"/>
  <c r="G272" i="2"/>
  <c r="E520" i="2"/>
  <c r="G507" i="2"/>
  <c r="G505" i="2"/>
  <c r="G503" i="2"/>
  <c r="G504" i="2"/>
  <c r="G506" i="2"/>
  <c r="G509" i="2"/>
  <c r="G510" i="2"/>
  <c r="G511" i="2"/>
  <c r="G512" i="2"/>
  <c r="G508" i="2"/>
  <c r="G513" i="2"/>
  <c r="G514" i="2"/>
  <c r="G516" i="2"/>
  <c r="G517" i="2"/>
  <c r="G518" i="2"/>
  <c r="G519" i="2"/>
  <c r="E32" i="2"/>
  <c r="G6" i="2"/>
  <c r="G26" i="2"/>
  <c r="G12" i="2"/>
  <c r="G7" i="2"/>
  <c r="G27" i="2"/>
  <c r="G13" i="2"/>
  <c r="G8" i="2"/>
  <c r="G28" i="2"/>
  <c r="G31" i="2"/>
  <c r="G9" i="2"/>
  <c r="G29" i="2"/>
  <c r="G10" i="2"/>
  <c r="G30" i="2"/>
  <c r="G11" i="2"/>
  <c r="G15" i="2"/>
  <c r="G16" i="2"/>
  <c r="G17" i="2"/>
  <c r="G18" i="2"/>
  <c r="G5" i="2"/>
  <c r="G23" i="2"/>
  <c r="G25" i="2"/>
  <c r="G14" i="2"/>
  <c r="G22" i="2"/>
  <c r="G24" i="2"/>
  <c r="G19" i="2"/>
  <c r="G21" i="2"/>
  <c r="G20" i="2"/>
  <c r="G242" i="2"/>
  <c r="E496" i="2"/>
  <c r="G481" i="2"/>
  <c r="G136" i="2"/>
  <c r="G143" i="2"/>
  <c r="G137" i="2"/>
  <c r="G138" i="2"/>
  <c r="G141" i="2"/>
  <c r="G139" i="2"/>
  <c r="G140" i="2"/>
  <c r="G142" i="2"/>
  <c r="G146" i="2"/>
  <c r="G147" i="2"/>
  <c r="G135" i="2"/>
  <c r="G144" i="2"/>
  <c r="G392" i="2"/>
  <c r="G134" i="2"/>
  <c r="G39" i="2"/>
  <c r="G40" i="2"/>
  <c r="G42" i="2"/>
  <c r="G45" i="2"/>
  <c r="G49" i="2"/>
  <c r="G43" i="2"/>
  <c r="G46" i="2"/>
  <c r="G44" i="2"/>
  <c r="G48" i="2"/>
  <c r="G41" i="2"/>
  <c r="E475" i="2"/>
  <c r="G473" i="2"/>
  <c r="G474" i="2"/>
  <c r="G457" i="2"/>
  <c r="G458" i="2"/>
  <c r="G460" i="2"/>
  <c r="G459" i="2"/>
  <c r="G462" i="2"/>
  <c r="G463" i="2"/>
  <c r="G464" i="2"/>
  <c r="G470" i="2"/>
  <c r="G471" i="2"/>
  <c r="G468" i="2"/>
  <c r="G472" i="2"/>
  <c r="G461" i="2"/>
  <c r="G467" i="2"/>
  <c r="G466" i="2"/>
  <c r="G469" i="2"/>
  <c r="G465" i="2"/>
  <c r="E38" i="2"/>
  <c r="E50" i="2" s="1"/>
  <c r="E502" i="2"/>
  <c r="G502" i="2" s="1"/>
  <c r="E133" i="2"/>
  <c r="G133" i="2" s="1"/>
  <c r="E4" i="2"/>
  <c r="G4" i="2" s="1"/>
  <c r="G346" i="2"/>
  <c r="G584" i="2"/>
  <c r="G624" i="2"/>
  <c r="G643" i="2"/>
  <c r="G655" i="2"/>
  <c r="G563" i="2"/>
  <c r="E456" i="2"/>
  <c r="G456" i="2" s="1"/>
  <c r="G605" i="2"/>
  <c r="G301" i="2"/>
  <c r="G318" i="2"/>
  <c r="G223" i="2" l="1"/>
  <c r="E557" i="2"/>
  <c r="G547" i="2"/>
  <c r="E384" i="2"/>
  <c r="G369" i="2"/>
  <c r="E340" i="2"/>
  <c r="G324" i="2"/>
  <c r="E295" i="2"/>
  <c r="G264" i="2"/>
  <c r="G204" i="2"/>
  <c r="E217" i="2"/>
  <c r="G112" i="2"/>
  <c r="G3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Fredazit</author>
    <author>EXAMINATION OFFICE</author>
  </authors>
  <commentList>
    <comment ref="AN7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 xml:space="preserve">Elective
</t>
        </r>
      </text>
    </comment>
    <comment ref="AP14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appled, t, fc no problem</t>
        </r>
      </text>
    </comment>
    <comment ref="AN24" authorId="1" shapeId="0" xr:uid="{00000000-0006-0000-0600-000003000000}">
      <text>
        <r>
          <rPr>
            <b/>
            <sz val="9"/>
            <color indexed="81"/>
            <rFont val="Tahoma"/>
            <family val="2"/>
          </rPr>
          <t>Fredazit:</t>
        </r>
        <r>
          <rPr>
            <sz val="9"/>
            <color indexed="81"/>
            <rFont val="Tahoma"/>
            <family val="2"/>
          </rPr>
          <t xml:space="preserve">
elctive</t>
        </r>
      </text>
    </comment>
    <comment ref="AM27" authorId="1" shapeId="0" xr:uid="{00000000-0006-0000-0600-000004000000}">
      <text>
        <r>
          <rPr>
            <b/>
            <sz val="9"/>
            <color indexed="81"/>
            <rFont val="Tahoma"/>
            <family val="2"/>
          </rPr>
          <t>Fredazit:</t>
        </r>
        <r>
          <rPr>
            <sz val="9"/>
            <color indexed="81"/>
            <rFont val="Tahoma"/>
            <family val="2"/>
          </rPr>
          <t xml:space="preserve">
  Online _ Elective
</t>
        </r>
      </text>
    </comment>
    <comment ref="AN28" authorId="1" shapeId="0" xr:uid="{00000000-0006-0000-0600-000005000000}">
      <text>
        <r>
          <rPr>
            <b/>
            <sz val="9"/>
            <color indexed="81"/>
            <rFont val="Tahoma"/>
            <family val="2"/>
          </rPr>
          <t>Fredazit: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  <comment ref="AN38" authorId="1" shapeId="0" xr:uid="{00000000-0006-0000-0600-000006000000}">
      <text>
        <r>
          <rPr>
            <b/>
            <sz val="9"/>
            <color indexed="81"/>
            <rFont val="Tahoma"/>
            <family val="2"/>
          </rPr>
          <t>Fredazit: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  <comment ref="AN48" authorId="2" shapeId="0" xr:uid="{00000000-0006-0000-0600-000007000000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  <comment ref="AN52" authorId="2" shapeId="0" xr:uid="{00000000-0006-0000-0600-000008000000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EXAMINATION OFFICE</author>
    <author>Admin</author>
  </authors>
  <commentList>
    <comment ref="AZ21" authorId="0" shapeId="0" xr:uid="{234F061A-7135-4457-8DA4-87090069B79C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
</t>
        </r>
      </text>
    </comment>
    <comment ref="AW24" authorId="1" shapeId="0" xr:uid="{DE4060FC-8B3E-4568-88A4-250E98D070E2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two electives</t>
        </r>
      </text>
    </comment>
    <comment ref="AZ24" authorId="0" shapeId="0" xr:uid="{E1487AC9-2327-4B03-9852-22746AB22B29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  <comment ref="AW37" authorId="1" shapeId="0" xr:uid="{1D3541D2-6ECD-4782-8874-24BF58B7B796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  <comment ref="AZ37" authorId="0" shapeId="0" xr:uid="{9DC92591-09F1-45D5-BE8D-3138162B3203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  <comment ref="AW49" authorId="1" shapeId="0" xr:uid="{BA76A4C3-516E-43F4-9EB9-B9F7D744E52A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electives
</t>
        </r>
      </text>
    </comment>
    <comment ref="AZ49" authorId="0" shapeId="0" xr:uid="{8AF8932C-7DF7-45AF-912E-6327B3AD9DBE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  <comment ref="AY52" authorId="0" shapeId="0" xr:uid="{D8B5B315-103B-4B23-8038-E97B17AED5F6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  <comment ref="AW53" authorId="1" shapeId="0" xr:uid="{43869BE8-8608-442B-AFF9-431A77300D3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electives
</t>
        </r>
      </text>
    </comment>
    <comment ref="AZ53" authorId="0" shapeId="0" xr:uid="{073C2936-59C4-45FD-A6EB-D39C9C2D42A1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  <comment ref="AZ59" authorId="0" shapeId="0" xr:uid="{AC78C259-856A-454F-AAD1-55AC8F94DA44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
</t>
        </r>
      </text>
    </comment>
    <comment ref="AV70" authorId="0" shapeId="0" xr:uid="{6A4F05E7-6358-40ED-A157-7814049CAF37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  <comment ref="AW70" authorId="0" shapeId="0" xr:uid="{FF4A1DD7-E21B-4887-8E61-53B650D1B9CE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  <comment ref="AY70" authorId="0" shapeId="0" xr:uid="{64C7C36C-1F88-4585-B801-088FA38CFC97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  <comment ref="AZ70" authorId="0" shapeId="0" xr:uid="{49149885-8141-497B-99AF-283ED92E31D1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  <comment ref="BC70" authorId="0" shapeId="0" xr:uid="{EE046A4A-577E-4299-8050-9EB9815C906B}">
      <text>
        <r>
          <rPr>
            <b/>
            <sz val="9"/>
            <color indexed="81"/>
            <rFont val="Tahoma"/>
            <family val="2"/>
          </rPr>
          <t>EXAMINATION OFFICE:</t>
        </r>
        <r>
          <rPr>
            <sz val="9"/>
            <color indexed="81"/>
            <rFont val="Tahoma"/>
            <family val="2"/>
          </rPr>
          <t xml:space="preserve">
Elective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<sst xmlns="http://schemas.openxmlformats.org/spreadsheetml/2006/main" count="10820" uniqueCount="2312">
  <si>
    <t>Session, 1 (8:15AM - 9:15 AM)</t>
  </si>
  <si>
    <t>COMPARE</t>
  </si>
  <si>
    <t xml:space="preserve">CODE </t>
  </si>
  <si>
    <t xml:space="preserve">COURSE NAME </t>
  </si>
  <si>
    <t xml:space="preserve">EXAMINER </t>
  </si>
  <si>
    <t>CLASS</t>
  </si>
  <si>
    <t># STDS</t>
  </si>
  <si>
    <t>ROOM NO.</t>
  </si>
  <si>
    <t>TO PRT</t>
  </si>
  <si>
    <t>MATH 351</t>
  </si>
  <si>
    <t>ED3-ME</t>
  </si>
  <si>
    <t xml:space="preserve">Computer Based </t>
  </si>
  <si>
    <t>ED3-AUTO</t>
  </si>
  <si>
    <t>ED3-BME</t>
  </si>
  <si>
    <t>ED3-AERO</t>
  </si>
  <si>
    <t>ED3-AE</t>
  </si>
  <si>
    <t>ED3-GEOL</t>
  </si>
  <si>
    <t>ED3-COE</t>
  </si>
  <si>
    <t>ED3-TEL</t>
  </si>
  <si>
    <t>ED3-EE</t>
  </si>
  <si>
    <t>ED3-IND</t>
  </si>
  <si>
    <t>ED3-MARI</t>
  </si>
  <si>
    <t>ED3-CE</t>
  </si>
  <si>
    <t>ME 255</t>
  </si>
  <si>
    <t>ED2-MARI</t>
  </si>
  <si>
    <t>ED2-IND</t>
  </si>
  <si>
    <t>ED2-AUTO</t>
  </si>
  <si>
    <t>PE 351</t>
  </si>
  <si>
    <t>ACF 255</t>
  </si>
  <si>
    <t>ED2-BME</t>
  </si>
  <si>
    <t>ED2-COE</t>
  </si>
  <si>
    <t>ED3-METE</t>
  </si>
  <si>
    <t>ED2-TEL</t>
  </si>
  <si>
    <t>ED2-MSE</t>
  </si>
  <si>
    <t>ED3-GEOM</t>
  </si>
  <si>
    <t>LT</t>
  </si>
  <si>
    <t>ED1-GEOL</t>
  </si>
  <si>
    <t>RMB</t>
  </si>
  <si>
    <t>ME 159</t>
  </si>
  <si>
    <t>ED1-METE</t>
  </si>
  <si>
    <t>ED1-AERO</t>
  </si>
  <si>
    <t>ED1-MARI</t>
  </si>
  <si>
    <t>PB014</t>
  </si>
  <si>
    <t>AERO 483</t>
  </si>
  <si>
    <t>ED4-AERO</t>
  </si>
  <si>
    <t>BME 471</t>
  </si>
  <si>
    <t>ED4-BME</t>
  </si>
  <si>
    <t>ME 483</t>
  </si>
  <si>
    <t>ED4-ME</t>
  </si>
  <si>
    <t>GED 475</t>
  </si>
  <si>
    <t>ED4-GEOL</t>
  </si>
  <si>
    <t>PE 459</t>
  </si>
  <si>
    <t>ED4-TEL</t>
  </si>
  <si>
    <t>Total M1</t>
  </si>
  <si>
    <t>Session, 2  (10:00AM - 11:00 AM)</t>
  </si>
  <si>
    <t>EE 467</t>
  </si>
  <si>
    <t>ED4-EE</t>
  </si>
  <si>
    <t>EE 161</t>
  </si>
  <si>
    <t>ED1-EE</t>
  </si>
  <si>
    <t>COE 457</t>
  </si>
  <si>
    <t>ED4-COE</t>
  </si>
  <si>
    <t>N1</t>
  </si>
  <si>
    <t>CHE 255</t>
  </si>
  <si>
    <t>ED2-CHE</t>
  </si>
  <si>
    <t>ED2-PCE</t>
  </si>
  <si>
    <t>GE 151</t>
  </si>
  <si>
    <t>ED1-GEOM</t>
  </si>
  <si>
    <t>CE 457</t>
  </si>
  <si>
    <t>ED4-CE</t>
  </si>
  <si>
    <t>ED1-COE</t>
  </si>
  <si>
    <t>PCE 351</t>
  </si>
  <si>
    <t>ED3-PCE</t>
  </si>
  <si>
    <t>Total M2</t>
  </si>
  <si>
    <t>Session, 3 (11:45AM - 12:45 PM)</t>
  </si>
  <si>
    <t>AME 467</t>
  </si>
  <si>
    <t>ED4-AUTO</t>
  </si>
  <si>
    <t>PE 251</t>
  </si>
  <si>
    <t>GE 461</t>
  </si>
  <si>
    <t>ED4-GEOM</t>
  </si>
  <si>
    <t>IE 461</t>
  </si>
  <si>
    <t>ED4-IND</t>
  </si>
  <si>
    <t>EE 287</t>
  </si>
  <si>
    <t>ED2-EE</t>
  </si>
  <si>
    <t>GE 261</t>
  </si>
  <si>
    <t>ED2-GEOM</t>
  </si>
  <si>
    <t>CHE 461</t>
  </si>
  <si>
    <t>ED4-CHE</t>
  </si>
  <si>
    <t>ED4-PCE</t>
  </si>
  <si>
    <t>MSE 251</t>
  </si>
  <si>
    <t>ED2-METE</t>
  </si>
  <si>
    <t>ME 473</t>
  </si>
  <si>
    <t>CHE 359</t>
  </si>
  <si>
    <t>ED3-CHE</t>
  </si>
  <si>
    <t>GED 451</t>
  </si>
  <si>
    <t>METE 457</t>
  </si>
  <si>
    <t>ED4-METE</t>
  </si>
  <si>
    <t>MSE 453</t>
  </si>
  <si>
    <t>ED4-MSE</t>
  </si>
  <si>
    <t>Total M3</t>
  </si>
  <si>
    <t>Session, 4 (1:30PM - 2:30 PM)</t>
  </si>
  <si>
    <t>CE 257</t>
  </si>
  <si>
    <t>ED2-CE</t>
  </si>
  <si>
    <t>CHE 151</t>
  </si>
  <si>
    <t>ED1-CHE</t>
  </si>
  <si>
    <t>ED1-PCE</t>
  </si>
  <si>
    <t>NEB-FF1</t>
  </si>
  <si>
    <t>PE 151</t>
  </si>
  <si>
    <t>ME 363</t>
  </si>
  <si>
    <t>PB212</t>
  </si>
  <si>
    <t>BME 285</t>
  </si>
  <si>
    <t>EE 367</t>
  </si>
  <si>
    <t>MME 291</t>
  </si>
  <si>
    <t>MME 467</t>
  </si>
  <si>
    <t>ED4-MARI</t>
  </si>
  <si>
    <t>MSE 151</t>
  </si>
  <si>
    <t>ED1-MSE</t>
  </si>
  <si>
    <t>PE 363</t>
  </si>
  <si>
    <t>BME 397</t>
  </si>
  <si>
    <t>Total M4</t>
  </si>
  <si>
    <t>Session, 5 (3:15PM - 4:15 PM)</t>
  </si>
  <si>
    <t>COE 261</t>
  </si>
  <si>
    <t>CE 367</t>
  </si>
  <si>
    <t>MSE 353</t>
  </si>
  <si>
    <t>ED3-MSE</t>
  </si>
  <si>
    <t>PCE 359</t>
  </si>
  <si>
    <t>GED 251</t>
  </si>
  <si>
    <t>ED2-GEOL</t>
  </si>
  <si>
    <t>METE 151</t>
  </si>
  <si>
    <t>TE 255</t>
  </si>
  <si>
    <t>GED 375</t>
  </si>
  <si>
    <t>AE 459</t>
  </si>
  <si>
    <t>ED4-AE</t>
  </si>
  <si>
    <t>AME 365</t>
  </si>
  <si>
    <t>GE 353</t>
  </si>
  <si>
    <t>Total M5</t>
  </si>
  <si>
    <t>Session, 6 (5:00PM - 6:00 PM)</t>
  </si>
  <si>
    <t>AE 381</t>
  </si>
  <si>
    <t>CE 471</t>
  </si>
  <si>
    <t>CHE 471</t>
  </si>
  <si>
    <t>ENGL 263</t>
  </si>
  <si>
    <t>ED2-AERO</t>
  </si>
  <si>
    <t>ED2-ME</t>
  </si>
  <si>
    <t>ED2-AE</t>
  </si>
  <si>
    <t>IE 351</t>
  </si>
  <si>
    <t>NAF1</t>
  </si>
  <si>
    <t>TE 351</t>
  </si>
  <si>
    <t>BME 461</t>
  </si>
  <si>
    <t>Total M6</t>
  </si>
  <si>
    <t>MATH 251</t>
  </si>
  <si>
    <t>Computer Based</t>
  </si>
  <si>
    <t>MSE 351</t>
  </si>
  <si>
    <t>ME 265</t>
  </si>
  <si>
    <t>GED 357</t>
  </si>
  <si>
    <t>AE 353</t>
  </si>
  <si>
    <t>ME 477</t>
  </si>
  <si>
    <t>CE 467</t>
  </si>
  <si>
    <t>RMA</t>
  </si>
  <si>
    <t>CE 355</t>
  </si>
  <si>
    <t>TE 481</t>
  </si>
  <si>
    <t>Total T1</t>
  </si>
  <si>
    <t>MATH 151</t>
  </si>
  <si>
    <t>ED1-IND</t>
  </si>
  <si>
    <t>ED1-BME</t>
  </si>
  <si>
    <t>ED1-AE</t>
  </si>
  <si>
    <t>ED1-ME</t>
  </si>
  <si>
    <t>ED1-CE</t>
  </si>
  <si>
    <t>ED1-AUTO</t>
  </si>
  <si>
    <t>Total T2</t>
  </si>
  <si>
    <t>CHE 357</t>
  </si>
  <si>
    <t>TE 385</t>
  </si>
  <si>
    <t>IE 355</t>
  </si>
  <si>
    <t>AE 457</t>
  </si>
  <si>
    <t>GED 459</t>
  </si>
  <si>
    <t>PCE 455</t>
  </si>
  <si>
    <t>GE 463</t>
  </si>
  <si>
    <t>TE 357</t>
  </si>
  <si>
    <t>ME 453</t>
  </si>
  <si>
    <t>Total T3</t>
  </si>
  <si>
    <t>CHE 259</t>
  </si>
  <si>
    <t>GED 351</t>
  </si>
  <si>
    <t>IE 451</t>
  </si>
  <si>
    <t>Total T4</t>
  </si>
  <si>
    <t>CE 155</t>
  </si>
  <si>
    <t>ED1-TEL</t>
  </si>
  <si>
    <t>MSE 357</t>
  </si>
  <si>
    <t>PE 367</t>
  </si>
  <si>
    <t>METE 453</t>
  </si>
  <si>
    <t>MSE 455</t>
  </si>
  <si>
    <t>EE 365</t>
  </si>
  <si>
    <t>MME 373</t>
  </si>
  <si>
    <t>AME 373</t>
  </si>
  <si>
    <t>Total T5</t>
  </si>
  <si>
    <t>PCE 253</t>
  </si>
  <si>
    <t>ME 161</t>
  </si>
  <si>
    <t>MME 155</t>
  </si>
  <si>
    <t>CE 475</t>
  </si>
  <si>
    <t>PCE 461</t>
  </si>
  <si>
    <t>Total T6</t>
  </si>
  <si>
    <t>GED 465</t>
  </si>
  <si>
    <t>CE 473</t>
  </si>
  <si>
    <t>AE 351</t>
  </si>
  <si>
    <t>ME 281</t>
  </si>
  <si>
    <t>AERO 473</t>
  </si>
  <si>
    <t>AE 153</t>
  </si>
  <si>
    <t>GED 365</t>
  </si>
  <si>
    <t>AME 455</t>
  </si>
  <si>
    <t>MME 465</t>
  </si>
  <si>
    <t>ME 465</t>
  </si>
  <si>
    <t>IE 357</t>
  </si>
  <si>
    <t>MSE 155</t>
  </si>
  <si>
    <t>Total W1</t>
  </si>
  <si>
    <t>FC 181</t>
  </si>
  <si>
    <t>EE 371</t>
  </si>
  <si>
    <t>COE 371</t>
  </si>
  <si>
    <t>Total W2</t>
  </si>
  <si>
    <t>CHE 257</t>
  </si>
  <si>
    <t>MME 281</t>
  </si>
  <si>
    <t>AE 471</t>
  </si>
  <si>
    <t>COE 485</t>
  </si>
  <si>
    <t>METE 251</t>
  </si>
  <si>
    <t>GE 281</t>
  </si>
  <si>
    <t>CHE 451</t>
  </si>
  <si>
    <t>CE 255</t>
  </si>
  <si>
    <t>IE 455</t>
  </si>
  <si>
    <t>GE 451</t>
  </si>
  <si>
    <t>Total W3</t>
  </si>
  <si>
    <t>STAT 253</t>
  </si>
  <si>
    <t>TE 353</t>
  </si>
  <si>
    <t>EE 463</t>
  </si>
  <si>
    <t>Total W4</t>
  </si>
  <si>
    <t>AERO 157</t>
  </si>
  <si>
    <t>CHE 153</t>
  </si>
  <si>
    <t>PE 153</t>
  </si>
  <si>
    <t>MSE 153</t>
  </si>
  <si>
    <t>GE 171</t>
  </si>
  <si>
    <t>PE 257</t>
  </si>
  <si>
    <t>ME 355</t>
  </si>
  <si>
    <t>CE 451</t>
  </si>
  <si>
    <t>MSE 451</t>
  </si>
  <si>
    <t>EE 167</t>
  </si>
  <si>
    <t>METE 451</t>
  </si>
  <si>
    <t>Total W5</t>
  </si>
  <si>
    <t>ROOM</t>
  </si>
  <si>
    <t>ECON 151</t>
  </si>
  <si>
    <t>Takyi Paul Owusu</t>
  </si>
  <si>
    <t>IE 459</t>
  </si>
  <si>
    <t>PE 353</t>
  </si>
  <si>
    <t>PE 455</t>
  </si>
  <si>
    <t>BME 451</t>
  </si>
  <si>
    <t>Total W6</t>
  </si>
  <si>
    <t>ME 259</t>
  </si>
  <si>
    <t>MSE 255</t>
  </si>
  <si>
    <t>CE 151</t>
  </si>
  <si>
    <t>CHE 361</t>
  </si>
  <si>
    <t>PCE 355</t>
  </si>
  <si>
    <t>EE 387</t>
  </si>
  <si>
    <t>GED 461</t>
  </si>
  <si>
    <t>COE 387</t>
  </si>
  <si>
    <t>ME 467</t>
  </si>
  <si>
    <t>Total H1</t>
  </si>
  <si>
    <t>CHE 261</t>
  </si>
  <si>
    <t>GE 263</t>
  </si>
  <si>
    <t>COE 251</t>
  </si>
  <si>
    <t>ME 365</t>
  </si>
  <si>
    <t>CE 463</t>
  </si>
  <si>
    <t>GED 253</t>
  </si>
  <si>
    <t>METE 351</t>
  </si>
  <si>
    <t>CHEM 151</t>
  </si>
  <si>
    <t>MSE 355</t>
  </si>
  <si>
    <t>CHE 455</t>
  </si>
  <si>
    <t>PE 357</t>
  </si>
  <si>
    <t>Total H2</t>
  </si>
  <si>
    <t>AERO 351</t>
  </si>
  <si>
    <t>GE 361</t>
  </si>
  <si>
    <t>CE 259</t>
  </si>
  <si>
    <t>ME 491</t>
  </si>
  <si>
    <t>MME 491</t>
  </si>
  <si>
    <t>Total H3</t>
  </si>
  <si>
    <t>EE 151</t>
  </si>
  <si>
    <t>COE 181</t>
  </si>
  <si>
    <t>PE 255</t>
  </si>
  <si>
    <t>AERO 491</t>
  </si>
  <si>
    <t>Total H4</t>
  </si>
  <si>
    <t>COE 475</t>
  </si>
  <si>
    <t>ME 261</t>
  </si>
  <si>
    <t>MSE 361</t>
  </si>
  <si>
    <t>METE 353</t>
  </si>
  <si>
    <t>IE 367</t>
  </si>
  <si>
    <t>ME 361</t>
  </si>
  <si>
    <t>Total H5</t>
  </si>
  <si>
    <t>GE 371</t>
  </si>
  <si>
    <t>GE 271</t>
  </si>
  <si>
    <t>CHE 251</t>
  </si>
  <si>
    <t>ARC 155</t>
  </si>
  <si>
    <t>PE 359</t>
  </si>
  <si>
    <t>CE 479</t>
  </si>
  <si>
    <t>TE 271</t>
  </si>
  <si>
    <t>PE 451</t>
  </si>
  <si>
    <t>TE 253</t>
  </si>
  <si>
    <t>TE 355</t>
  </si>
  <si>
    <t>PCE 357</t>
  </si>
  <si>
    <t>PCE 457</t>
  </si>
  <si>
    <t>CE 353</t>
  </si>
  <si>
    <t>GE 475</t>
  </si>
  <si>
    <t>Total H6</t>
  </si>
  <si>
    <t>GE 161</t>
  </si>
  <si>
    <t>ME 157</t>
  </si>
  <si>
    <t>CHE 463</t>
  </si>
  <si>
    <t>EE 271</t>
  </si>
  <si>
    <t>COE 271</t>
  </si>
  <si>
    <t>PE 473</t>
  </si>
  <si>
    <t>Total F1</t>
  </si>
  <si>
    <t>GED 151</t>
  </si>
  <si>
    <t>PE 253</t>
  </si>
  <si>
    <t>AE 373</t>
  </si>
  <si>
    <t>PE 155</t>
  </si>
  <si>
    <t>CHE 253</t>
  </si>
  <si>
    <t>IE 365</t>
  </si>
  <si>
    <t>CHE 363</t>
  </si>
  <si>
    <t>AERO 391</t>
  </si>
  <si>
    <t>GE 251</t>
  </si>
  <si>
    <t>CE 153</t>
  </si>
  <si>
    <t>Total F2</t>
  </si>
  <si>
    <t>IE 457</t>
  </si>
  <si>
    <t>GE 381</t>
  </si>
  <si>
    <t>MSE 253</t>
  </si>
  <si>
    <t>CE 477</t>
  </si>
  <si>
    <t>MME 353</t>
  </si>
  <si>
    <t>BME 463</t>
  </si>
  <si>
    <t>MME 473</t>
  </si>
  <si>
    <t>GED 267</t>
  </si>
  <si>
    <t>Total F3</t>
  </si>
  <si>
    <t>COE 253</t>
  </si>
  <si>
    <t>Prince Amponsah Kwabi</t>
  </si>
  <si>
    <t>BME 161</t>
  </si>
  <si>
    <t>ME 251</t>
  </si>
  <si>
    <t>ME 451</t>
  </si>
  <si>
    <t>PCE 451</t>
  </si>
  <si>
    <t>AE 451</t>
  </si>
  <si>
    <t>PE 361</t>
  </si>
  <si>
    <t>EE 261</t>
  </si>
  <si>
    <t>EE 153</t>
  </si>
  <si>
    <t>AME 371</t>
  </si>
  <si>
    <t>Total F4</t>
  </si>
  <si>
    <t>IE 363</t>
  </si>
  <si>
    <t>MSE 457</t>
  </si>
  <si>
    <t>MSE 363</t>
  </si>
  <si>
    <t>COE 381</t>
  </si>
  <si>
    <t>AME 485</t>
  </si>
  <si>
    <t>CHE 351</t>
  </si>
  <si>
    <t>Total F5</t>
  </si>
  <si>
    <t>CE 359</t>
  </si>
  <si>
    <t>GED 379</t>
  </si>
  <si>
    <t>PE 259</t>
  </si>
  <si>
    <t>SES 171</t>
  </si>
  <si>
    <t>ME 373</t>
  </si>
  <si>
    <t>ME 455</t>
  </si>
  <si>
    <t>GE 351</t>
  </si>
  <si>
    <t>CHE 459</t>
  </si>
  <si>
    <t>MME 365</t>
  </si>
  <si>
    <t>CE 461</t>
  </si>
  <si>
    <t>Total F6</t>
  </si>
  <si>
    <t>M</t>
  </si>
  <si>
    <t>T</t>
  </si>
  <si>
    <t>W</t>
  </si>
  <si>
    <t>H</t>
  </si>
  <si>
    <t>F</t>
  </si>
  <si>
    <t>M1</t>
  </si>
  <si>
    <t>M2</t>
  </si>
  <si>
    <t>M3</t>
  </si>
  <si>
    <t>M4</t>
  </si>
  <si>
    <t>M5</t>
  </si>
  <si>
    <t>M6</t>
  </si>
  <si>
    <t>M7</t>
  </si>
  <si>
    <t>T1</t>
  </si>
  <si>
    <t>T2</t>
  </si>
  <si>
    <t>T3</t>
  </si>
  <si>
    <t>T4</t>
  </si>
  <si>
    <t>T5</t>
  </si>
  <si>
    <t>T6</t>
  </si>
  <si>
    <t>T7</t>
  </si>
  <si>
    <t>W1</t>
  </si>
  <si>
    <t>W2</t>
  </si>
  <si>
    <t>W3</t>
  </si>
  <si>
    <t>W4</t>
  </si>
  <si>
    <t>W5</t>
  </si>
  <si>
    <t>W6</t>
  </si>
  <si>
    <t>W7</t>
  </si>
  <si>
    <t>H1</t>
  </si>
  <si>
    <t>H2</t>
  </si>
  <si>
    <t>H3</t>
  </si>
  <si>
    <t>H4</t>
  </si>
  <si>
    <t>H5</t>
  </si>
  <si>
    <t>H6</t>
  </si>
  <si>
    <t>H7</t>
  </si>
  <si>
    <t>F1</t>
  </si>
  <si>
    <t>F2</t>
  </si>
  <si>
    <t>F3</t>
  </si>
  <si>
    <t>F4</t>
  </si>
  <si>
    <t>F5</t>
  </si>
  <si>
    <t>F6</t>
  </si>
  <si>
    <t>Unnamed: 0</t>
  </si>
  <si>
    <t>Unnamed: 6</t>
  </si>
  <si>
    <t>No of students</t>
  </si>
  <si>
    <t xml:space="preserve">      BSC. AEROSPACE ENG., Year 1</t>
  </si>
  <si>
    <t>Unnamed: 2</t>
  </si>
  <si>
    <t>Unnamed: 4</t>
  </si>
  <si>
    <t>Oppong David Kofi</t>
  </si>
  <si>
    <t>INTRODUCTION TO AVIATION TECHNOLOGY</t>
  </si>
  <si>
    <t>ENVIRONMENTAL STUDIES</t>
  </si>
  <si>
    <t>Oteng Gyasi Kwame</t>
  </si>
  <si>
    <t>APPLIED ELECTRICITY</t>
  </si>
  <si>
    <t>ENGL 157</t>
  </si>
  <si>
    <t>COMMUNICATION SKILLS I</t>
  </si>
  <si>
    <t>Fosu Gabriel Obed</t>
  </si>
  <si>
    <t>ALGEBRA</t>
  </si>
  <si>
    <t>Sackey Michael Nii</t>
  </si>
  <si>
    <t>INTRODUCTION TO INFORMATION TECHNOLOGY</t>
  </si>
  <si>
    <t>TECHNICAL DRAWING</t>
  </si>
  <si>
    <t>Amoabeng Kofi Owura</t>
  </si>
  <si>
    <t>ENGINEERING MATERIALS I</t>
  </si>
  <si>
    <t>CENG 291</t>
  </si>
  <si>
    <t>ENGINEERING IN SOCIETY</t>
  </si>
  <si>
    <t>AERO 293</t>
  </si>
  <si>
    <t>AEROSPACE ENGINEERING VACATION TRAINING I</t>
  </si>
  <si>
    <t>Agyei Agyemang Anthony</t>
  </si>
  <si>
    <t>STRENGTH OF MATERIALS I</t>
  </si>
  <si>
    <t>LITERATURE IN ENGLISH I</t>
  </si>
  <si>
    <t>Wireko Fredrick Asenso</t>
  </si>
  <si>
    <t>DIFFERENTIAL EQUATIONS</t>
  </si>
  <si>
    <t>Fiagbe Yesuenyeagbe Atsu Kwabla</t>
  </si>
  <si>
    <t>INTRODUCTION TO FLUID MECHANICS</t>
  </si>
  <si>
    <t>Ampofo Joshua</t>
  </si>
  <si>
    <t>D. K. Oppong</t>
  </si>
  <si>
    <t>ME 295</t>
  </si>
  <si>
    <t>MECHANICAL ENGINEERING LAB. I</t>
  </si>
  <si>
    <t>INTRODUCTION TO ECONOMICS I</t>
  </si>
  <si>
    <t>AERO 393</t>
  </si>
  <si>
    <t>AEROSPACE ENGINEERING VACATION TRAINING II</t>
  </si>
  <si>
    <t>Bofah Kwasi Kete</t>
  </si>
  <si>
    <t>AERODYNAMICS I</t>
  </si>
  <si>
    <t>K. K. Bofah</t>
  </si>
  <si>
    <t>AEROSPACE INDUSTRY AND ENGINEERING</t>
  </si>
  <si>
    <t>AERO 395</t>
  </si>
  <si>
    <t>AEROSPACE ENGINEERING LAB. I</t>
  </si>
  <si>
    <t>Borkor Reindorf Nartey</t>
  </si>
  <si>
    <t>NUMERICAL ANALYSIS</t>
  </si>
  <si>
    <t>C. F. A. Yirenkyi</t>
  </si>
  <si>
    <t>PROBABILITY AND STATISTICS</t>
  </si>
  <si>
    <t>F. W. Adam</t>
  </si>
  <si>
    <t>AUTOMATIC CONTROL I</t>
  </si>
  <si>
    <t>AE 453</t>
  </si>
  <si>
    <t>Aikins Stephen Hill Mends</t>
  </si>
  <si>
    <t>COE 153</t>
  </si>
  <si>
    <t>CHEMICAL PROCESS CALCULATIONS I</t>
  </si>
  <si>
    <t>CHEMICAL ENGINEERING THERMODYNAMICS I</t>
  </si>
  <si>
    <t>FLUID TRANSPORT</t>
  </si>
  <si>
    <t>ANALYTICAL CHEMISTRY FOR CHEMICAL ENGINEERS</t>
  </si>
  <si>
    <t>CHEMICAL PROCESS INDUSTRIES</t>
  </si>
  <si>
    <t>COMPUTER APPLICATIONS FOR ENGINEERS</t>
  </si>
  <si>
    <t>CE 251</t>
  </si>
  <si>
    <t>CE 271</t>
  </si>
  <si>
    <t>Kwofie Samuel</t>
  </si>
  <si>
    <t>College of Engineering</t>
  </si>
  <si>
    <t>Available Rooms</t>
  </si>
  <si>
    <t>Rooms</t>
  </si>
  <si>
    <t>VSLA</t>
  </si>
  <si>
    <t>N2</t>
  </si>
  <si>
    <t>PB001</t>
  </si>
  <si>
    <t>PB020</t>
  </si>
  <si>
    <t>PB008</t>
  </si>
  <si>
    <t>PB201</t>
  </si>
  <si>
    <t>PB214</t>
  </si>
  <si>
    <t>PB208</t>
  </si>
  <si>
    <t>VCR</t>
  </si>
  <si>
    <t>ECR</t>
  </si>
  <si>
    <t>A110</t>
  </si>
  <si>
    <t>EA</t>
  </si>
  <si>
    <t>NEB-FF2</t>
  </si>
  <si>
    <t>NEB-SF</t>
  </si>
  <si>
    <t>NEB-GF</t>
  </si>
  <si>
    <t>Total bottles for a Day</t>
  </si>
  <si>
    <t xml:space="preserve">Overall total left </t>
  </si>
  <si>
    <t>Total to be collected  for the day</t>
  </si>
  <si>
    <t>Total Collected for the day</t>
  </si>
  <si>
    <t>~ 370 Overall packs  
(16 bottles per pack)</t>
  </si>
  <si>
    <t>~ 74 packs a day 
(16 bottles per pack)</t>
  </si>
  <si>
    <t>Totals Per Day</t>
  </si>
  <si>
    <t xml:space="preserve">Totals Per   Session </t>
  </si>
  <si>
    <t>12tls</t>
  </si>
  <si>
    <t xml:space="preserve">NURSES </t>
  </si>
  <si>
    <t>8btls</t>
  </si>
  <si>
    <t>10pks</t>
  </si>
  <si>
    <t>SECURITY</t>
  </si>
  <si>
    <t>4pks</t>
  </si>
  <si>
    <t>PB</t>
  </si>
  <si>
    <t>BAMFO KWAKYE</t>
  </si>
  <si>
    <t>2pks</t>
  </si>
  <si>
    <t>SCANTRON</t>
  </si>
  <si>
    <t xml:space="preserve">8pks </t>
  </si>
  <si>
    <t>EXAMS OFFICE</t>
  </si>
  <si>
    <t xml:space="preserve">7pks </t>
  </si>
  <si>
    <t>NEB OFFICE</t>
  </si>
  <si>
    <t>Biometric</t>
  </si>
  <si>
    <t>5btls</t>
  </si>
  <si>
    <t>NEB-TF</t>
  </si>
  <si>
    <t>3btls</t>
  </si>
  <si>
    <t>4btls</t>
  </si>
  <si>
    <t>RM B</t>
  </si>
  <si>
    <t>3btl</t>
  </si>
  <si>
    <t>RM A</t>
  </si>
  <si>
    <t xml:space="preserve">Bottles/Packs Collected </t>
  </si>
  <si>
    <t xml:space="preserve">Signature </t>
  </si>
  <si>
    <t>Contact</t>
  </si>
  <si>
    <t xml:space="preserve">Name </t>
  </si>
  <si>
    <t>OVERALL</t>
  </si>
  <si>
    <t>PACKS PER DAY</t>
  </si>
  <si>
    <t>TT BOTTLES</t>
  </si>
  <si>
    <t>PER SESSION</t>
  </si>
  <si>
    <t>ATTD</t>
  </si>
  <si>
    <t>TA</t>
  </si>
  <si>
    <t>ROOM 
USAGE</t>
  </si>
  <si>
    <t>TOTAL 
BOTTLES FOR PERIOD</t>
  </si>
  <si>
    <t>TOTAL BOTTLES</t>
  </si>
  <si>
    <t>Total Pack</t>
  </si>
  <si>
    <t>TOTAL BOTLES</t>
  </si>
  <si>
    <t>INVIGILATORS</t>
  </si>
  <si>
    <t>KNUST</t>
  </si>
  <si>
    <t>CBG</t>
  </si>
  <si>
    <t>CHARITY A.A HALEEGOAH</t>
  </si>
  <si>
    <t xml:space="preserve">GCB </t>
  </si>
  <si>
    <t>ELIZABETH HENEWAA AKOTO</t>
  </si>
  <si>
    <t>AHODWO</t>
  </si>
  <si>
    <t>ZENITH BANK</t>
  </si>
  <si>
    <t xml:space="preserve">DORIGEN ASAMOAH </t>
  </si>
  <si>
    <t>FIDELITY BANK</t>
  </si>
  <si>
    <t xml:space="preserve">JEPHTAH OGYEFO ACQUAH </t>
  </si>
  <si>
    <t>ECOBANK</t>
  </si>
  <si>
    <t xml:space="preserve">JOSEPH GATI </t>
  </si>
  <si>
    <t>GCB BANK</t>
  </si>
  <si>
    <t>ELIJAH ATIGAH ALADAGO</t>
  </si>
  <si>
    <t xml:space="preserve">FIDELITY BANK </t>
  </si>
  <si>
    <t>ISAAC DOUGHAN</t>
  </si>
  <si>
    <t>CAL BANK</t>
  </si>
  <si>
    <t>GABRIEL KLUTSE</t>
  </si>
  <si>
    <t>SUAME BRANCH</t>
  </si>
  <si>
    <t>VICENTIA APPAIAH-AGYEI</t>
  </si>
  <si>
    <t>CALBANK</t>
  </si>
  <si>
    <t>KEVIN JOJO ARHIN</t>
  </si>
  <si>
    <t>ACCRA MALL</t>
  </si>
  <si>
    <t>FNB</t>
  </si>
  <si>
    <t>MICHEAL KOKONU</t>
  </si>
  <si>
    <t>TECH JUNCTION</t>
  </si>
  <si>
    <t>HERBERT NTIM</t>
  </si>
  <si>
    <t>KNUST BRANCH</t>
  </si>
  <si>
    <t>EMMANUEL KOFI FRIMPONG</t>
  </si>
  <si>
    <t>JOSHUA ATTA ALABI</t>
  </si>
  <si>
    <t>HO BRANCH</t>
  </si>
  <si>
    <t>039-3579471</t>
  </si>
  <si>
    <t>ABSA BANK</t>
  </si>
  <si>
    <t>ISSAKAH OBED</t>
  </si>
  <si>
    <t xml:space="preserve">AMOS UWUMBORAGEN BEDAKMAN </t>
  </si>
  <si>
    <t>ADUM</t>
  </si>
  <si>
    <t xml:space="preserve">RANSFORD OPOKU-AFRIYIE </t>
  </si>
  <si>
    <t xml:space="preserve">BENJAMIN MENSAH FRIMPONG </t>
  </si>
  <si>
    <t>JOSEPH OTENG</t>
  </si>
  <si>
    <t>AKUAKU JONATHAN EDEM</t>
  </si>
  <si>
    <t>DANSOMAN EXHIBITION</t>
  </si>
  <si>
    <t>AUGUSTINE NOBLE TETTEY ADJALOGO-AGBEKO</t>
  </si>
  <si>
    <t>RING ROAD EAST</t>
  </si>
  <si>
    <t>DANIEL OCLOO</t>
  </si>
  <si>
    <t>TAKORADI BRANCH</t>
  </si>
  <si>
    <t>REPUBLIC BANK</t>
  </si>
  <si>
    <t>SETH GYAN</t>
  </si>
  <si>
    <t>MICHAEL AKOLI</t>
  </si>
  <si>
    <t>ANABA SILAS</t>
  </si>
  <si>
    <t>MORGAN AUGUSTINE YAW</t>
  </si>
  <si>
    <t>UBA</t>
  </si>
  <si>
    <t>PIET ANKRAH ACHEAMPONG</t>
  </si>
  <si>
    <t>FRANCIS AWUAH</t>
  </si>
  <si>
    <t>ABSA</t>
  </si>
  <si>
    <t>BENNET TETTEH ACCAM</t>
  </si>
  <si>
    <t>TECH</t>
  </si>
  <si>
    <t>MARGARET AMPAOU ADITEY</t>
  </si>
  <si>
    <t>RAPHEL AMOFA-BAAH</t>
  </si>
  <si>
    <t>BENJAMIN ODOI-LARTEY</t>
  </si>
  <si>
    <t>NATHENIEL FRIMPONG DARQUAH</t>
  </si>
  <si>
    <t>KUMASI MAIN</t>
  </si>
  <si>
    <t>GT BANK</t>
  </si>
  <si>
    <t>SETH KOFI BRIMPONG DWAMENA</t>
  </si>
  <si>
    <t>AIRPORT CITY</t>
  </si>
  <si>
    <t>STANBIC BANK</t>
  </si>
  <si>
    <t>SANDRA ADDAI-HENNE</t>
  </si>
  <si>
    <t>BERNARD O. BAINSON</t>
  </si>
  <si>
    <t>FIDELITY</t>
  </si>
  <si>
    <t>KWAME PIESE FRIMPONG</t>
  </si>
  <si>
    <t>JEFFERY NII  ARMAH ARYEE</t>
  </si>
  <si>
    <t>VVU, TECHIMAN</t>
  </si>
  <si>
    <t>CBG BANK</t>
  </si>
  <si>
    <t>FREDRICK ASENSO WIREKO</t>
  </si>
  <si>
    <t>LINDA A. BANNING</t>
  </si>
  <si>
    <t xml:space="preserve">ROSE-MARY OWUSUAA MENSAH GYENING </t>
  </si>
  <si>
    <t>KATE TAKYI</t>
  </si>
  <si>
    <t>BREMAN ASIKUMA</t>
  </si>
  <si>
    <t>GABRIEL OBED FOSU</t>
  </si>
  <si>
    <t>ELLIOT SARPONG MENKAH</t>
  </si>
  <si>
    <t>REINDOLF NARTEY BORKOR</t>
  </si>
  <si>
    <t>MAXWEL AKWASI BOATENG</t>
  </si>
  <si>
    <t>CAROLINE ROSEMYYA KWAWU</t>
  </si>
  <si>
    <t>WILHEMINA ADOMA PELS</t>
  </si>
  <si>
    <t>STANDARD CHARTED BANK</t>
  </si>
  <si>
    <t>DORCAS OYUELEY KODIE</t>
  </si>
  <si>
    <t>ADU SAKYI</t>
  </si>
  <si>
    <t>ROBERT ACQUAH</t>
  </si>
  <si>
    <t xml:space="preserve">CBG </t>
  </si>
  <si>
    <t>CYRIL DZIEDZORM BOATENG</t>
  </si>
  <si>
    <t>ASHAIMAN BRANCH</t>
  </si>
  <si>
    <t xml:space="preserve">GT BANK </t>
  </si>
  <si>
    <t>KWAME ATTA GYAMFI</t>
  </si>
  <si>
    <t>RHYDAL ESI EGHAN</t>
  </si>
  <si>
    <t>TEMA MAIN</t>
  </si>
  <si>
    <t>LINUS KWEKU LABIK</t>
  </si>
  <si>
    <t>ABEAKU BADU ARTHUR</t>
  </si>
  <si>
    <t>SPINTEX</t>
  </si>
  <si>
    <t>HENRY MARTIN</t>
  </si>
  <si>
    <t>PETER AMOAKO-YIRENKYI</t>
  </si>
  <si>
    <t>GASTON EDEM AWASHIE</t>
  </si>
  <si>
    <t>BRANCH</t>
  </si>
  <si>
    <t>ACCOUNT  NUMBER</t>
  </si>
  <si>
    <t>BANK</t>
  </si>
  <si>
    <t>ACCOUNT NAME</t>
  </si>
  <si>
    <t>SN</t>
  </si>
  <si>
    <t>Session, 7 (6:45 PM - 7:45 PM)</t>
  </si>
  <si>
    <t>Friday, 28 June 2024</t>
  </si>
  <si>
    <t>NEB FF2</t>
  </si>
  <si>
    <t>NEB FF1</t>
  </si>
  <si>
    <t>NEB GF1</t>
  </si>
  <si>
    <t>NEB SF1</t>
  </si>
  <si>
    <t>NEB TF</t>
  </si>
  <si>
    <t>PB012</t>
  </si>
  <si>
    <t>SESSION</t>
  </si>
  <si>
    <t>DATE</t>
  </si>
  <si>
    <t>ROOM NO</t>
  </si>
  <si>
    <t>Session, 6 (5:00 PM - 6:00 PM)</t>
  </si>
  <si>
    <t>Friday, 28 Febuary 2025</t>
  </si>
  <si>
    <t>Bezaleel Nana Akrasi Gyedu-Ware</t>
  </si>
  <si>
    <t>Teyi Edem Justice</t>
  </si>
  <si>
    <t>Nathaniel Foli</t>
  </si>
  <si>
    <t>Taylor Ebo Benjamin</t>
  </si>
  <si>
    <t xml:space="preserve">Fredinald B. Hayford </t>
  </si>
  <si>
    <t>Frank Owusu Boakye</t>
  </si>
  <si>
    <t>Abigail Anku</t>
  </si>
  <si>
    <t>Silas Osei-Poku</t>
  </si>
  <si>
    <t>Nyarko Prince</t>
  </si>
  <si>
    <t>Mercy Boakye</t>
  </si>
  <si>
    <t xml:space="preserve">Abdul-Basit Nuhu </t>
  </si>
  <si>
    <t>Gyamfi Morris Akwasi</t>
  </si>
  <si>
    <t xml:space="preserve">Joseph Derrick Anane Nti Koduah </t>
  </si>
  <si>
    <t>Wanaa Kingsley</t>
  </si>
  <si>
    <t xml:space="preserve">Phiona Nana Akua Amakah </t>
  </si>
  <si>
    <t>Bright Mensah</t>
  </si>
  <si>
    <t>Bless Elikem Krapah</t>
  </si>
  <si>
    <t xml:space="preserve">ALI Muhaisin </t>
  </si>
  <si>
    <t>Kate Nyarko Boadi</t>
  </si>
  <si>
    <t>Mackleode Ben-Boulo</t>
  </si>
  <si>
    <t>Donkor Anthony</t>
  </si>
  <si>
    <t xml:space="preserve">Samuel Kyei Agyemang </t>
  </si>
  <si>
    <t>Claudia Takyi Ankomah</t>
  </si>
  <si>
    <t xml:space="preserve">Agyemang Duku Rismond </t>
  </si>
  <si>
    <t xml:space="preserve">Juliet Arthur </t>
  </si>
  <si>
    <t>Mildred Martetsoo Martey</t>
  </si>
  <si>
    <t>TAs</t>
  </si>
  <si>
    <t>ATTENDANTS</t>
  </si>
  <si>
    <t>Session, 5 (3:15 PM - 4:15 PM)</t>
  </si>
  <si>
    <t xml:space="preserve">Emmanuel Yuorkuu </t>
  </si>
  <si>
    <t>Prince Dawson Tetteh</t>
  </si>
  <si>
    <t xml:space="preserve">Clement Heanampong </t>
  </si>
  <si>
    <t xml:space="preserve">ADDO THOMAS </t>
  </si>
  <si>
    <t>Doreen Cudjoe</t>
  </si>
  <si>
    <t>Shallom Ezekiel</t>
  </si>
  <si>
    <t>John Yaw Gyasi-Mensah</t>
  </si>
  <si>
    <t>Issifu Fredrick Ali</t>
  </si>
  <si>
    <t>Frank Oduro</t>
  </si>
  <si>
    <t xml:space="preserve">Evelyn Seyram Kakah </t>
  </si>
  <si>
    <t xml:space="preserve">Issah Abdul Ganiwu Gene </t>
  </si>
  <si>
    <t xml:space="preserve">Agyapong Dorcas Nuaniah </t>
  </si>
  <si>
    <t>Kobina Akofi-Holison</t>
  </si>
  <si>
    <t>Kwame Moses</t>
  </si>
  <si>
    <t>OWIREDU-GHORMAN Ewurama Owireduwaa</t>
  </si>
  <si>
    <t>Philip Kojo Ansah</t>
  </si>
  <si>
    <t>Agbe Setordzi Gameli</t>
  </si>
  <si>
    <t>Cofie Benjamin Edinam</t>
  </si>
  <si>
    <t>Mildred Nyantakyiwaa Okyere</t>
  </si>
  <si>
    <t>Alhassan Mubarik</t>
  </si>
  <si>
    <t>Osumanu Rabiatu</t>
  </si>
  <si>
    <t>Sylvester Selase Agorbortu</t>
  </si>
  <si>
    <t xml:space="preserve">Ezekiel Agbemor Agbo </t>
  </si>
  <si>
    <t>Abagre Majeed Winimi</t>
  </si>
  <si>
    <t>Elvis Donkor</t>
  </si>
  <si>
    <t>Osei Amaniampong Henry Manasseh</t>
  </si>
  <si>
    <t>Anita Dokuwah Nyarko</t>
  </si>
  <si>
    <t>Session, 4 (1:30 PM - 2:30 PM)</t>
  </si>
  <si>
    <t>Okoe Felix Kojo Randy</t>
  </si>
  <si>
    <t>Mohammed Huzaif</t>
  </si>
  <si>
    <t>Prince Kwabena Appiah Boadu</t>
  </si>
  <si>
    <t xml:space="preserve">Christopher Selasi Dzidolawo </t>
  </si>
  <si>
    <t>Isaac Doughan</t>
  </si>
  <si>
    <t>Nana Kweku Amissah</t>
  </si>
  <si>
    <t xml:space="preserve">Mate-Kole Nyako Gortlieb </t>
  </si>
  <si>
    <t xml:space="preserve">Philip Darko </t>
  </si>
  <si>
    <t>Victor Yamoah</t>
  </si>
  <si>
    <t>Berniana John Akwetey</t>
  </si>
  <si>
    <t xml:space="preserve">Elita Mawuse Djokotoe Dzontoh </t>
  </si>
  <si>
    <t>Owusu Boakye Gideon</t>
  </si>
  <si>
    <t xml:space="preserve">YEBOAH HAPPY OWUSU ANTWI </t>
  </si>
  <si>
    <t>Ibrahim Arhin</t>
  </si>
  <si>
    <t>Agblemiawo Marvin Selasi</t>
  </si>
  <si>
    <t>Wiafe Yaw Karikari</t>
  </si>
  <si>
    <t xml:space="preserve">BELLO RAPHAEL AMETEFE KOMLA </t>
  </si>
  <si>
    <t xml:space="preserve">Joseph Dela Aziafor </t>
  </si>
  <si>
    <t>Ofori Rockson Minkah</t>
  </si>
  <si>
    <t>Ernest Kofi Nduakoh</t>
  </si>
  <si>
    <t xml:space="preserve">Malick Ebiasah </t>
  </si>
  <si>
    <t xml:space="preserve">Roland Ashie </t>
  </si>
  <si>
    <t>Agyapong Akosua Adubea</t>
  </si>
  <si>
    <t xml:space="preserve">John Kwesi Baidoo </t>
  </si>
  <si>
    <t xml:space="preserve">Elesie Joseph </t>
  </si>
  <si>
    <t>Kwabena Owusu-Osei</t>
  </si>
  <si>
    <t>Session, 3 (11:45 AM - 12:45 PM)</t>
  </si>
  <si>
    <t xml:space="preserve">Abagre Majeed Winimi </t>
  </si>
  <si>
    <t xml:space="preserve">Benjamin Dagbey </t>
  </si>
  <si>
    <t>Elvis Appiah</t>
  </si>
  <si>
    <t xml:space="preserve">DOMPREH DERRICK EYRAM </t>
  </si>
  <si>
    <t>Quaynor Nii Charway Gideon</t>
  </si>
  <si>
    <t xml:space="preserve">Williams Ananzoyaa Akandi </t>
  </si>
  <si>
    <t xml:space="preserve">Gyano Charty Joseph </t>
  </si>
  <si>
    <t>Evans Tetteh Owusu</t>
  </si>
  <si>
    <t>Isaac Amponsah</t>
  </si>
  <si>
    <t>Isaac Danso</t>
  </si>
  <si>
    <t xml:space="preserve">Ebenezer Ekuful </t>
  </si>
  <si>
    <t>Prosper Abewini Atuase</t>
  </si>
  <si>
    <t>Obeng Benjamin</t>
  </si>
  <si>
    <t>Prince Frimpong</t>
  </si>
  <si>
    <t>Kuyini Anisuma Salma</t>
  </si>
  <si>
    <t>Mubarak Abdulai Alhassan</t>
  </si>
  <si>
    <t>Session, 2 (10:00 AM - 11:00 AM)</t>
  </si>
  <si>
    <t xml:space="preserve">Faisal Ihunnang Nurideen </t>
  </si>
  <si>
    <t>Samuel Kyei Agyemang</t>
  </si>
  <si>
    <t xml:space="preserve">Claudia Takyi Ankomah </t>
  </si>
  <si>
    <t>Samuel Asiedu</t>
  </si>
  <si>
    <t>Session, 1 (8:15 AM - 9:15 AM)</t>
  </si>
  <si>
    <t>Poku Atta Andy</t>
  </si>
  <si>
    <t>Welbeck Manu Bio</t>
  </si>
  <si>
    <t>Alhassan Abdul Ganiyu</t>
  </si>
  <si>
    <t>Emmauel Owusu</t>
  </si>
  <si>
    <t>Mohammed-Awal Ahmed Mohammed</t>
  </si>
  <si>
    <t>Uriel Oppong Buamah</t>
  </si>
  <si>
    <t xml:space="preserve">Wilhemina Naa Arduah Tackie </t>
  </si>
  <si>
    <t xml:space="preserve">Christian Agyekum </t>
  </si>
  <si>
    <t>Mawuli Dogbatse</t>
  </si>
  <si>
    <t>Amedume Gideon</t>
  </si>
  <si>
    <t xml:space="preserve">Taylor Ebo Benjamin </t>
  </si>
  <si>
    <t xml:space="preserve">Frank Owusu Boakye </t>
  </si>
  <si>
    <t>Maruf Usman</t>
  </si>
  <si>
    <t>Thursday, 27 Febuary 2025</t>
  </si>
  <si>
    <t>Christopher Selasi Dzidolawo</t>
  </si>
  <si>
    <t>ALI Muhaisin</t>
  </si>
  <si>
    <t>Faisal Ihunnang Nurideen</t>
  </si>
  <si>
    <t>Wednesday, 26 June 2024</t>
  </si>
  <si>
    <t>Rexford Opoku Darko</t>
  </si>
  <si>
    <t>Remy Marcel Nortey/Jennifer Oppong</t>
  </si>
  <si>
    <t>Gideon Afful/Ransford Aboagye Mensah</t>
  </si>
  <si>
    <t>Gentle Twumasi Ankrah/Vera Enyonam Alato</t>
  </si>
  <si>
    <t>Bismark Debrah/Abdul Manan Kayaba</t>
  </si>
  <si>
    <t>Bennieh Hennick Acheampong</t>
  </si>
  <si>
    <t>Alhassan Uthman Kunata Damba</t>
  </si>
  <si>
    <t>David Gyasi</t>
  </si>
  <si>
    <t>Clement Akornor</t>
  </si>
  <si>
    <t>Elvis Amoah Ofosu</t>
  </si>
  <si>
    <t xml:space="preserve">Stephen Taylor </t>
  </si>
  <si>
    <t>Derick  Nsiah Peprah</t>
  </si>
  <si>
    <t>Louisa Fremah Amofah</t>
  </si>
  <si>
    <t xml:space="preserve">Kwadwo Acheampong </t>
  </si>
  <si>
    <t>Joshua Mantey</t>
  </si>
  <si>
    <t>Gideon Adua</t>
  </si>
  <si>
    <t>Gershon Elikem Normenyo</t>
  </si>
  <si>
    <t>Gabriela Selorm Gbekie</t>
  </si>
  <si>
    <t>Constance Wiafe</t>
  </si>
  <si>
    <t>Boakye Kwame Godwin</t>
  </si>
  <si>
    <t>Baah Israel</t>
  </si>
  <si>
    <t>Akua Boadiwaa/Christabel Darko</t>
  </si>
  <si>
    <t>Agyemang Dankwa David</t>
  </si>
  <si>
    <t>Yaw Asante Blay</t>
  </si>
  <si>
    <t xml:space="preserve">Wiredu Kwabena Solomon⁠ </t>
  </si>
  <si>
    <t>Wednesday, 26 Febuary 2025</t>
  </si>
  <si>
    <t>Michael Bansah</t>
  </si>
  <si>
    <t xml:space="preserve">Darko Philip </t>
  </si>
  <si>
    <t xml:space="preserve">Welbeck Manu Bio </t>
  </si>
  <si>
    <t xml:space="preserve">Alhassan Abdul Ganiyu </t>
  </si>
  <si>
    <t xml:space="preserve">Obeng Benjamin </t>
  </si>
  <si>
    <t>Ebenezer Ekuful</t>
  </si>
  <si>
    <t>Agyapong Akosua Adubea/DOMPREH DERRICK EYRAM</t>
  </si>
  <si>
    <t>Tuesday, 25 June 2024</t>
  </si>
  <si>
    <t>Remy Marcel Nortey/Abdul Aziz Baba Damba</t>
  </si>
  <si>
    <t>Gideon Afful/Williams Donkor</t>
  </si>
  <si>
    <t>Gentle Twumasi Ankrah/Daniel Sabbah</t>
  </si>
  <si>
    <t>Bismark Debrah/Gershon Elikem Normenyo</t>
  </si>
  <si>
    <t>Winfred Nuna Mottey</t>
  </si>
  <si>
    <t>Abdul Manan Kayaba</t>
  </si>
  <si>
    <t>Vera Enyonam Alato</t>
  </si>
  <si>
    <t>Ransford Aboagye Mensah</t>
  </si>
  <si>
    <t>Keziah Osabutey</t>
  </si>
  <si>
    <t>Euonye Baffour</t>
  </si>
  <si>
    <t xml:space="preserve">Akua Boadiwaa/Aranaa Afoley Okley Odai </t>
  </si>
  <si>
    <t>Tuesday, 25 Febuary 2025</t>
  </si>
  <si>
    <t>Monday, 24 Febuary 2025</t>
  </si>
  <si>
    <t>Kate Nyarko Boadi/BELLO RAPHAEL AMETEFE KOMLA</t>
  </si>
  <si>
    <t>Agyapong Dorcas Nuaniah</t>
  </si>
  <si>
    <t>Hasky Egyeri Fynn</t>
  </si>
  <si>
    <t>Isaiah Amponsah</t>
  </si>
  <si>
    <t>Bentum Yaw Richmond</t>
  </si>
  <si>
    <t>Obeng Benjamin/Uriel Oppong Buamah</t>
  </si>
  <si>
    <t xml:space="preserve">  </t>
  </si>
  <si>
    <t>Philip Darko</t>
  </si>
  <si>
    <t>Elita Mawuse Djokotoe Dzontoh</t>
  </si>
  <si>
    <t>YEBOAH HAPPY OWUSU ANTWI</t>
  </si>
  <si>
    <t>BELLO RAPHAEL AMETEFE KOMLA</t>
  </si>
  <si>
    <t>Joseph Dela Aziafor</t>
  </si>
  <si>
    <t>Malick Ebiasah</t>
  </si>
  <si>
    <t>Roland Ashie</t>
  </si>
  <si>
    <t>John Kwesi Baidoo</t>
  </si>
  <si>
    <t>Elesie Joseph</t>
  </si>
  <si>
    <t>DERRICK MAWUSI</t>
  </si>
  <si>
    <t>TOTAL</t>
  </si>
  <si>
    <t>Total</t>
  </si>
  <si>
    <t>PAYROLL</t>
  </si>
  <si>
    <t>SM</t>
  </si>
  <si>
    <t>NSM/attd/comp.</t>
  </si>
  <si>
    <t>NATHANIEL FRIMPONG DARQUAH</t>
  </si>
  <si>
    <t>SILAS ANABA</t>
  </si>
  <si>
    <t>KYERE COLLINS</t>
  </si>
  <si>
    <t>DANIEL OBENG ATUAH</t>
  </si>
  <si>
    <t>BENJAMIN ODOI LARTEY</t>
  </si>
  <si>
    <t>MARGARET AMPADU ADITEY</t>
  </si>
  <si>
    <t>RAPHAEL AMOFA-BAAH</t>
  </si>
  <si>
    <t>SM/comp.</t>
  </si>
  <si>
    <t>LYDIA OTOO AMPONSAH</t>
  </si>
  <si>
    <t>LINUS K. LABIK</t>
  </si>
  <si>
    <t>WILHEMINA A. PELS</t>
  </si>
  <si>
    <t>FREDDRICK ASENSO WIREKO</t>
  </si>
  <si>
    <t>CAROLINE R. KWAWU</t>
  </si>
  <si>
    <t>MAXWELL A. BOATENG</t>
  </si>
  <si>
    <t>EMMANUEL OWUREDU ODAME</t>
  </si>
  <si>
    <t>PETER AMOAKO YIRENKYI</t>
  </si>
  <si>
    <t>ABEAKU ARTHUR</t>
  </si>
  <si>
    <t>ROBERT K. AQUAH</t>
  </si>
  <si>
    <t>JEFFERY ARYEE</t>
  </si>
  <si>
    <t>SM/DEO</t>
  </si>
  <si>
    <t>JUSTICE OWUSU AGYEMANG</t>
  </si>
  <si>
    <t>SAMUEL ERZUAH</t>
  </si>
  <si>
    <t>SM/biom</t>
  </si>
  <si>
    <t>SS/biom</t>
  </si>
  <si>
    <t>ISAAC ASENSO</t>
  </si>
  <si>
    <t>SM/Mark</t>
  </si>
  <si>
    <t xml:space="preserve">ASIGRI, PETER </t>
  </si>
  <si>
    <t>CHARKLEY, FREDERICK NAI</t>
  </si>
  <si>
    <t>BESSAH, ENOCH</t>
  </si>
  <si>
    <t>SM/QAPU</t>
  </si>
  <si>
    <t>LINA DZIFA MENSAH</t>
  </si>
  <si>
    <t>SM/COUN.</t>
  </si>
  <si>
    <t>ELIZABETH ANOKYEWAAH SARFO FORDJOUR</t>
  </si>
  <si>
    <t>EMMANUELLA KWAW BOATENG</t>
  </si>
  <si>
    <t>SM/FEO</t>
  </si>
  <si>
    <t>SM/FCEO</t>
  </si>
  <si>
    <t>SM/CEO</t>
  </si>
  <si>
    <t>ROCKSON, MIZPAH AMA DZIEDZORM</t>
  </si>
  <si>
    <t>AGYEMANG, FRANK OFORI</t>
  </si>
  <si>
    <t>SM/HOD</t>
  </si>
  <si>
    <t>SOKAMA-NEUYAM, YEN ADAMS</t>
  </si>
  <si>
    <t>FRANCIS EFFAH BOAFO</t>
  </si>
  <si>
    <t>RICHARD BUAMAH</t>
  </si>
  <si>
    <t>JOSEPH OPPONG AKOWUAH</t>
  </si>
  <si>
    <t>QUAYE-BALLARD, JONATHAN ARTHUR</t>
  </si>
  <si>
    <t>AKOWUAH, EMMANUEL KOFI</t>
  </si>
  <si>
    <t>SM/VD/HOD</t>
  </si>
  <si>
    <t>APPIAH-ADJEI, EMMANUEL KWAME</t>
  </si>
  <si>
    <t>SM/VD</t>
  </si>
  <si>
    <t>ABDUL-RAHMAN AHMED</t>
  </si>
  <si>
    <t>ASIEDU, NANA YAW</t>
  </si>
  <si>
    <t>ANDOH, PRINCE YAW</t>
  </si>
  <si>
    <t>NSM/elec</t>
  </si>
  <si>
    <t>JACOB YAW OKYERE</t>
  </si>
  <si>
    <t>NSM/lsec</t>
  </si>
  <si>
    <t>MARFO ABRAHAM</t>
  </si>
  <si>
    <t>MILLICENT OBENG</t>
  </si>
  <si>
    <t>PATRICK BAMFI</t>
  </si>
  <si>
    <t>BOAKYE ROBERT</t>
  </si>
  <si>
    <t>AGYEI CALEB SARFO</t>
  </si>
  <si>
    <t>KOFI ANSAH MUSAH</t>
  </si>
  <si>
    <t>COLLINS ADU GYAMFI</t>
  </si>
  <si>
    <t>CLEMENT PENGMAAH</t>
  </si>
  <si>
    <t>AKONTONG GIFTY</t>
  </si>
  <si>
    <t>MATTHEW BOAKYE MINKAH</t>
  </si>
  <si>
    <t>THOMAS DONKOR</t>
  </si>
  <si>
    <t>AMUZU ATOKPLE</t>
  </si>
  <si>
    <t>NSM/NSS-EO-it</t>
  </si>
  <si>
    <t>EDEM JONATHAN</t>
  </si>
  <si>
    <t>NSM/NSS-TEO</t>
  </si>
  <si>
    <t>AFRIYIE BENEDICT DUODU</t>
  </si>
  <si>
    <t>OTENG JOSEPH</t>
  </si>
  <si>
    <t>AMOS BEDAKMAN</t>
  </si>
  <si>
    <t>BENJAMIN MENSAH FRIMPONG</t>
  </si>
  <si>
    <t>SS/Pro</t>
  </si>
  <si>
    <t>ANTWI, DEBORAH</t>
  </si>
  <si>
    <t>GLORIA OWUSU AFRIYIE</t>
  </si>
  <si>
    <t>ASARE-NKANSAH, GRACE ANTWIWAA</t>
  </si>
  <si>
    <t>SAMPSON OPOKU</t>
  </si>
  <si>
    <t>SUALIHU, BINTU</t>
  </si>
  <si>
    <t>CHRISTOPHER AMEYAW AKUMFI</t>
  </si>
  <si>
    <t>ATISU, REUBEN AKWASI</t>
  </si>
  <si>
    <t>SM/Acct</t>
  </si>
  <si>
    <t>KWARTENG, COLLINS YAW</t>
  </si>
  <si>
    <t xml:space="preserve">SM/Reg </t>
  </si>
  <si>
    <t>KUSI, KINGSLEY</t>
  </si>
  <si>
    <t>SM/Reg</t>
  </si>
  <si>
    <t>ADJEI, EMMANUEL KOFI</t>
  </si>
  <si>
    <t>AMISSAH, ELIZABETH MAAME ESI</t>
  </si>
  <si>
    <t>SM/Lib</t>
  </si>
  <si>
    <t xml:space="preserve">BORTEYE, EDWARD MENSAH </t>
  </si>
  <si>
    <t>SM/Audit</t>
  </si>
  <si>
    <t>BENJAMIN K.A. ARHIN</t>
  </si>
  <si>
    <t>CASH</t>
  </si>
  <si>
    <t>ALBERT KWAME KWAW</t>
  </si>
  <si>
    <t>HENRY, MARTIN</t>
  </si>
  <si>
    <t>LINDA BERKO</t>
  </si>
  <si>
    <t>BENJAMIN NANA ODURO KONADU</t>
  </si>
  <si>
    <t>KOFI BENTUM</t>
  </si>
  <si>
    <t>EMMANUEL ADU-GYAMFI</t>
  </si>
  <si>
    <t>ERIC MINTAH</t>
  </si>
  <si>
    <t>NSM/biom</t>
  </si>
  <si>
    <t>JOSEPH ROBERT AMPONSAH</t>
  </si>
  <si>
    <t>KINGSLEY BOADU BAIDOO</t>
  </si>
  <si>
    <t>IDDRIS PENNAH</t>
  </si>
  <si>
    <t>GBEVILLAH JUDITH</t>
  </si>
  <si>
    <t>⁠AFETORMASHIE EMMANUEL</t>
  </si>
  <si>
    <t>MICHAEL SASU ASIEDU</t>
  </si>
  <si>
    <t>EMMANUEL AMONOO ETRUE</t>
  </si>
  <si>
    <t>EBENEZER KOFI BRUCE BAFFOE</t>
  </si>
  <si>
    <t>FOSTER OPOKU</t>
  </si>
  <si>
    <t>⁠ABRAHAM BREW SAM</t>
  </si>
  <si>
    <t>EMMANUEL BROBBEY</t>
  </si>
  <si>
    <t>MICHAEL KWAME AWUKU</t>
  </si>
  <si>
    <t>KWAME AMO SARKODIE</t>
  </si>
  <si>
    <t>STUART ADOM OSAFO POULIOT</t>
  </si>
  <si>
    <t>GIDEON ATUAHENE</t>
  </si>
  <si>
    <t>DEBORAH ADOM KORANTENG</t>
  </si>
  <si>
    <t xml:space="preserve">JONATHAN KOFI ATIVOR </t>
  </si>
  <si>
    <t>EDEM EDWIN ADEDZE</t>
  </si>
  <si>
    <t xml:space="preserve">OSCAR OUSSENI OUEDRAOGO </t>
  </si>
  <si>
    <t>ENOCK ANNOR BOYE</t>
  </si>
  <si>
    <t>EMMANUEL AFRIYIE</t>
  </si>
  <si>
    <t>NSM/attd-EO</t>
  </si>
  <si>
    <t>NSM/NSS-TA</t>
  </si>
  <si>
    <t>REXFORD OPOKU DARKO</t>
  </si>
  <si>
    <t>DANIEL OPOKU</t>
  </si>
  <si>
    <t>ELVIS AMOAH OFOSU</t>
  </si>
  <si>
    <t>NSM/NSS-nurs</t>
  </si>
  <si>
    <t>NSM/NSS-TA-wt</t>
  </si>
  <si>
    <t>SS/procur</t>
  </si>
  <si>
    <t>JONATHAN AGYEMAN-DUAH KARIKARI</t>
  </si>
  <si>
    <t>NSM/NSS/pro</t>
  </si>
  <si>
    <t>KOFI POKU NNUBENG</t>
  </si>
  <si>
    <t>GIDEON SAKYI OSEW</t>
  </si>
  <si>
    <t>Pay Status</t>
  </si>
  <si>
    <t>Amt Due (GHC)</t>
  </si>
  <si>
    <t>Tax (GHC)</t>
  </si>
  <si>
    <t>Amt (GHC)</t>
  </si>
  <si>
    <t>Meals Amount (GHC)</t>
  </si>
  <si>
    <t>Total Inv. Amount</t>
  </si>
  <si>
    <t>Rate/Hr</t>
  </si>
  <si>
    <t>Time/hrs</t>
  </si>
  <si>
    <t>Status</t>
  </si>
  <si>
    <t>Name</t>
  </si>
  <si>
    <t>Invigilation + Meals Reumuneration</t>
  </si>
  <si>
    <t>COLLEGE OF ENGINEERING</t>
  </si>
  <si>
    <t>KWAME NKRUMAH UNIVERSITY OF SCIENCE AND TECHNOLOGY</t>
  </si>
  <si>
    <t>DAVID OPPONG</t>
  </si>
  <si>
    <t>DORIGEN ASAMOAH</t>
  </si>
  <si>
    <t>VICENTIA APPIAH AGYEI</t>
  </si>
  <si>
    <t>MICHAEL KOKONU</t>
  </si>
  <si>
    <t>JEPTAH OGYEFO ACQUAH</t>
  </si>
  <si>
    <t>ARHIN KEVIN JOJO</t>
  </si>
  <si>
    <t>ELIZABETH HENEWAA AKAO</t>
  </si>
  <si>
    <t>ELIJAH ATIIGAH A.</t>
  </si>
  <si>
    <t>OBED ISSAKAH</t>
  </si>
  <si>
    <t>KINGSLEY ATTAH NYAMEKYE SNR</t>
  </si>
  <si>
    <t>JOSEPH GATI</t>
  </si>
  <si>
    <t>AWUNI FRANCIS</t>
  </si>
  <si>
    <t>BUULE PAUL</t>
  </si>
  <si>
    <t>OWUSU MICHEAL</t>
  </si>
  <si>
    <t>AMOAKO AKWASI GYAMFI</t>
  </si>
  <si>
    <t>ALFRED ANNOTUL</t>
  </si>
  <si>
    <t>MABEL ASSOR</t>
  </si>
  <si>
    <t>HAYFORD KWAKYE</t>
  </si>
  <si>
    <t>GILBERT ATOBIGA</t>
  </si>
  <si>
    <t>CHARITY DZIKUNU</t>
  </si>
  <si>
    <t>ALEX A ATOBIGA</t>
  </si>
  <si>
    <t>`</t>
  </si>
  <si>
    <t>Total (GHS)</t>
  </si>
  <si>
    <t>SM/Dean</t>
  </si>
  <si>
    <t>ADJEI, KWAKU AMANING</t>
  </si>
  <si>
    <t>KEMAUSOUR FRANCIS</t>
  </si>
  <si>
    <t>EMMANUEL ASUMING FRIMPONG</t>
  </si>
  <si>
    <t>OWUSU, JOHNSON</t>
  </si>
  <si>
    <t>Ida Saeed</t>
  </si>
  <si>
    <t>NYARKO, KWABENA BIRITWUM</t>
  </si>
  <si>
    <t>SOC 255</t>
  </si>
  <si>
    <t>OSEI TUTU DERRICK</t>
  </si>
  <si>
    <t>DOROTHY AGYEMANG AKUA</t>
  </si>
  <si>
    <t>DUFFOUR JUSTICE</t>
  </si>
  <si>
    <t>BRIGHT AMOAKO WIAFE</t>
  </si>
  <si>
    <t>ERICA TUTUWAA BAFFOE JNR.</t>
  </si>
  <si>
    <t>AARON GYAMFI ATOBRAH APRAKU</t>
  </si>
  <si>
    <t>AMPONSAH MICHAEL DARKO</t>
  </si>
  <si>
    <t>KWABENA AFAAWUAH</t>
  </si>
  <si>
    <t>NSM/NSS/Acct</t>
  </si>
  <si>
    <t>Cliff Obiri Sepah</t>
  </si>
  <si>
    <t>BAAH-BOATENG SAMUEL</t>
  </si>
  <si>
    <t>NANA AGYEMANG AMOAHENE YEBOAH</t>
  </si>
  <si>
    <t>NSM/NSS/Audit</t>
  </si>
  <si>
    <t>CHRISTIAN D. BOATENG</t>
  </si>
  <si>
    <t>RICHARD GBENAEH</t>
  </si>
  <si>
    <t>NSM/NSS/ICT</t>
  </si>
  <si>
    <t>ACQUAH FAUSTINE DARLINGTON PAPA OFORI</t>
  </si>
  <si>
    <t>HAWA MOHAMMED AMEEN</t>
  </si>
  <si>
    <t>JONATHAN NIKOI KOTEY</t>
  </si>
  <si>
    <t>NATHANIEL OSEI BOATENG</t>
  </si>
  <si>
    <t>JUSTICE KWAKYE ASARE</t>
  </si>
  <si>
    <t>THEOPHILUS ABAKA AGGREY</t>
  </si>
  <si>
    <t>OHENEBA KWAKU ANOKYE MANU</t>
  </si>
  <si>
    <t>FOSTER SEDEM DEDUME</t>
  </si>
  <si>
    <t>VIVIAN DZAKA</t>
  </si>
  <si>
    <t>BENEDICTA OSEI</t>
  </si>
  <si>
    <t>GODFRED OHEMENG-BOAHEN</t>
  </si>
  <si>
    <t>MARTINSON ADDO NARTEY</t>
  </si>
  <si>
    <t>SAMUEL BOAHEN</t>
  </si>
  <si>
    <t xml:space="preserve">KOFI OWURA AMOABENG </t>
  </si>
  <si>
    <t>JACK BANAHENE OSEI</t>
  </si>
  <si>
    <t>MATHEW WILSON COFFIE</t>
  </si>
  <si>
    <t>KWAME OPUNI-BOACHIE OBOUR AGYEKUM</t>
  </si>
  <si>
    <t>SAMUEL OSAH</t>
  </si>
  <si>
    <t>CASPER DANIEL ADENUTSI</t>
  </si>
  <si>
    <t>ERIC ASANTE</t>
  </si>
  <si>
    <t>EUNICE SEFAKOR DOGBE</t>
  </si>
  <si>
    <t>JONES OWUSU TWUMASI</t>
  </si>
  <si>
    <t>AYUBA BENE ADAM</t>
  </si>
  <si>
    <t>EFIBA VIDDA SENKYIRE KWARTENG</t>
  </si>
  <si>
    <t>THERESA-SAMUELLA M.A.ADJAIDOO</t>
  </si>
  <si>
    <t>CHARLES MAWUTOR ADRAH</t>
  </si>
  <si>
    <t>SANI MUBARAK ELLIS</t>
  </si>
  <si>
    <t>DANIEL ADJAH ANANG</t>
  </si>
  <si>
    <t>FIRST SEMESTER MID SEMESTER EXAMINATIONS 2024/2025 ACADEMIC YEAR</t>
  </si>
  <si>
    <t>IMBEAH JULIET</t>
  </si>
  <si>
    <t>OMANHENE KOFI GYIMAH</t>
  </si>
  <si>
    <t>GARVIN KOKONU</t>
  </si>
  <si>
    <t>KWADWO MENSAH-DARKWA</t>
  </si>
  <si>
    <t>EMMANUEL GIKUNOO</t>
  </si>
  <si>
    <t>ANTHONY ANDREWS</t>
  </si>
  <si>
    <t>KWAME OTENG GYASI</t>
  </si>
  <si>
    <t xml:space="preserve">OPARE KWASI ADU-BOAHEN </t>
  </si>
  <si>
    <t>SM/CC</t>
  </si>
  <si>
    <t>YAW ASARE MENSAH</t>
  </si>
  <si>
    <t>SOLOMON SENYO ROBERT GIDIGASU</t>
  </si>
  <si>
    <t>MICHAEL NII SACKEY</t>
  </si>
  <si>
    <t>ISAACH ACQUAH</t>
  </si>
  <si>
    <t>JULIUS KWAME AMETSITSI</t>
  </si>
  <si>
    <t>ELLIOT S. MENKAH</t>
  </si>
  <si>
    <t>MARIAN KUKUA FARMMER</t>
  </si>
  <si>
    <t>BAAH BADU KURFASS</t>
  </si>
  <si>
    <t>ALBERT ASARE</t>
  </si>
  <si>
    <t>COLLINS FRIMPONG ADJEI</t>
  </si>
  <si>
    <t>DENNIS TANDOH</t>
  </si>
  <si>
    <t>JULIUS MENSAH</t>
  </si>
  <si>
    <t>PETER BOAKYE</t>
  </si>
  <si>
    <t>RICHARD ADZEWODZI</t>
  </si>
  <si>
    <t>AKITA JONATHAN</t>
  </si>
  <si>
    <t>ROSEMARY M. GYENING</t>
  </si>
  <si>
    <t>ISABEL MENSAH</t>
  </si>
  <si>
    <t>RAPHEL A. BAAH</t>
  </si>
  <si>
    <t xml:space="preserve">BENJAMIN TEI PARTEY </t>
  </si>
  <si>
    <t>EMMANUEL O. ODAME</t>
  </si>
  <si>
    <t>KWAME PIESIE FRIMPONG</t>
  </si>
  <si>
    <t>GERSHON AMENUVOR</t>
  </si>
  <si>
    <t>AUGUSTINE ADJALOGO-AGBEKO</t>
  </si>
  <si>
    <t>KWAME SARPONG</t>
  </si>
  <si>
    <t>NSM/ATTD</t>
  </si>
  <si>
    <t>MOHAMMED BAKANG</t>
  </si>
  <si>
    <t>EVANS KORLETEY</t>
  </si>
  <si>
    <t>PETER AGETINGA</t>
  </si>
  <si>
    <t>MICHAEL OWUSU</t>
  </si>
  <si>
    <t>GERTRUDE OPOKU</t>
  </si>
  <si>
    <t>VICTORIA AGYENIM-BOATENG</t>
  </si>
  <si>
    <t>SALAMATU SALIFU</t>
  </si>
  <si>
    <t>THERESA SARPONG PEPRAH</t>
  </si>
  <si>
    <t>CLEMENT DADZIE</t>
  </si>
  <si>
    <t>RENER OPPONG</t>
  </si>
  <si>
    <t>REBECCA YAMOAH</t>
  </si>
  <si>
    <t>BERNARD AUDINADA AMPOFO</t>
  </si>
  <si>
    <t>GEORGE ANSONG</t>
  </si>
  <si>
    <t>SENYAGLO GIFTY EDEM</t>
  </si>
  <si>
    <t>MERCY NIMAKO</t>
  </si>
  <si>
    <t>REUBEN ASARE BEDIAKO</t>
  </si>
  <si>
    <t>SAMUEL OSEI-ASIBEY BONSU</t>
  </si>
  <si>
    <t>LORETTA OWUSU-ANSAH</t>
  </si>
  <si>
    <t>OWUSU STEPHEN AKUOKU</t>
  </si>
  <si>
    <t>DESMOND ADU-YEBOAH</t>
  </si>
  <si>
    <t>RUTH ADWUBI SARFO</t>
  </si>
  <si>
    <t>ABIGAIL AKOS WORLANYO</t>
  </si>
  <si>
    <t>ISSAKA ALI SAMBO</t>
  </si>
  <si>
    <t>BRIGHT ANDOH-BAIDOO</t>
  </si>
  <si>
    <t>FIIFI TURKSON</t>
  </si>
  <si>
    <t>EBENEZER ADOM</t>
  </si>
  <si>
    <t>SELINA K. SWATSON</t>
  </si>
  <si>
    <t>PAUL DERY</t>
  </si>
  <si>
    <t>KWADWO AFFUL</t>
  </si>
  <si>
    <t>ERIC SOKU</t>
  </si>
  <si>
    <t>FATAWU YAKUBU</t>
  </si>
  <si>
    <t>MARIAN BEMMA</t>
  </si>
  <si>
    <t>ROBERT KOFI KYERE</t>
  </si>
  <si>
    <t>JOSEPH BENETH KANKAM</t>
  </si>
  <si>
    <t>EDWARD KPETEGE</t>
  </si>
  <si>
    <t>CLEMENT APPIAH</t>
  </si>
  <si>
    <t>GODFRED APPIAH</t>
  </si>
  <si>
    <t>ERNEST DAPAAH</t>
  </si>
  <si>
    <t>RICHMOND AWOTWE</t>
  </si>
  <si>
    <t>MICHAEL OBBO</t>
  </si>
  <si>
    <t>BENJAMIN OPOKU ATUAHENE</t>
  </si>
  <si>
    <t>DERRICK AMOATENG</t>
  </si>
  <si>
    <t>SANDRA ESSEL</t>
  </si>
  <si>
    <t>BERNARD ANNAN</t>
  </si>
  <si>
    <t>PERSEVERANCE DZIKUNU</t>
  </si>
  <si>
    <t>KINGSLEY KYEI BAFFOUR</t>
  </si>
  <si>
    <t>DERRICK OWUSU MENSAH</t>
  </si>
  <si>
    <t>JOHN OFOSU</t>
  </si>
  <si>
    <t>EMMANUEL OBUOBI KWAME ADDO</t>
  </si>
  <si>
    <t>BENEDICT MENSAH</t>
  </si>
  <si>
    <t>ISAAC ADDAI</t>
  </si>
  <si>
    <t>COSMAS YAW ASANTE</t>
  </si>
  <si>
    <t>YAW ADUBOFOUR TUFFOUR</t>
  </si>
  <si>
    <t>ELIEL KEELSON</t>
  </si>
  <si>
    <t>FAISAL WAHIB ADAM</t>
  </si>
  <si>
    <t>PATRICK BOAKYE</t>
  </si>
  <si>
    <t>PETER OPPONG TAWIAH</t>
  </si>
  <si>
    <t>BUKARI ALI</t>
  </si>
  <si>
    <t>EMMANUEL AMPOMA AFFUM</t>
  </si>
  <si>
    <t>JOHN WISE DIVINE AYER</t>
  </si>
  <si>
    <t>SAMUEL KWOFIE</t>
  </si>
  <si>
    <t>ALFRED ALAN DUKER</t>
  </si>
  <si>
    <t>FORKUO ERIC KWABENA</t>
  </si>
  <si>
    <t>EMMANUEL KWESI ARTHUR</t>
  </si>
  <si>
    <t>PRINCE EBENEZER ADJEI</t>
  </si>
  <si>
    <t>CHARLES GYAMFI</t>
  </si>
  <si>
    <t>VINCENT KOFI ABAKA ACQUAAH</t>
  </si>
  <si>
    <t>ALBERT AMATEY ADJAOTTOR</t>
  </si>
  <si>
    <t>EBENEZER MENSAH</t>
  </si>
  <si>
    <t>FELIX JOJO FIANKO AYEH</t>
  </si>
  <si>
    <t>FRANCIS KOFI FORSON</t>
  </si>
  <si>
    <t>MARTINA FRANCISCA BAIDOO</t>
  </si>
  <si>
    <t>MARY MENSAH</t>
  </si>
  <si>
    <t>SIMON KAFUI YAWO GAWU</t>
  </si>
  <si>
    <t>BENJAMIN AFOTEY</t>
  </si>
  <si>
    <t>EMMANUEL OFFEI AKROFI</t>
  </si>
  <si>
    <t>GEOPHREY KWAME ANORNU</t>
  </si>
  <si>
    <t>JONATHAN ATUQUAYE QUAYE</t>
  </si>
  <si>
    <t>KWAME AGYEMANG PREMPEH AGYEKUM</t>
  </si>
  <si>
    <t>AUGUSTUS ABABIO DONKOR</t>
  </si>
  <si>
    <t>DANIEL KWEGYIR</t>
  </si>
  <si>
    <t>GABRIEL TAKYI</t>
  </si>
  <si>
    <t>ISAAC DADZIE</t>
  </si>
  <si>
    <t>KENNETH ADOMAKO TUTU</t>
  </si>
  <si>
    <t>STEPHEN ADJEI</t>
  </si>
  <si>
    <t>BENNETTA KOOMSON</t>
  </si>
  <si>
    <t>EUGENE APPIAH-EFFAH</t>
  </si>
  <si>
    <t>GORDON FOLI</t>
  </si>
  <si>
    <t>JOSEPH AVEYIRE</t>
  </si>
  <si>
    <t>NANCY ANATABA KYORKU DZIKUNU-BANSAH</t>
  </si>
  <si>
    <t>JAMES DZISI GADZE</t>
  </si>
  <si>
    <t>AKWASI AFRIFA ACHEAMPONG</t>
  </si>
  <si>
    <t>ANTHONY A. AGYEMANG</t>
  </si>
  <si>
    <t>DANIEL AKWEI ADDO</t>
  </si>
  <si>
    <t>DANIEL ODURO BOATEY NUAMAH</t>
  </si>
  <si>
    <t>ERIC KWAME ANOKYE ASARE</t>
  </si>
  <si>
    <t>FRANCISCA ADOMA ACHEAMPONG</t>
  </si>
  <si>
    <t>KWAME SARKODIE</t>
  </si>
  <si>
    <t>YESUENYEAGBE FIAGBE</t>
  </si>
  <si>
    <t>ANDREW SELASI AGBEMENU</t>
  </si>
  <si>
    <t>GODFREY CHIRI AMEDJOE</t>
  </si>
  <si>
    <t>JUDE BONSU</t>
  </si>
  <si>
    <t>NICHOLAS PRAH</t>
  </si>
  <si>
    <t>DOROTHY ARABA YAKOBA AGYAPONG</t>
  </si>
  <si>
    <t>EVANS AMPONSAH</t>
  </si>
  <si>
    <t>ANDREW CUDZO AMENUVOR</t>
  </si>
  <si>
    <t>BENJAMIN KOMMEY</t>
  </si>
  <si>
    <t>BERNARD KONADU AMOAH</t>
  </si>
  <si>
    <t>JAMES OKAE</t>
  </si>
  <si>
    <t>BLESTMOND AFRIFA BRAKO</t>
  </si>
  <si>
    <t>WILLIAM AMPONSAH</t>
  </si>
  <si>
    <t>KINGSFORD SARKODIE OBENG KWAKYE</t>
  </si>
  <si>
    <t>BRIGHT AKOWUAH</t>
  </si>
  <si>
    <t>Abdul-Mumin Tahiru</t>
  </si>
  <si>
    <t>Aboh Doreen Kumiwaa</t>
  </si>
  <si>
    <t>Akambisa Julius</t>
  </si>
  <si>
    <t>Adu Isaac Kwabena Afriyie</t>
  </si>
  <si>
    <t>Amissah Nana Ama</t>
  </si>
  <si>
    <t>Akowuah Nana Amoah</t>
  </si>
  <si>
    <t>Ankomah Theophilus</t>
  </si>
  <si>
    <t>Antwi Dennis Barima</t>
  </si>
  <si>
    <t>Dzah Raymond</t>
  </si>
  <si>
    <t>Dadzie Emmanuel</t>
  </si>
  <si>
    <t>Egyir Bernard</t>
  </si>
  <si>
    <t>Ekuful Ebenezer</t>
  </si>
  <si>
    <t>Felix Owiredu Owusu</t>
  </si>
  <si>
    <t>George Nii Martey Colley</t>
  </si>
  <si>
    <t>Immanuel Yeboah Anomah</t>
  </si>
  <si>
    <t>Isaac Adu</t>
  </si>
  <si>
    <t>Isaac Clottey</t>
  </si>
  <si>
    <t>Jeremiah Dodzi Cofie</t>
  </si>
  <si>
    <t>Jibril Aligabass</t>
  </si>
  <si>
    <t>Owusu Binfoh Romeo</t>
  </si>
  <si>
    <t>Priscilla Adwoa Fordjour</t>
  </si>
  <si>
    <t>Solomon Appiah-Gyamfi</t>
  </si>
  <si>
    <t>Stephen Onomah</t>
  </si>
  <si>
    <t>Theophilus Nyarko</t>
  </si>
  <si>
    <t>Hope Sallah</t>
  </si>
  <si>
    <t>Kelvin Delali Kpetsey</t>
  </si>
  <si>
    <t>Zakaria Bushira</t>
  </si>
  <si>
    <t>Alpheaus Fosu-Kwarteng</t>
  </si>
  <si>
    <t>Agyapong Nelson</t>
  </si>
  <si>
    <t>Nicholas Kwaku Opoku </t>
  </si>
  <si>
    <t>Phiona Nana Akua Amakah</t>
  </si>
  <si>
    <t>ABAGRE MAJEED WINIMI</t>
  </si>
  <si>
    <t>ABDUL-BASIT NUHU</t>
  </si>
  <si>
    <t>ABIGAIL ANKU</t>
  </si>
  <si>
    <t>ADDO THOMAS</t>
  </si>
  <si>
    <t>AGBE SETORDZI GAMELI</t>
  </si>
  <si>
    <t>AGBLEMIAWO MARVIN SELASI</t>
  </si>
  <si>
    <t>AGYAPONG AKOSUA ADUBEA</t>
  </si>
  <si>
    <t>AGYAPONG DORCAS NUANIAH</t>
  </si>
  <si>
    <t>AGYEMANG DUKU RISMOND</t>
  </si>
  <si>
    <t>AKUA BOADIWAA</t>
  </si>
  <si>
    <t>ALHASSAN ABDUL GANIYU</t>
  </si>
  <si>
    <t>ALHASSAN MUBARIK</t>
  </si>
  <si>
    <t>ALI MUHAISIN</t>
  </si>
  <si>
    <t>ANITA DOKUWAH NYARKO</t>
  </si>
  <si>
    <t>ARANAA AFOLEY OKLEY ODAI</t>
  </si>
  <si>
    <t>AZUNGU BENJAMIN</t>
  </si>
  <si>
    <t>BENJAMIN DAGBEY</t>
  </si>
  <si>
    <t>BENTUM YAW RICHMOND</t>
  </si>
  <si>
    <t>BERNIANA JOHN AKWETEY</t>
  </si>
  <si>
    <t>BEZALEEL NANA AKRASI GYEDU-WARE</t>
  </si>
  <si>
    <t>BLESS ELIKEM KRAPAH</t>
  </si>
  <si>
    <t>BOAKYE KWAME GODWIN</t>
  </si>
  <si>
    <t>BRIGHT MENSAH</t>
  </si>
  <si>
    <t>CHRISTIAN AGYEKUM</t>
  </si>
  <si>
    <t>CHRISTOPHER SELASI DZIDOLAWO</t>
  </si>
  <si>
    <t>CLAUDIA TAKYI ANKOMAH</t>
  </si>
  <si>
    <t>CLEMENT AKORNOR</t>
  </si>
  <si>
    <t>CLEMENT HEANAMPONG</t>
  </si>
  <si>
    <t>COFIE BENJAMIN EDINAM</t>
  </si>
  <si>
    <t>DOMPREH DERRICK EYRAM</t>
  </si>
  <si>
    <t>DONKOR ANTHONY</t>
  </si>
  <si>
    <t>DOREEN CUDJOE</t>
  </si>
  <si>
    <t>ELESIE JOSEPH</t>
  </si>
  <si>
    <t>ELITA MAWUSE DJOKOTOE DZONTOH</t>
  </si>
  <si>
    <t>ELVIS APPIAH</t>
  </si>
  <si>
    <t>EMMANUEL YUORKUU</t>
  </si>
  <si>
    <t>ERNEST KOFI NDUAKOH</t>
  </si>
  <si>
    <t>EVANS TETTEH OWUSU</t>
  </si>
  <si>
    <t>EVELYN SEYRAM KAKAH</t>
  </si>
  <si>
    <t>EZEKIEL AGBEMOR AGBO</t>
  </si>
  <si>
    <t>FAISAL IHUNNANG NURIDEEN</t>
  </si>
  <si>
    <t>FRANK ODURO</t>
  </si>
  <si>
    <t>FRANK OWUSU BOAKYE</t>
  </si>
  <si>
    <t>FREDINALD B. HAYFORD</t>
  </si>
  <si>
    <t>GYAMFI MORRIS AKWASI</t>
  </si>
  <si>
    <t>GYANO CHARTY JOSEPH</t>
  </si>
  <si>
    <t>HASKY EGYERI FYNN</t>
  </si>
  <si>
    <t>IBRAHIM ARHIN</t>
  </si>
  <si>
    <t>ISAAC DANSO</t>
  </si>
  <si>
    <t>ISAIAH AMPONSAH</t>
  </si>
  <si>
    <t>ISSAH ABDUL GANIWU GENE</t>
  </si>
  <si>
    <t>ISSIFU FREDRICK ALI</t>
  </si>
  <si>
    <t>JOHN KWESI BAIDOO</t>
  </si>
  <si>
    <t>JOHN YAW GYASI-MENSAH</t>
  </si>
  <si>
    <t>JOSEPH DELA AZIAFOR</t>
  </si>
  <si>
    <t>JOSEPH DERRICK ANANE NTI KODUAH</t>
  </si>
  <si>
    <t>JULIET ARTHUR</t>
  </si>
  <si>
    <t>KATE NYARKO BOADI</t>
  </si>
  <si>
    <t>KOBINA AKOFI-HOLISON</t>
  </si>
  <si>
    <t>KUYINI ANISUMA SALMA</t>
  </si>
  <si>
    <t>KWABENA OWUSU-OSEI</t>
  </si>
  <si>
    <t>KWAME MOSES</t>
  </si>
  <si>
    <t>MACKLEODE BEN-BOULO</t>
  </si>
  <si>
    <t>MARUF USMAN</t>
  </si>
  <si>
    <t>MATE-KOLE NYAKO GORTLIEB</t>
  </si>
  <si>
    <t>MAWULI DOGBATSE</t>
  </si>
  <si>
    <t>MERCY BOAKYE</t>
  </si>
  <si>
    <t>MICHAEL BANSAH</t>
  </si>
  <si>
    <t>MILDRED MARTETSOO MARTEY</t>
  </si>
  <si>
    <t>MILDRED NYANTAKYIWAA OKYERE</t>
  </si>
  <si>
    <t>MOHAMMED HUZAIF</t>
  </si>
  <si>
    <t>MOHAMMED-AWAL AHMED MOHAMMED</t>
  </si>
  <si>
    <t>MUBARAK ABDULAI ALHASSAN</t>
  </si>
  <si>
    <t>NANA KWEKU AMISSAH</t>
  </si>
  <si>
    <t>NATHANIEL FOLI</t>
  </si>
  <si>
    <t>NYARKO PRINCE</t>
  </si>
  <si>
    <t>OBENG BENJAMIN</t>
  </si>
  <si>
    <t>OFORI ROCKSON MINKAH</t>
  </si>
  <si>
    <t>OKOE FELIX KOJO RANDY</t>
  </si>
  <si>
    <t>OSEI AMANIAMPONG HENRY MANASSEH</t>
  </si>
  <si>
    <t>OSUMANU RABIATU</t>
  </si>
  <si>
    <t>OWIREDU-GHORMAN EWURAMA OWIREDUWAA</t>
  </si>
  <si>
    <t>OWUSU BOAKYE GIDEON</t>
  </si>
  <si>
    <t>PHILIP DARKO</t>
  </si>
  <si>
    <t>PHILIP KOJO ANSAH</t>
  </si>
  <si>
    <t>POKU ATTA ANDY</t>
  </si>
  <si>
    <t>PRINCE DAWSON TETTEH</t>
  </si>
  <si>
    <t>PRINCE FRIMPONG</t>
  </si>
  <si>
    <t>PRINCE KWABENA APPIAH BOADU</t>
  </si>
  <si>
    <t>PROSPER ABEWINI ATUASE</t>
  </si>
  <si>
    <t>QUAYNOR NII CHARWAY GIDEON</t>
  </si>
  <si>
    <t>ROLAND ASHIE</t>
  </si>
  <si>
    <t>SAMUEL ASIEDU</t>
  </si>
  <si>
    <t>SAMUEL KYEI AGYEMANG</t>
  </si>
  <si>
    <t>SHALLOM EZEKIEL</t>
  </si>
  <si>
    <t>SILAS OSEI-POKU</t>
  </si>
  <si>
    <t>SYLVESTER SELASE AGORBORTU</t>
  </si>
  <si>
    <t>TAYLOR EBO BENJAMIN</t>
  </si>
  <si>
    <t>TEYI EDEM JUSTICE</t>
  </si>
  <si>
    <t>URIEL OPPONG BUAMAH</t>
  </si>
  <si>
    <t>VICTOR YAMOAH</t>
  </si>
  <si>
    <t>WANAA KINGSLEY</t>
  </si>
  <si>
    <t>WELBECK MANU BIO</t>
  </si>
  <si>
    <t>WIAFE YAW KARIKARI</t>
  </si>
  <si>
    <t>WILHEMINA NAA ARDUAH TACKIE</t>
  </si>
  <si>
    <t>WILLIAMS ANANZOYAA AKANDI</t>
  </si>
  <si>
    <t>Gadrich Anueta Ayitey</t>
  </si>
  <si>
    <t>Ebenezer Mensah Obeng</t>
  </si>
  <si>
    <t>Abdul-Manan Kayab</t>
  </si>
  <si>
    <t>FRANK KWABENA A. NYARKO</t>
  </si>
  <si>
    <t>C.HARLSE K. K. SEKYERE</t>
  </si>
  <si>
    <t>MIRIAM APPIAH BREMPONG</t>
  </si>
  <si>
    <t>Jerome Dela LAVIE</t>
  </si>
  <si>
    <t>MALICK ABIASAH</t>
  </si>
  <si>
    <t>GEORGE YAW OBENG</t>
  </si>
  <si>
    <t>KOFI ADU</t>
  </si>
  <si>
    <t>LAWTON ADU-ANSAH</t>
  </si>
  <si>
    <t>ERIC ABEKA</t>
  </si>
  <si>
    <t>AGYEMANG BADU RICHARD</t>
  </si>
  <si>
    <t>PADI CATHERINE NARKIE</t>
  </si>
  <si>
    <t>ROBERT AIDOO</t>
  </si>
  <si>
    <t xml:space="preserve">SS/Dr. </t>
  </si>
  <si>
    <t>Monday, 23 February 2026</t>
  </si>
  <si>
    <t>Tuesday, 24 February 2026</t>
  </si>
  <si>
    <t>Thursday, 26 February 2026</t>
  </si>
  <si>
    <t>Friday, 27 February 2026</t>
  </si>
  <si>
    <t>Dzikunu Perseverance</t>
  </si>
  <si>
    <t>TE 465</t>
  </si>
  <si>
    <t>Wednesday, 25 February 2026</t>
  </si>
  <si>
    <t>ECON151</t>
  </si>
  <si>
    <t>Eghan Rhydal Esi</t>
  </si>
  <si>
    <t>BME 265</t>
  </si>
  <si>
    <t>COE 281</t>
  </si>
  <si>
    <t>GED 369</t>
  </si>
  <si>
    <t>MSE 257</t>
  </si>
  <si>
    <t>PE 465</t>
  </si>
  <si>
    <t>TE 251</t>
  </si>
  <si>
    <t>TE 451</t>
  </si>
  <si>
    <t>TE 457</t>
  </si>
  <si>
    <t>TE 463</t>
  </si>
  <si>
    <t>TE 455</t>
  </si>
  <si>
    <t>TE 453</t>
  </si>
  <si>
    <t>ED1-PE</t>
  </si>
  <si>
    <t>ED2-PE</t>
  </si>
  <si>
    <t>ED3-PE</t>
  </si>
  <si>
    <t>ED4-PE</t>
  </si>
  <si>
    <t>PROGRAMMING AND PROBLEM SOLIVING</t>
  </si>
  <si>
    <t>DATA STRUCTURES AND ALGORITHMS</t>
  </si>
  <si>
    <t>ELECTROCHEMICAL TECHNOLOGY</t>
  </si>
  <si>
    <t>COE 363</t>
  </si>
  <si>
    <t>COHORT D3</t>
  </si>
  <si>
    <t>COHORT D2</t>
  </si>
  <si>
    <r>
      <t xml:space="preserve">NEB
</t>
    </r>
    <r>
      <rPr>
        <sz val="24"/>
        <color theme="1"/>
        <rFont val="Times New Roman"/>
        <family val="1"/>
      </rPr>
      <t>D</t>
    </r>
  </si>
  <si>
    <t>COHORT D1</t>
  </si>
  <si>
    <t>COHORT C2</t>
  </si>
  <si>
    <r>
      <t xml:space="preserve">EXAMS
OFFICE
</t>
    </r>
    <r>
      <rPr>
        <sz val="26"/>
        <rFont val="Times New Roman"/>
        <family val="1"/>
      </rPr>
      <t>C</t>
    </r>
  </si>
  <si>
    <t>COHORT C1</t>
  </si>
  <si>
    <t>COHORT B2</t>
  </si>
  <si>
    <r>
      <t xml:space="preserve">PETROLEUM
 BUILDING
</t>
    </r>
    <r>
      <rPr>
        <sz val="24"/>
        <color theme="1"/>
        <rFont val="Times New Roman"/>
        <family val="1"/>
      </rPr>
      <t>B</t>
    </r>
  </si>
  <si>
    <t>COHORT B1</t>
  </si>
  <si>
    <t>COHORT A3</t>
  </si>
  <si>
    <t>COHORT A2</t>
  </si>
  <si>
    <r>
      <t xml:space="preserve">BAMFO 
KWAKYE 
</t>
    </r>
    <r>
      <rPr>
        <b/>
        <sz val="24"/>
        <color theme="1"/>
        <rFont val="Times New Roman"/>
        <family val="1"/>
      </rPr>
      <t>A</t>
    </r>
  </si>
  <si>
    <t>COHORT A1</t>
  </si>
  <si>
    <t>Exam Capacity</t>
  </si>
  <si>
    <t>Lecturers</t>
  </si>
  <si>
    <t>PB201/PB214/PB020/PB212</t>
  </si>
  <si>
    <t>NEB-SF/NEB-TF/NEB-FF1/NEB-FF2</t>
  </si>
  <si>
    <t>3</t>
  </si>
  <si>
    <t>13</t>
  </si>
  <si>
    <t>LT/RMB</t>
  </si>
  <si>
    <t>206/RMB</t>
  </si>
  <si>
    <t>20/15</t>
  </si>
  <si>
    <t>NEB-SF/NEB-TF/NEB-FF1/NEB-FF2/NAF1</t>
  </si>
  <si>
    <t>RMA/VSLA/304/N2</t>
  </si>
  <si>
    <t>80/80/55/30</t>
  </si>
  <si>
    <t>NAF1/EA/A110/VCR/ECR</t>
  </si>
  <si>
    <t>PB201/PB214/PB212</t>
  </si>
  <si>
    <t>PB001/PB020/PB014/PB201/PB214/PB212</t>
  </si>
  <si>
    <t>PB001/PB020/PB014/PB212</t>
  </si>
  <si>
    <t>PB008/PB208/PB212</t>
  </si>
  <si>
    <t>30/30/10</t>
  </si>
  <si>
    <t>PB008/PB208</t>
  </si>
  <si>
    <t>30/29</t>
  </si>
  <si>
    <t>NEB-SF/NEB-FF1/NEB-FF2</t>
  </si>
  <si>
    <t>80/50/14</t>
  </si>
  <si>
    <t>32</t>
  </si>
  <si>
    <t>8</t>
  </si>
  <si>
    <t>49</t>
  </si>
  <si>
    <t xml:space="preserve">LT/303/304 </t>
  </si>
  <si>
    <t>30/30/20</t>
  </si>
  <si>
    <t>NAF1/A110/EA/VCR</t>
  </si>
  <si>
    <t>45/27</t>
  </si>
  <si>
    <t>N1/N2/206</t>
  </si>
  <si>
    <t>25/25/24</t>
  </si>
  <si>
    <t>20/20/21</t>
  </si>
  <si>
    <t>PB001/PB020/PB014/PB201/PB214/PB208/PB212</t>
  </si>
  <si>
    <t>45/45/45/45/45/20/15</t>
  </si>
  <si>
    <t>45/45/45/45/45/29</t>
  </si>
  <si>
    <t>PB208/PB008</t>
  </si>
  <si>
    <t>30/10</t>
  </si>
  <si>
    <t>30/7</t>
  </si>
  <si>
    <t>80/80/50/20</t>
  </si>
  <si>
    <t>NEB-SF/NEB-FF2</t>
  </si>
  <si>
    <t>80/20</t>
  </si>
  <si>
    <t>NEB-FF1/NEB-FF2</t>
  </si>
  <si>
    <t>37/10</t>
  </si>
  <si>
    <t xml:space="preserve">NAF1/A110/EA </t>
  </si>
  <si>
    <t>45/30/27</t>
  </si>
  <si>
    <t>NAF1/A110/EA</t>
  </si>
  <si>
    <t>40/30/24</t>
  </si>
  <si>
    <t>VSLA/LT</t>
  </si>
  <si>
    <t>46/30</t>
  </si>
  <si>
    <t>VSLA/LT/RMA</t>
  </si>
  <si>
    <t>40/30/23</t>
  </si>
  <si>
    <t>RMA/RMB/304/N1</t>
  </si>
  <si>
    <t>21/21/20/20</t>
  </si>
  <si>
    <t>RMB/304/N1/N2</t>
  </si>
  <si>
    <t>22/20/25/20</t>
  </si>
  <si>
    <t>NAF1/EA/A110</t>
  </si>
  <si>
    <t>43/30/30</t>
  </si>
  <si>
    <t>23</t>
  </si>
  <si>
    <t>PB001/PB020/PB014/PB201/PB214</t>
  </si>
  <si>
    <t>PB001/PB020/PB014/PB201</t>
  </si>
  <si>
    <t>42/30</t>
  </si>
  <si>
    <t>PB208/PB212</t>
  </si>
  <si>
    <t>30/21</t>
  </si>
  <si>
    <t>VSLA/LT/303/206/304</t>
  </si>
  <si>
    <t>50/30/30/24/20</t>
  </si>
  <si>
    <t>50/30/30/20/24</t>
  </si>
  <si>
    <t>N1/N2/RMA</t>
  </si>
  <si>
    <t>20/20/19</t>
  </si>
  <si>
    <t>45/45/45/45/44</t>
  </si>
  <si>
    <t>45/45/45/45/45/20</t>
  </si>
  <si>
    <t>50/30/30/24</t>
  </si>
  <si>
    <t>VSLA/LT/303/RMB</t>
  </si>
  <si>
    <t xml:space="preserve">RMA/RMB </t>
  </si>
  <si>
    <t>22/24</t>
  </si>
  <si>
    <t>303/304/206</t>
  </si>
  <si>
    <t>206/304</t>
  </si>
  <si>
    <t>20/16</t>
  </si>
  <si>
    <t>80/50/25</t>
  </si>
  <si>
    <t>80/45/22</t>
  </si>
  <si>
    <t>45/25/14</t>
  </si>
  <si>
    <t>40/21</t>
  </si>
  <si>
    <t>75/45/24</t>
  </si>
  <si>
    <t>A110/VCR/ECR</t>
  </si>
  <si>
    <t>30/26/27</t>
  </si>
  <si>
    <t>45/44</t>
  </si>
  <si>
    <t>20/20/20/22</t>
  </si>
  <si>
    <t>RMA/RMB/N1/N2</t>
  </si>
  <si>
    <t>20/20/24/20</t>
  </si>
  <si>
    <t>80/85/55/30/37</t>
  </si>
  <si>
    <t>85/80/55/30/37</t>
  </si>
  <si>
    <t>82/80/50/30</t>
  </si>
  <si>
    <t>NAF1/EA/A110/ECR</t>
  </si>
  <si>
    <t>44/30/30/25</t>
  </si>
  <si>
    <t>EA/A110/ECR/VCR/NAF1</t>
  </si>
  <si>
    <t>30/30/25/25/9</t>
  </si>
  <si>
    <t>45/45/45/45/45/20/16</t>
  </si>
  <si>
    <t>PB001/PB020/PB014/PB201/PB214/PB008/PB212</t>
  </si>
  <si>
    <t>45/45/45/44/44</t>
  </si>
  <si>
    <t>PB008/PB26</t>
  </si>
  <si>
    <t>30/26</t>
  </si>
  <si>
    <t>VSLA/LT/304/RMA</t>
  </si>
  <si>
    <t>46/25/25/24</t>
  </si>
  <si>
    <t>50/30/25/24</t>
  </si>
  <si>
    <t>RMB/303/N1/N2</t>
  </si>
  <si>
    <t>22/30/24/24</t>
  </si>
  <si>
    <t>22/22/22/22</t>
  </si>
  <si>
    <t>PB201/PB214/PB208/PB212</t>
  </si>
  <si>
    <t>PB014/PB008</t>
  </si>
  <si>
    <t>40/25/25/13</t>
  </si>
  <si>
    <t>Adam Faisal Wahib</t>
  </si>
  <si>
    <t>Evils Twumasi</t>
  </si>
  <si>
    <t>15</t>
  </si>
  <si>
    <t>NAF1/EA/A110/VCR</t>
  </si>
  <si>
    <t>304/N1/RMA/RMB</t>
  </si>
  <si>
    <t>PB201/PB208</t>
  </si>
  <si>
    <t>PB214/PB008</t>
  </si>
  <si>
    <t>VSLA/LT/303</t>
  </si>
  <si>
    <t>PB001/PB020/PB014/PB201/PB214/PB008/PB208/PB212</t>
  </si>
  <si>
    <t>NEB-TF/NEB-FF2</t>
  </si>
  <si>
    <t>NEB-SF/NEB-FF1</t>
  </si>
  <si>
    <t>40/30/30/20</t>
  </si>
  <si>
    <t>28/28</t>
  </si>
  <si>
    <t>25/25/24/24</t>
  </si>
  <si>
    <t>40/19</t>
  </si>
  <si>
    <t>45/45/45/12</t>
  </si>
  <si>
    <t>25/24/22/22</t>
  </si>
  <si>
    <t>45/45/45/40/40/26/26/20</t>
  </si>
  <si>
    <t>85/50</t>
  </si>
  <si>
    <t>NAF1/EA/A110/ECR/VCR</t>
  </si>
  <si>
    <t>VSLA/LT/206</t>
  </si>
  <si>
    <t>NEB-TF/NEB-SF/NEB-FF1/NEB-FF2</t>
  </si>
  <si>
    <t>NEB-TF/NEB-SF</t>
  </si>
  <si>
    <t>RMA/RMB/206</t>
  </si>
  <si>
    <t>50/24</t>
  </si>
  <si>
    <t>45/30/30/25/25</t>
  </si>
  <si>
    <t>20/12</t>
  </si>
  <si>
    <t>45/26/17</t>
  </si>
  <si>
    <t>40/30/30/20/20</t>
  </si>
  <si>
    <t>85/80/45/20</t>
  </si>
  <si>
    <t>50/26</t>
  </si>
  <si>
    <t>80/62</t>
  </si>
  <si>
    <t>24/24/24</t>
  </si>
  <si>
    <t>VSLA/LT/303/RMA</t>
  </si>
  <si>
    <t>PB001/PB020/PB014/PB201/PB214/PB008</t>
  </si>
  <si>
    <t>304/N1/RMB/206/N2</t>
  </si>
  <si>
    <t>85/85/52/20</t>
  </si>
  <si>
    <t>60/20</t>
  </si>
  <si>
    <t>50/30/20/20</t>
  </si>
  <si>
    <t>44/30/20/20</t>
  </si>
  <si>
    <t>45/45/45/45/45/30</t>
  </si>
  <si>
    <t>20/20</t>
  </si>
  <si>
    <t>25/25/20/20/10</t>
  </si>
  <si>
    <t>20/20/20/20/10</t>
  </si>
  <si>
    <t>45/45/45/45/45/30/21</t>
  </si>
  <si>
    <t>304/N1/RMB/206</t>
  </si>
  <si>
    <t>303/LT/RMB</t>
  </si>
  <si>
    <t>50/22</t>
  </si>
  <si>
    <t>40/25/20/20</t>
  </si>
  <si>
    <t>45/45/40/40/40/20</t>
  </si>
  <si>
    <t>85/85/52/23</t>
  </si>
  <si>
    <t>45/21/21</t>
  </si>
  <si>
    <t>30/30/23</t>
  </si>
  <si>
    <t>25/25/20/20</t>
  </si>
  <si>
    <t>304/N1/N2/RMA</t>
  </si>
  <si>
    <t>RMB/206</t>
  </si>
  <si>
    <t>20/20/20/16</t>
  </si>
  <si>
    <t>70/45</t>
  </si>
  <si>
    <t>50/26/26</t>
  </si>
  <si>
    <t>45/45/45/45/40/20/20</t>
  </si>
  <si>
    <t>45/30/30/25/15</t>
  </si>
  <si>
    <t>40/24</t>
  </si>
  <si>
    <t>24/25</t>
  </si>
  <si>
    <t>20/25/16</t>
  </si>
  <si>
    <t>85/85</t>
  </si>
  <si>
    <t>50/26/27</t>
  </si>
  <si>
    <t>25/25/20/14</t>
  </si>
  <si>
    <t>A110/ECR</t>
  </si>
  <si>
    <t>N1/RMA/206/N2</t>
  </si>
  <si>
    <t>NAF1/EA/VCR</t>
  </si>
  <si>
    <t>303/304/RMA/RMB</t>
  </si>
  <si>
    <t>RMB/206/N1</t>
  </si>
  <si>
    <t>30/30/24</t>
  </si>
  <si>
    <t>85/80/50/27</t>
  </si>
  <si>
    <t>20/17</t>
  </si>
  <si>
    <t>50/30</t>
  </si>
  <si>
    <t>20/20/20/17</t>
  </si>
  <si>
    <t>45/30/14</t>
  </si>
  <si>
    <t>30/20/20/13</t>
  </si>
  <si>
    <t>40/20/15</t>
  </si>
  <si>
    <t>20/20/22</t>
  </si>
  <si>
    <t>50/28/27</t>
  </si>
  <si>
    <t>85/85/55/29</t>
  </si>
  <si>
    <t>45/40/42/15</t>
  </si>
  <si>
    <t>25/22</t>
  </si>
  <si>
    <t>N1/N2/206/304</t>
  </si>
  <si>
    <t>N2/RMA</t>
  </si>
  <si>
    <t>NEB-TF/NEB-SF/NEB-FF1</t>
  </si>
  <si>
    <t>VSLA/LT/RMA/RMB</t>
  </si>
  <si>
    <t>ECR/VCR</t>
  </si>
  <si>
    <t>VSLA/LT/303/N1</t>
  </si>
  <si>
    <t>303/304/RMB/206</t>
  </si>
  <si>
    <t>45/30/30/25</t>
  </si>
  <si>
    <t>23/23</t>
  </si>
  <si>
    <t>85/85/55</t>
  </si>
  <si>
    <t>85/35</t>
  </si>
  <si>
    <t>50/30/24/24</t>
  </si>
  <si>
    <t>45/45/45/45/45/30/6</t>
  </si>
  <si>
    <t>45/45/45/45/45/30/30/2</t>
  </si>
  <si>
    <t>30/40</t>
  </si>
  <si>
    <t>50/30/30/26</t>
  </si>
  <si>
    <t>30/25/24/24</t>
  </si>
  <si>
    <t>40/40/40/25</t>
  </si>
  <si>
    <t>44/28</t>
  </si>
  <si>
    <t>40/25/20/18</t>
  </si>
  <si>
    <t>22/22/20/20/20</t>
  </si>
  <si>
    <t>42/42/42/42/30/28/20</t>
  </si>
  <si>
    <t>40/40/40/25/25</t>
  </si>
  <si>
    <t>75/75/50/24</t>
  </si>
  <si>
    <t>40/27</t>
  </si>
  <si>
    <t>75/75/50/23</t>
  </si>
  <si>
    <t>22/20/20</t>
  </si>
  <si>
    <t>16/16</t>
  </si>
  <si>
    <t>45/30/30/20/20</t>
  </si>
  <si>
    <t>PB020/PB201/PB214/PB212</t>
  </si>
  <si>
    <t>VSLA/303</t>
  </si>
  <si>
    <t>LT/N1/RMA/RMB/N2</t>
  </si>
  <si>
    <t>PB001/PB014/PB201/PB214/PB208/PB008/PB212</t>
  </si>
  <si>
    <t>PB001/PB014/PB020/PB208/PB008</t>
  </si>
  <si>
    <t>NAF1/EA</t>
  </si>
  <si>
    <t>303/206/304</t>
  </si>
  <si>
    <t>N1/N2</t>
  </si>
  <si>
    <t>PB008/PB212</t>
  </si>
  <si>
    <t>VSLA/303/N1/RMA/RMB/304</t>
  </si>
  <si>
    <t>PB001/PB014/PB020/PB201/PB214/PB208/PB212</t>
  </si>
  <si>
    <t>EA/A110/VCR</t>
  </si>
  <si>
    <t>PB001/PB014/PB020/PB201/PB214/PB208/PB008</t>
  </si>
  <si>
    <t>NAF1/ECR</t>
  </si>
  <si>
    <t>LT/206/N2/304</t>
  </si>
  <si>
    <t>80/80/55/27</t>
  </si>
  <si>
    <t>45/25/25/20/20/20</t>
  </si>
  <si>
    <t>40/40/40/40/40/28/25</t>
  </si>
  <si>
    <t>30/20/20</t>
  </si>
  <si>
    <t>78/77</t>
  </si>
  <si>
    <t>42/42/42/42/42/25/25</t>
  </si>
  <si>
    <t>45/25/25/20/20</t>
  </si>
  <si>
    <t>PB208/PB008/PB212</t>
  </si>
  <si>
    <t>VSLA/LT/303/304</t>
  </si>
  <si>
    <t>PB001/PB014/PB020</t>
  </si>
  <si>
    <t>EA/A110</t>
  </si>
  <si>
    <t>RMA/RMB/N2</t>
  </si>
  <si>
    <t>NAF1/VCR/ECR</t>
  </si>
  <si>
    <t>25/25/20</t>
  </si>
  <si>
    <t>45/30/30/21</t>
  </si>
  <si>
    <t>42/42/42/42/42/28/25</t>
  </si>
  <si>
    <t>40/30/30/22/20</t>
  </si>
  <si>
    <t>75/75/55/20</t>
  </si>
  <si>
    <t>40/40/40</t>
  </si>
  <si>
    <t>25/24</t>
  </si>
  <si>
    <t>22/22/20</t>
  </si>
  <si>
    <t>40/25/24</t>
  </si>
  <si>
    <t>80/50/30</t>
  </si>
  <si>
    <t>40/40/13</t>
  </si>
  <si>
    <t>24/24</t>
  </si>
  <si>
    <t>206/N1/N2</t>
  </si>
  <si>
    <t>VSLA/LT/303/RMA/RMB/304</t>
  </si>
  <si>
    <t>PB001/PB014/PB020/PB201/PB214/PB008/PB212</t>
  </si>
  <si>
    <t>N1/N2/RMA/RMB</t>
  </si>
  <si>
    <t>40/28/28/20/20/18</t>
  </si>
  <si>
    <t>43/26/26/20</t>
  </si>
  <si>
    <t>40/40/40/40/40/30/24</t>
  </si>
  <si>
    <t>25/24/23/22</t>
  </si>
  <si>
    <t>25/20</t>
  </si>
  <si>
    <t>A110/EA/VCR</t>
  </si>
  <si>
    <t>PB001/PB014/PB020/PB201/PB214/PB008/PB208/PB212</t>
  </si>
  <si>
    <t>PB001/PB014/PB020/PB008</t>
  </si>
  <si>
    <t>28/28/18</t>
  </si>
  <si>
    <t>75/51</t>
  </si>
  <si>
    <t>40/22/22</t>
  </si>
  <si>
    <t>75/25</t>
  </si>
  <si>
    <t>42/42/42/42/42/30/28/20</t>
  </si>
  <si>
    <t>VSLA/LT/303/N1/RMA/RMB</t>
  </si>
  <si>
    <t>A110/EA</t>
  </si>
  <si>
    <t>VCR/ECR</t>
  </si>
  <si>
    <t>NEB-SF/NEB-TF</t>
  </si>
  <si>
    <t>24/20/20</t>
  </si>
  <si>
    <t>40/40/30/26</t>
  </si>
  <si>
    <t>40/40/40/27</t>
  </si>
  <si>
    <t>45/30/30/24/24/24</t>
  </si>
  <si>
    <t>80/24</t>
  </si>
  <si>
    <t>30/30</t>
  </si>
  <si>
    <t>47/25</t>
  </si>
  <si>
    <t>40/28/28/20/20</t>
  </si>
  <si>
    <t>74/73</t>
  </si>
  <si>
    <t>42/28/24</t>
  </si>
  <si>
    <t>PB001/PB014</t>
  </si>
  <si>
    <t>VSLA/303/304</t>
  </si>
  <si>
    <t>PB201/PB214/PB208</t>
  </si>
  <si>
    <t>VSLA/LT/303/RMA/RMB</t>
  </si>
  <si>
    <t>LT/N1/N2/206</t>
  </si>
  <si>
    <t>NAF1/EA/VCR/ECR</t>
  </si>
  <si>
    <t>PB020/PB212</t>
  </si>
  <si>
    <t>40/30/18</t>
  </si>
  <si>
    <t>42/42/42/42/42/26/25</t>
  </si>
  <si>
    <t>78/25</t>
  </si>
  <si>
    <t>40/40/23</t>
  </si>
  <si>
    <t>40/27/27/22/22</t>
  </si>
  <si>
    <t>25/24/24/24</t>
  </si>
  <si>
    <t>40/25/25/24</t>
  </si>
  <si>
    <t>77/77</t>
  </si>
  <si>
    <t>50/27</t>
  </si>
  <si>
    <t>40/40</t>
  </si>
  <si>
    <t>LT/N2/RMA/RMB</t>
  </si>
  <si>
    <t>VSLA/303/N1</t>
  </si>
  <si>
    <t>PB014/PB020/PB201/PB214/PB008/PB208</t>
  </si>
  <si>
    <t>NEB-TF/NEB-SF/NEB-FF1/NEB-FF2/PB001</t>
  </si>
  <si>
    <t>40/40/40/40/40/27/27</t>
  </si>
  <si>
    <t>40/27/27</t>
  </si>
  <si>
    <t>25/22/20/20</t>
  </si>
  <si>
    <t>40/25/23</t>
  </si>
  <si>
    <t>42/42/42/42/28/27</t>
  </si>
  <si>
    <t>40/25/25/20/20/24</t>
  </si>
  <si>
    <t>75/75/50/25/35</t>
  </si>
  <si>
    <t>40/40/40/40/40/30/15</t>
  </si>
  <si>
    <t>PB001/PB020/PB014/PB201/PB214/PB208/PB008</t>
  </si>
  <si>
    <t>David Benteh</t>
  </si>
  <si>
    <t>NAF1/NEB-SF/NEB-TF/NEB-FF1/NEB-FF2/EA/A110</t>
  </si>
  <si>
    <t>40/40/40/22</t>
  </si>
  <si>
    <t>PB001/PB020/PB008</t>
  </si>
  <si>
    <t>40/40/25</t>
  </si>
  <si>
    <t>PB214/PB201</t>
  </si>
  <si>
    <t>VSLA/LT/RMA/RMB/303/304/206/N1/N2</t>
  </si>
  <si>
    <t>50/25/24/24/30/21/24/25/22</t>
  </si>
  <si>
    <t>41/42/40/40/40/20</t>
  </si>
  <si>
    <t>45/30/30/21/21</t>
  </si>
  <si>
    <t>45/45/45/45</t>
  </si>
  <si>
    <t>PB214/PB212/PB208/PB008</t>
  </si>
  <si>
    <t>45/29/30/30</t>
  </si>
  <si>
    <t>80/23</t>
  </si>
  <si>
    <t>40/20/20/20</t>
  </si>
  <si>
    <t>303/304/206/N1/N2</t>
  </si>
  <si>
    <t>25/18/18/18/14</t>
  </si>
  <si>
    <t>VSLA/LT/303/206/N2</t>
  </si>
  <si>
    <t>45/25/25/20/14</t>
  </si>
  <si>
    <t>NEB-FF1/FF2</t>
  </si>
  <si>
    <t>VSLA/RMA/303/304/N1/N2/206</t>
  </si>
  <si>
    <t>45/20/30/22/25/20/17</t>
  </si>
  <si>
    <t>PB001/PB020/PB014/PB201/PB214/PB208</t>
  </si>
  <si>
    <t>PB001/PB020/PB014/PB201/PB008/PB212</t>
  </si>
  <si>
    <t>PB208/PB008/PB214</t>
  </si>
  <si>
    <t>30/30/38</t>
  </si>
  <si>
    <t>45/45/42/43/30/25</t>
  </si>
  <si>
    <t>42/42/42/42/42/30/21</t>
  </si>
  <si>
    <t>40</t>
  </si>
  <si>
    <t>80/50/24</t>
  </si>
  <si>
    <t>VSLA/LT/303/304/RMA/RMB/206/N1/N2</t>
  </si>
  <si>
    <t>50/30/30/25/24/24/20/20/20</t>
  </si>
  <si>
    <t>VSLA/LT/303/N1/N2/RMA</t>
  </si>
  <si>
    <t>50/30/30/25/24/20</t>
  </si>
  <si>
    <t>142</t>
  </si>
  <si>
    <t>85/55/30</t>
  </si>
  <si>
    <t>80/46/28</t>
  </si>
  <si>
    <t>FUEL AND COMBUSTION TECHNOLOGY</t>
  </si>
  <si>
    <t>45/27/27/20</t>
  </si>
  <si>
    <t>24/15</t>
  </si>
  <si>
    <t>206/VCR</t>
  </si>
  <si>
    <t>PB001/PB020/PB014/PB201/PB214/PB008/PB208/PB212/NEB-FF1</t>
  </si>
  <si>
    <t>45/45/45/45/45/30/30/25/30</t>
  </si>
  <si>
    <t>NEB-SF/NEBFF1/NEB-FF2</t>
  </si>
  <si>
    <t>40/40/40/40/40/30/23</t>
  </si>
  <si>
    <t>VSLA/LT/303/304/206/RMA/RMB/N1/N2</t>
  </si>
  <si>
    <t>40/28/28/22/22/22/22/22/17</t>
  </si>
  <si>
    <t>NAF1/A110/EA/VCR/ECR</t>
  </si>
  <si>
    <t>VSLA/RMA/RMB</t>
  </si>
  <si>
    <t>40/16/16</t>
  </si>
  <si>
    <t>25/26</t>
  </si>
  <si>
    <t>NAF1/VCR</t>
  </si>
  <si>
    <t>61</t>
  </si>
  <si>
    <t>70</t>
  </si>
  <si>
    <t>RMB/N1/N2/304</t>
  </si>
  <si>
    <t>20/20/20/20</t>
  </si>
  <si>
    <t>303/N1/206</t>
  </si>
  <si>
    <t>NEB-SF/NEB-FF1/NEB-FF2/NAF1/EA/VCR</t>
  </si>
  <si>
    <t>80/50/20/40/30/25</t>
  </si>
  <si>
    <t>45/80/80/55/30/30/30/26</t>
  </si>
  <si>
    <t>Ampofo James Wiafe</t>
  </si>
  <si>
    <t>EE 265</t>
  </si>
  <si>
    <t>45/45/45/45/45/30/30/55</t>
  </si>
  <si>
    <t>PB001/PB020/PB014/PB201/PB214/PB008/PB208/NEB-GF</t>
  </si>
  <si>
    <t>NAF1/A110/VCR</t>
  </si>
  <si>
    <t>40/30/19</t>
  </si>
  <si>
    <t>303/304/206/RMB</t>
  </si>
  <si>
    <t>45/30/30/20/20/20/20/20/20</t>
  </si>
  <si>
    <t>CHE 467</t>
  </si>
  <si>
    <t>31</t>
  </si>
  <si>
    <t>BIOCHEMICAL TECHNOLOGY</t>
  </si>
  <si>
    <t>Ankudey Emmanuel Godwin</t>
  </si>
  <si>
    <t>CHE 371</t>
  </si>
  <si>
    <t>Benjamin Asante</t>
  </si>
  <si>
    <t>POLYMER TECHNOLOGY</t>
  </si>
  <si>
    <t>NATURAL GAS PROCESSING TECHNOLOGY</t>
  </si>
  <si>
    <t>25/25</t>
  </si>
  <si>
    <t>N2/206</t>
  </si>
  <si>
    <t>40/30/14</t>
  </si>
  <si>
    <t>PB201/PB208/PB212</t>
  </si>
  <si>
    <t>25/11</t>
  </si>
  <si>
    <t>85/85/53/30</t>
  </si>
  <si>
    <t>81/81/50/30</t>
  </si>
  <si>
    <t>40/30/30/25/20</t>
  </si>
  <si>
    <t>PB001/PB014/PB020/PB201/PB214/PB008/PB208/PB212/EA</t>
  </si>
  <si>
    <t>43/30/25</t>
  </si>
  <si>
    <t>NAF1/A110</t>
  </si>
  <si>
    <t>44/30</t>
  </si>
  <si>
    <t>21/20/20</t>
  </si>
  <si>
    <t>43/43/43</t>
  </si>
  <si>
    <t>24/23</t>
  </si>
  <si>
    <t>45/30/30/24/24/24/24/23</t>
  </si>
  <si>
    <t>VSLA/LT/303/304/RMA/RMB/N1/N2</t>
  </si>
  <si>
    <t>VSLA/LT/303/N1/304</t>
  </si>
  <si>
    <t>45/30/30/25/24</t>
  </si>
  <si>
    <t>PB001/PB014/PB020/PB201/PB214/PB208/PB008/PB212</t>
  </si>
  <si>
    <t>40/27/21</t>
  </si>
  <si>
    <t>25/20/20/20</t>
  </si>
  <si>
    <t>A110/VCR</t>
  </si>
  <si>
    <t>30/19</t>
  </si>
  <si>
    <t>85/85/50/22</t>
  </si>
  <si>
    <t>45/25/25/24</t>
  </si>
  <si>
    <t>40/30/30</t>
  </si>
  <si>
    <t>45/25/24</t>
  </si>
  <si>
    <t>ECR/VCR/A110</t>
  </si>
  <si>
    <t>25/25/22</t>
  </si>
  <si>
    <t>64/25</t>
  </si>
  <si>
    <t>22/22/22/21</t>
  </si>
  <si>
    <t>RMA/RMB/N1/206</t>
  </si>
  <si>
    <t>21/21/21/20</t>
  </si>
  <si>
    <t>VSLA/LT/303/304/206</t>
  </si>
  <si>
    <t>49/30/30/25/20</t>
  </si>
  <si>
    <t>40/30/30/15</t>
  </si>
  <si>
    <t>40/25/28</t>
  </si>
  <si>
    <t>40/25/20/12</t>
  </si>
  <si>
    <t>N1/RMA/RMB</t>
  </si>
  <si>
    <t>RMA/RMB</t>
  </si>
  <si>
    <t>Session, 3 ( 11:45 AM - 12:45 PM)</t>
  </si>
  <si>
    <t>Bottles x 6S + 1</t>
  </si>
  <si>
    <t>Isaac Azure</t>
  </si>
  <si>
    <t>Yeboah Philomena Ama Okyeso</t>
  </si>
  <si>
    <t>64</t>
  </si>
  <si>
    <t>PB001/PB208/PB008</t>
  </si>
  <si>
    <t>PB201/PB214/PB014/PB208</t>
  </si>
  <si>
    <t>303/LT/VSLA</t>
  </si>
  <si>
    <t>NEB-SF/NEB-TF/NEB-FF1/NEB-FF2/PB212</t>
  </si>
  <si>
    <t>PB014/PB001/PB020/PB008</t>
  </si>
  <si>
    <t>27/30/25</t>
  </si>
  <si>
    <t>25/20/16</t>
  </si>
  <si>
    <t>20/14</t>
  </si>
  <si>
    <t>45/30/23</t>
  </si>
  <si>
    <t>40/40/40/16</t>
  </si>
  <si>
    <t>40/40/35/20</t>
  </si>
  <si>
    <t>30/30/40</t>
  </si>
  <si>
    <t>20/40/20/23</t>
  </si>
  <si>
    <t>80/85/50/25/20</t>
  </si>
  <si>
    <t>42/42/42/28</t>
  </si>
  <si>
    <t>EA/ECR</t>
  </si>
  <si>
    <t>22/20/17</t>
  </si>
  <si>
    <t>40/22/21</t>
  </si>
  <si>
    <t>LT/303/304/RMA</t>
  </si>
  <si>
    <t>PB001/PB208</t>
  </si>
  <si>
    <t>PB201/PB214</t>
  </si>
  <si>
    <t>PB020/PB014/PB008</t>
  </si>
  <si>
    <t>PB001/PB020/PB014/PB008</t>
  </si>
  <si>
    <t>76</t>
  </si>
  <si>
    <t>45/25/25/20</t>
  </si>
  <si>
    <t>35/24</t>
  </si>
  <si>
    <t>70/35/24</t>
  </si>
  <si>
    <t>36/36</t>
  </si>
  <si>
    <t>42/42/42/29</t>
  </si>
  <si>
    <t>80/35</t>
  </si>
  <si>
    <t>25/25/17</t>
  </si>
  <si>
    <t>85/65/55/30/25</t>
  </si>
  <si>
    <t>NEB-SF/NEB-TF/NEB-FF1/NEB-FF2/EA</t>
  </si>
  <si>
    <t>Azure Isaac</t>
  </si>
  <si>
    <t>NUMERICAL METHODS</t>
  </si>
  <si>
    <t>Awashie Gaston Edem</t>
  </si>
  <si>
    <t>PETROLEUM ROCK MECHANICS</t>
  </si>
  <si>
    <t>Erzuah Samuel</t>
  </si>
  <si>
    <t>FINANCIAL ACCOUNTING I</t>
  </si>
  <si>
    <t>Yeboah Edward</t>
  </si>
  <si>
    <t>INTRODUCTION TO THERMODYNAMICS OF MATERIALS</t>
  </si>
  <si>
    <t>Gikunoo Emmanuel</t>
  </si>
  <si>
    <t>CELL BIOLOGY</t>
  </si>
  <si>
    <t>Adjei Prince Ebenezer</t>
  </si>
  <si>
    <t>FIELD AND GEODETIC ASTRONOMY</t>
  </si>
  <si>
    <t>Ayer John Wise Divine</t>
  </si>
  <si>
    <t>CARTOGRAPHY I</t>
  </si>
  <si>
    <t>Quaye-Ballard Jonathan Arthur</t>
  </si>
  <si>
    <t>TRANSFORMERS</t>
  </si>
  <si>
    <t>Opoku Daniel</t>
  </si>
  <si>
    <t>PRINCIPLES OF HYDROGEOLOGY</t>
  </si>
  <si>
    <t>Appiah-Adjei Emmanuel Kwame</t>
  </si>
  <si>
    <t>NATURAL GAS ENGINEERING I</t>
  </si>
  <si>
    <t>Sarkodie Kwame</t>
  </si>
  <si>
    <t>ENGINEERING REPORTING</t>
  </si>
  <si>
    <t>Tuffour Yaw Adubofour</t>
  </si>
  <si>
    <t>PHYSICAL GEOLOGY</t>
  </si>
  <si>
    <t>Mensah Emmanuel</t>
  </si>
  <si>
    <t>POWER SYSTEMS OPERATION AND CONTROL</t>
  </si>
  <si>
    <t>Antoh Emmanuel Kwaku</t>
  </si>
  <si>
    <t>ARTIFICIAL INTELLIGENCE</t>
  </si>
  <si>
    <t>Nunoo-Mensah Henry</t>
  </si>
  <si>
    <t>Momade Zsuzsanna Gál</t>
  </si>
  <si>
    <t>Dogbe Eunice Sefakor Aku</t>
  </si>
  <si>
    <t>DRAINAGE SYSTEMS</t>
  </si>
  <si>
    <t>Adjei Kwaku Amaning</t>
  </si>
  <si>
    <t>BIOINSTRUMENTATION II</t>
  </si>
  <si>
    <t>Acquah Isaac</t>
  </si>
  <si>
    <t>PYROMETALLURGY</t>
  </si>
  <si>
    <t>Agyemang Frank Ofori</t>
  </si>
  <si>
    <t>SEPARATION PROCESSES I</t>
  </si>
  <si>
    <t>ELECTRICAL SERVICES DESIGN</t>
  </si>
  <si>
    <t>Kwegyir Daniel</t>
  </si>
  <si>
    <t>FUNDAMENTALS OF NETWORK SECURITY</t>
  </si>
  <si>
    <t>Agyemang Justice Owusu</t>
  </si>
  <si>
    <t>ENVIRONMENTAL CONTROL AND LIVESTOCK HOUSING</t>
  </si>
  <si>
    <t>Lavie Jerome Dela</t>
  </si>
  <si>
    <t>Alhassan Yakubu</t>
  </si>
  <si>
    <t>Sarfo-Adu Kwasi</t>
  </si>
  <si>
    <t>AUTOMOTIVE COMPRESSION-IGNITION ENGINES</t>
  </si>
  <si>
    <t>Abu Frimpong Solomon</t>
  </si>
  <si>
    <t>RESERVOIR ENGINEERING I</t>
  </si>
  <si>
    <t>Adenutsi Caspar Daniel</t>
  </si>
  <si>
    <t>CADASTRAL SURVEYING</t>
  </si>
  <si>
    <t>Akrofi Emmanuel Offei</t>
  </si>
  <si>
    <t>INDUSTRIAL SAFETY AND MANUFACTURING RELATIONS</t>
  </si>
  <si>
    <t>Asiedu Charlotte</t>
  </si>
  <si>
    <t>COMPUTER OPTIMIZATION METHOD</t>
  </si>
  <si>
    <t>Bonsu Jude Kwaku</t>
  </si>
  <si>
    <t>MOMENTUM TRANSPORT</t>
  </si>
  <si>
    <t>Adjaottor Albert Amatey</t>
  </si>
  <si>
    <t>COMPUTER AIDED DESIGN AND MANUFACTURING</t>
  </si>
  <si>
    <t>Afriyie Nyarko Frank Kwabena</t>
  </si>
  <si>
    <t>Oppong Tawiah Peter</t>
  </si>
  <si>
    <t>THERMODYNAMICS I</t>
  </si>
  <si>
    <t>Forson Francis Kofi</t>
  </si>
  <si>
    <t>CORROSION OF ENGINEERING MATERIALS</t>
  </si>
  <si>
    <t>Andrews Anthony</t>
  </si>
  <si>
    <t>ECONOMICS AND COMMERCIAL GEOGRAPHY</t>
  </si>
  <si>
    <t>Bonuedi Isaac</t>
  </si>
  <si>
    <t xml:space="preserve">AUTOMATIC CONTROL </t>
  </si>
  <si>
    <t>ANATOMY AND PHYSIOLOGY FOR ENGINEERS I</t>
  </si>
  <si>
    <t>Agyapong Dorothy Araba Yakoba</t>
  </si>
  <si>
    <t>COMPUTER PROGRAMMING</t>
  </si>
  <si>
    <t>Osei Jack Banahene</t>
  </si>
  <si>
    <t>POWER GENERATION  AND SUPPLY</t>
  </si>
  <si>
    <t>Asigri Peter</t>
  </si>
  <si>
    <t>REGIONAL GEOLOGY</t>
  </si>
  <si>
    <t>Foli Gordon</t>
  </si>
  <si>
    <t>MECHANICAL SEPARATION PROCESSES</t>
  </si>
  <si>
    <t>Darkwah Lawrence</t>
  </si>
  <si>
    <t>SAFETY AND RELIABILITY ENGINEERING</t>
  </si>
  <si>
    <t>Quaye Jonathan Atuquaye</t>
  </si>
  <si>
    <t>HEAT TRANSFER AND COMBUSTION</t>
  </si>
  <si>
    <t>GEOMETRICAL GEODESY</t>
  </si>
  <si>
    <t>Dadzie Isaac</t>
  </si>
  <si>
    <t>FORMATION EVALUATION</t>
  </si>
  <si>
    <t>Borkloe Julius Kwame</t>
  </si>
  <si>
    <t>RESEARCH METHODS</t>
  </si>
  <si>
    <t>Appiah Franklin Benjamin</t>
  </si>
  <si>
    <t>COMMUNICATION SYSTEMS</t>
  </si>
  <si>
    <t>Tchao Eric Tutu</t>
  </si>
  <si>
    <t>TRANSPORTATION ENGINEERING I</t>
  </si>
  <si>
    <t>Tutu Kenneth Adomako</t>
  </si>
  <si>
    <t>PETROLEUM FLUID PROPERTIES</t>
  </si>
  <si>
    <t>MINERALOGY</t>
  </si>
  <si>
    <t>Wilson Matthew Coffie</t>
  </si>
  <si>
    <t>OPERATIONS RESEARCH I</t>
  </si>
  <si>
    <t>Mensah Lena Dzifa</t>
  </si>
  <si>
    <t>INTRODUCTION TO PROGRAMMING II</t>
  </si>
  <si>
    <t>PRINCIPLES OF ENGINEERING GEOLOGY</t>
  </si>
  <si>
    <t>Gidigasu Solomon Senyo Robert</t>
  </si>
  <si>
    <t>MARINE INTERNAL COMBUSTION ENGINES</t>
  </si>
  <si>
    <t>ADVANCED FARM POWER AND MACHINERY</t>
  </si>
  <si>
    <t>C PROGRAMMING</t>
  </si>
  <si>
    <t>COMPUTER APPLICATION FOR AGRICULTURAL ENGINEERS</t>
  </si>
  <si>
    <t>Amponsah William</t>
  </si>
  <si>
    <t>IRRIGATION AND DRAINAGE ENGINEERING</t>
  </si>
  <si>
    <t>Anornu Geophrey Kwame</t>
  </si>
  <si>
    <t>PHARMACEUTICAL TECHNOLOGY</t>
  </si>
  <si>
    <t>Johnson Raphael</t>
  </si>
  <si>
    <t>INTRODUCTION TO OCEANOGRAPHY</t>
  </si>
  <si>
    <t>Miezah Kodwo</t>
  </si>
  <si>
    <t>FACILITIES DESIGN AND MATERIAL HANDLING</t>
  </si>
  <si>
    <t>Sackey Samuel Mensah</t>
  </si>
  <si>
    <t>AVIONICS</t>
  </si>
  <si>
    <t>MECHATRONICS</t>
  </si>
  <si>
    <t>SPECIAL ELECTRICAL MACHINES</t>
  </si>
  <si>
    <t>INFORMATION THEORY AND CODING</t>
  </si>
  <si>
    <t>Obour Agyekum Kwame Opuni-Boachie</t>
  </si>
  <si>
    <t>BIOMECHANICS I</t>
  </si>
  <si>
    <t>Odame Prince</t>
  </si>
  <si>
    <t>Asamoah Joshua Kiddy Kwasi</t>
  </si>
  <si>
    <t>Adjaidoo Theresa-Samuelle Maame Atwemaah</t>
  </si>
  <si>
    <t>Barnes Benedict</t>
  </si>
  <si>
    <t>FOUNDRY TECHNOLOGY</t>
  </si>
  <si>
    <t>Bota Osei Sekyere</t>
  </si>
  <si>
    <t>BASIC HYDROLOGY</t>
  </si>
  <si>
    <t>AGRICULTURAL MATERIALS HANDLING AND PROCESSING</t>
  </si>
  <si>
    <t>Akowuah Joseph Oppong</t>
  </si>
  <si>
    <t>EMERGING TRENDS IN COMMUNICATION</t>
  </si>
  <si>
    <t>Kponyo Jerry John</t>
  </si>
  <si>
    <t>DRILLING ENGINEERING I</t>
  </si>
  <si>
    <t>Adjei Stephen</t>
  </si>
  <si>
    <t>SILICATE TECHNOLOGY I</t>
  </si>
  <si>
    <t>MEDICAL IMAGING II</t>
  </si>
  <si>
    <t>Kotei Addison Eric Clement</t>
  </si>
  <si>
    <t>RENEWABLE ENERGY CONVERSION</t>
  </si>
  <si>
    <t>Quansah David Ato</t>
  </si>
  <si>
    <t>INSTRUMENTATION AND CONTROL</t>
  </si>
  <si>
    <t>PRODUCTION ENGINEERING</t>
  </si>
  <si>
    <t>Obeng George Yaw</t>
  </si>
  <si>
    <t>Kwabi Prince Amponsah</t>
  </si>
  <si>
    <t>Ezearn Jeffery</t>
  </si>
  <si>
    <t>Adu-Ansah Lawton</t>
  </si>
  <si>
    <t>Ayekple Yao Elikem</t>
  </si>
  <si>
    <t>OPTICAL COMMUNICATION</t>
  </si>
  <si>
    <t>Gadze James Dzisi</t>
  </si>
  <si>
    <t>DISCRETE EVENT SIMULATION</t>
  </si>
  <si>
    <t>Takyi Gabriel</t>
  </si>
  <si>
    <t>CROP PROCESSING</t>
  </si>
  <si>
    <t xml:space="preserve">Darko Joseph Ofei </t>
  </si>
  <si>
    <t>EXPLORATION GEOCHEMISTRY</t>
  </si>
  <si>
    <t>Gawu Simon Kafui Yawo</t>
  </si>
  <si>
    <t>HIGHWAY ENGINEERING II</t>
  </si>
  <si>
    <t>COMPUTER ARCHITECTURE</t>
  </si>
  <si>
    <t>Boateng Kwame Osei</t>
  </si>
  <si>
    <t>WIRELESS DATA COMMUNICATION NETWORK</t>
  </si>
  <si>
    <t>Opare Kwasi Adu-Boahen</t>
  </si>
  <si>
    <t>RISK ANALYSIS</t>
  </si>
  <si>
    <t>HYDROLOGY</t>
  </si>
  <si>
    <t>POLLUTION CONTROL IN PETROCHEMICAL INDUSTRY</t>
  </si>
  <si>
    <t>Kwao-Boateng Emmanuela</t>
  </si>
  <si>
    <t>HYDRAULICS AND PNEUMATICS</t>
  </si>
  <si>
    <t>Boateng Maxwell Akwasi</t>
  </si>
  <si>
    <t>AEROSPACE VEHICLE DESIGN</t>
  </si>
  <si>
    <t>EXPERIMENTAL DATA ANALYSIS</t>
  </si>
  <si>
    <t>Rockson Mizpah Ama Dziedzorm</t>
  </si>
  <si>
    <t>Appiah-Brempong Miriam</t>
  </si>
  <si>
    <t>Buamah Richard Akwasi</t>
  </si>
  <si>
    <t>Essandoh Helen Michelle Korkor</t>
  </si>
  <si>
    <t>Awuah Esi</t>
  </si>
  <si>
    <t>INORGANIC CHEMISTRY FOR ENGINEERS</t>
  </si>
  <si>
    <t>Opoku Francis</t>
  </si>
  <si>
    <t>METALLURGICAL FAILURE ANALYSIS AND NDTs</t>
  </si>
  <si>
    <t>Arthur Emmanuel Kwesi</t>
  </si>
  <si>
    <t>FAILURE ANALYSIS AND NON-DESTRUCTIVE TESTING</t>
  </si>
  <si>
    <t>ENGINEERING CERAMICS</t>
  </si>
  <si>
    <t>PETROLOGY</t>
  </si>
  <si>
    <t>LAND AND GEOGRAPHIC INFORMATION SYSTEM I</t>
  </si>
  <si>
    <t>Forkuo Eric Kwabena</t>
  </si>
  <si>
    <t>DESIGN OF MARINE MACHINE ELEMENTS</t>
  </si>
  <si>
    <t>Andoh Prince Yaw</t>
  </si>
  <si>
    <t>DESIGN OF AUTO MECHANICAL SYSTEMS</t>
  </si>
  <si>
    <t>INTRODUCTION TO PETROCHEMICAL INDUSTRIES</t>
  </si>
  <si>
    <t>Baidoo Martina Francisca</t>
  </si>
  <si>
    <t>Afotey Benjamin</t>
  </si>
  <si>
    <t>BASIC MECHANICS</t>
  </si>
  <si>
    <t>Opoku Richard</t>
  </si>
  <si>
    <t>HIGHWAY AND TRANSPORTATION ENGINEERING I</t>
  </si>
  <si>
    <t>Ababio-Donkor Augustus</t>
  </si>
  <si>
    <t>SYSTEMS ENGINEERING I</t>
  </si>
  <si>
    <t>Donkor Emmanuel Amponsah</t>
  </si>
  <si>
    <t>SIGNALS AND SYSTEMS</t>
  </si>
  <si>
    <t>Yeboah-Akowuah Bright</t>
  </si>
  <si>
    <t>AVIATION COMMUNICATION</t>
  </si>
  <si>
    <t>Obeng Kwakye Kingsford Sarkodie</t>
  </si>
  <si>
    <t>Ohemeng-Boahen Godfred</t>
  </si>
  <si>
    <t>AGRIC. METEOROLOGY AND CLIMATOLOGY</t>
  </si>
  <si>
    <t>Bessah Enoch</t>
  </si>
  <si>
    <t>GEOLOGICAL FIELD MAPPPING</t>
  </si>
  <si>
    <t>Brako Blestmond Afrifa</t>
  </si>
  <si>
    <t>VEHICLE AIR-CONDITIONING AND REFRIGERATION</t>
  </si>
  <si>
    <t>Sekyere Charles Kofi Kafui</t>
  </si>
  <si>
    <t>INTRODDUCTION TO RURAL SOCIOLOGY</t>
  </si>
  <si>
    <t>Boateng Kwabena</t>
  </si>
  <si>
    <t>INTRODUCTION TO RURAL SOCIOLOGY</t>
  </si>
  <si>
    <t>MARINE AIR CONDITIONING AND REFRIGERATION</t>
  </si>
  <si>
    <t>Dzebre Denis Edem Kwame</t>
  </si>
  <si>
    <t>AIR CONDITIONING AND REFRIGERATION</t>
  </si>
  <si>
    <t>FRENCH FOR COMMUNICATION PURPOSES I</t>
  </si>
  <si>
    <t>Darko Jeel Pharis</t>
  </si>
  <si>
    <t>Boakye-Agyeman Candy</t>
  </si>
  <si>
    <t>Ocloo Alexander</t>
  </si>
  <si>
    <t>Osei-Danso Harriet Efua</t>
  </si>
  <si>
    <t>INTRODUCTION TO METALLURGICAL ENGINEERING</t>
  </si>
  <si>
    <t>Koomson Bennetta</t>
  </si>
  <si>
    <t>GENERAL CHEMISTRY</t>
  </si>
  <si>
    <t>Sarpong Lilian</t>
  </si>
  <si>
    <t>MICROELECTRONIC CIRCUITS</t>
  </si>
  <si>
    <t>Acheampong Francisca Adoma</t>
  </si>
  <si>
    <t>LINEAR ELECTRONIC CIRCUITS</t>
  </si>
  <si>
    <t>Agbemenu Andrew Selasi</t>
  </si>
  <si>
    <t>Boakye Patrick</t>
  </si>
  <si>
    <t>Boahen Samuel</t>
  </si>
  <si>
    <t>MARINE ENGINEERING MATERIALS</t>
  </si>
  <si>
    <t>RESERVOIR SIMULATION</t>
  </si>
  <si>
    <t>Ampomah William</t>
  </si>
  <si>
    <t>ENGINEERING GEOLOGICAL INVESTIGATIONS</t>
  </si>
  <si>
    <t>Ali Bukari</t>
  </si>
  <si>
    <t>BASIC PHYSICAL GEODESY</t>
  </si>
  <si>
    <t>PETROLEUM ENGINEERING THERMODYNAMICS I</t>
  </si>
  <si>
    <t>Sokama-Neuyam Yen Adams</t>
  </si>
  <si>
    <t>CHEMICAL PROCESS DESIGN AND ECONOMICS</t>
  </si>
  <si>
    <t>METALLURGICAL PLANT DESIGN/OPERATIONS</t>
  </si>
  <si>
    <t>COSTING AND BREAK-EVEN ANALYSIS</t>
  </si>
  <si>
    <t>Amoako-Yirenkyi Carole Fredua</t>
  </si>
  <si>
    <t>Okutu John Kwadey</t>
  </si>
  <si>
    <t>Benteh David</t>
  </si>
  <si>
    <t>Awiakye-Marfo George</t>
  </si>
  <si>
    <t>THEORY OF STRUCTURES</t>
  </si>
  <si>
    <t>COMPOSITE MATERIALS</t>
  </si>
  <si>
    <t>Asare Eric Kwame Anokye</t>
  </si>
  <si>
    <t>DEVELOPMENT ENGINEERING</t>
  </si>
  <si>
    <t>ORGANIC CHEMISTRY FOR ENGINEERS</t>
  </si>
  <si>
    <t>Laryea Michael Konney</t>
  </si>
  <si>
    <t>Okae James</t>
  </si>
  <si>
    <t>METALLURGICAL THERMODYNAMICS</t>
  </si>
  <si>
    <t>RANDOM VARIABLES AND STOCHASTIC PROCESSES</t>
  </si>
  <si>
    <t>STRENGTH OF MATERIALS II</t>
  </si>
  <si>
    <t>FARM STRUCTURES</t>
  </si>
  <si>
    <t>Bart Plange Ato</t>
  </si>
  <si>
    <t>GEODETIC SURVEYING II</t>
  </si>
  <si>
    <t>Fosu Collins</t>
  </si>
  <si>
    <t>OCCUPATIONAL HEALTH AND SAFETY</t>
  </si>
  <si>
    <t>STATISTICS FOR PETROLEUM ENGINEERS</t>
  </si>
  <si>
    <t>BIOMATERIALS II</t>
  </si>
  <si>
    <t>INFORMATION SCIENCE AND PROGRAMMING</t>
  </si>
  <si>
    <t>Tienaah Titus</t>
  </si>
  <si>
    <t>INTRODUCTORY ECONOMICS I</t>
  </si>
  <si>
    <t xml:space="preserve">INTRODUCTION TO ECONOMICS </t>
  </si>
  <si>
    <t>ELEMENTS OF ECONOMICS I</t>
  </si>
  <si>
    <t>MICROWAVE ENGINEERING</t>
  </si>
  <si>
    <t>Abdul-Rahman Ahmed</t>
  </si>
  <si>
    <t>PROJECT MANAGEMENT</t>
  </si>
  <si>
    <t>STRUCTURAL ENGINEERING I</t>
  </si>
  <si>
    <t>APPLICATIONS OF COMPUTER GRAPHICS</t>
  </si>
  <si>
    <t>Asante Eric Amoah</t>
  </si>
  <si>
    <t>ELECTRICAL AND MAGNETIC BEHAVIOUR OF MATERIALS</t>
  </si>
  <si>
    <t>ELEMENTARY STRUCTURES</t>
  </si>
  <si>
    <t>Afrifa Russel Owusu</t>
  </si>
  <si>
    <t>FIRE AND SAFETY ENGINEERING</t>
  </si>
  <si>
    <t>SAFETY AND POLLUTION CONTROL</t>
  </si>
  <si>
    <t>Kwaw Albert Kwame</t>
  </si>
  <si>
    <t>CLASSICAL CONTROL SYSTEMS</t>
  </si>
  <si>
    <t>MARINE ELECTRICAL TECHNOLOGY</t>
  </si>
  <si>
    <t>Frimpong Emmanuel Asuming</t>
  </si>
  <si>
    <t>APPLIED OPTICS</t>
  </si>
  <si>
    <t>Andam-Akorful Samuel Ato</t>
  </si>
  <si>
    <t>Klogo Griffith Selorm</t>
  </si>
  <si>
    <t>Anang Daniel Adjah</t>
  </si>
  <si>
    <t>PRINCIPLES OF MATERIALS SCIENCE</t>
  </si>
  <si>
    <t>Nartey Martinson Addo</t>
  </si>
  <si>
    <t>THERMODYNAMICS  II</t>
  </si>
  <si>
    <t>WATER AND WASTE WATER ENGINEERING</t>
  </si>
  <si>
    <t>ANALOG COMMUNICATION SYSTEMS</t>
  </si>
  <si>
    <t>Affum Emmanuel Ampoma</t>
  </si>
  <si>
    <t>PRINCIPLES OF HYDROMETALLURGY</t>
  </si>
  <si>
    <t>POLYMER PROCESSING</t>
  </si>
  <si>
    <t>PROCESS CONTROL AND INSTRUMENTATION</t>
  </si>
  <si>
    <t>PETROLEUM PRODUCTION ENGINEERING I</t>
  </si>
  <si>
    <t>Ayetor Godwin Kafui Kwesi</t>
  </si>
  <si>
    <t>PHOTOGEOLOGY AND REMOTE SENSING</t>
  </si>
  <si>
    <t>Nuamah Daniel Oduro Boatey</t>
  </si>
  <si>
    <t>IMAGE PROCESSING AND INTERPRETATION</t>
  </si>
  <si>
    <t xml:space="preserve">Asare Yaw Mensah </t>
  </si>
  <si>
    <t>EXPLORATION GEOPHYSICS</t>
  </si>
  <si>
    <t>ENGINEERING GEOLOGY</t>
  </si>
  <si>
    <t>Acquaah Vincent Kofi Abaka</t>
  </si>
  <si>
    <t>ENGINEERING ECONOMY AND MANAGEMENT</t>
  </si>
  <si>
    <t>ENGINEERING ECONOMICS AND MANAGEMENT</t>
  </si>
  <si>
    <t>MARINE ENGINEERING ECONOMY, ACCOUNTING AND MANAGEMENT</t>
  </si>
  <si>
    <t>AVIATION BUSINESS MANAGEMENT</t>
  </si>
  <si>
    <t>Ellis Sani Mubarak</t>
  </si>
  <si>
    <t>Prah II Nicholas Kwesi</t>
  </si>
  <si>
    <t>Effah Francis Boafo</t>
  </si>
  <si>
    <t>COMPUTER NETWORKING</t>
  </si>
  <si>
    <t>Akowuah Emmanuel Kofi</t>
  </si>
  <si>
    <t>ENGINEERING MECHANICS II:DYNAMICS</t>
  </si>
  <si>
    <t>ENGINEERING MECHANICS II: DYNAMICS</t>
  </si>
  <si>
    <t>STRESS AND STRAIN ANALYSIS OF RIGID BODIES</t>
  </si>
  <si>
    <t>Mensah-Darkwa Kwadwo</t>
  </si>
  <si>
    <t>STRENGTH OF MATERIALS</t>
  </si>
  <si>
    <t>ETHICS, CONTRACT &amp; PRODUCT LIABILITY LAW</t>
  </si>
  <si>
    <t>MATERIALS PROCESSING</t>
  </si>
  <si>
    <t>CORROSION ENGINEERING</t>
  </si>
  <si>
    <t>SOIL AND WATER ENGINEERING</t>
  </si>
  <si>
    <t>Kyei-Baffour Nicholas</t>
  </si>
  <si>
    <t>MOBILE AND WIRELESS COMMUNICATIONS</t>
  </si>
  <si>
    <t>Agyekum Kwame Agyeman-Prempeh</t>
  </si>
  <si>
    <t>DYNAMICS OF MACHINERY</t>
  </si>
  <si>
    <t>SURVEY ADJUSTMENT I</t>
  </si>
  <si>
    <t>ENGINEERING SURVEYING I</t>
  </si>
  <si>
    <t>Arko-Adjei Anthony</t>
  </si>
  <si>
    <t>CLIMATE AND ARCHITECTURE</t>
  </si>
  <si>
    <t>Amos-Abanyie Samuel</t>
  </si>
  <si>
    <t>RESERVOIR PETROPHYSICS</t>
  </si>
  <si>
    <t>ENGINEERING AND ENVIRONMENTAL GEOPHYSICS</t>
  </si>
  <si>
    <t>Owusu-Nimo Frederick</t>
  </si>
  <si>
    <t>PETROLEUM ECONOMICS</t>
  </si>
  <si>
    <t>FLUID MECHANICS</t>
  </si>
  <si>
    <t>DIGITAL SYSTEMS</t>
  </si>
  <si>
    <t>ORGANIC AND PETROCHEMICAL SYNTHESIS</t>
  </si>
  <si>
    <t>Mensah Mary</t>
  </si>
  <si>
    <t>REINFORCED CONCRETE DESIGN</t>
  </si>
  <si>
    <t>Owusu Twumasi Jones</t>
  </si>
  <si>
    <t>BASIC SURVEY PRINCIPLES I</t>
  </si>
  <si>
    <t>Duker Alfred Alan</t>
  </si>
  <si>
    <t>42/28</t>
  </si>
  <si>
    <t>VSLA/LT/303/304/N1/RMA/RMB/206/N2</t>
  </si>
  <si>
    <t>44/26/26/22/22/21/21/21/20</t>
  </si>
  <si>
    <t>SEMICONDUCTOR DEVICES</t>
  </si>
  <si>
    <t>Sekyere Yaw Opoku Mensah</t>
  </si>
  <si>
    <t>Kommey Benjamin</t>
  </si>
  <si>
    <t>85/85/55/28</t>
  </si>
  <si>
    <t>ENGINEERING WORK STUDY</t>
  </si>
  <si>
    <t>ELECTRICAL ENGINEERING TECHNOLOGY WITH MATLAB</t>
  </si>
  <si>
    <t>BASIC GEOLOGY</t>
  </si>
  <si>
    <t>VSLA/RMA/303/N2</t>
  </si>
  <si>
    <t>50/30/24/15</t>
  </si>
  <si>
    <t>LT/304/RMA/206</t>
  </si>
  <si>
    <t>30/25/24/18</t>
  </si>
  <si>
    <t>MACHINE DESIGN I</t>
  </si>
  <si>
    <t>Aveyire Joseph</t>
  </si>
  <si>
    <t>VSLA/304/RMB/N2</t>
  </si>
  <si>
    <t>50/25/24/6</t>
  </si>
  <si>
    <t>PB020/PB201/PB008/PB212</t>
  </si>
  <si>
    <t>45/45/30/9</t>
  </si>
  <si>
    <t>PB001/PB014/PB214/PB208</t>
  </si>
  <si>
    <t>45/45/45/19</t>
  </si>
  <si>
    <t>39/20</t>
  </si>
  <si>
    <t>MECHANICAL BEHAVIOUR OF MATERIALS</t>
  </si>
  <si>
    <t>LT/N1/RMB</t>
  </si>
  <si>
    <t>30/25/25</t>
  </si>
  <si>
    <t>PRINCIPLES OF PHOTOGRAMMETRY</t>
  </si>
  <si>
    <t>Ahorsu Harriet Atsufui</t>
  </si>
  <si>
    <t>45/45/30/14</t>
  </si>
  <si>
    <t>ENGINEERING PRACTICE AND TECHNOLOGY</t>
  </si>
  <si>
    <t>Amponsah Evans</t>
  </si>
  <si>
    <t>Kankam Charles Kwame</t>
  </si>
  <si>
    <t>CIRCUIT THEORY</t>
  </si>
  <si>
    <t>PB001/PB014/PB214/PB208/PB212</t>
  </si>
  <si>
    <t>45/45/45/38/9</t>
  </si>
  <si>
    <t>Adrah Charles Mawutor</t>
  </si>
  <si>
    <t>45/45/45/45/30/14</t>
  </si>
  <si>
    <t>DIGITAL INTEGRATED CIRCUITS</t>
  </si>
  <si>
    <t>PB020/PB201/PB008/PB208</t>
  </si>
  <si>
    <t>45/45/30/22</t>
  </si>
  <si>
    <t>ADVANCED MANUFACTURING TECHNOLOGY II</t>
  </si>
  <si>
    <t>PB214/PB212</t>
  </si>
  <si>
    <t>45/22</t>
  </si>
  <si>
    <t>Obeng Kwame</t>
  </si>
  <si>
    <t>NEB-SF/NEB-TF/NEB-FF1</t>
  </si>
  <si>
    <t>85/85/53</t>
  </si>
  <si>
    <t>METALWORKING PROCESSES</t>
  </si>
  <si>
    <t>304/RMA/N2</t>
  </si>
  <si>
    <t>25/24/15</t>
  </si>
  <si>
    <t>METAL FORMING PROCESSES</t>
  </si>
  <si>
    <t>GEOTECHNICAL ENGINEERING I</t>
  </si>
  <si>
    <t>Ayeh Felix Jojo Fianko</t>
  </si>
  <si>
    <t>Ampadu Samuel Innocent Kofi</t>
  </si>
  <si>
    <t>LT/303/RMA/206</t>
  </si>
  <si>
    <t>30/30/24/18</t>
  </si>
  <si>
    <t>IRRIGATION AND DRAINAGE</t>
  </si>
  <si>
    <t>Agodzo Sampson Kwaku</t>
  </si>
  <si>
    <t>VSLA/N1/RMB/N2</t>
  </si>
  <si>
    <t>45/25/24/9</t>
  </si>
  <si>
    <t>RESERVOIR ENGINEERING II</t>
  </si>
  <si>
    <t>30/25/27</t>
  </si>
  <si>
    <t>VSLA/LT/304/RMB/N2</t>
  </si>
  <si>
    <t>50/30/25/24/7</t>
  </si>
  <si>
    <t>MARINE MACHINERY SYSTEM DESIGN</t>
  </si>
  <si>
    <t>DISCRETE STRUCTURES</t>
  </si>
  <si>
    <t>BEHAVIOUR OF REAL FLUIDS</t>
  </si>
  <si>
    <t>Sunnu Albert Kojo</t>
  </si>
  <si>
    <t>FUNDAMENTALS OF ACQUATIC SKILLS</t>
  </si>
  <si>
    <t>Afrifa Daniel</t>
  </si>
  <si>
    <t>FLUID MECHANICS I</t>
  </si>
  <si>
    <t>LAND VEHICLE DESIGN</t>
  </si>
  <si>
    <t>DC MACHINES</t>
  </si>
  <si>
    <t>PROCESS PLANNING SYSTEMS</t>
  </si>
  <si>
    <t>MATERIALS CHARACTERIZATION TECHNIQUE</t>
  </si>
  <si>
    <t>MICROPROCESSORS</t>
  </si>
  <si>
    <t>Keelson Eliel</t>
  </si>
  <si>
    <t>MASS TRANSFER PROCESSES</t>
  </si>
  <si>
    <t>BIOLOGICAL TRANSPORT PHENOMENA</t>
  </si>
  <si>
    <t>SOIL MECHANICS</t>
  </si>
  <si>
    <t>Charkley Frederick Nai</t>
  </si>
  <si>
    <t>Amenuvor Andrew Cudzo</t>
  </si>
  <si>
    <t>SURVIVAL SWIMMING TECHNIQUES</t>
  </si>
  <si>
    <t>Gyamfi Isaac</t>
  </si>
  <si>
    <t>CATALYSIS</t>
  </si>
  <si>
    <t>MACHINE ELEMENTS DESIGN I</t>
  </si>
  <si>
    <t>Davis Francis</t>
  </si>
  <si>
    <t>STEREO PHOTOGRAMMETRY</t>
  </si>
  <si>
    <t>Tay Godwin Fabiola Kwaku</t>
  </si>
  <si>
    <t>ENGINEERING THERMODYNAMICS</t>
  </si>
  <si>
    <t>AUTOMATIC POWER TRAIN</t>
  </si>
  <si>
    <t>ENG ECONOMY AND ENTERPRENEURSHIP DEVELOPMENT</t>
  </si>
  <si>
    <t>Appiah-Effah Eugene</t>
  </si>
  <si>
    <t>ENGINEERING ECONOMY AND ENTERPRENEURSHIP</t>
  </si>
  <si>
    <t>FINITE ELEMENT METHODS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</si>
</sst>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* #,##0.00_-;\-* #,##0.00_-;_-* &quot;-&quot;??_-;_-@_-"/>
    <numFmt numFmtId="165" formatCode="0.0"/>
  </numFmts>
  <fonts count="7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1"/>
      <color rgb="FF000000"/>
      <name val="Calibri"/>
      <family val="2"/>
      <scheme val="minor"/>
    </font>
    <font>
      <sz val="11"/>
      <name val="Calibri"/>
      <family val="2"/>
    </font>
    <font>
      <b/>
      <sz val="10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8"/>
      <name val="Calibri"/>
      <family val="2"/>
      <scheme val="minor"/>
    </font>
    <font>
      <sz val="9"/>
      <color rgb="FF000000"/>
      <name val="Tahoma"/>
      <family val="2"/>
    </font>
    <font>
      <i/>
      <sz val="12"/>
      <color rgb="FF000000"/>
      <name val="Times New Roman"/>
      <family val="1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1"/>
      <color rgb="FF222222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name val="Calibri"/>
      <family val="2"/>
    </font>
    <font>
      <sz val="11"/>
      <color theme="1" tint="4.9989318521683403E-2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 tint="4.9989318521683403E-2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64"/>
      <name val="Calibri"/>
      <family val="2"/>
      <scheme val="minor"/>
    </font>
    <font>
      <sz val="10"/>
      <name val="Times New Roman"/>
      <family val="1"/>
    </font>
    <font>
      <sz val="11"/>
      <color rgb="FF9C6500"/>
      <name val="Calibri"/>
      <family val="2"/>
      <scheme val="minor"/>
    </font>
    <font>
      <sz val="11"/>
      <name val="Calibri"/>
      <family val="2"/>
      <scheme val="minor"/>
    </font>
    <font>
      <b/>
      <sz val="9"/>
      <color theme="1"/>
      <name val="Times New Roman"/>
      <family val="1"/>
    </font>
    <font>
      <b/>
      <sz val="18"/>
      <color rgb="FFFF0000"/>
      <name val="Times New Roman"/>
      <family val="1"/>
    </font>
    <font>
      <sz val="12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8"/>
      <color theme="1"/>
      <name val="Times New Roman"/>
      <family val="1"/>
    </font>
    <font>
      <sz val="18"/>
      <color theme="1"/>
      <name val="Calibri"/>
      <family val="2"/>
      <scheme val="minor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rgb="FF3F3F3F"/>
      <name val="Calibri"/>
      <family val="2"/>
      <scheme val="minor"/>
    </font>
    <font>
      <b/>
      <sz val="20"/>
      <name val="Times New Roman"/>
      <family val="1"/>
    </font>
    <font>
      <b/>
      <sz val="16"/>
      <name val="Times New Roman"/>
      <family val="1"/>
    </font>
    <font>
      <sz val="18"/>
      <name val="Times New Roman"/>
      <family val="1"/>
    </font>
    <font>
      <b/>
      <sz val="18"/>
      <name val="Times New Roman"/>
      <family val="1"/>
    </font>
    <font>
      <b/>
      <sz val="14"/>
      <name val="Times New Roman"/>
      <family val="1"/>
    </font>
    <font>
      <b/>
      <sz val="16"/>
      <color theme="1"/>
      <name val="Times New Roman"/>
      <family val="1"/>
    </font>
    <font>
      <b/>
      <sz val="20"/>
      <color theme="1"/>
      <name val="Times New Roman"/>
      <family val="1"/>
    </font>
    <font>
      <b/>
      <sz val="12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1"/>
      <color rgb="FF3F3F3F"/>
      <name val="Times New Roman"/>
      <family val="1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Times New Roman"/>
      <family val="1"/>
    </font>
    <font>
      <sz val="11"/>
      <color rgb="FF000000"/>
      <name val="Times New Roman"/>
      <family val="1"/>
    </font>
    <font>
      <sz val="11"/>
      <name val="Times"/>
      <family val="1"/>
    </font>
    <font>
      <sz val="11"/>
      <color theme="1"/>
      <name val="Times"/>
      <family val="1"/>
    </font>
    <font>
      <b/>
      <sz val="12"/>
      <color theme="1"/>
      <name val="Times"/>
      <family val="1"/>
    </font>
    <font>
      <sz val="10"/>
      <name val="Calibri"/>
      <family val="2"/>
      <scheme val="minor"/>
    </font>
    <font>
      <sz val="24"/>
      <color theme="1"/>
      <name val="Times New Roman"/>
      <family val="1"/>
    </font>
    <font>
      <sz val="26"/>
      <name val="Times New Roman"/>
      <family val="1"/>
    </font>
    <font>
      <b/>
      <sz val="24"/>
      <color theme="1"/>
      <name val="Times New Roman"/>
      <family val="1"/>
    </font>
    <font>
      <sz val="10"/>
      <name val="Times New Roman"/>
      <family val="1"/>
      <charset val="1"/>
    </font>
    <font>
      <sz val="16"/>
      <name val="Times"/>
      <family val="1"/>
    </font>
    <font>
      <b/>
      <sz val="16"/>
      <name val="Times"/>
      <family val="1"/>
    </font>
    <font>
      <sz val="11"/>
      <color rgb="FFFF0000"/>
      <name val="Calibri"/>
      <family val="2"/>
      <scheme val="minor"/>
    </font>
    <font>
      <sz val="12"/>
      <color rgb="FFFF0000"/>
      <name val="Times New Roman"/>
      <family val="1"/>
    </font>
    <font>
      <sz val="18"/>
      <color rgb="FFFF0000"/>
      <name val="Times New Roman"/>
      <family val="1"/>
    </font>
    <font>
      <sz val="18"/>
      <color rgb="FFFF0000"/>
      <name val="Calibri"/>
      <family val="2"/>
      <scheme val="minor"/>
    </font>
    <font>
      <sz val="16"/>
      <color theme="1"/>
      <name val="Times"/>
      <family val="1"/>
    </font>
    <font>
      <b/>
      <sz val="16"/>
      <color theme="1"/>
      <name val="Times"/>
      <family val="1"/>
    </font>
  </fonts>
  <fills count="2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F2F2F2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B9C"/>
      </patternFill>
    </fill>
    <fill>
      <patternFill patternType="solid">
        <fgColor rgb="FFFF66CC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4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0" fontId="7" fillId="0" borderId="11" applyNumberFormat="0" applyFill="0" applyAlignment="0" applyProtection="0"/>
    <xf numFmtId="0" fontId="27" fillId="11" borderId="0" applyNumberFormat="0" applyBorder="0" applyAlignment="0" applyProtection="0"/>
    <xf numFmtId="0" fontId="28" fillId="0" borderId="0"/>
    <xf numFmtId="0" fontId="29" fillId="0" borderId="0"/>
    <xf numFmtId="0" fontId="30" fillId="0" borderId="11" applyNumberFormat="0" applyFill="0" applyProtection="0"/>
    <xf numFmtId="0" fontId="31" fillId="12" borderId="0" applyNumberFormat="0" applyBorder="0"/>
    <xf numFmtId="0" fontId="32" fillId="0" borderId="0"/>
    <xf numFmtId="0" fontId="41" fillId="13" borderId="11" applyNumberFormat="0" applyAlignment="0" applyProtection="0"/>
    <xf numFmtId="0" fontId="51" fillId="13" borderId="11" applyNumberFormat="0" applyFill="0" applyAlignment="0" applyProtection="0"/>
    <xf numFmtId="164" fontId="26" fillId="0" borderId="0" applyFont="0" applyFill="0" applyBorder="0" applyAlignment="0" applyProtection="0"/>
    <xf numFmtId="0" fontId="52" fillId="16" borderId="0" applyNumberFormat="0" applyBorder="0" applyAlignment="0" applyProtection="0"/>
    <xf numFmtId="43" fontId="26" fillId="0" borderId="0" applyFont="0" applyFill="0" applyBorder="0" applyAlignment="0" applyProtection="0"/>
    <xf numFmtId="0" fontId="63" fillId="0" borderId="11" applyProtection="0"/>
  </cellStyleXfs>
  <cellXfs count="438">
    <xf numFmtId="0" fontId="0" fillId="0" borderId="0" xfId="0"/>
    <xf numFmtId="0" fontId="5" fillId="0" borderId="1" xfId="0" applyFont="1" applyBorder="1"/>
    <xf numFmtId="0" fontId="5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18" fillId="2" borderId="0" xfId="0" applyFont="1" applyFill="1"/>
    <xf numFmtId="0" fontId="15" fillId="2" borderId="0" xfId="0" applyFont="1" applyFill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1" xfId="0" applyBorder="1"/>
    <xf numFmtId="0" fontId="0" fillId="7" borderId="1" xfId="0" applyFill="1" applyBorder="1"/>
    <xf numFmtId="0" fontId="19" fillId="8" borderId="1" xfId="0" applyFont="1" applyFill="1" applyBorder="1"/>
    <xf numFmtId="0" fontId="19" fillId="0" borderId="1" xfId="0" applyFont="1" applyBorder="1"/>
    <xf numFmtId="0" fontId="5" fillId="9" borderId="1" xfId="0" applyFont="1" applyFill="1" applyBorder="1"/>
    <xf numFmtId="0" fontId="19" fillId="4" borderId="0" xfId="0" applyFont="1" applyFill="1"/>
    <xf numFmtId="0" fontId="19" fillId="9" borderId="1" xfId="0" applyFont="1" applyFill="1" applyBorder="1"/>
    <xf numFmtId="0" fontId="19" fillId="4" borderId="1" xfId="0" applyFont="1" applyFill="1" applyBorder="1"/>
    <xf numFmtId="0" fontId="0" fillId="4" borderId="0" xfId="0" applyFill="1" applyAlignment="1">
      <alignment horizontal="center"/>
    </xf>
    <xf numFmtId="0" fontId="0" fillId="4" borderId="1" xfId="0" applyFill="1" applyBorder="1" applyAlignment="1">
      <alignment horizontal="center"/>
    </xf>
    <xf numFmtId="0" fontId="17" fillId="0" borderId="1" xfId="0" applyFont="1" applyBorder="1" applyAlignment="1">
      <alignment horizontal="center" vertical="top"/>
    </xf>
    <xf numFmtId="0" fontId="18" fillId="0" borderId="0" xfId="0" applyFont="1"/>
    <xf numFmtId="0" fontId="19" fillId="2" borderId="1" xfId="0" applyFont="1" applyFill="1" applyBorder="1"/>
    <xf numFmtId="0" fontId="0" fillId="2" borderId="1" xfId="0" applyFill="1" applyBorder="1"/>
    <xf numFmtId="0" fontId="12" fillId="0" borderId="0" xfId="0" applyFont="1"/>
    <xf numFmtId="0" fontId="23" fillId="0" borderId="1" xfId="0" applyFont="1" applyBorder="1" applyAlignment="1">
      <alignment horizontal="center"/>
    </xf>
    <xf numFmtId="0" fontId="23" fillId="0" borderId="1" xfId="0" applyFont="1" applyBorder="1"/>
    <xf numFmtId="0" fontId="25" fillId="0" borderId="1" xfId="0" applyFont="1" applyBorder="1"/>
    <xf numFmtId="0" fontId="28" fillId="0" borderId="0" xfId="4"/>
    <xf numFmtId="1" fontId="12" fillId="0" borderId="0" xfId="0" applyNumberFormat="1" applyFont="1"/>
    <xf numFmtId="0" fontId="19" fillId="0" borderId="0" xfId="0" applyFont="1"/>
    <xf numFmtId="0" fontId="34" fillId="0" borderId="1" xfId="0" applyFont="1" applyBorder="1"/>
    <xf numFmtId="0" fontId="35" fillId="0" borderId="0" xfId="0" applyFont="1"/>
    <xf numFmtId="0" fontId="36" fillId="0" borderId="12" xfId="0" applyFont="1" applyBorder="1" applyAlignment="1">
      <alignment vertical="center"/>
    </xf>
    <xf numFmtId="0" fontId="36" fillId="0" borderId="17" xfId="0" applyFont="1" applyBorder="1" applyAlignment="1">
      <alignment vertical="center"/>
    </xf>
    <xf numFmtId="0" fontId="34" fillId="0" borderId="19" xfId="0" applyFont="1" applyBorder="1"/>
    <xf numFmtId="0" fontId="34" fillId="0" borderId="23" xfId="0" applyFont="1" applyBorder="1"/>
    <xf numFmtId="0" fontId="12" fillId="0" borderId="1" xfId="0" applyFont="1" applyBorder="1"/>
    <xf numFmtId="0" fontId="36" fillId="0" borderId="1" xfId="0" applyFont="1" applyBorder="1"/>
    <xf numFmtId="0" fontId="36" fillId="0" borderId="13" xfId="0" applyFont="1" applyBorder="1" applyAlignment="1">
      <alignment vertical="center"/>
    </xf>
    <xf numFmtId="0" fontId="36" fillId="0" borderId="1" xfId="0" applyFont="1" applyBorder="1" applyAlignment="1">
      <alignment vertical="center"/>
    </xf>
    <xf numFmtId="0" fontId="34" fillId="0" borderId="27" xfId="0" applyFont="1" applyBorder="1"/>
    <xf numFmtId="0" fontId="34" fillId="0" borderId="28" xfId="0" applyFont="1" applyBorder="1"/>
    <xf numFmtId="0" fontId="36" fillId="0" borderId="15" xfId="0" applyFont="1" applyBorder="1" applyAlignment="1">
      <alignment vertical="center"/>
    </xf>
    <xf numFmtId="0" fontId="36" fillId="0" borderId="29" xfId="0" applyFont="1" applyBorder="1" applyAlignment="1">
      <alignment vertical="center"/>
    </xf>
    <xf numFmtId="1" fontId="37" fillId="0" borderId="8" xfId="0" applyNumberFormat="1" applyFont="1" applyBorder="1"/>
    <xf numFmtId="0" fontId="37" fillId="0" borderId="3" xfId="0" applyFont="1" applyBorder="1"/>
    <xf numFmtId="0" fontId="36" fillId="0" borderId="3" xfId="0" applyFont="1" applyBorder="1"/>
    <xf numFmtId="0" fontId="12" fillId="0" borderId="1" xfId="0" applyFont="1" applyBorder="1" applyAlignment="1">
      <alignment horizontal="center"/>
    </xf>
    <xf numFmtId="0" fontId="38" fillId="0" borderId="0" xfId="0" applyFont="1"/>
    <xf numFmtId="0" fontId="37" fillId="0" borderId="0" xfId="0" applyFont="1"/>
    <xf numFmtId="165" fontId="37" fillId="0" borderId="32" xfId="0" applyNumberFormat="1" applyFont="1" applyBorder="1"/>
    <xf numFmtId="1" fontId="36" fillId="0" borderId="33" xfId="0" applyNumberFormat="1" applyFont="1" applyBorder="1"/>
    <xf numFmtId="1" fontId="37" fillId="0" borderId="5" xfId="0" applyNumberFormat="1" applyFont="1" applyBorder="1"/>
    <xf numFmtId="0" fontId="37" fillId="0" borderId="1" xfId="0" applyFont="1" applyBorder="1"/>
    <xf numFmtId="0" fontId="24" fillId="0" borderId="0" xfId="0" applyFont="1"/>
    <xf numFmtId="0" fontId="39" fillId="14" borderId="1" xfId="0" applyFont="1" applyFill="1" applyBorder="1" applyAlignment="1">
      <alignment horizontal="center"/>
    </xf>
    <xf numFmtId="0" fontId="40" fillId="14" borderId="1" xfId="0" applyFont="1" applyFill="1" applyBorder="1"/>
    <xf numFmtId="0" fontId="39" fillId="14" borderId="1" xfId="0" applyFont="1" applyFill="1" applyBorder="1"/>
    <xf numFmtId="165" fontId="37" fillId="0" borderId="34" xfId="0" applyNumberFormat="1" applyFont="1" applyBorder="1"/>
    <xf numFmtId="1" fontId="37" fillId="0" borderId="35" xfId="0" applyNumberFormat="1" applyFont="1" applyBorder="1"/>
    <xf numFmtId="1" fontId="37" fillId="0" borderId="36" xfId="0" applyNumberFormat="1" applyFont="1" applyBorder="1"/>
    <xf numFmtId="0" fontId="37" fillId="0" borderId="6" xfId="0" applyFont="1" applyBorder="1"/>
    <xf numFmtId="0" fontId="12" fillId="4" borderId="0" xfId="0" applyFont="1" applyFill="1"/>
    <xf numFmtId="0" fontId="41" fillId="13" borderId="11" xfId="9"/>
    <xf numFmtId="0" fontId="42" fillId="14" borderId="1" xfId="0" applyFont="1" applyFill="1" applyBorder="1" applyAlignment="1">
      <alignment horizontal="left"/>
    </xf>
    <xf numFmtId="0" fontId="43" fillId="14" borderId="4" xfId="0" applyFont="1" applyFill="1" applyBorder="1"/>
    <xf numFmtId="0" fontId="35" fillId="4" borderId="1" xfId="0" applyFont="1" applyFill="1" applyBorder="1"/>
    <xf numFmtId="0" fontId="38" fillId="4" borderId="1" xfId="0" applyFont="1" applyFill="1" applyBorder="1"/>
    <xf numFmtId="0" fontId="38" fillId="0" borderId="1" xfId="0" applyFont="1" applyBorder="1"/>
    <xf numFmtId="0" fontId="44" fillId="0" borderId="1" xfId="0" applyFont="1" applyBorder="1"/>
    <xf numFmtId="165" fontId="37" fillId="0" borderId="1" xfId="0" applyNumberFormat="1" applyFont="1" applyBorder="1"/>
    <xf numFmtId="1" fontId="45" fillId="14" borderId="1" xfId="0" applyNumberFormat="1" applyFont="1" applyFill="1" applyBorder="1"/>
    <xf numFmtId="0" fontId="45" fillId="14" borderId="1" xfId="0" applyFont="1" applyFill="1" applyBorder="1" applyAlignment="1">
      <alignment horizontal="center"/>
    </xf>
    <xf numFmtId="0" fontId="45" fillId="14" borderId="1" xfId="0" applyFont="1" applyFill="1" applyBorder="1"/>
    <xf numFmtId="0" fontId="46" fillId="14" borderId="1" xfId="0" applyFont="1" applyFill="1" applyBorder="1"/>
    <xf numFmtId="0" fontId="45" fillId="14" borderId="4" xfId="0" applyFont="1" applyFill="1" applyBorder="1"/>
    <xf numFmtId="0" fontId="44" fillId="10" borderId="1" xfId="0" applyFont="1" applyFill="1" applyBorder="1"/>
    <xf numFmtId="0" fontId="13" fillId="0" borderId="0" xfId="0" applyFont="1"/>
    <xf numFmtId="165" fontId="41" fillId="13" borderId="11" xfId="9" applyNumberFormat="1"/>
    <xf numFmtId="1" fontId="36" fillId="0" borderId="6" xfId="0" applyNumberFormat="1" applyFont="1" applyBorder="1"/>
    <xf numFmtId="0" fontId="13" fillId="0" borderId="1" xfId="0" applyFont="1" applyBorder="1" applyAlignment="1">
      <alignment horizontal="center"/>
    </xf>
    <xf numFmtId="0" fontId="47" fillId="0" borderId="4" xfId="0" applyFont="1" applyBorder="1"/>
    <xf numFmtId="1" fontId="37" fillId="0" borderId="1" xfId="0" applyNumberFormat="1" applyFont="1" applyBorder="1"/>
    <xf numFmtId="0" fontId="13" fillId="0" borderId="1" xfId="0" applyFont="1" applyBorder="1"/>
    <xf numFmtId="0" fontId="47" fillId="8" borderId="4" xfId="0" applyFont="1" applyFill="1" applyBorder="1"/>
    <xf numFmtId="0" fontId="35" fillId="0" borderId="1" xfId="0" applyFont="1" applyBorder="1"/>
    <xf numFmtId="0" fontId="37" fillId="0" borderId="1" xfId="0" applyFont="1" applyBorder="1" applyAlignment="1">
      <alignment horizontal="center"/>
    </xf>
    <xf numFmtId="0" fontId="37" fillId="8" borderId="1" xfId="0" applyFont="1" applyFill="1" applyBorder="1"/>
    <xf numFmtId="0" fontId="47" fillId="14" borderId="4" xfId="0" applyFont="1" applyFill="1" applyBorder="1"/>
    <xf numFmtId="0" fontId="37" fillId="14" borderId="1" xfId="0" applyFont="1" applyFill="1" applyBorder="1"/>
    <xf numFmtId="0" fontId="47" fillId="15" borderId="4" xfId="0" applyFont="1" applyFill="1" applyBorder="1"/>
    <xf numFmtId="0" fontId="37" fillId="15" borderId="1" xfId="0" applyFont="1" applyFill="1" applyBorder="1"/>
    <xf numFmtId="0" fontId="47" fillId="0" borderId="4" xfId="0" applyFont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13" fillId="0" borderId="0" xfId="0" applyFont="1" applyAlignment="1">
      <alignment horizontal="left"/>
    </xf>
    <xf numFmtId="0" fontId="2" fillId="0" borderId="1" xfId="0" applyFont="1" applyBorder="1"/>
    <xf numFmtId="0" fontId="33" fillId="0" borderId="37" xfId="0" applyFont="1" applyBorder="1"/>
    <xf numFmtId="0" fontId="48" fillId="0" borderId="1" xfId="0" applyFont="1" applyBorder="1"/>
    <xf numFmtId="0" fontId="48" fillId="0" borderId="4" xfId="0" applyFont="1" applyBorder="1"/>
    <xf numFmtId="1" fontId="23" fillId="0" borderId="1" xfId="0" applyNumberFormat="1" applyFont="1" applyBorder="1"/>
    <xf numFmtId="0" fontId="50" fillId="0" borderId="0" xfId="0" applyFont="1"/>
    <xf numFmtId="0" fontId="35" fillId="0" borderId="6" xfId="0" applyFont="1" applyBorder="1"/>
    <xf numFmtId="0" fontId="23" fillId="0" borderId="6" xfId="0" applyFont="1" applyBorder="1"/>
    <xf numFmtId="1" fontId="23" fillId="0" borderId="6" xfId="0" applyNumberFormat="1" applyFont="1" applyBorder="1"/>
    <xf numFmtId="0" fontId="23" fillId="0" borderId="39" xfId="0" applyFont="1" applyBorder="1"/>
    <xf numFmtId="1" fontId="13" fillId="0" borderId="0" xfId="0" applyNumberFormat="1" applyFont="1"/>
    <xf numFmtId="0" fontId="36" fillId="0" borderId="1" xfId="0" applyFont="1" applyBorder="1" applyAlignment="1">
      <alignment horizontal="center"/>
    </xf>
    <xf numFmtId="0" fontId="51" fillId="0" borderId="11" xfId="10" applyFill="1"/>
    <xf numFmtId="0" fontId="12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25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 vertical="center"/>
    </xf>
    <xf numFmtId="0" fontId="54" fillId="0" borderId="1" xfId="0" applyFont="1" applyBorder="1" applyAlignment="1">
      <alignment horizontal="left"/>
    </xf>
    <xf numFmtId="0" fontId="13" fillId="0" borderId="1" xfId="0" applyFont="1" applyBorder="1" applyAlignment="1">
      <alignment horizontal="left"/>
    </xf>
    <xf numFmtId="0" fontId="25" fillId="4" borderId="0" xfId="0" applyFont="1" applyFill="1" applyAlignment="1">
      <alignment horizontal="left"/>
    </xf>
    <xf numFmtId="0" fontId="25" fillId="4" borderId="1" xfId="0" applyFont="1" applyFill="1" applyBorder="1" applyAlignment="1">
      <alignment horizontal="left"/>
    </xf>
    <xf numFmtId="0" fontId="6" fillId="4" borderId="1" xfId="0" applyFont="1" applyFill="1" applyBorder="1" applyAlignment="1">
      <alignment horizontal="left"/>
    </xf>
    <xf numFmtId="0" fontId="55" fillId="0" borderId="1" xfId="1" applyFont="1" applyBorder="1"/>
    <xf numFmtId="0" fontId="12" fillId="4" borderId="0" xfId="0" applyFont="1" applyFill="1" applyAlignment="1">
      <alignment horizontal="left"/>
    </xf>
    <xf numFmtId="0" fontId="1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13" fillId="0" borderId="7" xfId="0" applyFont="1" applyBorder="1" applyAlignment="1">
      <alignment horizontal="left"/>
    </xf>
    <xf numFmtId="0" fontId="55" fillId="17" borderId="1" xfId="1" applyFont="1" applyFill="1" applyBorder="1"/>
    <xf numFmtId="0" fontId="55" fillId="10" borderId="1" xfId="1" applyFont="1" applyFill="1" applyBorder="1"/>
    <xf numFmtId="0" fontId="15" fillId="0" borderId="0" xfId="0" applyFont="1"/>
    <xf numFmtId="165" fontId="15" fillId="0" borderId="0" xfId="0" applyNumberFormat="1" applyFont="1"/>
    <xf numFmtId="1" fontId="15" fillId="0" borderId="0" xfId="0" applyNumberFormat="1" applyFont="1" applyAlignment="1">
      <alignment horizontal="left" indent="1"/>
    </xf>
    <xf numFmtId="1" fontId="15" fillId="0" borderId="0" xfId="0" applyNumberFormat="1" applyFont="1"/>
    <xf numFmtId="0" fontId="15" fillId="0" borderId="1" xfId="0" applyFont="1" applyBorder="1"/>
    <xf numFmtId="1" fontId="15" fillId="0" borderId="1" xfId="0" applyNumberFormat="1" applyFont="1" applyBorder="1"/>
    <xf numFmtId="0" fontId="15" fillId="0" borderId="5" xfId="0" applyFont="1" applyBorder="1"/>
    <xf numFmtId="43" fontId="15" fillId="0" borderId="0" xfId="13" applyFont="1" applyFill="1"/>
    <xf numFmtId="0" fontId="0" fillId="0" borderId="5" xfId="0" applyBorder="1"/>
    <xf numFmtId="43" fontId="53" fillId="0" borderId="0" xfId="13" applyFont="1" applyFill="1" applyBorder="1"/>
    <xf numFmtId="43" fontId="15" fillId="0" borderId="0" xfId="13" applyFont="1" applyFill="1" applyBorder="1"/>
    <xf numFmtId="165" fontId="15" fillId="0" borderId="0" xfId="13" applyNumberFormat="1" applyFont="1" applyFill="1" applyBorder="1"/>
    <xf numFmtId="43" fontId="15" fillId="0" borderId="1" xfId="13" applyFont="1" applyFill="1" applyBorder="1"/>
    <xf numFmtId="2" fontId="15" fillId="0" borderId="1" xfId="0" applyNumberFormat="1" applyFont="1" applyBorder="1"/>
    <xf numFmtId="165" fontId="15" fillId="0" borderId="1" xfId="0" applyNumberFormat="1" applyFont="1" applyBorder="1"/>
    <xf numFmtId="43" fontId="53" fillId="0" borderId="1" xfId="13" applyFont="1" applyFill="1" applyBorder="1"/>
    <xf numFmtId="43" fontId="53" fillId="0" borderId="4" xfId="13" applyFont="1" applyFill="1" applyBorder="1"/>
    <xf numFmtId="1" fontId="0" fillId="0" borderId="0" xfId="0" applyNumberFormat="1"/>
    <xf numFmtId="1" fontId="0" fillId="0" borderId="1" xfId="0" applyNumberFormat="1" applyBorder="1"/>
    <xf numFmtId="165" fontId="0" fillId="0" borderId="0" xfId="0" applyNumberFormat="1"/>
    <xf numFmtId="1" fontId="0" fillId="0" borderId="0" xfId="0" applyNumberFormat="1" applyAlignment="1">
      <alignment horizontal="left" indent="1"/>
    </xf>
    <xf numFmtId="0" fontId="56" fillId="0" borderId="0" xfId="0" applyFont="1"/>
    <xf numFmtId="0" fontId="57" fillId="0" borderId="0" xfId="0" applyFont="1"/>
    <xf numFmtId="0" fontId="56" fillId="0" borderId="1" xfId="0" applyFont="1" applyBorder="1"/>
    <xf numFmtId="2" fontId="56" fillId="0" borderId="1" xfId="0" applyNumberFormat="1" applyFont="1" applyBorder="1"/>
    <xf numFmtId="165" fontId="56" fillId="0" borderId="1" xfId="0" applyNumberFormat="1" applyFont="1" applyBorder="1"/>
    <xf numFmtId="0" fontId="57" fillId="0" borderId="1" xfId="0" applyFont="1" applyBorder="1"/>
    <xf numFmtId="43" fontId="58" fillId="0" borderId="1" xfId="13" applyFont="1" applyFill="1" applyBorder="1"/>
    <xf numFmtId="43" fontId="58" fillId="0" borderId="1" xfId="13" applyFont="1" applyFill="1" applyBorder="1" applyAlignment="1">
      <alignment horizontal="left" indent="1"/>
    </xf>
    <xf numFmtId="43" fontId="58" fillId="0" borderId="4" xfId="13" applyFont="1" applyFill="1" applyBorder="1"/>
    <xf numFmtId="1" fontId="57" fillId="0" borderId="1" xfId="0" applyNumberFormat="1" applyFont="1" applyBorder="1"/>
    <xf numFmtId="0" fontId="57" fillId="0" borderId="5" xfId="0" applyFont="1" applyBorder="1"/>
    <xf numFmtId="0" fontId="15" fillId="0" borderId="6" xfId="0" applyFont="1" applyBorder="1"/>
    <xf numFmtId="2" fontId="15" fillId="0" borderId="6" xfId="0" applyNumberFormat="1" applyFont="1" applyBorder="1"/>
    <xf numFmtId="165" fontId="15" fillId="0" borderId="6" xfId="0" applyNumberFormat="1" applyFont="1" applyBorder="1"/>
    <xf numFmtId="0" fontId="0" fillId="0" borderId="6" xfId="0" applyBorder="1"/>
    <xf numFmtId="165" fontId="0" fillId="0" borderId="6" xfId="0" applyNumberFormat="1" applyBorder="1"/>
    <xf numFmtId="1" fontId="0" fillId="0" borderId="7" xfId="0" applyNumberFormat="1" applyBorder="1" applyAlignment="1">
      <alignment horizontal="left" indent="1"/>
    </xf>
    <xf numFmtId="1" fontId="0" fillId="0" borderId="39" xfId="0" applyNumberFormat="1" applyBorder="1"/>
    <xf numFmtId="0" fontId="0" fillId="0" borderId="41" xfId="0" applyBorder="1"/>
    <xf numFmtId="0" fontId="0" fillId="0" borderId="39" xfId="0" applyBorder="1"/>
    <xf numFmtId="1" fontId="0" fillId="0" borderId="6" xfId="0" applyNumberFormat="1" applyBorder="1"/>
    <xf numFmtId="0" fontId="0" fillId="0" borderId="36" xfId="0" applyBorder="1"/>
    <xf numFmtId="0" fontId="8" fillId="0" borderId="1" xfId="0" applyFont="1" applyBorder="1" applyAlignment="1">
      <alignment horizontal="center" vertical="center" wrapText="1"/>
    </xf>
    <xf numFmtId="0" fontId="15" fillId="10" borderId="1" xfId="0" applyFont="1" applyFill="1" applyBorder="1"/>
    <xf numFmtId="0" fontId="0" fillId="10" borderId="1" xfId="0" applyFill="1" applyBorder="1"/>
    <xf numFmtId="165" fontId="15" fillId="10" borderId="1" xfId="0" applyNumberFormat="1" applyFont="1" applyFill="1" applyBorder="1"/>
    <xf numFmtId="2" fontId="15" fillId="10" borderId="1" xfId="0" applyNumberFormat="1" applyFont="1" applyFill="1" applyBorder="1"/>
    <xf numFmtId="1" fontId="15" fillId="10" borderId="1" xfId="0" applyNumberFormat="1" applyFont="1" applyFill="1" applyBorder="1"/>
    <xf numFmtId="0" fontId="15" fillId="2" borderId="1" xfId="0" applyFont="1" applyFill="1" applyBorder="1"/>
    <xf numFmtId="165" fontId="15" fillId="2" borderId="1" xfId="0" applyNumberFormat="1" applyFont="1" applyFill="1" applyBorder="1"/>
    <xf numFmtId="2" fontId="15" fillId="2" borderId="1" xfId="0" applyNumberFormat="1" applyFont="1" applyFill="1" applyBorder="1"/>
    <xf numFmtId="1" fontId="15" fillId="2" borderId="1" xfId="0" applyNumberFormat="1" applyFont="1" applyFill="1" applyBorder="1"/>
    <xf numFmtId="164" fontId="53" fillId="0" borderId="6" xfId="11" applyFont="1" applyFill="1" applyBorder="1"/>
    <xf numFmtId="0" fontId="15" fillId="0" borderId="0" xfId="0" quotePrefix="1" applyFont="1"/>
    <xf numFmtId="1" fontId="16" fillId="0" borderId="1" xfId="0" applyNumberFormat="1" applyFont="1" applyBorder="1"/>
    <xf numFmtId="0" fontId="15" fillId="0" borderId="1" xfId="0" quotePrefix="1" applyFont="1" applyBorder="1"/>
    <xf numFmtId="1" fontId="0" fillId="10" borderId="1" xfId="0" applyNumberFormat="1" applyFill="1" applyBorder="1"/>
    <xf numFmtId="0" fontId="15" fillId="3" borderId="1" xfId="0" applyFont="1" applyFill="1" applyBorder="1"/>
    <xf numFmtId="0" fontId="0" fillId="3" borderId="1" xfId="0" applyFill="1" applyBorder="1"/>
    <xf numFmtId="165" fontId="15" fillId="3" borderId="1" xfId="0" applyNumberFormat="1" applyFont="1" applyFill="1" applyBorder="1"/>
    <xf numFmtId="2" fontId="15" fillId="3" borderId="1" xfId="0" applyNumberFormat="1" applyFont="1" applyFill="1" applyBorder="1"/>
    <xf numFmtId="0" fontId="15" fillId="3" borderId="0" xfId="0" applyFont="1" applyFill="1"/>
    <xf numFmtId="0" fontId="1" fillId="2" borderId="1" xfId="0" applyFont="1" applyFill="1" applyBorder="1"/>
    <xf numFmtId="0" fontId="59" fillId="2" borderId="1" xfId="0" applyFont="1" applyFill="1" applyBorder="1"/>
    <xf numFmtId="0" fontId="3" fillId="2" borderId="36" xfId="0" applyFont="1" applyFill="1" applyBorder="1" applyAlignment="1">
      <alignment vertical="center"/>
    </xf>
    <xf numFmtId="0" fontId="15" fillId="2" borderId="36" xfId="0" applyFont="1" applyFill="1" applyBorder="1"/>
    <xf numFmtId="165" fontId="0" fillId="2" borderId="39" xfId="0" applyNumberFormat="1" applyFill="1" applyBorder="1" applyAlignment="1">
      <alignment horizontal="right"/>
    </xf>
    <xf numFmtId="0" fontId="0" fillId="2" borderId="6" xfId="0" applyFill="1" applyBorder="1"/>
    <xf numFmtId="165" fontId="15" fillId="2" borderId="6" xfId="0" applyNumberFormat="1" applyFont="1" applyFill="1" applyBorder="1"/>
    <xf numFmtId="165" fontId="0" fillId="2" borderId="1" xfId="0" applyNumberFormat="1" applyFill="1" applyBorder="1"/>
    <xf numFmtId="0" fontId="15" fillId="10" borderId="6" xfId="0" applyFont="1" applyFill="1" applyBorder="1"/>
    <xf numFmtId="0" fontId="0" fillId="10" borderId="6" xfId="0" applyFill="1" applyBorder="1"/>
    <xf numFmtId="165" fontId="15" fillId="10" borderId="6" xfId="0" applyNumberFormat="1" applyFont="1" applyFill="1" applyBorder="1"/>
    <xf numFmtId="2" fontId="15" fillId="10" borderId="6" xfId="0" applyNumberFormat="1" applyFont="1" applyFill="1" applyBorder="1"/>
    <xf numFmtId="0" fontId="0" fillId="10" borderId="0" xfId="0" applyFill="1"/>
    <xf numFmtId="0" fontId="15" fillId="10" borderId="0" xfId="0" applyFont="1" applyFill="1"/>
    <xf numFmtId="0" fontId="15" fillId="2" borderId="6" xfId="0" applyFont="1" applyFill="1" applyBorder="1"/>
    <xf numFmtId="0" fontId="0" fillId="2" borderId="6" xfId="0" applyFill="1" applyBorder="1" applyAlignment="1">
      <alignment horizontal="right"/>
    </xf>
    <xf numFmtId="0" fontId="0" fillId="2" borderId="41" xfId="0" applyFill="1" applyBorder="1" applyAlignment="1">
      <alignment horizontal="right"/>
    </xf>
    <xf numFmtId="1" fontId="0" fillId="2" borderId="39" xfId="0" applyNumberFormat="1" applyFill="1" applyBorder="1" applyAlignment="1">
      <alignment horizontal="right"/>
    </xf>
    <xf numFmtId="1" fontId="0" fillId="2" borderId="7" xfId="0" applyNumberFormat="1" applyFill="1" applyBorder="1" applyAlignment="1">
      <alignment horizontal="right"/>
    </xf>
    <xf numFmtId="165" fontId="0" fillId="2" borderId="6" xfId="0" applyNumberFormat="1" applyFill="1" applyBorder="1" applyAlignment="1">
      <alignment horizontal="right"/>
    </xf>
    <xf numFmtId="0" fontId="15" fillId="18" borderId="1" xfId="0" applyFont="1" applyFill="1" applyBorder="1"/>
    <xf numFmtId="0" fontId="0" fillId="18" borderId="1" xfId="0" applyFill="1" applyBorder="1"/>
    <xf numFmtId="165" fontId="15" fillId="18" borderId="1" xfId="0" applyNumberFormat="1" applyFont="1" applyFill="1" applyBorder="1"/>
    <xf numFmtId="2" fontId="15" fillId="18" borderId="1" xfId="0" applyNumberFormat="1" applyFont="1" applyFill="1" applyBorder="1"/>
    <xf numFmtId="0" fontId="0" fillId="18" borderId="0" xfId="0" applyFill="1"/>
    <xf numFmtId="0" fontId="15" fillId="18" borderId="0" xfId="0" applyFont="1" applyFill="1"/>
    <xf numFmtId="1" fontId="0" fillId="18" borderId="1" xfId="0" applyNumberFormat="1" applyFill="1" applyBorder="1" applyAlignment="1">
      <alignment horizontal="center" vertical="center" wrapText="1"/>
    </xf>
    <xf numFmtId="0" fontId="0" fillId="18" borderId="3" xfId="0" applyFill="1" applyBorder="1"/>
    <xf numFmtId="165" fontId="15" fillId="18" borderId="3" xfId="0" applyNumberFormat="1" applyFont="1" applyFill="1" applyBorder="1"/>
    <xf numFmtId="1" fontId="0" fillId="18" borderId="3" xfId="0" applyNumberFormat="1" applyFill="1" applyBorder="1" applyAlignment="1">
      <alignment horizontal="center" vertical="center" wrapText="1"/>
    </xf>
    <xf numFmtId="0" fontId="15" fillId="18" borderId="3" xfId="0" applyFont="1" applyFill="1" applyBorder="1"/>
    <xf numFmtId="1" fontId="15" fillId="18" borderId="1" xfId="0" applyNumberFormat="1" applyFont="1" applyFill="1" applyBorder="1"/>
    <xf numFmtId="0" fontId="0" fillId="0" borderId="1" xfId="0" applyBorder="1" applyAlignment="1">
      <alignment vertical="center"/>
    </xf>
    <xf numFmtId="1" fontId="0" fillId="0" borderId="1" xfId="0" applyNumberFormat="1" applyBorder="1" applyAlignment="1">
      <alignment horizontal="right"/>
    </xf>
    <xf numFmtId="165" fontId="0" fillId="0" borderId="1" xfId="0" applyNumberFormat="1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1" fontId="0" fillId="0" borderId="4" xfId="0" applyNumberFormat="1" applyBorder="1" applyAlignment="1">
      <alignment horizontal="right"/>
    </xf>
    <xf numFmtId="0" fontId="3" fillId="0" borderId="1" xfId="0" applyFont="1" applyBorder="1" applyAlignment="1">
      <alignment vertical="center"/>
    </xf>
    <xf numFmtId="165" fontId="0" fillId="0" borderId="4" xfId="0" applyNumberFormat="1" applyBorder="1" applyAlignment="1">
      <alignment horizontal="right"/>
    </xf>
    <xf numFmtId="0" fontId="0" fillId="0" borderId="5" xfId="0" applyBorder="1" applyAlignment="1">
      <alignment vertical="center"/>
    </xf>
    <xf numFmtId="0" fontId="3" fillId="0" borderId="5" xfId="0" applyFont="1" applyBorder="1" applyAlignment="1">
      <alignment vertical="center"/>
    </xf>
    <xf numFmtId="0" fontId="0" fillId="0" borderId="5" xfId="0" applyBorder="1" applyAlignment="1">
      <alignment horizontal="left" vertical="center" wrapText="1"/>
    </xf>
    <xf numFmtId="0" fontId="3" fillId="0" borderId="8" xfId="0" applyFont="1" applyBorder="1" applyAlignment="1">
      <alignment vertical="center"/>
    </xf>
    <xf numFmtId="0" fontId="0" fillId="0" borderId="8" xfId="0" applyBorder="1" applyAlignment="1">
      <alignment horizontal="left" vertical="center" wrapText="1"/>
    </xf>
    <xf numFmtId="0" fontId="0" fillId="0" borderId="3" xfId="0" applyBorder="1" applyAlignment="1">
      <alignment horizontal="right"/>
    </xf>
    <xf numFmtId="165" fontId="0" fillId="0" borderId="42" xfId="0" applyNumberFormat="1" applyBorder="1" applyAlignment="1">
      <alignment horizontal="right"/>
    </xf>
    <xf numFmtId="0" fontId="0" fillId="0" borderId="3" xfId="0" applyBorder="1"/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right" vertical="center"/>
    </xf>
    <xf numFmtId="0" fontId="3" fillId="0" borderId="36" xfId="0" applyFont="1" applyBorder="1" applyAlignment="1">
      <alignment vertical="center"/>
    </xf>
    <xf numFmtId="0" fontId="15" fillId="0" borderId="36" xfId="0" applyFont="1" applyBorder="1"/>
    <xf numFmtId="165" fontId="0" fillId="0" borderId="39" xfId="0" applyNumberFormat="1" applyBorder="1" applyAlignment="1">
      <alignment horizontal="right"/>
    </xf>
    <xf numFmtId="0" fontId="15" fillId="0" borderId="1" xfId="0" applyFont="1" applyBorder="1" applyAlignment="1">
      <alignment horizontal="right" vertical="center"/>
    </xf>
    <xf numFmtId="0" fontId="15" fillId="0" borderId="1" xfId="0" applyFont="1" applyBorder="1" applyAlignment="1">
      <alignment horizontal="right"/>
    </xf>
    <xf numFmtId="1" fontId="15" fillId="0" borderId="1" xfId="0" applyNumberFormat="1" applyFont="1" applyBorder="1" applyAlignment="1">
      <alignment horizontal="right"/>
    </xf>
    <xf numFmtId="165" fontId="15" fillId="0" borderId="1" xfId="0" applyNumberFormat="1" applyFont="1" applyBorder="1" applyAlignment="1">
      <alignment horizontal="right"/>
    </xf>
    <xf numFmtId="0" fontId="15" fillId="0" borderId="5" xfId="0" applyFont="1" applyBorder="1" applyAlignment="1">
      <alignment horizontal="right"/>
    </xf>
    <xf numFmtId="1" fontId="15" fillId="0" borderId="4" xfId="0" applyNumberFormat="1" applyFont="1" applyBorder="1" applyAlignment="1">
      <alignment horizontal="right"/>
    </xf>
    <xf numFmtId="0" fontId="15" fillId="0" borderId="1" xfId="12" applyFont="1" applyFill="1" applyBorder="1"/>
    <xf numFmtId="0" fontId="3" fillId="0" borderId="1" xfId="0" applyFont="1" applyBorder="1" applyAlignment="1">
      <alignment vertical="center" wrapText="1"/>
    </xf>
    <xf numFmtId="0" fontId="7" fillId="0" borderId="11" xfId="2" applyFill="1" applyAlignment="1">
      <alignment horizontal="right"/>
    </xf>
    <xf numFmtId="1" fontId="51" fillId="0" borderId="11" xfId="10" applyNumberFormat="1" applyFill="1"/>
    <xf numFmtId="1" fontId="51" fillId="0" borderId="11" xfId="10" applyNumberFormat="1" applyFill="1" applyAlignment="1">
      <alignment horizontal="right"/>
    </xf>
    <xf numFmtId="0" fontId="0" fillId="19" borderId="0" xfId="0" applyFill="1"/>
    <xf numFmtId="0" fontId="17" fillId="0" borderId="4" xfId="0" applyFont="1" applyBorder="1" applyAlignment="1">
      <alignment horizontal="center" vertical="top"/>
    </xf>
    <xf numFmtId="0" fontId="0" fillId="0" borderId="43" xfId="0" applyBorder="1"/>
    <xf numFmtId="0" fontId="0" fillId="7" borderId="0" xfId="0" applyFill="1"/>
    <xf numFmtId="0" fontId="18" fillId="10" borderId="0" xfId="0" applyFont="1" applyFill="1"/>
    <xf numFmtId="0" fontId="0" fillId="15" borderId="0" xfId="0" applyFill="1"/>
    <xf numFmtId="0" fontId="15" fillId="15" borderId="0" xfId="0" applyFont="1" applyFill="1"/>
    <xf numFmtId="0" fontId="13" fillId="10" borderId="2" xfId="0" applyFont="1" applyFill="1" applyBorder="1" applyAlignment="1">
      <alignment horizontal="left"/>
    </xf>
    <xf numFmtId="0" fontId="12" fillId="10" borderId="0" xfId="0" applyFont="1" applyFill="1" applyAlignment="1">
      <alignment horizontal="left"/>
    </xf>
    <xf numFmtId="0" fontId="0" fillId="6" borderId="0" xfId="0" applyFill="1"/>
    <xf numFmtId="0" fontId="0" fillId="6" borderId="4" xfId="0" applyFill="1" applyBorder="1"/>
    <xf numFmtId="0" fontId="10" fillId="15" borderId="10" xfId="0" applyFont="1" applyFill="1" applyBorder="1" applyAlignment="1">
      <alignment vertical="top" wrapText="1" readingOrder="1"/>
    </xf>
    <xf numFmtId="0" fontId="10" fillId="10" borderId="0" xfId="0" applyFont="1" applyFill="1" applyAlignment="1">
      <alignment vertical="top" wrapText="1" readingOrder="1"/>
    </xf>
    <xf numFmtId="0" fontId="4" fillId="10" borderId="0" xfId="0" applyFont="1" applyFill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15" fillId="0" borderId="43" xfId="0" applyFont="1" applyBorder="1"/>
    <xf numFmtId="0" fontId="25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5" fillId="20" borderId="1" xfId="0" applyFont="1" applyFill="1" applyBorder="1" applyAlignment="1">
      <alignment horizontal="center"/>
    </xf>
    <xf numFmtId="0" fontId="13" fillId="9" borderId="1" xfId="0" applyFont="1" applyFill="1" applyBorder="1"/>
    <xf numFmtId="0" fontId="12" fillId="20" borderId="0" xfId="0" applyFont="1" applyFill="1" applyAlignment="1">
      <alignment horizontal="center"/>
    </xf>
    <xf numFmtId="0" fontId="13" fillId="20" borderId="0" xfId="0" applyFont="1" applyFill="1" applyAlignment="1">
      <alignment horizontal="center"/>
    </xf>
    <xf numFmtId="0" fontId="13" fillId="9" borderId="5" xfId="0" applyFont="1" applyFill="1" applyBorder="1" applyAlignment="1">
      <alignment horizontal="center"/>
    </xf>
    <xf numFmtId="0" fontId="13" fillId="9" borderId="46" xfId="0" quotePrefix="1" applyFont="1" applyFill="1" applyBorder="1" applyAlignment="1">
      <alignment horizontal="center" vertical="center"/>
    </xf>
    <xf numFmtId="0" fontId="24" fillId="21" borderId="1" xfId="0" applyFont="1" applyFill="1" applyBorder="1" applyAlignment="1">
      <alignment horizontal="center"/>
    </xf>
    <xf numFmtId="0" fontId="54" fillId="21" borderId="4" xfId="0" applyFont="1" applyFill="1" applyBorder="1" applyAlignment="1">
      <alignment horizontal="center"/>
    </xf>
    <xf numFmtId="0" fontId="54" fillId="5" borderId="5" xfId="0" applyFont="1" applyFill="1" applyBorder="1" applyAlignment="1">
      <alignment horizontal="center"/>
    </xf>
    <xf numFmtId="0" fontId="54" fillId="5" borderId="1" xfId="0" applyFont="1" applyFill="1" applyBorder="1"/>
    <xf numFmtId="0" fontId="24" fillId="21" borderId="0" xfId="0" applyFont="1" applyFill="1" applyAlignment="1">
      <alignment horizontal="center"/>
    </xf>
    <xf numFmtId="0" fontId="54" fillId="21" borderId="0" xfId="0" applyFont="1" applyFill="1" applyAlignment="1">
      <alignment horizontal="center"/>
    </xf>
    <xf numFmtId="0" fontId="25" fillId="8" borderId="1" xfId="0" applyFont="1" applyFill="1" applyBorder="1" applyAlignment="1">
      <alignment horizontal="center"/>
    </xf>
    <xf numFmtId="0" fontId="13" fillId="8" borderId="4" xfId="0" applyFont="1" applyFill="1" applyBorder="1" applyAlignment="1">
      <alignment horizontal="center"/>
    </xf>
    <xf numFmtId="0" fontId="13" fillId="22" borderId="5" xfId="0" applyFont="1" applyFill="1" applyBorder="1" applyAlignment="1">
      <alignment horizontal="center"/>
    </xf>
    <xf numFmtId="0" fontId="13" fillId="22" borderId="1" xfId="0" applyFont="1" applyFill="1" applyBorder="1"/>
    <xf numFmtId="0" fontId="12" fillId="8" borderId="0" xfId="0" applyFont="1" applyFill="1" applyAlignment="1">
      <alignment horizontal="center"/>
    </xf>
    <xf numFmtId="0" fontId="13" fillId="8" borderId="0" xfId="0" applyFont="1" applyFill="1" applyAlignment="1">
      <alignment horizontal="center"/>
    </xf>
    <xf numFmtId="0" fontId="13" fillId="0" borderId="0" xfId="0" applyFont="1" applyAlignment="1">
      <alignment horizontal="center"/>
    </xf>
    <xf numFmtId="0" fontId="13" fillId="10" borderId="5" xfId="0" applyFont="1" applyFill="1" applyBorder="1" applyAlignment="1">
      <alignment horizontal="center"/>
    </xf>
    <xf numFmtId="0" fontId="13" fillId="10" borderId="1" xfId="0" applyFont="1" applyFill="1" applyBorder="1"/>
    <xf numFmtId="0" fontId="13" fillId="10" borderId="1" xfId="0" applyFont="1" applyFill="1" applyBorder="1" applyAlignment="1">
      <alignment horizontal="left"/>
    </xf>
    <xf numFmtId="0" fontId="25" fillId="0" borderId="1" xfId="0" applyFont="1" applyBorder="1" applyAlignment="1">
      <alignment horizontal="center"/>
    </xf>
    <xf numFmtId="0" fontId="13" fillId="0" borderId="4" xfId="0" applyFont="1" applyBorder="1" applyAlignment="1">
      <alignment horizontal="center"/>
    </xf>
    <xf numFmtId="0" fontId="25" fillId="0" borderId="0" xfId="0" applyFont="1"/>
    <xf numFmtId="0" fontId="54" fillId="9" borderId="5" xfId="0" applyFont="1" applyFill="1" applyBorder="1" applyAlignment="1">
      <alignment horizontal="center"/>
    </xf>
    <xf numFmtId="0" fontId="54" fillId="20" borderId="4" xfId="0" applyFont="1" applyFill="1" applyBorder="1" applyAlignment="1">
      <alignment horizontal="center"/>
    </xf>
    <xf numFmtId="0" fontId="19" fillId="15" borderId="1" xfId="0" applyFont="1" applyFill="1" applyBorder="1"/>
    <xf numFmtId="0" fontId="0" fillId="15" borderId="1" xfId="0" applyFill="1" applyBorder="1"/>
    <xf numFmtId="0" fontId="64" fillId="0" borderId="1" xfId="0" applyFont="1" applyBorder="1" applyAlignment="1">
      <alignment vertical="center"/>
    </xf>
    <xf numFmtId="0" fontId="65" fillId="0" borderId="1" xfId="0" applyFont="1" applyBorder="1" applyAlignment="1">
      <alignment vertical="center"/>
    </xf>
    <xf numFmtId="0" fontId="64" fillId="0" borderId="1" xfId="7" applyFont="1" applyFill="1" applyBorder="1"/>
    <xf numFmtId="49" fontId="16" fillId="0" borderId="4" xfId="0" applyNumberFormat="1" applyFont="1" applyBorder="1" applyAlignment="1">
      <alignment horizontal="center" vertical="top"/>
    </xf>
    <xf numFmtId="49" fontId="0" fillId="10" borderId="43" xfId="0" applyNumberFormat="1" applyFill="1" applyBorder="1"/>
    <xf numFmtId="49" fontId="0" fillId="0" borderId="43" xfId="0" applyNumberFormat="1" applyBorder="1"/>
    <xf numFmtId="49" fontId="0" fillId="7" borderId="43" xfId="0" applyNumberFormat="1" applyFill="1" applyBorder="1"/>
    <xf numFmtId="49" fontId="18" fillId="10" borderId="43" xfId="0" applyNumberFormat="1" applyFont="1" applyFill="1" applyBorder="1"/>
    <xf numFmtId="49" fontId="22" fillId="0" borderId="43" xfId="0" applyNumberFormat="1" applyFont="1" applyBorder="1"/>
    <xf numFmtId="49" fontId="0" fillId="15" borderId="43" xfId="0" applyNumberFormat="1" applyFill="1" applyBorder="1"/>
    <xf numFmtId="49" fontId="14" fillId="10" borderId="43" xfId="0" applyNumberFormat="1" applyFont="1" applyFill="1" applyBorder="1"/>
    <xf numFmtId="49" fontId="3" fillId="15" borderId="43" xfId="0" applyNumberFormat="1" applyFont="1" applyFill="1" applyBorder="1"/>
    <xf numFmtId="49" fontId="11" fillId="10" borderId="44" xfId="0" applyNumberFormat="1" applyFont="1" applyFill="1" applyBorder="1"/>
    <xf numFmtId="49" fontId="11" fillId="10" borderId="43" xfId="0" applyNumberFormat="1" applyFont="1" applyFill="1" applyBorder="1"/>
    <xf numFmtId="49" fontId="10" fillId="10" borderId="0" xfId="0" applyNumberFormat="1" applyFont="1" applyFill="1" applyAlignment="1">
      <alignment vertical="top" wrapText="1" readingOrder="1"/>
    </xf>
    <xf numFmtId="49" fontId="11" fillId="10" borderId="0" xfId="0" applyNumberFormat="1" applyFont="1" applyFill="1"/>
    <xf numFmtId="49" fontId="15" fillId="15" borderId="43" xfId="0" applyNumberFormat="1" applyFont="1" applyFill="1" applyBorder="1"/>
    <xf numFmtId="0" fontId="59" fillId="10" borderId="0" xfId="0" applyFont="1" applyFill="1" applyAlignment="1">
      <alignment horizontal="left"/>
    </xf>
    <xf numFmtId="0" fontId="67" fillId="10" borderId="1" xfId="0" applyFont="1" applyFill="1" applyBorder="1"/>
    <xf numFmtId="0" fontId="67" fillId="10" borderId="1" xfId="0" applyFont="1" applyFill="1" applyBorder="1" applyAlignment="1">
      <alignment horizontal="center"/>
    </xf>
    <xf numFmtId="1" fontId="68" fillId="10" borderId="1" xfId="0" applyNumberFormat="1" applyFont="1" applyFill="1" applyBorder="1"/>
    <xf numFmtId="165" fontId="68" fillId="10" borderId="1" xfId="0" applyNumberFormat="1" applyFont="1" applyFill="1" applyBorder="1"/>
    <xf numFmtId="0" fontId="68" fillId="10" borderId="1" xfId="0" applyFont="1" applyFill="1" applyBorder="1"/>
    <xf numFmtId="0" fontId="69" fillId="10" borderId="1" xfId="0" applyFont="1" applyFill="1" applyBorder="1"/>
    <xf numFmtId="0" fontId="66" fillId="10" borderId="1" xfId="0" applyFont="1" applyFill="1" applyBorder="1"/>
    <xf numFmtId="0" fontId="65" fillId="0" borderId="1" xfId="0" applyFont="1" applyBorder="1" applyAlignment="1">
      <alignment horizontal="center"/>
    </xf>
    <xf numFmtId="49" fontId="64" fillId="0" borderId="1" xfId="4" applyNumberFormat="1" applyFont="1" applyBorder="1" applyAlignment="1">
      <alignment horizontal="left"/>
    </xf>
    <xf numFmtId="0" fontId="70" fillId="0" borderId="1" xfId="0" applyFont="1" applyBorder="1"/>
    <xf numFmtId="0" fontId="71" fillId="0" borderId="1" xfId="0" applyFont="1" applyBorder="1"/>
    <xf numFmtId="0" fontId="65" fillId="0" borderId="1" xfId="0" applyFont="1" applyBorder="1"/>
    <xf numFmtId="0" fontId="65" fillId="0" borderId="1" xfId="0" applyFont="1" applyBorder="1" applyAlignment="1">
      <alignment horizontal="left"/>
    </xf>
    <xf numFmtId="49" fontId="65" fillId="0" borderId="1" xfId="0" applyNumberFormat="1" applyFont="1" applyBorder="1" applyAlignment="1">
      <alignment horizontal="left"/>
    </xf>
    <xf numFmtId="0" fontId="64" fillId="0" borderId="1" xfId="1" applyFont="1" applyBorder="1"/>
    <xf numFmtId="0" fontId="64" fillId="0" borderId="1" xfId="0" applyFont="1" applyBorder="1" applyAlignment="1">
      <alignment horizontal="right" vertical="center"/>
    </xf>
    <xf numFmtId="49" fontId="64" fillId="0" borderId="1" xfId="0" applyNumberFormat="1" applyFont="1" applyBorder="1" applyAlignment="1">
      <alignment vertical="center"/>
    </xf>
    <xf numFmtId="1" fontId="64" fillId="0" borderId="1" xfId="0" applyNumberFormat="1" applyFont="1" applyBorder="1" applyAlignment="1">
      <alignment horizontal="right" vertical="center"/>
    </xf>
    <xf numFmtId="0" fontId="65" fillId="0" borderId="1" xfId="0" applyFont="1" applyBorder="1" applyAlignment="1">
      <alignment horizontal="left" vertical="center"/>
    </xf>
    <xf numFmtId="0" fontId="64" fillId="0" borderId="1" xfId="0" applyFont="1" applyBorder="1"/>
    <xf numFmtId="49" fontId="64" fillId="0" borderId="1" xfId="0" applyNumberFormat="1" applyFont="1" applyBorder="1" applyAlignment="1">
      <alignment horizontal="left"/>
    </xf>
    <xf numFmtId="49" fontId="64" fillId="0" borderId="1" xfId="6" applyNumberFormat="1" applyFont="1" applyFill="1" applyBorder="1"/>
    <xf numFmtId="0" fontId="65" fillId="0" borderId="1" xfId="6" applyFont="1" applyFill="1" applyBorder="1"/>
    <xf numFmtId="0" fontId="70" fillId="0" borderId="1" xfId="0" applyFont="1" applyBorder="1" applyAlignment="1">
      <alignment vertical="center"/>
    </xf>
    <xf numFmtId="0" fontId="71" fillId="0" borderId="1" xfId="0" applyFont="1" applyBorder="1" applyAlignment="1">
      <alignment horizontal="left" vertical="center"/>
    </xf>
    <xf numFmtId="0" fontId="70" fillId="0" borderId="1" xfId="0" applyFont="1" applyBorder="1" applyAlignment="1">
      <alignment horizontal="right" vertical="center"/>
    </xf>
    <xf numFmtId="1" fontId="70" fillId="0" borderId="1" xfId="0" applyNumberFormat="1" applyFont="1" applyBorder="1" applyAlignment="1">
      <alignment horizontal="right" vertical="center"/>
    </xf>
    <xf numFmtId="0" fontId="70" fillId="0" borderId="1" xfId="1" applyFont="1" applyBorder="1"/>
    <xf numFmtId="1" fontId="64" fillId="0" borderId="1" xfId="0" applyNumberFormat="1" applyFont="1" applyBorder="1"/>
    <xf numFmtId="49" fontId="64" fillId="0" borderId="1" xfId="0" applyNumberFormat="1" applyFont="1" applyBorder="1" applyAlignment="1">
      <alignment horizontal="left" vertical="center"/>
    </xf>
    <xf numFmtId="0" fontId="64" fillId="0" borderId="1" xfId="0" applyFont="1" applyBorder="1" applyAlignment="1">
      <alignment horizontal="left"/>
    </xf>
    <xf numFmtId="0" fontId="65" fillId="0" borderId="1" xfId="2" applyFont="1" applyFill="1" applyBorder="1" applyAlignment="1">
      <alignment horizontal="left" vertical="center"/>
    </xf>
    <xf numFmtId="49" fontId="64" fillId="0" borderId="1" xfId="4" applyNumberFormat="1" applyFont="1" applyBorder="1" applyAlignment="1">
      <alignment horizontal="left" vertical="center"/>
    </xf>
    <xf numFmtId="0" fontId="65" fillId="0" borderId="1" xfId="2" applyFont="1" applyFill="1" applyBorder="1" applyAlignment="1">
      <alignment vertical="center"/>
    </xf>
    <xf numFmtId="49" fontId="64" fillId="0" borderId="1" xfId="6" applyNumberFormat="1" applyFont="1" applyFill="1" applyBorder="1" applyAlignment="1" applyProtection="1">
      <alignment horizontal="left"/>
    </xf>
    <xf numFmtId="0" fontId="65" fillId="0" borderId="1" xfId="2" applyFont="1" applyFill="1" applyBorder="1"/>
    <xf numFmtId="0" fontId="70" fillId="0" borderId="1" xfId="7" applyFont="1" applyFill="1" applyBorder="1"/>
    <xf numFmtId="0" fontId="64" fillId="0" borderId="1" xfId="6" applyFont="1" applyFill="1" applyBorder="1"/>
    <xf numFmtId="0" fontId="64" fillId="0" borderId="1" xfId="3" applyFont="1" applyFill="1" applyBorder="1"/>
    <xf numFmtId="49" fontId="65" fillId="0" borderId="1" xfId="0" applyNumberFormat="1" applyFont="1" applyBorder="1" applyAlignment="1">
      <alignment horizontal="left" vertical="center"/>
    </xf>
    <xf numFmtId="0" fontId="65" fillId="0" borderId="1" xfId="0" applyFont="1" applyBorder="1" applyAlignment="1">
      <alignment horizontal="right" vertical="center"/>
    </xf>
    <xf numFmtId="49" fontId="64" fillId="0" borderId="1" xfId="14" applyNumberFormat="1" applyFont="1" applyBorder="1" applyAlignment="1" applyProtection="1">
      <alignment horizontal="left" vertical="center"/>
    </xf>
    <xf numFmtId="49" fontId="64" fillId="0" borderId="1" xfId="0" quotePrefix="1" applyNumberFormat="1" applyFont="1" applyBorder="1" applyAlignment="1">
      <alignment horizontal="left" vertical="center"/>
    </xf>
    <xf numFmtId="1" fontId="64" fillId="0" borderId="1" xfId="4" applyNumberFormat="1" applyFont="1" applyBorder="1" applyAlignment="1">
      <alignment horizontal="right" vertical="center"/>
    </xf>
    <xf numFmtId="49" fontId="64" fillId="0" borderId="1" xfId="4" applyNumberFormat="1" applyFont="1" applyBorder="1" applyAlignment="1">
      <alignment horizontal="left" vertical="center" wrapText="1"/>
    </xf>
    <xf numFmtId="49" fontId="64" fillId="0" borderId="1" xfId="2" applyNumberFormat="1" applyFont="1" applyFill="1" applyBorder="1"/>
    <xf numFmtId="0" fontId="65" fillId="0" borderId="1" xfId="0" applyFont="1" applyBorder="1" applyAlignment="1">
      <alignment vertical="center" wrapText="1"/>
    </xf>
    <xf numFmtId="0" fontId="65" fillId="0" borderId="1" xfId="2" applyFont="1" applyFill="1" applyBorder="1" applyAlignment="1">
      <alignment vertical="center" wrapText="1"/>
    </xf>
    <xf numFmtId="49" fontId="64" fillId="0" borderId="1" xfId="0" applyNumberFormat="1" applyFont="1" applyBorder="1"/>
    <xf numFmtId="49" fontId="64" fillId="0" borderId="1" xfId="6" applyNumberFormat="1" applyFont="1" applyFill="1" applyBorder="1" applyAlignment="1">
      <alignment horizontal="left" vertical="center"/>
    </xf>
    <xf numFmtId="49" fontId="70" fillId="0" borderId="1" xfId="0" applyNumberFormat="1" applyFont="1" applyBorder="1"/>
    <xf numFmtId="0" fontId="64" fillId="0" borderId="1" xfId="2" applyFont="1" applyFill="1" applyBorder="1" applyAlignment="1">
      <alignment vertical="center"/>
    </xf>
    <xf numFmtId="0" fontId="64" fillId="0" borderId="1" xfId="2" applyFont="1" applyFill="1" applyBorder="1" applyAlignment="1">
      <alignment horizontal="right" vertical="center"/>
    </xf>
    <xf numFmtId="0" fontId="64" fillId="0" borderId="1" xfId="2" applyFont="1" applyFill="1" applyBorder="1"/>
    <xf numFmtId="49" fontId="64" fillId="0" borderId="1" xfId="2" applyNumberFormat="1" applyFont="1" applyFill="1" applyBorder="1" applyAlignment="1">
      <alignment horizontal="left" vertical="center"/>
    </xf>
    <xf numFmtId="1" fontId="64" fillId="0" borderId="1" xfId="6" applyNumberFormat="1" applyFont="1" applyFill="1" applyBorder="1"/>
    <xf numFmtId="49" fontId="64" fillId="0" borderId="1" xfId="2" applyNumberFormat="1" applyFont="1" applyFill="1" applyBorder="1" applyAlignment="1">
      <alignment horizontal="left"/>
    </xf>
    <xf numFmtId="0" fontId="71" fillId="0" borderId="1" xfId="0" applyFont="1" applyBorder="1" applyAlignment="1">
      <alignment horizontal="left"/>
    </xf>
    <xf numFmtId="49" fontId="70" fillId="0" borderId="1" xfId="0" applyNumberFormat="1" applyFont="1" applyBorder="1" applyAlignment="1">
      <alignment horizontal="left"/>
    </xf>
    <xf numFmtId="49" fontId="70" fillId="0" borderId="1" xfId="4" applyNumberFormat="1" applyFont="1" applyBorder="1" applyAlignment="1">
      <alignment horizontal="left"/>
    </xf>
    <xf numFmtId="49" fontId="70" fillId="0" borderId="0" xfId="0" applyNumberFormat="1" applyFont="1"/>
    <xf numFmtId="0" fontId="70" fillId="0" borderId="0" xfId="0" applyFont="1"/>
    <xf numFmtId="0" fontId="65" fillId="0" borderId="1" xfId="0" applyFont="1" applyBorder="1" applyAlignment="1">
      <alignment horizontal="center"/>
    </xf>
    <xf numFmtId="0" fontId="0" fillId="9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5" fillId="0" borderId="1" xfId="0" applyFont="1" applyBorder="1" applyAlignment="1">
      <alignment horizontal="center"/>
    </xf>
    <xf numFmtId="0" fontId="54" fillId="5" borderId="46" xfId="0" quotePrefix="1" applyFont="1" applyFill="1" applyBorder="1" applyAlignment="1">
      <alignment horizontal="center" vertical="center"/>
    </xf>
    <xf numFmtId="0" fontId="13" fillId="9" borderId="46" xfId="0" quotePrefix="1" applyFont="1" applyFill="1" applyBorder="1" applyAlignment="1">
      <alignment horizontal="center" vertical="center"/>
    </xf>
    <xf numFmtId="0" fontId="13" fillId="9" borderId="45" xfId="0" quotePrefix="1" applyFont="1" applyFill="1" applyBorder="1" applyAlignment="1">
      <alignment horizontal="center" vertical="center"/>
    </xf>
    <xf numFmtId="0" fontId="54" fillId="5" borderId="13" xfId="0" quotePrefix="1" applyFont="1" applyFill="1" applyBorder="1" applyAlignment="1">
      <alignment horizontal="center" vertical="center" wrapText="1"/>
    </xf>
    <xf numFmtId="0" fontId="54" fillId="5" borderId="13" xfId="0" quotePrefix="1" applyFont="1" applyFill="1" applyBorder="1" applyAlignment="1">
      <alignment horizontal="center" vertical="center"/>
    </xf>
    <xf numFmtId="0" fontId="13" fillId="9" borderId="13" xfId="0" quotePrefix="1" applyFont="1" applyFill="1" applyBorder="1" applyAlignment="1">
      <alignment horizontal="center" vertical="center" wrapText="1"/>
    </xf>
    <xf numFmtId="0" fontId="13" fillId="9" borderId="13" xfId="0" quotePrefix="1" applyFont="1" applyFill="1" applyBorder="1" applyAlignment="1">
      <alignment horizontal="center" vertical="center"/>
    </xf>
    <xf numFmtId="0" fontId="13" fillId="9" borderId="12" xfId="0" quotePrefix="1" applyFont="1" applyFill="1" applyBorder="1" applyAlignment="1">
      <alignment horizontal="center" vertical="center"/>
    </xf>
    <xf numFmtId="0" fontId="13" fillId="10" borderId="16" xfId="0" quotePrefix="1" applyFont="1" applyFill="1" applyBorder="1" applyAlignment="1">
      <alignment horizontal="center" vertical="center"/>
    </xf>
    <xf numFmtId="0" fontId="13" fillId="10" borderId="14" xfId="0" quotePrefix="1" applyFont="1" applyFill="1" applyBorder="1" applyAlignment="1">
      <alignment horizontal="center" vertical="center"/>
    </xf>
    <xf numFmtId="0" fontId="13" fillId="10" borderId="47" xfId="0" quotePrefix="1" applyFont="1" applyFill="1" applyBorder="1" applyAlignment="1">
      <alignment horizontal="center" vertical="center"/>
    </xf>
    <xf numFmtId="0" fontId="13" fillId="10" borderId="46" xfId="0" quotePrefix="1" applyFont="1" applyFill="1" applyBorder="1" applyAlignment="1">
      <alignment horizontal="center" vertical="center"/>
    </xf>
    <xf numFmtId="0" fontId="13" fillId="10" borderId="15" xfId="0" quotePrefix="1" applyFont="1" applyFill="1" applyBorder="1" applyAlignment="1">
      <alignment horizontal="center" vertical="center" wrapText="1"/>
    </xf>
    <xf numFmtId="0" fontId="13" fillId="10" borderId="13" xfId="0" quotePrefix="1" applyFont="1" applyFill="1" applyBorder="1" applyAlignment="1">
      <alignment horizontal="center" vertical="center"/>
    </xf>
    <xf numFmtId="0" fontId="13" fillId="22" borderId="13" xfId="0" quotePrefix="1" applyFont="1" applyFill="1" applyBorder="1" applyAlignment="1">
      <alignment horizontal="center" vertical="center" wrapText="1"/>
    </xf>
    <xf numFmtId="0" fontId="13" fillId="22" borderId="13" xfId="0" quotePrefix="1" applyFont="1" applyFill="1" applyBorder="1" applyAlignment="1">
      <alignment horizontal="center" vertical="center"/>
    </xf>
    <xf numFmtId="0" fontId="13" fillId="22" borderId="46" xfId="0" quotePrefix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23" fillId="0" borderId="1" xfId="0" applyFont="1" applyBorder="1" applyAlignment="1">
      <alignment horizontal="center"/>
    </xf>
    <xf numFmtId="0" fontId="49" fillId="0" borderId="6" xfId="0" applyFont="1" applyBorder="1" applyAlignment="1">
      <alignment horizontal="center" wrapText="1"/>
    </xf>
    <xf numFmtId="0" fontId="49" fillId="0" borderId="1" xfId="0" applyFont="1" applyBorder="1" applyAlignment="1">
      <alignment horizontal="center"/>
    </xf>
    <xf numFmtId="0" fontId="49" fillId="0" borderId="6" xfId="0" applyFont="1" applyBorder="1" applyAlignment="1">
      <alignment horizontal="center" vertical="center" wrapText="1"/>
    </xf>
    <xf numFmtId="0" fontId="49" fillId="0" borderId="1" xfId="0" applyFont="1" applyBorder="1" applyAlignment="1">
      <alignment horizontal="center" vertical="center"/>
    </xf>
    <xf numFmtId="0" fontId="47" fillId="0" borderId="37" xfId="0" applyFont="1" applyBorder="1" applyAlignment="1">
      <alignment horizontal="center"/>
    </xf>
    <xf numFmtId="0" fontId="47" fillId="0" borderId="38" xfId="0" applyFont="1" applyBorder="1" applyAlignment="1">
      <alignment horizontal="center"/>
    </xf>
    <xf numFmtId="0" fontId="35" fillId="0" borderId="0" xfId="0" applyFont="1" applyAlignment="1">
      <alignment horizontal="center"/>
    </xf>
    <xf numFmtId="0" fontId="47" fillId="0" borderId="40" xfId="0" applyFont="1" applyBorder="1" applyAlignment="1">
      <alignment horizontal="center"/>
    </xf>
    <xf numFmtId="0" fontId="47" fillId="0" borderId="23" xfId="0" applyFont="1" applyBorder="1" applyAlignment="1">
      <alignment horizontal="center"/>
    </xf>
    <xf numFmtId="0" fontId="34" fillId="0" borderId="31" xfId="0" applyFont="1" applyBorder="1" applyAlignment="1">
      <alignment horizontal="center" vertical="center" wrapText="1"/>
    </xf>
    <xf numFmtId="0" fontId="34" fillId="0" borderId="30" xfId="0" applyFont="1" applyBorder="1" applyAlignment="1">
      <alignment horizontal="center" vertical="center" wrapText="1"/>
    </xf>
    <xf numFmtId="0" fontId="34" fillId="0" borderId="24" xfId="0" applyFont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4" fillId="0" borderId="20" xfId="0" applyFont="1" applyBorder="1" applyAlignment="1">
      <alignment horizontal="center" vertical="center" wrapText="1"/>
    </xf>
    <xf numFmtId="0" fontId="34" fillId="0" borderId="19" xfId="0" applyFont="1" applyBorder="1" applyAlignment="1">
      <alignment horizontal="center" vertical="center" wrapText="1"/>
    </xf>
    <xf numFmtId="0" fontId="36" fillId="0" borderId="16" xfId="0" applyFont="1" applyBorder="1" applyAlignment="1">
      <alignment horizontal="center" vertical="center" wrapText="1"/>
    </xf>
    <xf numFmtId="0" fontId="36" fillId="0" borderId="14" xfId="0" applyFont="1" applyBorder="1" applyAlignment="1">
      <alignment horizontal="center" vertical="center" wrapText="1"/>
    </xf>
    <xf numFmtId="0" fontId="36" fillId="0" borderId="18" xfId="0" applyFont="1" applyBorder="1" applyAlignment="1">
      <alignment horizontal="center" vertical="center" wrapText="1"/>
    </xf>
    <xf numFmtId="0" fontId="36" fillId="0" borderId="26" xfId="0" applyFont="1" applyBorder="1" applyAlignment="1">
      <alignment horizontal="center"/>
    </xf>
    <xf numFmtId="0" fontId="36" fillId="0" borderId="25" xfId="0" applyFont="1" applyBorder="1" applyAlignment="1">
      <alignment horizontal="center"/>
    </xf>
    <xf numFmtId="0" fontId="33" fillId="0" borderId="0" xfId="0" applyFont="1" applyAlignment="1">
      <alignment horizontal="center" vertical="center" wrapText="1"/>
    </xf>
    <xf numFmtId="0" fontId="36" fillId="0" borderId="22" xfId="0" applyFont="1" applyBorder="1" applyAlignment="1">
      <alignment horizontal="center"/>
    </xf>
    <xf numFmtId="0" fontId="36" fillId="0" borderId="21" xfId="0" applyFont="1" applyBorder="1" applyAlignment="1">
      <alignment horizontal="center"/>
    </xf>
    <xf numFmtId="0" fontId="39" fillId="0" borderId="0" xfId="0" applyFont="1" applyAlignment="1">
      <alignment horizontal="center" wrapText="1"/>
    </xf>
    <xf numFmtId="0" fontId="53" fillId="0" borderId="5" xfId="0" applyFont="1" applyBorder="1" applyAlignment="1">
      <alignment horizontal="center"/>
    </xf>
    <xf numFmtId="0" fontId="53" fillId="0" borderId="9" xfId="0" applyFont="1" applyBorder="1" applyAlignment="1">
      <alignment horizontal="center"/>
    </xf>
    <xf numFmtId="0" fontId="53" fillId="0" borderId="4" xfId="0" applyFont="1" applyBorder="1" applyAlignment="1">
      <alignment horizontal="center"/>
    </xf>
    <xf numFmtId="43" fontId="16" fillId="0" borderId="5" xfId="13" applyFont="1" applyFill="1" applyBorder="1" applyAlignment="1">
      <alignment horizontal="center"/>
    </xf>
    <xf numFmtId="43" fontId="16" fillId="0" borderId="4" xfId="13" applyFont="1" applyFill="1" applyBorder="1" applyAlignment="1">
      <alignment horizontal="center"/>
    </xf>
    <xf numFmtId="0" fontId="43" fillId="0" borderId="0" xfId="0" applyFont="1" applyAlignment="1">
      <alignment horizontal="center" wrapText="1"/>
    </xf>
    <xf numFmtId="43" fontId="58" fillId="0" borderId="5" xfId="13" applyFont="1" applyFill="1" applyBorder="1" applyAlignment="1">
      <alignment horizontal="center"/>
    </xf>
    <xf numFmtId="43" fontId="58" fillId="0" borderId="4" xfId="13" applyFont="1" applyFill="1" applyBorder="1" applyAlignment="1">
      <alignment horizontal="center"/>
    </xf>
  </cellXfs>
  <cellStyles count="15">
    <cellStyle name="Bad" xfId="3" builtinId="27"/>
    <cellStyle name="Comma" xfId="11" builtinId="3"/>
    <cellStyle name="Comma 2" xfId="13" xr:uid="{F290766A-10F7-4E63-AC5A-0B3CAC26A833}"/>
    <cellStyle name="Excel Built-in Output" xfId="14" xr:uid="{13BCDF4A-7AE0-4960-A41D-7E7037B013F6}"/>
    <cellStyle name="Neutral" xfId="12" builtinId="28"/>
    <cellStyle name="Neutral 2" xfId="7" xr:uid="{369AABCE-30EB-4D52-B905-928367083AE5}"/>
    <cellStyle name="Normal" xfId="0" builtinId="0"/>
    <cellStyle name="Normal 2" xfId="1" xr:uid="{04D467E8-E8AA-4457-AA7F-850F7E502EA6}"/>
    <cellStyle name="Normal 2 2" xfId="5" xr:uid="{64A2951E-D9B8-48E0-878D-625CAB38D54E}"/>
    <cellStyle name="Normal 2 3" xfId="8" xr:uid="{0BC66747-D938-4D01-A50D-55E0FAD9DA9D}"/>
    <cellStyle name="Normal 3" xfId="4" xr:uid="{9ACD2D6A-4143-43A9-9E64-F0E3892557C5}"/>
    <cellStyle name="Output" xfId="2" builtinId="21" customBuiltin="1"/>
    <cellStyle name="Output 2" xfId="6" xr:uid="{A5B53FAB-6E71-47EC-BB5A-153632E0E7A2}"/>
    <cellStyle name="Output 3" xfId="9" xr:uid="{973484E1-3158-440E-9D25-11118FBCB843}"/>
    <cellStyle name="Output 4" xfId="10" xr:uid="{C810A47D-FC57-4D2F-BB86-7B01705EC896}"/>
  </cellStyles>
  <dxfs count="9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26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externalLink" Target="externalLinks/externalLink12.xml"/><Relationship Id="rId27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1605570</xdr:colOff>
      <xdr:row>13</xdr:row>
      <xdr:rowOff>168946</xdr:rowOff>
    </xdr:from>
    <xdr:ext cx="184730" cy="937629"/>
    <xdr:sp macro="" textlink="">
      <xdr:nvSpPr>
        <xdr:cNvPr id="18" name="Rectangle 17">
          <a:extLst>
            <a:ext uri="{FF2B5EF4-FFF2-40B4-BE49-F238E27FC236}">
              <a16:creationId xmlns:a16="http://schemas.microsoft.com/office/drawing/2014/main" id="{3DB317B2-6595-40AF-9473-07AF54C2E360}"/>
            </a:ext>
          </a:extLst>
        </xdr:cNvPr>
        <xdr:cNvSpPr/>
      </xdr:nvSpPr>
      <xdr:spPr>
        <a:xfrm>
          <a:off x="6550287" y="2645446"/>
          <a:ext cx="184730" cy="937629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GH" sz="5400" b="1" cap="none" spc="50">
            <a:ln w="0"/>
            <a:solidFill>
              <a:schemeClr val="bg2"/>
            </a:solidFill>
            <a:effectLst>
              <a:innerShdw blurRad="63500" dist="50800" dir="13500000">
                <a:srgbClr val="000000">
                  <a:alpha val="50000"/>
                </a:srgbClr>
              </a:innerShdw>
            </a:effectLst>
          </a:endParaRPr>
        </a:p>
      </xdr:txBody>
    </xdr:sp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ropbox/Exams%20Office_kmd/Examinations/Time%20Table/Exams/SS/2022_23_Exams%20TT/midsem/MidExamtt2k22_23ss_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WORKING%20FOLDER/FIRST%20SEMESTER/MID%20SEMESTER%20EXAMS/MID%20SEMESTER%20EXAMS%202023AA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XAMINATION%20OFFICE/Dropbox/Exams%20Office_kmd/Examinations/Time%20Table/Exams/FS/2022_23_Exams%20TT/exams/Examtt2k22_23_fs_FINAL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WORKING%20FOLDER/FIRST%20SEMESTER/FINAL%20EXAMS/Examtt2k23_24_FS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XAMINATION%20OFFICE/Dropbox/Exams%20Office_kmd/Examinations/Time%20Table/Exams/SS/2022_23_Exams%20TT/exams/Examtt2k22_23_ss_FINAL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WORKING%20FOLDER/FIRST%20SEMESTER/MID%20SEMESTER%20EXAMS/MID%20SEMESTER%20EXAMS%202023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AppData/Local/Packages/5319275A.WhatsAppDesktop_cv1g1gvanyjgm/LocalState/sessions/5CB56E4844206DBBCC3D40E1FDA1CC54134A577B/transfers/2026-07/Mid-Sem%20TT(AutoRecovered)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ropbox/Exams%20Office_kmd/Examinations/Time%20Table/Exams/FS/2024_25_Exams%20TT/FS/Midsem/MidExamtt2k22_23fs_DRAFT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ropbox/Exams%20Office_kmd/Examinations/Time%20Table/Exams/FS/2025_26_Exams%20TT/FS/Midsem/List%20of%20Lecturer%20Course%20by%20College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ropbox/Exams%20Office_kmd/Examinations/Time%20Table/Exams/FS/2024_25_Exams%20TT/FS/Midsem/Attendants%20Schedule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esktop/WORKING%20FOLDER/SECOND%20SEMESTER/Midsem%20Sem%201%202024%20Attendant%20Invigilation%203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Renumeration%20for%20Cleaner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"/>
      <sheetName val="TT (Values)"/>
      <sheetName val="FREQ"/>
      <sheetName val="TALLY"/>
      <sheetName val="ROOMS"/>
      <sheetName val="ROOMS (2)"/>
      <sheetName val="WATER"/>
      <sheetName val="SESSIONS"/>
      <sheetName val="COURSES"/>
      <sheetName val="TEO_fred"/>
    </sheetNames>
    <sheetDataSet>
      <sheetData sheetId="0">
        <row r="3">
          <cell r="D3" t="str">
            <v>CLASS</v>
          </cell>
        </row>
        <row r="4">
          <cell r="D4" t="str">
            <v>ED1-AERO</v>
          </cell>
        </row>
        <row r="5">
          <cell r="D5" t="str">
            <v>ED1-AE</v>
          </cell>
        </row>
        <row r="6">
          <cell r="D6" t="str">
            <v>ED1-AUTO</v>
          </cell>
        </row>
        <row r="7">
          <cell r="D7" t="str">
            <v>ED1-BME</v>
          </cell>
        </row>
        <row r="8">
          <cell r="D8" t="str">
            <v>ED1-CHE</v>
          </cell>
        </row>
        <row r="9">
          <cell r="D9" t="str">
            <v>ED1-COE</v>
          </cell>
        </row>
        <row r="10">
          <cell r="D10" t="str">
            <v>ED1-IND</v>
          </cell>
        </row>
        <row r="11">
          <cell r="D11" t="str">
            <v>ED3-EE</v>
          </cell>
        </row>
        <row r="12">
          <cell r="D12" t="str">
            <v>ED2-EE</v>
          </cell>
        </row>
        <row r="13">
          <cell r="D13" t="str">
            <v>ED3-TEL</v>
          </cell>
        </row>
        <row r="14">
          <cell r="D14" t="str">
            <v>ED3-CHE</v>
          </cell>
        </row>
        <row r="15">
          <cell r="D15" t="str">
            <v>ED3-IND</v>
          </cell>
        </row>
        <row r="16">
          <cell r="D16" t="str">
            <v>ED3-BME</v>
          </cell>
        </row>
        <row r="17">
          <cell r="D17" t="str">
            <v>ED4-METE</v>
          </cell>
        </row>
        <row r="18">
          <cell r="D18" t="str">
            <v>ED4-ME</v>
          </cell>
        </row>
        <row r="19">
          <cell r="D19" t="str">
            <v>ED4-CHE</v>
          </cell>
        </row>
        <row r="20">
          <cell r="D20" t="str">
            <v>ED3-COE</v>
          </cell>
        </row>
        <row r="30">
          <cell r="D30" t="str">
            <v>ED1-METE</v>
          </cell>
        </row>
        <row r="31">
          <cell r="D31" t="str">
            <v>ED1-PCE</v>
          </cell>
        </row>
        <row r="32">
          <cell r="D32" t="str">
            <v>ED2-COE</v>
          </cell>
        </row>
        <row r="33">
          <cell r="D33" t="str">
            <v>ED3-AERO</v>
          </cell>
        </row>
        <row r="34">
          <cell r="D34" t="str">
            <v>ED2-METE</v>
          </cell>
        </row>
        <row r="35">
          <cell r="D35" t="str">
            <v>ED4-GEOL</v>
          </cell>
        </row>
        <row r="36">
          <cell r="D36" t="str">
            <v>ED4-BME</v>
          </cell>
        </row>
        <row r="37">
          <cell r="D37" t="str">
            <v>ED2-AERO</v>
          </cell>
        </row>
        <row r="38">
          <cell r="D38" t="str">
            <v>ED4-CE</v>
          </cell>
        </row>
        <row r="39">
          <cell r="D39" t="str">
            <v>ED3-GEOL</v>
          </cell>
        </row>
        <row r="40">
          <cell r="D40" t="str">
            <v>ED2-CHE</v>
          </cell>
        </row>
        <row r="41">
          <cell r="D41" t="str">
            <v>ED2-PCE</v>
          </cell>
        </row>
        <row r="42">
          <cell r="D42" t="str">
            <v>ED3-AUTO</v>
          </cell>
        </row>
        <row r="43">
          <cell r="D43" t="str">
            <v>ED4-TEL</v>
          </cell>
        </row>
        <row r="44">
          <cell r="D44" t="str">
            <v>ED4-PETE</v>
          </cell>
        </row>
        <row r="45">
          <cell r="D45" t="str">
            <v>Total M2</v>
          </cell>
        </row>
        <row r="48">
          <cell r="D48"/>
        </row>
        <row r="60">
          <cell r="D60" t="str">
            <v>ED2-ME</v>
          </cell>
        </row>
        <row r="61">
          <cell r="D61" t="str">
            <v>ED3-COE</v>
          </cell>
        </row>
        <row r="62">
          <cell r="D62" t="str">
            <v>ED3-EE</v>
          </cell>
        </row>
        <row r="63">
          <cell r="D63" t="str">
            <v>ED4-CE</v>
          </cell>
        </row>
        <row r="64">
          <cell r="D64" t="str">
            <v>ED3-MARI</v>
          </cell>
        </row>
        <row r="65">
          <cell r="D65" t="str">
            <v>ED2-COE</v>
          </cell>
        </row>
        <row r="66">
          <cell r="D66" t="str">
            <v>ED3-PETE</v>
          </cell>
        </row>
        <row r="67">
          <cell r="D67" t="str">
            <v>Total M3</v>
          </cell>
        </row>
        <row r="70">
          <cell r="D70"/>
        </row>
        <row r="71">
          <cell r="D71"/>
        </row>
        <row r="72">
          <cell r="D72" t="str">
            <v>CLASS</v>
          </cell>
        </row>
        <row r="73">
          <cell r="D73" t="str">
            <v>ED4-AERO</v>
          </cell>
        </row>
        <row r="74">
          <cell r="D74" t="str">
            <v>ED4-ME</v>
          </cell>
        </row>
        <row r="75">
          <cell r="D75" t="str">
            <v>ED4-IND</v>
          </cell>
        </row>
        <row r="82">
          <cell r="D82" t="str">
            <v>ED4-GEOM</v>
          </cell>
        </row>
        <row r="83">
          <cell r="D83" t="str">
            <v>ED2-BME</v>
          </cell>
        </row>
        <row r="84">
          <cell r="D84" t="str">
            <v>ED2-CE</v>
          </cell>
        </row>
        <row r="85">
          <cell r="D85" t="str">
            <v>ED2-GEOM</v>
          </cell>
        </row>
        <row r="86">
          <cell r="D86" t="str">
            <v>ED4-AE</v>
          </cell>
        </row>
        <row r="87">
          <cell r="D87" t="str">
            <v>ED4-PETE</v>
          </cell>
        </row>
        <row r="88">
          <cell r="D88" t="str">
            <v>ED3-PETE</v>
          </cell>
        </row>
        <row r="89">
          <cell r="D89" t="str">
            <v>ED3-METE</v>
          </cell>
        </row>
        <row r="90">
          <cell r="D90" t="str">
            <v>Total M4</v>
          </cell>
        </row>
        <row r="93">
          <cell r="D93"/>
        </row>
        <row r="94">
          <cell r="D94"/>
        </row>
        <row r="95">
          <cell r="D95" t="str">
            <v>CLASS</v>
          </cell>
        </row>
        <row r="96">
          <cell r="D96" t="str">
            <v>ED2-AE</v>
          </cell>
        </row>
        <row r="97">
          <cell r="D97" t="str">
            <v>ED3-ME</v>
          </cell>
        </row>
        <row r="98">
          <cell r="D98" t="str">
            <v>ED2-GEOL</v>
          </cell>
        </row>
        <row r="99">
          <cell r="D99" t="str">
            <v>ED1-GEOL</v>
          </cell>
        </row>
        <row r="113">
          <cell r="D113" t="str">
            <v>ED4-CE</v>
          </cell>
        </row>
        <row r="114">
          <cell r="D114" t="str">
            <v>ED3-CE</v>
          </cell>
        </row>
        <row r="115">
          <cell r="D115" t="str">
            <v>ED1-BME</v>
          </cell>
        </row>
        <row r="116">
          <cell r="D116" t="str">
            <v>ED2-IND</v>
          </cell>
        </row>
        <row r="117">
          <cell r="D117" t="str">
            <v>ED2-MARI</v>
          </cell>
        </row>
        <row r="118">
          <cell r="D118" t="str">
            <v>ED2-ME</v>
          </cell>
        </row>
        <row r="119">
          <cell r="D119" t="str">
            <v>ED2-AUTO</v>
          </cell>
        </row>
        <row r="120">
          <cell r="D120" t="str">
            <v>ED2-MSE</v>
          </cell>
        </row>
        <row r="121">
          <cell r="D121" t="str">
            <v>ED3-METE</v>
          </cell>
        </row>
        <row r="122">
          <cell r="D122" t="str">
            <v>ED1-GEOM</v>
          </cell>
        </row>
        <row r="123">
          <cell r="D123" t="str">
            <v>ED4-PETE</v>
          </cell>
        </row>
        <row r="133">
          <cell r="D133" t="str">
            <v>ED3-EE</v>
          </cell>
        </row>
        <row r="134">
          <cell r="D134" t="str">
            <v>ED3-TEL</v>
          </cell>
        </row>
        <row r="135">
          <cell r="D135" t="str">
            <v>ED3-ME</v>
          </cell>
        </row>
        <row r="136">
          <cell r="D136" t="str">
            <v>ED3-AERO</v>
          </cell>
        </row>
        <row r="137">
          <cell r="D137" t="str">
            <v>ED3-AE</v>
          </cell>
        </row>
        <row r="138">
          <cell r="D138" t="str">
            <v>ED3-MARI</v>
          </cell>
        </row>
        <row r="139">
          <cell r="D139" t="str">
            <v>ED4-AUTO</v>
          </cell>
        </row>
        <row r="140">
          <cell r="D140" t="str">
            <v>ED2-CHE</v>
          </cell>
        </row>
        <row r="141">
          <cell r="D141" t="str">
            <v>ED2-PCE</v>
          </cell>
        </row>
        <row r="142">
          <cell r="D142" t="str">
            <v>ED2-CE</v>
          </cell>
        </row>
        <row r="143">
          <cell r="D143" t="str">
            <v>ED1-METE</v>
          </cell>
        </row>
        <row r="144">
          <cell r="D144" t="str">
            <v>ED1-MSE</v>
          </cell>
        </row>
        <row r="145">
          <cell r="D145" t="str">
            <v>Total M7</v>
          </cell>
        </row>
        <row r="146">
          <cell r="D146"/>
        </row>
        <row r="159">
          <cell r="D159" t="str">
            <v>ED3-CE</v>
          </cell>
        </row>
        <row r="160">
          <cell r="D160" t="str">
            <v>ED4-MSE</v>
          </cell>
        </row>
        <row r="161">
          <cell r="D161" t="str">
            <v>ED4-METE</v>
          </cell>
        </row>
        <row r="162">
          <cell r="D162" t="str">
            <v>Total T1</v>
          </cell>
        </row>
        <row r="163">
          <cell r="D163"/>
        </row>
        <row r="165">
          <cell r="D165"/>
        </row>
        <row r="166">
          <cell r="D166"/>
        </row>
        <row r="167">
          <cell r="D167" t="str">
            <v>CLASS</v>
          </cell>
        </row>
        <row r="168">
          <cell r="D168" t="str">
            <v>ED1-AUTO</v>
          </cell>
        </row>
        <row r="169">
          <cell r="D169" t="str">
            <v>ED1-ME</v>
          </cell>
        </row>
        <row r="170">
          <cell r="D170" t="str">
            <v>ED1-MSE</v>
          </cell>
        </row>
        <row r="171">
          <cell r="D171" t="str">
            <v>ED1-IND</v>
          </cell>
        </row>
        <row r="172">
          <cell r="D172" t="str">
            <v>ED1-MARI</v>
          </cell>
        </row>
        <row r="173">
          <cell r="D173" t="str">
            <v>ED1-EE</v>
          </cell>
        </row>
        <row r="185">
          <cell r="D185"/>
        </row>
        <row r="186">
          <cell r="D186"/>
        </row>
        <row r="187">
          <cell r="D187" t="str">
            <v>CLASS</v>
          </cell>
        </row>
        <row r="188">
          <cell r="D188" t="str">
            <v>ED1-METE</v>
          </cell>
        </row>
        <row r="189">
          <cell r="D189" t="str">
            <v>ED1-PCE</v>
          </cell>
        </row>
        <row r="190">
          <cell r="D190" t="str">
            <v>ED1-PETE</v>
          </cell>
        </row>
        <row r="191">
          <cell r="D191" t="str">
            <v>ED1-MSE</v>
          </cell>
        </row>
        <row r="192">
          <cell r="D192" t="str">
            <v>ED1-AE</v>
          </cell>
        </row>
        <row r="193">
          <cell r="D193" t="str">
            <v>ED3-ME</v>
          </cell>
        </row>
        <row r="194">
          <cell r="D194" t="str">
            <v>ED3-MARI</v>
          </cell>
        </row>
        <row r="195">
          <cell r="D195" t="str">
            <v>ED2-BME</v>
          </cell>
        </row>
        <row r="196">
          <cell r="D196" t="str">
            <v>ED2-CHE</v>
          </cell>
        </row>
        <row r="211">
          <cell r="D211" t="str">
            <v>ED2-IND</v>
          </cell>
        </row>
        <row r="212">
          <cell r="D212" t="str">
            <v>ED2-TEL</v>
          </cell>
        </row>
        <row r="213">
          <cell r="D213" t="str">
            <v>ED3-GEOL</v>
          </cell>
        </row>
        <row r="214">
          <cell r="D214" t="str">
            <v>ED2-MSE</v>
          </cell>
        </row>
        <row r="215">
          <cell r="D215" t="str">
            <v>ED2-METE</v>
          </cell>
        </row>
        <row r="216">
          <cell r="D216" t="str">
            <v>ED1-CHE</v>
          </cell>
        </row>
        <row r="217">
          <cell r="D217" t="str">
            <v>ED1-AUTO</v>
          </cell>
        </row>
        <row r="218">
          <cell r="D218" t="str">
            <v>ED3-MSE</v>
          </cell>
        </row>
        <row r="219">
          <cell r="D219" t="str">
            <v>ED3-BME</v>
          </cell>
        </row>
        <row r="220">
          <cell r="D220" t="str">
            <v>ED4-EE</v>
          </cell>
        </row>
        <row r="221">
          <cell r="D221" t="str">
            <v>Total T4</v>
          </cell>
        </row>
        <row r="222">
          <cell r="D222"/>
        </row>
        <row r="223">
          <cell r="D223"/>
        </row>
        <row r="224">
          <cell r="D224"/>
        </row>
        <row r="225">
          <cell r="D225"/>
        </row>
        <row r="233">
          <cell r="D233" t="str">
            <v>ED1-CE</v>
          </cell>
        </row>
        <row r="234">
          <cell r="D234" t="str">
            <v>ED1-GEOL</v>
          </cell>
        </row>
        <row r="235">
          <cell r="D235" t="str">
            <v>ED1-EE</v>
          </cell>
        </row>
        <row r="236">
          <cell r="D236" t="str">
            <v>ED3-AE</v>
          </cell>
        </row>
        <row r="237">
          <cell r="D237" t="str">
            <v>ED1-AERO</v>
          </cell>
        </row>
        <row r="238">
          <cell r="D238" t="str">
            <v>Total T5</v>
          </cell>
        </row>
        <row r="241">
          <cell r="D241"/>
        </row>
        <row r="242">
          <cell r="D242"/>
        </row>
        <row r="243">
          <cell r="D243" t="str">
            <v>CLASS</v>
          </cell>
        </row>
        <row r="244">
          <cell r="D244" t="str">
            <v>ED2-MARI</v>
          </cell>
        </row>
        <row r="245">
          <cell r="D245" t="str">
            <v>ED2-ME</v>
          </cell>
        </row>
        <row r="246">
          <cell r="D246" t="str">
            <v>ED2-AERO</v>
          </cell>
        </row>
        <row r="247">
          <cell r="D247" t="str">
            <v>ED2-IND</v>
          </cell>
        </row>
        <row r="248">
          <cell r="D248" t="str">
            <v>ED2-AUTO</v>
          </cell>
        </row>
        <row r="249">
          <cell r="D249" t="str">
            <v>ED4-AERO</v>
          </cell>
        </row>
        <row r="263">
          <cell r="D263"/>
        </row>
        <row r="264">
          <cell r="D264" t="str">
            <v>CLASS</v>
          </cell>
        </row>
        <row r="265">
          <cell r="D265" t="str">
            <v>ED4-IND</v>
          </cell>
        </row>
        <row r="266">
          <cell r="D266" t="str">
            <v>ED1-COE</v>
          </cell>
        </row>
        <row r="267">
          <cell r="D267" t="str">
            <v>ED3-GEOM</v>
          </cell>
        </row>
        <row r="268">
          <cell r="D268" t="str">
            <v>ED3-PETE</v>
          </cell>
        </row>
        <row r="269">
          <cell r="D269" t="str">
            <v>ED3-IND</v>
          </cell>
        </row>
        <row r="270">
          <cell r="D270" t="str">
            <v>ED2-EE</v>
          </cell>
        </row>
        <row r="271">
          <cell r="D271" t="str">
            <v>ED2-TEL</v>
          </cell>
        </row>
        <row r="272">
          <cell r="D272" t="str">
            <v>ED3-EE</v>
          </cell>
        </row>
        <row r="273">
          <cell r="D273" t="str">
            <v>ED3-TEL</v>
          </cell>
        </row>
        <row r="274">
          <cell r="D274" t="str">
            <v>Total T7</v>
          </cell>
        </row>
        <row r="286">
          <cell r="D286" t="str">
            <v>ED3-PETE</v>
          </cell>
        </row>
        <row r="287">
          <cell r="D287" t="str">
            <v>ED3-MSE</v>
          </cell>
        </row>
        <row r="288">
          <cell r="D288" t="str">
            <v>ED3-METE</v>
          </cell>
        </row>
        <row r="289">
          <cell r="D289" t="str">
            <v>ED3-CHE</v>
          </cell>
        </row>
        <row r="290">
          <cell r="D290" t="str">
            <v>ED2-MSE</v>
          </cell>
        </row>
        <row r="291">
          <cell r="D291" t="str">
            <v>ED3-COE</v>
          </cell>
        </row>
        <row r="292">
          <cell r="D292" t="str">
            <v>ED3-BME</v>
          </cell>
        </row>
        <row r="293">
          <cell r="D293" t="str">
            <v>Total W1</v>
          </cell>
        </row>
        <row r="296">
          <cell r="D296"/>
        </row>
        <row r="297">
          <cell r="D297"/>
        </row>
        <row r="306">
          <cell r="D306" t="str">
            <v>ED3-IND</v>
          </cell>
        </row>
        <row r="307">
          <cell r="D307" t="str">
            <v>ED3-CE</v>
          </cell>
        </row>
        <row r="308">
          <cell r="D308" t="str">
            <v>ED3-GEOM</v>
          </cell>
        </row>
        <row r="309">
          <cell r="D309" t="str">
            <v>ED3-PCE</v>
          </cell>
        </row>
        <row r="310">
          <cell r="D310" t="str">
            <v>ED1-TEL</v>
          </cell>
        </row>
        <row r="311">
          <cell r="D311" t="str">
            <v>Total W2</v>
          </cell>
        </row>
        <row r="314">
          <cell r="D314"/>
        </row>
        <row r="315">
          <cell r="D315"/>
        </row>
        <row r="316">
          <cell r="D316" t="str">
            <v>CLASS</v>
          </cell>
        </row>
        <row r="317">
          <cell r="D317" t="str">
            <v>ED3-AERO</v>
          </cell>
        </row>
        <row r="318">
          <cell r="D318" t="str">
            <v>ED3-ME</v>
          </cell>
        </row>
        <row r="319">
          <cell r="D319" t="str">
            <v>ED3-MARI</v>
          </cell>
        </row>
        <row r="320">
          <cell r="D320" t="str">
            <v>ED3-AUTO</v>
          </cell>
        </row>
        <row r="321">
          <cell r="D321" t="str">
            <v>ED4-MARI</v>
          </cell>
        </row>
        <row r="331">
          <cell r="D331" t="str">
            <v>Total W3</v>
          </cell>
        </row>
        <row r="334">
          <cell r="D334"/>
        </row>
        <row r="335">
          <cell r="D335"/>
        </row>
        <row r="336">
          <cell r="D336" t="str">
            <v>CLASS</v>
          </cell>
        </row>
        <row r="337">
          <cell r="D337" t="str">
            <v>ED4-MSE</v>
          </cell>
        </row>
        <row r="338">
          <cell r="D338" t="str">
            <v>ED4-BME</v>
          </cell>
        </row>
        <row r="339">
          <cell r="D339" t="str">
            <v>ED1-PETE</v>
          </cell>
        </row>
        <row r="340">
          <cell r="D340" t="str">
            <v>ED1-GEOM</v>
          </cell>
        </row>
        <row r="347">
          <cell r="D347" t="str">
            <v>ED4-ME</v>
          </cell>
        </row>
        <row r="348">
          <cell r="D348" t="str">
            <v>ED1-BME</v>
          </cell>
        </row>
        <row r="349">
          <cell r="D349" t="str">
            <v>ED2-CHE</v>
          </cell>
        </row>
        <row r="350">
          <cell r="D350" t="str">
            <v>ED2-GEOL</v>
          </cell>
        </row>
        <row r="351">
          <cell r="D351" t="str">
            <v>ED1-PCE</v>
          </cell>
        </row>
        <row r="352">
          <cell r="D352" t="str">
            <v>Total W4</v>
          </cell>
        </row>
        <row r="355">
          <cell r="D355"/>
        </row>
        <row r="356">
          <cell r="D356"/>
        </row>
        <row r="357">
          <cell r="D357" t="str">
            <v>CLASS</v>
          </cell>
        </row>
        <row r="358">
          <cell r="D358" t="str">
            <v>ED2-EE</v>
          </cell>
        </row>
        <row r="359">
          <cell r="D359" t="str">
            <v>ED3-GEOM</v>
          </cell>
        </row>
        <row r="360">
          <cell r="D360" t="str">
            <v>ED1-CE</v>
          </cell>
        </row>
        <row r="361">
          <cell r="D361" t="str">
            <v>ED1-GEOL</v>
          </cell>
        </row>
        <row r="370">
          <cell r="D370" t="str">
            <v>ED1-BME</v>
          </cell>
        </row>
        <row r="371">
          <cell r="D371" t="str">
            <v>ED2-CE</v>
          </cell>
        </row>
        <row r="372">
          <cell r="D372" t="str">
            <v>ED4-GEOM</v>
          </cell>
        </row>
        <row r="373">
          <cell r="D373" t="str">
            <v>ED4-ME</v>
          </cell>
        </row>
        <row r="374">
          <cell r="D374" t="str">
            <v>ED4-PETE</v>
          </cell>
        </row>
        <row r="375">
          <cell r="D375" t="str">
            <v>ED4-CE</v>
          </cell>
        </row>
        <row r="376">
          <cell r="D376" t="str">
            <v>ED4-GEOL</v>
          </cell>
        </row>
        <row r="377">
          <cell r="D377" t="str">
            <v>ED1-AE</v>
          </cell>
        </row>
        <row r="378">
          <cell r="D378" t="str">
            <v>Total W5</v>
          </cell>
        </row>
        <row r="379">
          <cell r="D379"/>
        </row>
        <row r="380">
          <cell r="D380"/>
        </row>
        <row r="381">
          <cell r="D381"/>
        </row>
        <row r="382">
          <cell r="D382"/>
        </row>
        <row r="390">
          <cell r="D390" t="str">
            <v>ED4-AERO</v>
          </cell>
        </row>
        <row r="391">
          <cell r="D391" t="str">
            <v>ED3-CHE</v>
          </cell>
        </row>
        <row r="392">
          <cell r="D392" t="str">
            <v>ED2-METE</v>
          </cell>
        </row>
        <row r="393">
          <cell r="D393" t="str">
            <v>ED1-AE</v>
          </cell>
        </row>
        <row r="394">
          <cell r="D394" t="str">
            <v>ED3-AE</v>
          </cell>
        </row>
        <row r="395">
          <cell r="D395" t="str">
            <v>ED4-GEOL</v>
          </cell>
        </row>
        <row r="396">
          <cell r="D396" t="str">
            <v>ED4-CE</v>
          </cell>
        </row>
        <row r="397">
          <cell r="D397" t="str">
            <v>ED2-AUTO</v>
          </cell>
        </row>
        <row r="398">
          <cell r="D398" t="str">
            <v>ED2-IND</v>
          </cell>
        </row>
        <row r="399">
          <cell r="D399" t="str">
            <v>ED2-MARI</v>
          </cell>
        </row>
        <row r="400">
          <cell r="D400" t="str">
            <v>Total W6</v>
          </cell>
        </row>
        <row r="403">
          <cell r="D403"/>
        </row>
        <row r="404">
          <cell r="D404"/>
        </row>
        <row r="412">
          <cell r="D412" t="str">
            <v>ED3-AERO</v>
          </cell>
        </row>
        <row r="413">
          <cell r="D413" t="str">
            <v>ED3-ME</v>
          </cell>
        </row>
        <row r="414">
          <cell r="D414" t="str">
            <v>ED3-AUTO</v>
          </cell>
        </row>
        <row r="415">
          <cell r="D415" t="str">
            <v>ED3-MARI</v>
          </cell>
        </row>
        <row r="416">
          <cell r="D416" t="str">
            <v>ED4-AERO</v>
          </cell>
        </row>
        <row r="417">
          <cell r="D417" t="str">
            <v>ED4-COE</v>
          </cell>
        </row>
        <row r="418">
          <cell r="D418" t="str">
            <v>ED3-BME</v>
          </cell>
        </row>
        <row r="419">
          <cell r="D419" t="str">
            <v>ED4-TEL</v>
          </cell>
        </row>
        <row r="420">
          <cell r="D420" t="str">
            <v>ED2-CHE</v>
          </cell>
        </row>
        <row r="421">
          <cell r="D421" t="str">
            <v>ED2-PCE</v>
          </cell>
        </row>
        <row r="422">
          <cell r="D422" t="str">
            <v>Total W7</v>
          </cell>
        </row>
        <row r="425">
          <cell r="D425"/>
        </row>
        <row r="426">
          <cell r="D426"/>
        </row>
        <row r="435">
          <cell r="D435" t="str">
            <v>ED1-IND</v>
          </cell>
        </row>
        <row r="436">
          <cell r="D436" t="str">
            <v>ED1-MARI</v>
          </cell>
        </row>
        <row r="437">
          <cell r="D437" t="str">
            <v>ED1-CE</v>
          </cell>
        </row>
        <row r="438">
          <cell r="D438" t="str">
            <v>ED1-COE</v>
          </cell>
        </row>
        <row r="439">
          <cell r="D439" t="str">
            <v>ED1-ME</v>
          </cell>
        </row>
        <row r="440">
          <cell r="D440" t="str">
            <v>ED1-AE</v>
          </cell>
        </row>
        <row r="441">
          <cell r="D441" t="str">
            <v>ED1-BME</v>
          </cell>
        </row>
        <row r="442">
          <cell r="D442" t="str">
            <v>ED1-PETE</v>
          </cell>
        </row>
        <row r="443">
          <cell r="D443" t="str">
            <v>ED1-GEOL</v>
          </cell>
        </row>
        <row r="444">
          <cell r="D444" t="str">
            <v>ED1-METE</v>
          </cell>
        </row>
        <row r="445">
          <cell r="D445" t="str">
            <v>ED1-MSE</v>
          </cell>
        </row>
        <row r="446">
          <cell r="D446" t="str">
            <v>Total H1</v>
          </cell>
        </row>
        <row r="449">
          <cell r="D449"/>
        </row>
        <row r="450">
          <cell r="D450"/>
        </row>
        <row r="451">
          <cell r="D451" t="str">
            <v>CLASS</v>
          </cell>
        </row>
        <row r="452">
          <cell r="D452" t="str">
            <v>ED2-COE</v>
          </cell>
        </row>
        <row r="453">
          <cell r="D453" t="str">
            <v>ED2-BME</v>
          </cell>
        </row>
        <row r="454">
          <cell r="D454" t="str">
            <v>ED3-PCE</v>
          </cell>
        </row>
        <row r="455">
          <cell r="D455" t="str">
            <v>ED3-CHE</v>
          </cell>
        </row>
        <row r="464">
          <cell r="D464" t="str">
            <v>ED2-PETE</v>
          </cell>
        </row>
        <row r="465">
          <cell r="D465" t="str">
            <v>Total H2</v>
          </cell>
        </row>
        <row r="468">
          <cell r="D468"/>
        </row>
        <row r="469">
          <cell r="D469"/>
        </row>
        <row r="470">
          <cell r="D470" t="str">
            <v>CLASS</v>
          </cell>
        </row>
        <row r="471">
          <cell r="D471" t="str">
            <v>ED1-AE</v>
          </cell>
        </row>
        <row r="472">
          <cell r="D472" t="str">
            <v>ED1-METE</v>
          </cell>
        </row>
        <row r="473">
          <cell r="D473" t="str">
            <v>ED1-MSE</v>
          </cell>
        </row>
        <row r="474">
          <cell r="D474" t="str">
            <v>ED1-ME</v>
          </cell>
        </row>
        <row r="475">
          <cell r="D475" t="str">
            <v>ED1-AUTO</v>
          </cell>
        </row>
        <row r="476">
          <cell r="D476" t="str">
            <v>ED1-IND</v>
          </cell>
        </row>
        <row r="477">
          <cell r="D477" t="str">
            <v>ED1-MARI</v>
          </cell>
        </row>
        <row r="478">
          <cell r="D478" t="str">
            <v>ED2-CE</v>
          </cell>
        </row>
        <row r="479">
          <cell r="D479" t="str">
            <v>ED4-AERO</v>
          </cell>
        </row>
        <row r="487">
          <cell r="D487"/>
        </row>
        <row r="488">
          <cell r="D488"/>
        </row>
        <row r="489">
          <cell r="D489" t="str">
            <v>CLASS</v>
          </cell>
        </row>
        <row r="490">
          <cell r="D490" t="str">
            <v>ED4-BME</v>
          </cell>
        </row>
        <row r="491">
          <cell r="D491" t="str">
            <v>ED4-COE</v>
          </cell>
        </row>
        <row r="492">
          <cell r="D492" t="str">
            <v>ED4-CHE</v>
          </cell>
        </row>
        <row r="493">
          <cell r="D493" t="str">
            <v>ED4-PCE</v>
          </cell>
        </row>
        <row r="494">
          <cell r="D494" t="str">
            <v>ED4-AE</v>
          </cell>
        </row>
        <row r="495">
          <cell r="D495" t="str">
            <v>ED2-MSE</v>
          </cell>
        </row>
        <row r="496">
          <cell r="D496" t="str">
            <v>ED2-METE</v>
          </cell>
        </row>
        <row r="497">
          <cell r="D497" t="str">
            <v>ED4-CE</v>
          </cell>
        </row>
        <row r="498">
          <cell r="D498" t="str">
            <v>ED1-AERO</v>
          </cell>
        </row>
        <row r="499">
          <cell r="D499" t="str">
            <v>ED4-AERO</v>
          </cell>
        </row>
        <row r="500">
          <cell r="D500" t="str">
            <v>ED4-ME</v>
          </cell>
        </row>
        <row r="501">
          <cell r="D501" t="str">
            <v>ED4-IND</v>
          </cell>
        </row>
        <row r="502">
          <cell r="D502" t="str">
            <v>ED3-AERO</v>
          </cell>
        </row>
        <row r="503">
          <cell r="D503" t="str">
            <v>ED3-PETE</v>
          </cell>
        </row>
        <row r="511">
          <cell r="D511" t="str">
            <v>Total H4</v>
          </cell>
        </row>
        <row r="514">
          <cell r="D514"/>
        </row>
        <row r="515">
          <cell r="D515"/>
        </row>
        <row r="516">
          <cell r="D516" t="str">
            <v>CLASS</v>
          </cell>
        </row>
        <row r="517">
          <cell r="D517" t="str">
            <v>ED4-GEOM</v>
          </cell>
        </row>
        <row r="518">
          <cell r="D518" t="str">
            <v>ED4-TEL</v>
          </cell>
        </row>
        <row r="519">
          <cell r="D519" t="str">
            <v>ED4-EE</v>
          </cell>
        </row>
        <row r="520">
          <cell r="D520" t="str">
            <v>ED4-PETE</v>
          </cell>
        </row>
        <row r="521">
          <cell r="D521" t="str">
            <v>ED3-AE</v>
          </cell>
        </row>
        <row r="522">
          <cell r="D522" t="str">
            <v>ED3-IND</v>
          </cell>
        </row>
        <row r="523">
          <cell r="D523" t="str">
            <v>ED3-CE</v>
          </cell>
        </row>
        <row r="524">
          <cell r="D524" t="str">
            <v>ED3-CHE</v>
          </cell>
        </row>
        <row r="525">
          <cell r="D525" t="str">
            <v>ED3-EE</v>
          </cell>
        </row>
        <row r="526">
          <cell r="D526" t="str">
            <v>ED4-AUTO</v>
          </cell>
        </row>
        <row r="527">
          <cell r="D527" t="str">
            <v>ED4-ME</v>
          </cell>
        </row>
        <row r="528">
          <cell r="D528" t="str">
            <v>Total H5</v>
          </cell>
        </row>
        <row r="531">
          <cell r="D531"/>
        </row>
        <row r="532">
          <cell r="D532"/>
        </row>
        <row r="533">
          <cell r="D533" t="str">
            <v>CLASS</v>
          </cell>
        </row>
        <row r="534">
          <cell r="D534" t="str">
            <v>ED4-AUTO</v>
          </cell>
        </row>
        <row r="535">
          <cell r="D535" t="str">
            <v>ED2-AUTO</v>
          </cell>
        </row>
        <row r="536">
          <cell r="D536" t="str">
            <v>ED3-GEOM</v>
          </cell>
        </row>
        <row r="537">
          <cell r="D537" t="str">
            <v>ED2-PETE</v>
          </cell>
        </row>
        <row r="538">
          <cell r="D538" t="str">
            <v>ED2-PCE</v>
          </cell>
        </row>
        <row r="539">
          <cell r="D539" t="str">
            <v>ED3-TEL</v>
          </cell>
        </row>
        <row r="540">
          <cell r="D540" t="str">
            <v>ED1-CE</v>
          </cell>
        </row>
        <row r="541">
          <cell r="D541" t="str">
            <v>ED2-AERO</v>
          </cell>
        </row>
        <row r="542">
          <cell r="D542" t="str">
            <v>ED2-GEOM</v>
          </cell>
        </row>
        <row r="543">
          <cell r="D543" t="str">
            <v>ED1-CHE</v>
          </cell>
        </row>
        <row r="544">
          <cell r="D544" t="str">
            <v>ED1-PCE</v>
          </cell>
        </row>
        <row r="545">
          <cell r="D545" t="str">
            <v>ED2-MARI</v>
          </cell>
        </row>
        <row r="546">
          <cell r="D546" t="str">
            <v>ED2-GEOL</v>
          </cell>
        </row>
        <row r="547">
          <cell r="D547" t="str">
            <v>ED3-ME</v>
          </cell>
        </row>
        <row r="548">
          <cell r="D548" t="str">
            <v>Total H6</v>
          </cell>
        </row>
        <row r="551">
          <cell r="D551"/>
        </row>
        <row r="552">
          <cell r="D552"/>
        </row>
        <row r="553">
          <cell r="D553" t="str">
            <v>CLASS</v>
          </cell>
        </row>
        <row r="565">
          <cell r="D565" t="str">
            <v>Total H7</v>
          </cell>
        </row>
        <row r="568">
          <cell r="D568"/>
        </row>
        <row r="569">
          <cell r="D569"/>
        </row>
        <row r="570">
          <cell r="D570" t="str">
            <v>CLASS</v>
          </cell>
        </row>
        <row r="571">
          <cell r="D571" t="str">
            <v>ED1-GEOL</v>
          </cell>
        </row>
        <row r="572">
          <cell r="D572" t="str">
            <v>ED2-BME</v>
          </cell>
        </row>
        <row r="573">
          <cell r="D573" t="str">
            <v>ED2-COE</v>
          </cell>
        </row>
        <row r="574">
          <cell r="D574" t="str">
            <v>ED2-TEL</v>
          </cell>
        </row>
        <row r="575">
          <cell r="D575" t="str">
            <v>ED3-GEOM</v>
          </cell>
        </row>
        <row r="576">
          <cell r="D576" t="str">
            <v>ED3-GEOL</v>
          </cell>
        </row>
        <row r="577">
          <cell r="D577" t="str">
            <v>ED4-PCE</v>
          </cell>
        </row>
        <row r="578">
          <cell r="D578" t="str">
            <v>ED3-MSE</v>
          </cell>
        </row>
        <row r="588">
          <cell r="D588"/>
        </row>
        <row r="589">
          <cell r="D589"/>
        </row>
        <row r="590">
          <cell r="D590" t="str">
            <v>CLASS</v>
          </cell>
        </row>
        <row r="591">
          <cell r="D591" t="str">
            <v>ED2-EE</v>
          </cell>
        </row>
        <row r="592">
          <cell r="D592" t="str">
            <v>ED2-BME</v>
          </cell>
        </row>
        <row r="593">
          <cell r="D593" t="str">
            <v>ED2-AUTO</v>
          </cell>
        </row>
        <row r="594">
          <cell r="D594" t="str">
            <v>ED2-PCE</v>
          </cell>
        </row>
        <row r="595">
          <cell r="D595" t="str">
            <v>ED2-PETE</v>
          </cell>
        </row>
        <row r="596">
          <cell r="D596" t="str">
            <v>ED2-MSE</v>
          </cell>
        </row>
        <row r="597">
          <cell r="D597" t="str">
            <v>ED2-METE</v>
          </cell>
        </row>
        <row r="598">
          <cell r="D598" t="str">
            <v>ED3-GEOL</v>
          </cell>
        </row>
        <row r="599">
          <cell r="D599" t="str">
            <v>ED4-AE</v>
          </cell>
        </row>
        <row r="600">
          <cell r="D600" t="str">
            <v>ED4-MSE</v>
          </cell>
        </row>
        <row r="601">
          <cell r="D601" t="str">
            <v>ED4-METE</v>
          </cell>
        </row>
        <row r="602">
          <cell r="D602" t="str">
            <v>ED4-CHE</v>
          </cell>
        </row>
        <row r="603">
          <cell r="D603" t="str">
            <v>ED4-PCE</v>
          </cell>
        </row>
        <row r="604">
          <cell r="D604" t="str">
            <v>ED1-AE</v>
          </cell>
        </row>
        <row r="605">
          <cell r="D605" t="str">
            <v>ED4-GEOL</v>
          </cell>
        </row>
        <row r="614">
          <cell r="D614"/>
        </row>
        <row r="615">
          <cell r="D615"/>
        </row>
        <row r="616">
          <cell r="D616" t="str">
            <v>CLASS</v>
          </cell>
        </row>
        <row r="617">
          <cell r="D617" t="str">
            <v>ED3-AE</v>
          </cell>
        </row>
        <row r="618">
          <cell r="D618" t="str">
            <v>ED3-AUTO</v>
          </cell>
        </row>
        <row r="619">
          <cell r="D619" t="str">
            <v>ED3-AERO</v>
          </cell>
        </row>
        <row r="620">
          <cell r="D620" t="str">
            <v>ED4-COE</v>
          </cell>
        </row>
        <row r="621">
          <cell r="D621" t="str">
            <v>ED2-MARI</v>
          </cell>
        </row>
        <row r="622">
          <cell r="D622" t="str">
            <v>ED4-CE</v>
          </cell>
        </row>
        <row r="623">
          <cell r="D623" t="str">
            <v>ED1-AERO</v>
          </cell>
        </row>
        <row r="629">
          <cell r="D629" t="str">
            <v>ED3-COE</v>
          </cell>
        </row>
        <row r="630">
          <cell r="D630" t="str">
            <v>Total F3</v>
          </cell>
        </row>
        <row r="633">
          <cell r="D633"/>
        </row>
        <row r="634">
          <cell r="D634"/>
        </row>
        <row r="635">
          <cell r="D635" t="str">
            <v>CLASS</v>
          </cell>
        </row>
        <row r="636">
          <cell r="D636" t="str">
            <v>ED2-CHE</v>
          </cell>
        </row>
        <row r="637">
          <cell r="D637" t="str">
            <v>ED2-PCE</v>
          </cell>
        </row>
        <row r="638">
          <cell r="D638" t="str">
            <v>ED3-EE</v>
          </cell>
        </row>
        <row r="639">
          <cell r="D639" t="str">
            <v>ED2-PETE</v>
          </cell>
        </row>
        <row r="640">
          <cell r="D640" t="str">
            <v>ED3-GEOM</v>
          </cell>
        </row>
        <row r="641">
          <cell r="D641" t="str">
            <v>ED2-CE</v>
          </cell>
        </row>
        <row r="642">
          <cell r="D642" t="str">
            <v>ED2-GEOL</v>
          </cell>
        </row>
        <row r="643">
          <cell r="D643" t="str">
            <v>ED2-GEOM</v>
          </cell>
        </row>
        <row r="649">
          <cell r="D649"/>
        </row>
        <row r="650">
          <cell r="D650" t="str">
            <v>CLASS</v>
          </cell>
        </row>
        <row r="651">
          <cell r="D651" t="str">
            <v>ED2-TEL</v>
          </cell>
        </row>
        <row r="652">
          <cell r="D652" t="str">
            <v>ED3-CHE</v>
          </cell>
        </row>
        <row r="653">
          <cell r="D653" t="str">
            <v>ED2-EE</v>
          </cell>
        </row>
        <row r="654">
          <cell r="D654" t="str">
            <v>ED1-GEOL</v>
          </cell>
        </row>
        <row r="655">
          <cell r="D655" t="str">
            <v>ED1-CE</v>
          </cell>
        </row>
        <row r="656">
          <cell r="D656" t="str">
            <v>ED1-MARI</v>
          </cell>
        </row>
        <row r="657">
          <cell r="D657" t="str">
            <v>ED3-GEOM</v>
          </cell>
        </row>
        <row r="658">
          <cell r="D658" t="str">
            <v>ED2-BME</v>
          </cell>
        </row>
        <row r="659">
          <cell r="D659" t="str">
            <v>ED2-COE</v>
          </cell>
        </row>
        <row r="660">
          <cell r="D660" t="str">
            <v>ED3-AUTO</v>
          </cell>
        </row>
        <row r="667">
          <cell r="D667"/>
        </row>
        <row r="668">
          <cell r="D668"/>
        </row>
        <row r="669">
          <cell r="D669" t="str">
            <v>CLASS</v>
          </cell>
        </row>
        <row r="670">
          <cell r="D670" t="str">
            <v>ED1-CE</v>
          </cell>
        </row>
        <row r="671">
          <cell r="D671" t="str">
            <v>ED1-EE</v>
          </cell>
        </row>
        <row r="672">
          <cell r="D672" t="str">
            <v>ED1-GEOM</v>
          </cell>
        </row>
        <row r="673">
          <cell r="D673" t="str">
            <v>ED1-BME</v>
          </cell>
        </row>
        <row r="674">
          <cell r="D674" t="str">
            <v>ED1-COE</v>
          </cell>
        </row>
        <row r="675">
          <cell r="D675" t="str">
            <v>ED1-METE</v>
          </cell>
        </row>
        <row r="676">
          <cell r="D676" t="str">
            <v>ED2-GEOL</v>
          </cell>
        </row>
        <row r="677">
          <cell r="D677" t="str">
            <v>ED4-MARI</v>
          </cell>
        </row>
        <row r="678">
          <cell r="D678" t="str">
            <v>ED2-IND</v>
          </cell>
        </row>
        <row r="679">
          <cell r="D679" t="str">
            <v>ED2-ME</v>
          </cell>
        </row>
        <row r="680">
          <cell r="D680" t="str">
            <v>ED1-AUTO</v>
          </cell>
        </row>
        <row r="681">
          <cell r="D681" t="str">
            <v>ED2-AERO</v>
          </cell>
        </row>
        <row r="688">
          <cell r="D688"/>
        </row>
        <row r="689">
          <cell r="D689"/>
        </row>
        <row r="690">
          <cell r="D690" t="str">
            <v>CLASS</v>
          </cell>
        </row>
        <row r="691">
          <cell r="D691" t="str">
            <v>ED1-GEOL</v>
          </cell>
        </row>
        <row r="692">
          <cell r="D692"/>
        </row>
        <row r="693">
          <cell r="D693"/>
        </row>
        <row r="694">
          <cell r="D694"/>
        </row>
        <row r="695">
          <cell r="D695"/>
        </row>
        <row r="696">
          <cell r="D696"/>
        </row>
        <row r="697">
          <cell r="D697"/>
        </row>
        <row r="698">
          <cell r="D698"/>
        </row>
        <row r="699">
          <cell r="D699"/>
        </row>
        <row r="700">
          <cell r="D700"/>
        </row>
        <row r="701">
          <cell r="D701" t="str">
            <v>Total F7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 (Working)"/>
      <sheetName val="TT (Values)"/>
      <sheetName val="FREQ"/>
      <sheetName val="TALLY"/>
      <sheetName val="ROOMS"/>
      <sheetName val="ROOMS (2)"/>
      <sheetName val="WATER"/>
      <sheetName val="SESSIONS"/>
      <sheetName val="COURSES"/>
      <sheetName val="TEO_fred"/>
      <sheetName val="Working sheet"/>
    </sheetNames>
    <sheetDataSet>
      <sheetData sheetId="0">
        <row r="3">
          <cell r="D3" t="str">
            <v>CLASS</v>
          </cell>
        </row>
        <row r="4">
          <cell r="D4" t="str">
            <v>ED1-AERO</v>
          </cell>
        </row>
        <row r="5">
          <cell r="D5" t="str">
            <v>ED1-AE</v>
          </cell>
        </row>
        <row r="6">
          <cell r="D6" t="str">
            <v>ED1-AUTO</v>
          </cell>
        </row>
        <row r="7">
          <cell r="D7" t="str">
            <v>ED1-BME</v>
          </cell>
        </row>
        <row r="8">
          <cell r="D8" t="str">
            <v>ED1-CHE</v>
          </cell>
        </row>
        <row r="9">
          <cell r="D9" t="str">
            <v>ED1-COE</v>
          </cell>
        </row>
        <row r="10">
          <cell r="D10" t="str">
            <v>ED1-IND</v>
          </cell>
        </row>
        <row r="11">
          <cell r="D11" t="str">
            <v>ED3-EE</v>
          </cell>
        </row>
        <row r="12">
          <cell r="D12" t="str">
            <v>ED2-EE</v>
          </cell>
        </row>
        <row r="13">
          <cell r="D13" t="str">
            <v>ED3-TEL</v>
          </cell>
        </row>
        <row r="14">
          <cell r="D14" t="str">
            <v>ED3-CHE</v>
          </cell>
        </row>
        <row r="15">
          <cell r="D15" t="str">
            <v>ED3-IND</v>
          </cell>
        </row>
        <row r="16">
          <cell r="D16" t="str">
            <v>ED3-BME</v>
          </cell>
        </row>
        <row r="17">
          <cell r="D17" t="str">
            <v>ED4-METE</v>
          </cell>
        </row>
        <row r="18">
          <cell r="D18" t="str">
            <v>ED4-ME</v>
          </cell>
        </row>
        <row r="19">
          <cell r="D19" t="str">
            <v>ED4-CHE</v>
          </cell>
        </row>
        <row r="20">
          <cell r="D20" t="str">
            <v>ED3-COE</v>
          </cell>
        </row>
        <row r="21">
          <cell r="D21" t="str">
            <v>Total M1</v>
          </cell>
        </row>
        <row r="26">
          <cell r="D26" t="str">
            <v>CLASS</v>
          </cell>
        </row>
        <row r="27">
          <cell r="D27" t="str">
            <v>ED1-CE</v>
          </cell>
        </row>
        <row r="28">
          <cell r="D28" t="str">
            <v>ED1-EE</v>
          </cell>
        </row>
        <row r="29">
          <cell r="D29" t="str">
            <v>ED1-GEOL</v>
          </cell>
        </row>
        <row r="30">
          <cell r="D30" t="str">
            <v>ED1-METE</v>
          </cell>
        </row>
        <row r="31">
          <cell r="D31" t="str">
            <v>ED1-PCE</v>
          </cell>
        </row>
        <row r="32">
          <cell r="D32" t="str">
            <v>ED2-COE</v>
          </cell>
        </row>
        <row r="33">
          <cell r="D33" t="str">
            <v>ED3-AERO</v>
          </cell>
        </row>
        <row r="34">
          <cell r="D34" t="str">
            <v>ED2-METE</v>
          </cell>
        </row>
        <row r="35">
          <cell r="D35" t="str">
            <v>ED4-GEOL</v>
          </cell>
        </row>
        <row r="36">
          <cell r="D36" t="str">
            <v>ED4-BME</v>
          </cell>
        </row>
        <row r="37">
          <cell r="D37" t="str">
            <v>ED2-AERO</v>
          </cell>
        </row>
        <row r="38">
          <cell r="D38" t="str">
            <v>ED4-CE</v>
          </cell>
        </row>
        <row r="39">
          <cell r="D39" t="str">
            <v>ED3-GEOL</v>
          </cell>
        </row>
        <row r="40">
          <cell r="D40" t="str">
            <v>ED2-CHE</v>
          </cell>
        </row>
        <row r="41">
          <cell r="D41" t="str">
            <v>ED2-PCE</v>
          </cell>
        </row>
        <row r="42">
          <cell r="D42" t="str">
            <v>ED3-AUTO</v>
          </cell>
        </row>
        <row r="43">
          <cell r="D43" t="str">
            <v>ED4-TEL</v>
          </cell>
        </row>
        <row r="44">
          <cell r="D44" t="str">
            <v>ED4-PETE</v>
          </cell>
        </row>
        <row r="45">
          <cell r="D45" t="str">
            <v>Total M2</v>
          </cell>
        </row>
        <row r="50">
          <cell r="D50" t="str">
            <v>CLASS</v>
          </cell>
        </row>
        <row r="51">
          <cell r="D51" t="str">
            <v>ED1-GEOM</v>
          </cell>
        </row>
        <row r="52">
          <cell r="D52" t="str">
            <v>ED1-MARI</v>
          </cell>
        </row>
        <row r="53">
          <cell r="D53" t="str">
            <v>ED1-MSE</v>
          </cell>
        </row>
        <row r="54">
          <cell r="D54" t="str">
            <v>ED1-ME</v>
          </cell>
        </row>
        <row r="55">
          <cell r="D55" t="str">
            <v>ED1-PETE</v>
          </cell>
        </row>
        <row r="56">
          <cell r="D56" t="str">
            <v>ED1-TEL</v>
          </cell>
        </row>
        <row r="57">
          <cell r="D57" t="str">
            <v>ED3-AE</v>
          </cell>
        </row>
        <row r="58">
          <cell r="D58" t="str">
            <v>ED4-MARI</v>
          </cell>
        </row>
        <row r="59">
          <cell r="D59" t="str">
            <v>ED3-PCE</v>
          </cell>
        </row>
        <row r="60">
          <cell r="D60" t="str">
            <v>ED2-ME</v>
          </cell>
        </row>
        <row r="61">
          <cell r="D61" t="str">
            <v>ED3-COE</v>
          </cell>
        </row>
        <row r="62">
          <cell r="D62" t="str">
            <v>ED3-EE</v>
          </cell>
        </row>
        <row r="63">
          <cell r="D63" t="str">
            <v>ED4-CE</v>
          </cell>
        </row>
        <row r="64">
          <cell r="D64" t="str">
            <v>ED3-MARI</v>
          </cell>
        </row>
        <row r="65">
          <cell r="D65" t="str">
            <v>ED2-COE</v>
          </cell>
        </row>
        <row r="66">
          <cell r="D66" t="str">
            <v>ED3-PETE</v>
          </cell>
        </row>
        <row r="67">
          <cell r="D67" t="str">
            <v>Total M3</v>
          </cell>
        </row>
        <row r="72">
          <cell r="D72" t="str">
            <v>CLASS</v>
          </cell>
        </row>
        <row r="73">
          <cell r="D73" t="str">
            <v>ED4-AERO</v>
          </cell>
        </row>
        <row r="74">
          <cell r="D74" t="str">
            <v>ED4-ME</v>
          </cell>
        </row>
        <row r="75">
          <cell r="D75" t="str">
            <v>ED4-IND</v>
          </cell>
        </row>
        <row r="76">
          <cell r="D76" t="str">
            <v>ED3-EE</v>
          </cell>
        </row>
        <row r="77">
          <cell r="D77" t="str">
            <v>ED4-TEL</v>
          </cell>
        </row>
        <row r="78">
          <cell r="D78" t="str">
            <v>ED4-EE</v>
          </cell>
        </row>
        <row r="79">
          <cell r="D79" t="str">
            <v>ED4-COE</v>
          </cell>
        </row>
        <row r="80">
          <cell r="D80" t="str">
            <v>ED3-MSE</v>
          </cell>
        </row>
        <row r="81">
          <cell r="D81" t="str">
            <v>ED4-GEOL</v>
          </cell>
        </row>
        <row r="82">
          <cell r="D82" t="str">
            <v>ED4-GEOM</v>
          </cell>
        </row>
        <row r="83">
          <cell r="D83" t="str">
            <v>ED2-BME</v>
          </cell>
        </row>
        <row r="84">
          <cell r="D84" t="str">
            <v>ED2-CE</v>
          </cell>
        </row>
        <row r="85">
          <cell r="D85" t="str">
            <v>ED2-GEOM</v>
          </cell>
        </row>
        <row r="86">
          <cell r="D86" t="str">
            <v>ED4-AE</v>
          </cell>
        </row>
        <row r="87">
          <cell r="D87" t="str">
            <v>ED4-PETE</v>
          </cell>
        </row>
        <row r="88">
          <cell r="D88" t="str">
            <v>ED3-PETE</v>
          </cell>
        </row>
        <row r="89">
          <cell r="D89" t="str">
            <v>ED3-METE</v>
          </cell>
        </row>
        <row r="90">
          <cell r="D90" t="str">
            <v>Total M4</v>
          </cell>
        </row>
        <row r="95">
          <cell r="D95" t="str">
            <v>CLASS</v>
          </cell>
        </row>
        <row r="96">
          <cell r="D96" t="str">
            <v>ED2-AE</v>
          </cell>
        </row>
        <row r="97">
          <cell r="D97" t="str">
            <v>ED3-ME</v>
          </cell>
        </row>
        <row r="98">
          <cell r="D98" t="str">
            <v>ED2-GEOL</v>
          </cell>
        </row>
        <row r="99">
          <cell r="D99" t="str">
            <v>ED1-GEOL</v>
          </cell>
        </row>
        <row r="100">
          <cell r="D100" t="str">
            <v>ED2-PETE</v>
          </cell>
        </row>
        <row r="101">
          <cell r="D101" t="str">
            <v>ED3-CHE</v>
          </cell>
        </row>
        <row r="102">
          <cell r="D102" t="str">
            <v>ED3-PCE</v>
          </cell>
        </row>
        <row r="103">
          <cell r="D103" t="str">
            <v>ED3-CE</v>
          </cell>
        </row>
        <row r="104">
          <cell r="D104" t="str">
            <v>ED4-AERO</v>
          </cell>
        </row>
        <row r="105">
          <cell r="D105" t="str">
            <v>ED1-TEL</v>
          </cell>
        </row>
        <row r="106">
          <cell r="D106" t="str">
            <v>Total M5</v>
          </cell>
        </row>
        <row r="111">
          <cell r="D111" t="str">
            <v>CLASS</v>
          </cell>
        </row>
        <row r="112">
          <cell r="D112" t="str">
            <v>ED3-GEOL</v>
          </cell>
        </row>
        <row r="113">
          <cell r="D113" t="str">
            <v>ED4-CE</v>
          </cell>
        </row>
        <row r="114">
          <cell r="D114" t="str">
            <v>ED3-CE</v>
          </cell>
        </row>
        <row r="115">
          <cell r="D115" t="str">
            <v>ED1-BME</v>
          </cell>
        </row>
        <row r="116">
          <cell r="D116" t="str">
            <v>ED2-IND</v>
          </cell>
        </row>
        <row r="117">
          <cell r="D117" t="str">
            <v>ED2-MARI</v>
          </cell>
        </row>
        <row r="118">
          <cell r="D118" t="str">
            <v>ED2-ME</v>
          </cell>
        </row>
        <row r="119">
          <cell r="D119" t="str">
            <v>ED2-AUTO</v>
          </cell>
        </row>
        <row r="120">
          <cell r="D120" t="str">
            <v>ED2-MSE</v>
          </cell>
        </row>
        <row r="121">
          <cell r="D121" t="str">
            <v>ED3-METE</v>
          </cell>
        </row>
        <row r="122">
          <cell r="D122" t="str">
            <v>ED1-GEOM</v>
          </cell>
        </row>
        <row r="123">
          <cell r="D123" t="str">
            <v>ED4-PETE</v>
          </cell>
        </row>
        <row r="124">
          <cell r="D124" t="str">
            <v>ED3-GEOM</v>
          </cell>
        </row>
        <row r="125">
          <cell r="D125" t="str">
            <v>Total M6</v>
          </cell>
        </row>
        <row r="130">
          <cell r="D130" t="str">
            <v>CLASS</v>
          </cell>
        </row>
        <row r="131">
          <cell r="D131" t="str">
            <v>ED2-METE</v>
          </cell>
        </row>
        <row r="132">
          <cell r="D132" t="str">
            <v>ED2-MSE</v>
          </cell>
        </row>
        <row r="133">
          <cell r="D133" t="str">
            <v>ED3-EE</v>
          </cell>
        </row>
        <row r="134">
          <cell r="D134" t="str">
            <v>ED3-TEL</v>
          </cell>
        </row>
        <row r="135">
          <cell r="D135" t="str">
            <v>ED3-ME</v>
          </cell>
        </row>
        <row r="136">
          <cell r="D136" t="str">
            <v>ED3-AERO</v>
          </cell>
        </row>
        <row r="137">
          <cell r="D137" t="str">
            <v>ED3-AE</v>
          </cell>
        </row>
        <row r="138">
          <cell r="D138" t="str">
            <v>ED3-MARI</v>
          </cell>
        </row>
        <row r="139">
          <cell r="D139" t="str">
            <v>ED4-AUTO</v>
          </cell>
        </row>
        <row r="140">
          <cell r="D140" t="str">
            <v>ED2-CHE</v>
          </cell>
        </row>
        <row r="141">
          <cell r="D141" t="str">
            <v>ED2-PCE</v>
          </cell>
        </row>
        <row r="142">
          <cell r="D142" t="str">
            <v>ED2-CE</v>
          </cell>
        </row>
        <row r="143">
          <cell r="D143" t="str">
            <v>ED1-METE</v>
          </cell>
        </row>
        <row r="144">
          <cell r="D144" t="str">
            <v>ED1-MSE</v>
          </cell>
        </row>
        <row r="145">
          <cell r="D145" t="str">
            <v>Total M7</v>
          </cell>
        </row>
        <row r="150">
          <cell r="D150" t="str">
            <v>CLASS</v>
          </cell>
        </row>
        <row r="151">
          <cell r="D151" t="str">
            <v>ED1-CE</v>
          </cell>
        </row>
        <row r="152">
          <cell r="D152" t="str">
            <v>ED1-BME</v>
          </cell>
        </row>
        <row r="153">
          <cell r="D153" t="str">
            <v>ED1-CHE</v>
          </cell>
        </row>
        <row r="154">
          <cell r="D154" t="str">
            <v>ED1-PCE</v>
          </cell>
        </row>
        <row r="155">
          <cell r="D155" t="str">
            <v>ED1-PETE</v>
          </cell>
        </row>
        <row r="156">
          <cell r="D156" t="str">
            <v>ED1-TEL</v>
          </cell>
        </row>
        <row r="157">
          <cell r="D157" t="str">
            <v>ED1-AERO</v>
          </cell>
        </row>
        <row r="158">
          <cell r="D158" t="str">
            <v>ED1-COE</v>
          </cell>
        </row>
        <row r="159">
          <cell r="D159" t="str">
            <v>ED3-CE</v>
          </cell>
        </row>
        <row r="160">
          <cell r="D160" t="str">
            <v>ED4-MSE</v>
          </cell>
        </row>
        <row r="161">
          <cell r="D161" t="str">
            <v>ED4-METE</v>
          </cell>
        </row>
        <row r="162">
          <cell r="D162" t="str">
            <v>Total T1</v>
          </cell>
        </row>
        <row r="167">
          <cell r="D167" t="str">
            <v>CLASS</v>
          </cell>
        </row>
        <row r="168">
          <cell r="D168" t="str">
            <v>ED1-AUTO</v>
          </cell>
        </row>
        <row r="169">
          <cell r="D169" t="str">
            <v>ED1-ME</v>
          </cell>
        </row>
        <row r="170">
          <cell r="D170" t="str">
            <v>ED1-MSE</v>
          </cell>
        </row>
        <row r="171">
          <cell r="D171" t="str">
            <v>ED1-IND</v>
          </cell>
        </row>
        <row r="172">
          <cell r="D172" t="str">
            <v>ED1-MARI</v>
          </cell>
        </row>
        <row r="173">
          <cell r="D173" t="str">
            <v>ED1-EE</v>
          </cell>
        </row>
        <row r="174">
          <cell r="D174" t="str">
            <v>ED1-GEOL</v>
          </cell>
        </row>
        <row r="175">
          <cell r="D175" t="str">
            <v>ED1-GEOM</v>
          </cell>
        </row>
        <row r="176">
          <cell r="D176" t="str">
            <v>ED1-AE</v>
          </cell>
        </row>
        <row r="177">
          <cell r="D177" t="str">
            <v>ED2-GEOL</v>
          </cell>
        </row>
        <row r="178">
          <cell r="D178" t="str">
            <v>ED2-CE</v>
          </cell>
        </row>
        <row r="179">
          <cell r="D179" t="str">
            <v>ED4-PETE</v>
          </cell>
        </row>
        <row r="180">
          <cell r="D180" t="str">
            <v>ED4-MARI</v>
          </cell>
        </row>
        <row r="181">
          <cell r="D181" t="str">
            <v>ED3-CHE</v>
          </cell>
        </row>
        <row r="182">
          <cell r="D182" t="str">
            <v>Total T2</v>
          </cell>
        </row>
        <row r="187">
          <cell r="D187" t="str">
            <v>CLASS</v>
          </cell>
        </row>
        <row r="188">
          <cell r="D188" t="str">
            <v>ED1-METE</v>
          </cell>
        </row>
        <row r="189">
          <cell r="D189" t="str">
            <v>ED1-PCE</v>
          </cell>
        </row>
        <row r="190">
          <cell r="D190" t="str">
            <v>ED1-PETE</v>
          </cell>
        </row>
        <row r="191">
          <cell r="D191" t="str">
            <v>ED1-MSE</v>
          </cell>
        </row>
        <row r="192">
          <cell r="D192" t="str">
            <v>ED1-AE</v>
          </cell>
        </row>
        <row r="193">
          <cell r="D193" t="str">
            <v>ED3-ME</v>
          </cell>
        </row>
        <row r="194">
          <cell r="D194" t="str">
            <v>ED3-MARI</v>
          </cell>
        </row>
        <row r="195">
          <cell r="D195" t="str">
            <v>ED2-BME</v>
          </cell>
        </row>
        <row r="196">
          <cell r="D196" t="str">
            <v>ED2-CHE</v>
          </cell>
        </row>
        <row r="197">
          <cell r="D197" t="str">
            <v>ED4-AE</v>
          </cell>
        </row>
        <row r="198">
          <cell r="D198" t="str">
            <v>ED2-PETE</v>
          </cell>
        </row>
        <row r="199">
          <cell r="D199" t="str">
            <v>ED3-EE</v>
          </cell>
        </row>
        <row r="200">
          <cell r="D200" t="str">
            <v>ED1-TEL</v>
          </cell>
        </row>
        <row r="201">
          <cell r="D201" t="str">
            <v>ED4-PETE</v>
          </cell>
        </row>
        <row r="202">
          <cell r="D202" t="str">
            <v>Total T3</v>
          </cell>
        </row>
        <row r="207">
          <cell r="D207" t="str">
            <v>CLASS</v>
          </cell>
        </row>
        <row r="208">
          <cell r="D208" t="str">
            <v>ED2-COE</v>
          </cell>
        </row>
        <row r="209">
          <cell r="D209" t="str">
            <v>ED2-GEOL</v>
          </cell>
        </row>
        <row r="210">
          <cell r="D210" t="str">
            <v>ED2-GEOM</v>
          </cell>
        </row>
        <row r="211">
          <cell r="D211" t="str">
            <v>ED2-IND</v>
          </cell>
        </row>
        <row r="212">
          <cell r="D212" t="str">
            <v>ED2-TEL</v>
          </cell>
        </row>
        <row r="213">
          <cell r="D213" t="str">
            <v>ED3-GEOL</v>
          </cell>
        </row>
        <row r="214">
          <cell r="D214" t="str">
            <v>ED2-MSE</v>
          </cell>
        </row>
        <row r="215">
          <cell r="D215" t="str">
            <v>ED2-METE</v>
          </cell>
        </row>
        <row r="216">
          <cell r="D216" t="str">
            <v>ED1-CHE</v>
          </cell>
        </row>
        <row r="217">
          <cell r="D217" t="str">
            <v>ED1-AUTO</v>
          </cell>
        </row>
        <row r="218">
          <cell r="D218" t="str">
            <v>ED3-MSE</v>
          </cell>
        </row>
        <row r="219">
          <cell r="D219" t="str">
            <v>ED3-BME</v>
          </cell>
        </row>
        <row r="220">
          <cell r="D220" t="str">
            <v>ED4-EE</v>
          </cell>
        </row>
        <row r="221">
          <cell r="D221" t="str">
            <v>Total T4</v>
          </cell>
        </row>
        <row r="226">
          <cell r="D226" t="str">
            <v>CLASS</v>
          </cell>
        </row>
        <row r="227">
          <cell r="D227" t="str">
            <v>ED2-AE</v>
          </cell>
        </row>
        <row r="228">
          <cell r="D228" t="str">
            <v>ED2-AERO</v>
          </cell>
        </row>
        <row r="229">
          <cell r="D229" t="str">
            <v>ED2-CE</v>
          </cell>
        </row>
        <row r="230">
          <cell r="D230" t="str">
            <v>ED2-MARI</v>
          </cell>
        </row>
        <row r="231">
          <cell r="D231" t="str">
            <v>ED2-ME</v>
          </cell>
        </row>
        <row r="232">
          <cell r="D232" t="str">
            <v>ED2-CHE</v>
          </cell>
        </row>
        <row r="233">
          <cell r="D233" t="str">
            <v>ED1-CE</v>
          </cell>
        </row>
        <row r="234">
          <cell r="D234" t="str">
            <v>ED1-GEOL</v>
          </cell>
        </row>
        <row r="235">
          <cell r="D235" t="str">
            <v>ED1-EE</v>
          </cell>
        </row>
        <row r="236">
          <cell r="D236" t="str">
            <v>ED3-AE</v>
          </cell>
        </row>
        <row r="237">
          <cell r="D237" t="str">
            <v>ED1-AERO</v>
          </cell>
        </row>
        <row r="238">
          <cell r="D238" t="str">
            <v>Total T5</v>
          </cell>
        </row>
        <row r="243">
          <cell r="D243" t="str">
            <v>CLASS</v>
          </cell>
        </row>
        <row r="244">
          <cell r="D244" t="str">
            <v>ED2-MARI</v>
          </cell>
        </row>
        <row r="245">
          <cell r="D245" t="str">
            <v>ED2-ME</v>
          </cell>
        </row>
        <row r="246">
          <cell r="D246" t="str">
            <v>ED2-AERO</v>
          </cell>
        </row>
        <row r="247">
          <cell r="D247" t="str">
            <v>ED2-IND</v>
          </cell>
        </row>
        <row r="248">
          <cell r="D248" t="str">
            <v>ED2-AUTO</v>
          </cell>
        </row>
        <row r="249">
          <cell r="D249" t="str">
            <v>ED4-AERO</v>
          </cell>
        </row>
        <row r="250">
          <cell r="D250" t="str">
            <v>ED4-ME</v>
          </cell>
        </row>
        <row r="251">
          <cell r="D251" t="str">
            <v>ED4-GEOL</v>
          </cell>
        </row>
        <row r="252">
          <cell r="D252" t="str">
            <v>ED3-CHE</v>
          </cell>
        </row>
        <row r="253">
          <cell r="D253" t="str">
            <v>ED4-TEL</v>
          </cell>
        </row>
        <row r="254">
          <cell r="D254" t="str">
            <v>ED4-PCE</v>
          </cell>
        </row>
        <row r="255">
          <cell r="D255" t="str">
            <v>ED3-PCE</v>
          </cell>
        </row>
        <row r="256">
          <cell r="D256" t="str">
            <v>ED2-BME</v>
          </cell>
        </row>
        <row r="257">
          <cell r="D257" t="str">
            <v>ED2-COE</v>
          </cell>
        </row>
        <row r="258">
          <cell r="D258" t="str">
            <v>ED4-EE</v>
          </cell>
        </row>
        <row r="259">
          <cell r="D259" t="str">
            <v>Total T6</v>
          </cell>
        </row>
        <row r="264">
          <cell r="D264" t="str">
            <v>CLASS</v>
          </cell>
        </row>
        <row r="265">
          <cell r="D265" t="str">
            <v>ED4-IND</v>
          </cell>
        </row>
        <row r="266">
          <cell r="D266" t="str">
            <v>ED1-COE</v>
          </cell>
        </row>
        <row r="267">
          <cell r="D267" t="str">
            <v>ED3-GEOM</v>
          </cell>
        </row>
        <row r="268">
          <cell r="D268" t="str">
            <v>ED3-PETE</v>
          </cell>
        </row>
        <row r="269">
          <cell r="D269" t="str">
            <v>ED3-IND</v>
          </cell>
        </row>
        <row r="270">
          <cell r="D270" t="str">
            <v>ED2-EE</v>
          </cell>
        </row>
        <row r="271">
          <cell r="D271" t="str">
            <v>ED2-TEL</v>
          </cell>
        </row>
        <row r="272">
          <cell r="D272" t="str">
            <v>ED3-EE</v>
          </cell>
        </row>
        <row r="273">
          <cell r="D273" t="str">
            <v>ED3-TEL</v>
          </cell>
        </row>
        <row r="274">
          <cell r="D274" t="str">
            <v>Total T7</v>
          </cell>
        </row>
        <row r="279">
          <cell r="D279" t="str">
            <v>CLASS</v>
          </cell>
        </row>
        <row r="280">
          <cell r="D280" t="str">
            <v>ED4-PCE</v>
          </cell>
        </row>
        <row r="281">
          <cell r="D281" t="str">
            <v>ED4-CHE</v>
          </cell>
        </row>
        <row r="282">
          <cell r="D282" t="str">
            <v>ED4-PETE</v>
          </cell>
        </row>
        <row r="283">
          <cell r="D283" t="str">
            <v>ED1-AUTO</v>
          </cell>
        </row>
        <row r="284">
          <cell r="D284" t="str">
            <v>ED1-EE</v>
          </cell>
        </row>
        <row r="285">
          <cell r="D285" t="str">
            <v>ED4-MARI</v>
          </cell>
        </row>
        <row r="286">
          <cell r="D286" t="str">
            <v>ED3-PETE</v>
          </cell>
        </row>
        <row r="287">
          <cell r="D287" t="str">
            <v>ED3-MSE</v>
          </cell>
        </row>
        <row r="288">
          <cell r="D288" t="str">
            <v>ED3-METE</v>
          </cell>
        </row>
        <row r="289">
          <cell r="D289" t="str">
            <v>ED3-CHE</v>
          </cell>
        </row>
        <row r="290">
          <cell r="D290" t="str">
            <v>ED2-MSE</v>
          </cell>
        </row>
        <row r="291">
          <cell r="D291" t="str">
            <v>ED3-COE</v>
          </cell>
        </row>
        <row r="292">
          <cell r="D292" t="str">
            <v>ED3-BME</v>
          </cell>
        </row>
        <row r="293">
          <cell r="D293" t="str">
            <v>Total W1</v>
          </cell>
        </row>
        <row r="298">
          <cell r="D298" t="str">
            <v>CLASS</v>
          </cell>
        </row>
        <row r="299">
          <cell r="D299" t="str">
            <v>ED2-AE</v>
          </cell>
        </row>
        <row r="300">
          <cell r="D300" t="str">
            <v>ED2-AERO</v>
          </cell>
        </row>
        <row r="301">
          <cell r="D301" t="str">
            <v>ED2-BME</v>
          </cell>
        </row>
        <row r="302">
          <cell r="D302" t="str">
            <v>ED2-GEOM</v>
          </cell>
        </row>
        <row r="303">
          <cell r="D303" t="str">
            <v>ED2-IND</v>
          </cell>
        </row>
        <row r="304">
          <cell r="D304" t="str">
            <v>ED2-ME</v>
          </cell>
        </row>
        <row r="305">
          <cell r="D305" t="str">
            <v>ED3-GEOL</v>
          </cell>
        </row>
        <row r="306">
          <cell r="D306" t="str">
            <v>ED3-IND</v>
          </cell>
        </row>
        <row r="307">
          <cell r="D307" t="str">
            <v>ED3-CE</v>
          </cell>
        </row>
        <row r="308">
          <cell r="D308" t="str">
            <v>ED3-GEOM</v>
          </cell>
        </row>
        <row r="309">
          <cell r="D309" t="str">
            <v>ED3-PCE</v>
          </cell>
        </row>
        <row r="310">
          <cell r="D310" t="str">
            <v>ED1-TEL</v>
          </cell>
        </row>
        <row r="311">
          <cell r="D311" t="str">
            <v>Total W2</v>
          </cell>
        </row>
        <row r="316">
          <cell r="D316" t="str">
            <v>CLASS</v>
          </cell>
        </row>
        <row r="317">
          <cell r="D317" t="str">
            <v>ED3-AERO</v>
          </cell>
        </row>
        <row r="318">
          <cell r="D318" t="str">
            <v>ED3-ME</v>
          </cell>
        </row>
        <row r="319">
          <cell r="D319" t="str">
            <v>ED3-MARI</v>
          </cell>
        </row>
        <row r="320">
          <cell r="D320" t="str">
            <v>ED3-AUTO</v>
          </cell>
        </row>
        <row r="321">
          <cell r="D321" t="str">
            <v>ED4-MARI</v>
          </cell>
        </row>
        <row r="322">
          <cell r="D322" t="str">
            <v>ED4-ME</v>
          </cell>
        </row>
        <row r="323">
          <cell r="D323" t="str">
            <v>ED4-IND</v>
          </cell>
        </row>
        <row r="324">
          <cell r="D324" t="str">
            <v>ED1-IND</v>
          </cell>
        </row>
        <row r="325">
          <cell r="D325" t="str">
            <v>ED1-MARI</v>
          </cell>
        </row>
        <row r="326">
          <cell r="D326" t="str">
            <v>ED2-PETE</v>
          </cell>
        </row>
        <row r="327">
          <cell r="D327" t="str">
            <v>ED2-EE</v>
          </cell>
        </row>
        <row r="328">
          <cell r="D328" t="str">
            <v>ED4-AE</v>
          </cell>
        </row>
        <row r="329">
          <cell r="D329" t="str">
            <v>ED1-GEOL</v>
          </cell>
        </row>
        <row r="330">
          <cell r="D330" t="str">
            <v>ED1-CE</v>
          </cell>
        </row>
        <row r="331">
          <cell r="D331" t="str">
            <v>Total W3</v>
          </cell>
        </row>
        <row r="336">
          <cell r="D336" t="str">
            <v>CLASS</v>
          </cell>
        </row>
        <row r="337">
          <cell r="D337" t="str">
            <v>ED4-MSE</v>
          </cell>
        </row>
        <row r="338">
          <cell r="D338" t="str">
            <v>ED4-BME</v>
          </cell>
        </row>
        <row r="339">
          <cell r="D339" t="str">
            <v>ED1-PETE</v>
          </cell>
        </row>
        <row r="340">
          <cell r="D340" t="str">
            <v>ED1-GEOM</v>
          </cell>
        </row>
        <row r="341">
          <cell r="D341" t="str">
            <v>ED1-MSE</v>
          </cell>
        </row>
        <row r="342">
          <cell r="D342" t="str">
            <v>ED2-AE</v>
          </cell>
        </row>
        <row r="343">
          <cell r="D343" t="str">
            <v>ED1-ME</v>
          </cell>
        </row>
        <row r="344">
          <cell r="D344" t="str">
            <v>ED1-AERO</v>
          </cell>
        </row>
        <row r="345">
          <cell r="D345" t="str">
            <v>ED3-AE</v>
          </cell>
        </row>
        <row r="346">
          <cell r="D346" t="str">
            <v>ED3-EE</v>
          </cell>
        </row>
        <row r="347">
          <cell r="D347" t="str">
            <v>ED4-ME</v>
          </cell>
        </row>
        <row r="348">
          <cell r="D348" t="str">
            <v>ED1-BME</v>
          </cell>
        </row>
        <row r="349">
          <cell r="D349" t="str">
            <v>ED2-CHE</v>
          </cell>
        </row>
        <row r="350">
          <cell r="D350" t="str">
            <v>ED2-GEOL</v>
          </cell>
        </row>
        <row r="351">
          <cell r="D351" t="str">
            <v>ED1-PCE</v>
          </cell>
        </row>
        <row r="352">
          <cell r="D352" t="str">
            <v>Total W4</v>
          </cell>
        </row>
        <row r="357">
          <cell r="D357" t="str">
            <v>CLASS</v>
          </cell>
        </row>
        <row r="358">
          <cell r="D358" t="str">
            <v>ED2-EE</v>
          </cell>
        </row>
        <row r="359">
          <cell r="D359" t="str">
            <v>ED3-GEOM</v>
          </cell>
        </row>
        <row r="360">
          <cell r="D360" t="str">
            <v>ED1-CE</v>
          </cell>
        </row>
        <row r="361">
          <cell r="D361" t="str">
            <v>ED1-GEOL</v>
          </cell>
        </row>
        <row r="362">
          <cell r="D362" t="str">
            <v>ED2-BME</v>
          </cell>
        </row>
        <row r="363">
          <cell r="D363" t="str">
            <v>ED2-COE</v>
          </cell>
        </row>
        <row r="364">
          <cell r="D364" t="str">
            <v>ED2-TEL</v>
          </cell>
        </row>
        <row r="365">
          <cell r="D365" t="str">
            <v>ED3-CHE</v>
          </cell>
        </row>
        <row r="366">
          <cell r="D366" t="str">
            <v>ED1-METE</v>
          </cell>
        </row>
        <row r="367">
          <cell r="D367" t="str">
            <v>ED2-MSE</v>
          </cell>
        </row>
        <row r="368">
          <cell r="D368" t="str">
            <v>ED1-EE</v>
          </cell>
        </row>
        <row r="369">
          <cell r="D369" t="str">
            <v>ED1-COE</v>
          </cell>
        </row>
        <row r="370">
          <cell r="D370" t="str">
            <v>ED1-BME</v>
          </cell>
        </row>
        <row r="371">
          <cell r="D371" t="str">
            <v>ED2-CE</v>
          </cell>
        </row>
        <row r="372">
          <cell r="D372" t="str">
            <v>ED4-GEOM</v>
          </cell>
        </row>
        <row r="373">
          <cell r="D373" t="str">
            <v>ED4-ME</v>
          </cell>
        </row>
        <row r="374">
          <cell r="D374" t="str">
            <v>ED4-PETE</v>
          </cell>
        </row>
        <row r="375">
          <cell r="D375" t="str">
            <v>ED4-CE</v>
          </cell>
        </row>
        <row r="376">
          <cell r="D376" t="str">
            <v>ED4-GEOL</v>
          </cell>
        </row>
        <row r="377">
          <cell r="D377" t="str">
            <v>ED1-AE</v>
          </cell>
        </row>
        <row r="378">
          <cell r="D378" t="str">
            <v>Total W5</v>
          </cell>
        </row>
        <row r="383">
          <cell r="D383" t="str">
            <v>CLASS</v>
          </cell>
        </row>
        <row r="384">
          <cell r="D384" t="str">
            <v>ED3-TEL</v>
          </cell>
        </row>
        <row r="385">
          <cell r="D385" t="str">
            <v>ED3-COE</v>
          </cell>
        </row>
        <row r="386">
          <cell r="D386" t="str">
            <v>ED3-IND</v>
          </cell>
        </row>
        <row r="387">
          <cell r="D387" t="str">
            <v>ED3-GEOL</v>
          </cell>
        </row>
        <row r="388">
          <cell r="D388" t="str">
            <v>ED3-PCE</v>
          </cell>
        </row>
        <row r="389">
          <cell r="D389" t="str">
            <v>ED4-ME</v>
          </cell>
        </row>
        <row r="390">
          <cell r="D390" t="str">
            <v>ED4-AERO</v>
          </cell>
        </row>
        <row r="391">
          <cell r="D391" t="str">
            <v>ED3-CHE</v>
          </cell>
        </row>
        <row r="392">
          <cell r="D392" t="str">
            <v>ED2-METE</v>
          </cell>
        </row>
        <row r="393">
          <cell r="D393" t="str">
            <v>ED1-AE</v>
          </cell>
        </row>
        <row r="394">
          <cell r="D394" t="str">
            <v>ED3-AE</v>
          </cell>
        </row>
        <row r="395">
          <cell r="D395" t="str">
            <v>ED4-GEOL</v>
          </cell>
        </row>
        <row r="396">
          <cell r="D396" t="str">
            <v>ED4-CE</v>
          </cell>
        </row>
        <row r="397">
          <cell r="D397" t="str">
            <v>ED2-AUTO</v>
          </cell>
        </row>
        <row r="398">
          <cell r="D398" t="str">
            <v>ED2-IND</v>
          </cell>
        </row>
        <row r="399">
          <cell r="D399" t="str">
            <v>ED2-MARI</v>
          </cell>
        </row>
        <row r="400">
          <cell r="D400" t="str">
            <v>Total W6</v>
          </cell>
        </row>
        <row r="405">
          <cell r="D405" t="str">
            <v>CLASS</v>
          </cell>
        </row>
        <row r="406">
          <cell r="D406" t="str">
            <v>ED1-CHE</v>
          </cell>
        </row>
        <row r="407">
          <cell r="D407" t="str">
            <v>ED1-PCE</v>
          </cell>
        </row>
        <row r="408">
          <cell r="D408" t="str">
            <v>ED1-PETE</v>
          </cell>
        </row>
        <row r="409">
          <cell r="D409" t="str">
            <v>ED3-PETE</v>
          </cell>
        </row>
        <row r="410">
          <cell r="D410" t="str">
            <v>ED3-METE</v>
          </cell>
        </row>
        <row r="411">
          <cell r="D411" t="str">
            <v>ED3-MSE</v>
          </cell>
        </row>
        <row r="412">
          <cell r="D412" t="str">
            <v>ED3-AERO</v>
          </cell>
        </row>
        <row r="413">
          <cell r="D413" t="str">
            <v>ED3-ME</v>
          </cell>
        </row>
        <row r="414">
          <cell r="D414" t="str">
            <v>ED3-AUTO</v>
          </cell>
        </row>
        <row r="415">
          <cell r="D415" t="str">
            <v>ED3-MARI</v>
          </cell>
        </row>
        <row r="416">
          <cell r="D416" t="str">
            <v>ED4-AERO</v>
          </cell>
        </row>
        <row r="417">
          <cell r="D417" t="str">
            <v>ED4-COE</v>
          </cell>
        </row>
        <row r="418">
          <cell r="D418" t="str">
            <v>ED3-BME</v>
          </cell>
        </row>
        <row r="419">
          <cell r="D419" t="str">
            <v>ED4-TEL</v>
          </cell>
        </row>
        <row r="420">
          <cell r="D420" t="str">
            <v>ED2-CHE</v>
          </cell>
        </row>
        <row r="421">
          <cell r="D421" t="str">
            <v>ED2-PCE</v>
          </cell>
        </row>
        <row r="422">
          <cell r="D422" t="str">
            <v>Total W7</v>
          </cell>
        </row>
        <row r="427">
          <cell r="D427" t="str">
            <v>CLASS</v>
          </cell>
        </row>
        <row r="428">
          <cell r="D428" t="str">
            <v>ED1-EE</v>
          </cell>
        </row>
        <row r="429">
          <cell r="D429" t="str">
            <v>ED1-TEL</v>
          </cell>
        </row>
        <row r="430">
          <cell r="D430" t="str">
            <v>ED1-AUTO</v>
          </cell>
        </row>
        <row r="431">
          <cell r="D431" t="str">
            <v>ED1-GEOM</v>
          </cell>
        </row>
        <row r="432">
          <cell r="D432" t="str">
            <v>ED1-CHE</v>
          </cell>
        </row>
        <row r="433">
          <cell r="D433" t="str">
            <v>ED1-PCE</v>
          </cell>
        </row>
        <row r="434">
          <cell r="D434" t="str">
            <v>ED1-AERO</v>
          </cell>
        </row>
        <row r="435">
          <cell r="D435" t="str">
            <v>ED1-IND</v>
          </cell>
        </row>
        <row r="436">
          <cell r="D436" t="str">
            <v>ED1-MARI</v>
          </cell>
        </row>
        <row r="437">
          <cell r="D437" t="str">
            <v>ED1-CE</v>
          </cell>
        </row>
        <row r="438">
          <cell r="D438" t="str">
            <v>ED1-COE</v>
          </cell>
        </row>
        <row r="439">
          <cell r="D439" t="str">
            <v>ED1-ME</v>
          </cell>
        </row>
        <row r="440">
          <cell r="D440" t="str">
            <v>ED1-AE</v>
          </cell>
        </row>
        <row r="441">
          <cell r="D441" t="str">
            <v>ED1-BME</v>
          </cell>
        </row>
        <row r="442">
          <cell r="D442" t="str">
            <v>ED1-PETE</v>
          </cell>
        </row>
        <row r="443">
          <cell r="D443" t="str">
            <v>ED1-GEOL</v>
          </cell>
        </row>
        <row r="444">
          <cell r="D444" t="str">
            <v>ED1-METE</v>
          </cell>
        </row>
        <row r="445">
          <cell r="D445" t="str">
            <v>ED1-MSE</v>
          </cell>
        </row>
        <row r="446">
          <cell r="D446" t="str">
            <v>Total H1</v>
          </cell>
        </row>
        <row r="451">
          <cell r="D451" t="str">
            <v>CLASS</v>
          </cell>
        </row>
        <row r="452">
          <cell r="D452" t="str">
            <v>ED2-COE</v>
          </cell>
        </row>
        <row r="453">
          <cell r="D453" t="str">
            <v>ED2-BME</v>
          </cell>
        </row>
        <row r="454">
          <cell r="D454" t="str">
            <v>ED3-PCE</v>
          </cell>
        </row>
        <row r="455">
          <cell r="D455" t="str">
            <v>ED3-CHE</v>
          </cell>
        </row>
        <row r="456">
          <cell r="D456" t="str">
            <v>ED1-BME</v>
          </cell>
        </row>
        <row r="457">
          <cell r="D457" t="str">
            <v>ED4-PETE</v>
          </cell>
        </row>
        <row r="458">
          <cell r="D458" t="str">
            <v>ED3-IND</v>
          </cell>
        </row>
        <row r="459">
          <cell r="D459" t="str">
            <v>ED2-TEL</v>
          </cell>
        </row>
        <row r="460">
          <cell r="D460" t="str">
            <v>ED2-METE</v>
          </cell>
        </row>
        <row r="461">
          <cell r="D461" t="str">
            <v>ED3-BME</v>
          </cell>
        </row>
        <row r="462">
          <cell r="D462" t="str">
            <v>ED4-MSE</v>
          </cell>
        </row>
        <row r="463">
          <cell r="D463" t="str">
            <v>ED4-METE</v>
          </cell>
        </row>
        <row r="464">
          <cell r="D464" t="str">
            <v>ED2-PETE</v>
          </cell>
        </row>
        <row r="465">
          <cell r="D465" t="str">
            <v>Total H2</v>
          </cell>
        </row>
        <row r="470">
          <cell r="D470" t="str">
            <v>CLASS</v>
          </cell>
        </row>
        <row r="471">
          <cell r="D471" t="str">
            <v>ED1-AE</v>
          </cell>
        </row>
        <row r="472">
          <cell r="D472" t="str">
            <v>ED1-METE</v>
          </cell>
        </row>
        <row r="473">
          <cell r="D473" t="str">
            <v>ED1-MSE</v>
          </cell>
        </row>
        <row r="474">
          <cell r="D474" t="str">
            <v>ED1-ME</v>
          </cell>
        </row>
        <row r="475">
          <cell r="D475" t="str">
            <v>ED1-AUTO</v>
          </cell>
        </row>
        <row r="476">
          <cell r="D476" t="str">
            <v>ED1-IND</v>
          </cell>
        </row>
        <row r="477">
          <cell r="D477" t="str">
            <v>ED1-MARI</v>
          </cell>
        </row>
        <row r="478">
          <cell r="D478" t="str">
            <v>ED2-CE</v>
          </cell>
        </row>
        <row r="479">
          <cell r="D479" t="str">
            <v>ED4-AERO</v>
          </cell>
        </row>
        <row r="480">
          <cell r="D480" t="str">
            <v>ED4-GEOL</v>
          </cell>
        </row>
        <row r="481">
          <cell r="D481" t="str">
            <v>ED2-AE</v>
          </cell>
        </row>
        <row r="482">
          <cell r="D482" t="str">
            <v>ED1-TEL</v>
          </cell>
        </row>
        <row r="483">
          <cell r="D483" t="str">
            <v>ED2-COE</v>
          </cell>
        </row>
        <row r="484">
          <cell r="D484" t="str">
            <v>Total H3</v>
          </cell>
        </row>
        <row r="489">
          <cell r="D489" t="str">
            <v>CLASS</v>
          </cell>
        </row>
        <row r="490">
          <cell r="D490" t="str">
            <v>ED4-BME</v>
          </cell>
        </row>
        <row r="491">
          <cell r="D491" t="str">
            <v>ED4-COE</v>
          </cell>
        </row>
        <row r="492">
          <cell r="D492" t="str">
            <v>ED4-CHE</v>
          </cell>
        </row>
        <row r="493">
          <cell r="D493" t="str">
            <v>ED4-PCE</v>
          </cell>
        </row>
        <row r="494">
          <cell r="D494" t="str">
            <v>ED4-AE</v>
          </cell>
        </row>
        <row r="495">
          <cell r="D495" t="str">
            <v>ED2-MSE</v>
          </cell>
        </row>
        <row r="496">
          <cell r="D496" t="str">
            <v>ED2-METE</v>
          </cell>
        </row>
        <row r="497">
          <cell r="D497" t="str">
            <v>ED4-CE</v>
          </cell>
        </row>
        <row r="498">
          <cell r="D498" t="str">
            <v>ED1-AERO</v>
          </cell>
        </row>
        <row r="499">
          <cell r="D499" t="str">
            <v>ED4-AERO</v>
          </cell>
        </row>
        <row r="500">
          <cell r="D500" t="str">
            <v>ED4-ME</v>
          </cell>
        </row>
        <row r="501">
          <cell r="D501" t="str">
            <v>ED4-IND</v>
          </cell>
        </row>
        <row r="502">
          <cell r="D502" t="str">
            <v>ED3-AERO</v>
          </cell>
        </row>
        <row r="503">
          <cell r="D503" t="str">
            <v>ED3-PETE</v>
          </cell>
        </row>
        <row r="504">
          <cell r="D504" t="str">
            <v>ED3-PCE</v>
          </cell>
        </row>
        <row r="505">
          <cell r="D505" t="str">
            <v>ED4-MARI</v>
          </cell>
        </row>
        <row r="506">
          <cell r="D506" t="str">
            <v>ED2-IND</v>
          </cell>
        </row>
        <row r="507">
          <cell r="D507" t="str">
            <v>ED2-MARI</v>
          </cell>
        </row>
        <row r="508">
          <cell r="D508" t="str">
            <v>ED2-AUTO</v>
          </cell>
        </row>
        <row r="509">
          <cell r="D509" t="str">
            <v>ED2-GEOM</v>
          </cell>
        </row>
        <row r="510">
          <cell r="D510" t="str">
            <v>ED3-AE</v>
          </cell>
        </row>
        <row r="511">
          <cell r="D511" t="str">
            <v>Total H4</v>
          </cell>
        </row>
        <row r="516">
          <cell r="D516" t="str">
            <v>CLASS</v>
          </cell>
        </row>
        <row r="517">
          <cell r="D517" t="str">
            <v>ED4-GEOM</v>
          </cell>
        </row>
        <row r="518">
          <cell r="D518" t="str">
            <v>ED4-TEL</v>
          </cell>
        </row>
        <row r="519">
          <cell r="D519" t="str">
            <v>ED4-EE</v>
          </cell>
        </row>
        <row r="520">
          <cell r="D520" t="str">
            <v>ED4-PETE</v>
          </cell>
        </row>
        <row r="521">
          <cell r="D521" t="str">
            <v>ED3-AE</v>
          </cell>
        </row>
        <row r="522">
          <cell r="D522" t="str">
            <v>ED3-IND</v>
          </cell>
        </row>
        <row r="523">
          <cell r="D523" t="str">
            <v>ED3-CE</v>
          </cell>
        </row>
        <row r="524">
          <cell r="D524" t="str">
            <v>ED3-CHE</v>
          </cell>
        </row>
        <row r="525">
          <cell r="D525" t="str">
            <v>ED3-EE</v>
          </cell>
        </row>
        <row r="526">
          <cell r="D526" t="str">
            <v>ED4-AUTO</v>
          </cell>
        </row>
        <row r="527">
          <cell r="D527" t="str">
            <v>ED4-ME</v>
          </cell>
        </row>
        <row r="528">
          <cell r="D528" t="str">
            <v>Total H5</v>
          </cell>
        </row>
        <row r="533">
          <cell r="D533" t="str">
            <v>CLASS</v>
          </cell>
        </row>
        <row r="534">
          <cell r="D534" t="str">
            <v>ED4-AUTO</v>
          </cell>
        </row>
        <row r="535">
          <cell r="D535" t="str">
            <v>ED2-AUTO</v>
          </cell>
        </row>
        <row r="536">
          <cell r="D536" t="str">
            <v>ED3-GEOM</v>
          </cell>
        </row>
        <row r="537">
          <cell r="D537" t="str">
            <v>ED2-PETE</v>
          </cell>
        </row>
        <row r="538">
          <cell r="D538" t="str">
            <v>ED2-PCE</v>
          </cell>
        </row>
        <row r="539">
          <cell r="D539" t="str">
            <v>ED3-TEL</v>
          </cell>
        </row>
        <row r="540">
          <cell r="D540" t="str">
            <v>ED1-CE</v>
          </cell>
        </row>
        <row r="541">
          <cell r="D541" t="str">
            <v>ED2-AERO</v>
          </cell>
        </row>
        <row r="542">
          <cell r="D542" t="str">
            <v>ED2-GEOM</v>
          </cell>
        </row>
        <row r="543">
          <cell r="D543" t="str">
            <v>ED1-CHE</v>
          </cell>
        </row>
        <row r="544">
          <cell r="D544" t="str">
            <v>ED1-PCE</v>
          </cell>
        </row>
        <row r="545">
          <cell r="D545" t="str">
            <v>ED2-MARI</v>
          </cell>
        </row>
        <row r="546">
          <cell r="D546" t="str">
            <v>ED2-GEOL</v>
          </cell>
        </row>
        <row r="547">
          <cell r="D547" t="str">
            <v>ED3-ME</v>
          </cell>
        </row>
        <row r="548">
          <cell r="D548" t="str">
            <v>Total H6</v>
          </cell>
        </row>
        <row r="553">
          <cell r="D553" t="str">
            <v>CLASS</v>
          </cell>
        </row>
        <row r="554">
          <cell r="D554" t="str">
            <v>ED3-AUTO</v>
          </cell>
        </row>
        <row r="555">
          <cell r="D555" t="str">
            <v>ED2-EE</v>
          </cell>
        </row>
        <row r="556">
          <cell r="D556" t="str">
            <v>ED2-TEL</v>
          </cell>
        </row>
        <row r="557">
          <cell r="D557" t="str">
            <v>ED4-EE</v>
          </cell>
        </row>
        <row r="558">
          <cell r="D558" t="str">
            <v>ED3-MSE</v>
          </cell>
        </row>
        <row r="559">
          <cell r="D559" t="str">
            <v>ED3-METE</v>
          </cell>
        </row>
        <row r="560">
          <cell r="D560" t="str">
            <v>ED3-CE</v>
          </cell>
        </row>
        <row r="561">
          <cell r="D561" t="str">
            <v>ED3-GEOL</v>
          </cell>
        </row>
        <row r="562">
          <cell r="D562" t="str">
            <v>ED3-MARI</v>
          </cell>
        </row>
        <row r="563">
          <cell r="D563" t="str">
            <v>ED2-AERO</v>
          </cell>
        </row>
        <row r="564">
          <cell r="D564" t="str">
            <v>ED2-PCE</v>
          </cell>
        </row>
        <row r="565">
          <cell r="D565" t="str">
            <v>Total H7</v>
          </cell>
        </row>
        <row r="570">
          <cell r="D570" t="str">
            <v>CLASS</v>
          </cell>
        </row>
        <row r="571">
          <cell r="D571" t="str">
            <v>ED1-GEOL</v>
          </cell>
        </row>
        <row r="572">
          <cell r="D572" t="str">
            <v>ED2-BME</v>
          </cell>
        </row>
        <row r="573">
          <cell r="D573" t="str">
            <v>ED2-COE</v>
          </cell>
        </row>
        <row r="574">
          <cell r="D574" t="str">
            <v>ED2-TEL</v>
          </cell>
        </row>
        <row r="575">
          <cell r="D575" t="str">
            <v>ED3-GEOM</v>
          </cell>
        </row>
        <row r="576">
          <cell r="D576" t="str">
            <v>ED3-GEOL</v>
          </cell>
        </row>
        <row r="577">
          <cell r="D577" t="str">
            <v>ED4-PCE</v>
          </cell>
        </row>
        <row r="578">
          <cell r="D578" t="str">
            <v>ED3-MSE</v>
          </cell>
        </row>
        <row r="579">
          <cell r="D579" t="str">
            <v>ED1-TEL</v>
          </cell>
        </row>
        <row r="580">
          <cell r="D580" t="str">
            <v>ED4-ME</v>
          </cell>
        </row>
        <row r="581">
          <cell r="D581" t="str">
            <v>ED3-PETE</v>
          </cell>
        </row>
        <row r="582">
          <cell r="D582" t="str">
            <v>ED4-EE</v>
          </cell>
        </row>
        <row r="583">
          <cell r="D583" t="str">
            <v>ED4-CHE</v>
          </cell>
        </row>
        <row r="584">
          <cell r="D584" t="str">
            <v>ED1-PETE</v>
          </cell>
        </row>
        <row r="585">
          <cell r="D585" t="str">
            <v>Total F1</v>
          </cell>
        </row>
        <row r="590">
          <cell r="D590" t="str">
            <v>CLASS</v>
          </cell>
        </row>
        <row r="591">
          <cell r="D591" t="str">
            <v>ED2-EE</v>
          </cell>
        </row>
        <row r="592">
          <cell r="D592" t="str">
            <v>ED2-BME</v>
          </cell>
        </row>
        <row r="593">
          <cell r="D593" t="str">
            <v>ED2-AUTO</v>
          </cell>
        </row>
        <row r="594">
          <cell r="D594" t="str">
            <v>ED2-PCE</v>
          </cell>
        </row>
        <row r="595">
          <cell r="D595" t="str">
            <v>ED2-PETE</v>
          </cell>
        </row>
        <row r="596">
          <cell r="D596" t="str">
            <v>ED2-MSE</v>
          </cell>
        </row>
        <row r="597">
          <cell r="D597" t="str">
            <v>ED2-METE</v>
          </cell>
        </row>
        <row r="598">
          <cell r="D598" t="str">
            <v>ED3-GEOL</v>
          </cell>
        </row>
        <row r="599">
          <cell r="D599" t="str">
            <v>ED4-AE</v>
          </cell>
        </row>
        <row r="600">
          <cell r="D600" t="str">
            <v>ED4-MSE</v>
          </cell>
        </row>
        <row r="601">
          <cell r="D601" t="str">
            <v>ED4-METE</v>
          </cell>
        </row>
        <row r="602">
          <cell r="D602" t="str">
            <v>ED4-CHE</v>
          </cell>
        </row>
        <row r="603">
          <cell r="D603" t="str">
            <v>ED4-PCE</v>
          </cell>
        </row>
        <row r="604">
          <cell r="D604" t="str">
            <v>ED1-AE</v>
          </cell>
        </row>
        <row r="605">
          <cell r="D605" t="str">
            <v>ED4-GEOL</v>
          </cell>
        </row>
        <row r="606">
          <cell r="D606" t="str">
            <v>ED3-PCE</v>
          </cell>
        </row>
        <row r="607">
          <cell r="D607" t="str">
            <v>ED3-TEL</v>
          </cell>
        </row>
        <row r="608">
          <cell r="D608" t="str">
            <v>ED4-GEOM</v>
          </cell>
        </row>
        <row r="609">
          <cell r="D609" t="str">
            <v>ED4-AERO</v>
          </cell>
        </row>
        <row r="610">
          <cell r="D610" t="str">
            <v>ED4-ME</v>
          </cell>
        </row>
        <row r="611">
          <cell r="D611" t="str">
            <v>Total F2</v>
          </cell>
        </row>
        <row r="616">
          <cell r="D616" t="str">
            <v>CLASS</v>
          </cell>
        </row>
        <row r="617">
          <cell r="D617" t="str">
            <v>ED3-AE</v>
          </cell>
        </row>
        <row r="618">
          <cell r="D618" t="str">
            <v>ED3-AUTO</v>
          </cell>
        </row>
        <row r="619">
          <cell r="D619" t="str">
            <v>ED3-AERO</v>
          </cell>
        </row>
        <row r="620">
          <cell r="D620" t="str">
            <v>ED4-COE</v>
          </cell>
        </row>
        <row r="621">
          <cell r="D621" t="str">
            <v>ED2-MARI</v>
          </cell>
        </row>
        <row r="622">
          <cell r="D622" t="str">
            <v>ED4-CE</v>
          </cell>
        </row>
        <row r="623">
          <cell r="D623" t="str">
            <v>ED1-AERO</v>
          </cell>
        </row>
        <row r="624">
          <cell r="D624" t="str">
            <v>ED1-ME</v>
          </cell>
        </row>
        <row r="625">
          <cell r="D625" t="str">
            <v>ED1-IND</v>
          </cell>
        </row>
        <row r="626">
          <cell r="D626" t="str">
            <v>ED1-MARI</v>
          </cell>
        </row>
        <row r="627">
          <cell r="D627" t="str">
            <v>ED3-ME</v>
          </cell>
        </row>
        <row r="628">
          <cell r="D628" t="str">
            <v>ED3-BME</v>
          </cell>
        </row>
        <row r="629">
          <cell r="D629" t="str">
            <v>ED3-COE</v>
          </cell>
        </row>
        <row r="630">
          <cell r="D630" t="str">
            <v>Total F3</v>
          </cell>
        </row>
        <row r="635">
          <cell r="D635" t="str">
            <v>CLASS</v>
          </cell>
        </row>
        <row r="636">
          <cell r="D636" t="str">
            <v>ED2-CHE</v>
          </cell>
        </row>
        <row r="637">
          <cell r="D637" t="str">
            <v>ED2-PCE</v>
          </cell>
        </row>
        <row r="638">
          <cell r="D638" t="str">
            <v>ED3-EE</v>
          </cell>
        </row>
        <row r="639">
          <cell r="D639" t="str">
            <v>ED2-PETE</v>
          </cell>
        </row>
        <row r="640">
          <cell r="D640" t="str">
            <v>ED3-GEOM</v>
          </cell>
        </row>
        <row r="641">
          <cell r="D641" t="str">
            <v>ED2-CE</v>
          </cell>
        </row>
        <row r="642">
          <cell r="D642" t="str">
            <v>ED2-GEOL</v>
          </cell>
        </row>
        <row r="643">
          <cell r="D643" t="str">
            <v>ED2-GEOM</v>
          </cell>
        </row>
        <row r="644">
          <cell r="D644" t="str">
            <v>ED2-AE</v>
          </cell>
        </row>
        <row r="645">
          <cell r="D645" t="str">
            <v>Total F4</v>
          </cell>
        </row>
        <row r="650">
          <cell r="D650" t="str">
            <v>CLASS</v>
          </cell>
        </row>
        <row r="651">
          <cell r="D651" t="str">
            <v>ED2-TEL</v>
          </cell>
        </row>
        <row r="652">
          <cell r="D652" t="str">
            <v>ED3-CHE</v>
          </cell>
        </row>
        <row r="653">
          <cell r="D653" t="str">
            <v>ED2-EE</v>
          </cell>
        </row>
        <row r="654">
          <cell r="D654" t="str">
            <v>ED1-GEOL</v>
          </cell>
        </row>
        <row r="655">
          <cell r="D655" t="str">
            <v>ED1-CE</v>
          </cell>
        </row>
        <row r="656">
          <cell r="D656" t="str">
            <v>ED1-MARI</v>
          </cell>
        </row>
        <row r="657">
          <cell r="D657" t="str">
            <v>ED3-GEOM</v>
          </cell>
        </row>
        <row r="658">
          <cell r="D658" t="str">
            <v>ED2-BME</v>
          </cell>
        </row>
        <row r="659">
          <cell r="D659" t="str">
            <v>ED2-COE</v>
          </cell>
        </row>
        <row r="660">
          <cell r="D660" t="str">
            <v>ED3-AUTO</v>
          </cell>
        </row>
        <row r="661">
          <cell r="D661" t="str">
            <v>ED3-MARI</v>
          </cell>
        </row>
        <row r="662">
          <cell r="D662" t="str">
            <v>ED3-PETE</v>
          </cell>
        </row>
        <row r="663">
          <cell r="D663" t="str">
            <v>ED3-CE</v>
          </cell>
        </row>
        <row r="664">
          <cell r="D664" t="str">
            <v>Total F5</v>
          </cell>
        </row>
        <row r="669">
          <cell r="D669" t="str">
            <v>CLASS</v>
          </cell>
        </row>
        <row r="670">
          <cell r="D670" t="str">
            <v>ED1-CE</v>
          </cell>
        </row>
        <row r="671">
          <cell r="D671" t="str">
            <v>ED1-EE</v>
          </cell>
        </row>
        <row r="672">
          <cell r="D672" t="str">
            <v>ED1-GEOM</v>
          </cell>
        </row>
        <row r="673">
          <cell r="D673" t="str">
            <v>ED1-BME</v>
          </cell>
        </row>
        <row r="674">
          <cell r="D674" t="str">
            <v>ED1-COE</v>
          </cell>
        </row>
        <row r="675">
          <cell r="D675" t="str">
            <v>ED1-METE</v>
          </cell>
        </row>
        <row r="676">
          <cell r="D676" t="str">
            <v>ED2-GEOL</v>
          </cell>
        </row>
        <row r="677">
          <cell r="D677" t="str">
            <v>ED4-MARI</v>
          </cell>
        </row>
        <row r="678">
          <cell r="D678" t="str">
            <v>ED2-IND</v>
          </cell>
        </row>
        <row r="679">
          <cell r="D679" t="str">
            <v>ED2-ME</v>
          </cell>
        </row>
        <row r="680">
          <cell r="D680" t="str">
            <v>ED1-AUTO</v>
          </cell>
        </row>
        <row r="681">
          <cell r="D681" t="str">
            <v>ED2-AERO</v>
          </cell>
        </row>
        <row r="682">
          <cell r="D682" t="str">
            <v>ED4-PETE</v>
          </cell>
        </row>
        <row r="683">
          <cell r="D683" t="str">
            <v>ED1-CHE</v>
          </cell>
        </row>
        <row r="690">
          <cell r="D690" t="str">
            <v>CLASS</v>
          </cell>
        </row>
        <row r="691">
          <cell r="D691" t="str">
            <v>ED1-GEOL</v>
          </cell>
        </row>
        <row r="701">
          <cell r="D701" t="str">
            <v>Total F7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"/>
      <sheetName val="TT (Values)_1"/>
      <sheetName val="TT (Values)"/>
      <sheetName val="TT (Values)_for lect"/>
      <sheetName val="Collection_"/>
      <sheetName val="ROOMS"/>
      <sheetName val="WATER"/>
      <sheetName val="WATER_old"/>
      <sheetName val="COMBINED_ATTD_INV"/>
      <sheetName val="COMBINED_ATTD_INV (2)"/>
      <sheetName val="COMBINED_ATTD_INV (final)"/>
      <sheetName val="TAs"/>
      <sheetName val="floor_coordinators (2)"/>
      <sheetName val="FREQ"/>
      <sheetName val="TALLY"/>
      <sheetName val="SESSIONS"/>
      <sheetName val="Sheet3"/>
      <sheetName val="tt_rm"/>
      <sheetName val="COURSES"/>
      <sheetName val="Sheet1"/>
      <sheetName val="TOTALSTD"/>
      <sheetName val="TEO (2)"/>
      <sheetName val="LECT"/>
      <sheetName val="ATTDD"/>
      <sheetName val="TA_NSS"/>
      <sheetName val="TA_SCHED"/>
    </sheetNames>
    <sheetDataSet>
      <sheetData sheetId="0">
        <row r="3">
          <cell r="D3" t="str">
            <v>CLASS</v>
          </cell>
        </row>
        <row r="4">
          <cell r="D4" t="str">
            <v>ED3-COE</v>
          </cell>
        </row>
        <row r="5">
          <cell r="D5" t="str">
            <v>ED3-BME</v>
          </cell>
        </row>
        <row r="6">
          <cell r="D6" t="str">
            <v>ED2-PETE</v>
          </cell>
        </row>
        <row r="7">
          <cell r="D7" t="str">
            <v>ED2-AUTO</v>
          </cell>
        </row>
        <row r="8">
          <cell r="D8" t="str">
            <v>ED2-MSE</v>
          </cell>
        </row>
        <row r="9">
          <cell r="D9" t="str">
            <v>ED2-METE</v>
          </cell>
        </row>
        <row r="10">
          <cell r="D10" t="str">
            <v>ED2-PCE</v>
          </cell>
        </row>
        <row r="11">
          <cell r="D11" t="str">
            <v>ED2-BME</v>
          </cell>
        </row>
        <row r="12">
          <cell r="D12" t="str">
            <v>ED1-BME</v>
          </cell>
        </row>
        <row r="13">
          <cell r="D13" t="str">
            <v>ED1-COE</v>
          </cell>
        </row>
        <row r="14">
          <cell r="D14" t="str">
            <v>ED1-EE</v>
          </cell>
        </row>
        <row r="15">
          <cell r="D15" t="str">
            <v>ED1-GEOL</v>
          </cell>
        </row>
        <row r="16">
          <cell r="D16" t="str">
            <v>ED1-ME</v>
          </cell>
        </row>
        <row r="17">
          <cell r="D17" t="str">
            <v>ED1-TEL</v>
          </cell>
        </row>
        <row r="18">
          <cell r="D18" t="str">
            <v>ED1-MARI</v>
          </cell>
        </row>
        <row r="19">
          <cell r="D19" t="str">
            <v>ED1-AUTO</v>
          </cell>
        </row>
        <row r="20">
          <cell r="D20" t="str">
            <v>ED1-AE</v>
          </cell>
        </row>
        <row r="21">
          <cell r="D21" t="str">
            <v>ED1-IND</v>
          </cell>
        </row>
        <row r="22">
          <cell r="D22" t="str">
            <v>ED1-METE</v>
          </cell>
        </row>
        <row r="23">
          <cell r="D23" t="str">
            <v>ED1-MSE</v>
          </cell>
        </row>
        <row r="34">
          <cell r="D34" t="str">
            <v>CLASS</v>
          </cell>
        </row>
        <row r="35">
          <cell r="D35" t="str">
            <v>ED2-AE</v>
          </cell>
        </row>
        <row r="36">
          <cell r="D36" t="str">
            <v>ED2-CHE</v>
          </cell>
        </row>
        <row r="37">
          <cell r="D37" t="str">
            <v>ED3-MARI</v>
          </cell>
        </row>
        <row r="38">
          <cell r="D38" t="str">
            <v>ED4-ME</v>
          </cell>
        </row>
        <row r="39">
          <cell r="D39" t="str">
            <v>ED3-IND</v>
          </cell>
        </row>
        <row r="40">
          <cell r="D40" t="str">
            <v>ED2-COE</v>
          </cell>
        </row>
        <row r="41">
          <cell r="D41" t="str">
            <v>ED2-TEL</v>
          </cell>
        </row>
        <row r="42">
          <cell r="D42" t="str">
            <v>ED3-TEL</v>
          </cell>
        </row>
        <row r="54">
          <cell r="D54" t="str">
            <v>CLASS</v>
          </cell>
        </row>
        <row r="55">
          <cell r="D55" t="str">
            <v>ED4-COE</v>
          </cell>
        </row>
        <row r="56">
          <cell r="D56" t="str">
            <v>ED4-GEOM</v>
          </cell>
        </row>
        <row r="57">
          <cell r="D57" t="str">
            <v>ED4-AUTO</v>
          </cell>
        </row>
        <row r="58">
          <cell r="D58" t="str">
            <v>ED2-EE</v>
          </cell>
        </row>
        <row r="59">
          <cell r="D59" t="str">
            <v>ED4-CE</v>
          </cell>
        </row>
        <row r="60">
          <cell r="D60" t="str">
            <v>ED3-CHE</v>
          </cell>
        </row>
        <row r="61">
          <cell r="D61" t="str">
            <v>ED3-PCE</v>
          </cell>
        </row>
        <row r="62">
          <cell r="D62" t="str">
            <v>ED4-CHE</v>
          </cell>
        </row>
        <row r="63">
          <cell r="D63" t="str">
            <v>ED4-METE</v>
          </cell>
        </row>
        <row r="64">
          <cell r="D64" t="str">
            <v>ED4-MSE</v>
          </cell>
        </row>
        <row r="71">
          <cell r="D71" t="str">
            <v>CLASS</v>
          </cell>
        </row>
        <row r="72">
          <cell r="D72" t="str">
            <v>ED2-IND</v>
          </cell>
        </row>
        <row r="73">
          <cell r="D73" t="str">
            <v>ED2-AE</v>
          </cell>
        </row>
        <row r="74">
          <cell r="D74" t="str">
            <v>ED2-PETE</v>
          </cell>
        </row>
        <row r="75">
          <cell r="D75" t="str">
            <v>ED2-EE</v>
          </cell>
        </row>
        <row r="76">
          <cell r="D76" t="str">
            <v>ED2-TEL</v>
          </cell>
        </row>
        <row r="77">
          <cell r="D77" t="str">
            <v>ED2-GEOL</v>
          </cell>
        </row>
        <row r="78">
          <cell r="D78" t="str">
            <v>ED2-BME</v>
          </cell>
        </row>
        <row r="79">
          <cell r="D79" t="str">
            <v>ED2-COE</v>
          </cell>
        </row>
        <row r="80">
          <cell r="D80" t="str">
            <v>ED1-CHE</v>
          </cell>
        </row>
        <row r="81">
          <cell r="D81" t="str">
            <v>ED1-MSE</v>
          </cell>
        </row>
        <row r="82">
          <cell r="D82" t="str">
            <v>ED1-PCE</v>
          </cell>
        </row>
        <row r="83">
          <cell r="D83" t="str">
            <v>ED1-ME</v>
          </cell>
        </row>
        <row r="84">
          <cell r="D84" t="str">
            <v>ED1-AUTO</v>
          </cell>
        </row>
        <row r="85">
          <cell r="D85" t="str">
            <v>ED1-IND</v>
          </cell>
        </row>
        <row r="86">
          <cell r="D86" t="str">
            <v>ED1-MARI</v>
          </cell>
        </row>
        <row r="87">
          <cell r="D87" t="str">
            <v>Total W1-1</v>
          </cell>
        </row>
        <row r="100">
          <cell r="D100" t="str">
            <v>CLASS</v>
          </cell>
        </row>
        <row r="101">
          <cell r="D101" t="str">
            <v>ED2-AUTO</v>
          </cell>
        </row>
        <row r="102">
          <cell r="D102" t="str">
            <v>ED1-COE</v>
          </cell>
        </row>
        <row r="103">
          <cell r="D103" t="str">
            <v>ED1-BME</v>
          </cell>
        </row>
        <row r="104">
          <cell r="D104" t="str">
            <v>ED1-GEOL</v>
          </cell>
        </row>
        <row r="105">
          <cell r="D105" t="str">
            <v>ED1-GEOM</v>
          </cell>
        </row>
        <row r="106">
          <cell r="D106" t="str">
            <v>ED1-PETE</v>
          </cell>
        </row>
        <row r="107">
          <cell r="D107" t="str">
            <v>ED1-METE</v>
          </cell>
        </row>
        <row r="108">
          <cell r="D108" t="str">
            <v>ED1-AERO</v>
          </cell>
        </row>
        <row r="109">
          <cell r="D109" t="str">
            <v>ED1-TEL</v>
          </cell>
        </row>
        <row r="110">
          <cell r="D110" t="str">
            <v>ED3-PETE</v>
          </cell>
        </row>
        <row r="111">
          <cell r="D111" t="str">
            <v>ED3-GEOM</v>
          </cell>
        </row>
        <row r="112">
          <cell r="D112" t="str">
            <v>ED3-MSE</v>
          </cell>
        </row>
        <row r="113">
          <cell r="D113" t="str">
            <v>ED3-METE</v>
          </cell>
        </row>
        <row r="114">
          <cell r="D114" t="str">
            <v>ED4-CHE</v>
          </cell>
        </row>
        <row r="115">
          <cell r="D115" t="str">
            <v>ED4-PCE</v>
          </cell>
        </row>
        <row r="125">
          <cell r="D125" t="str">
            <v>CLASS</v>
          </cell>
        </row>
        <row r="126">
          <cell r="D126" t="str">
            <v>ED2-MARI</v>
          </cell>
        </row>
        <row r="127">
          <cell r="D127" t="str">
            <v>ED3-AE</v>
          </cell>
        </row>
        <row r="128">
          <cell r="D128" t="str">
            <v>ED3-PCE</v>
          </cell>
        </row>
        <row r="129">
          <cell r="D129" t="str">
            <v>ED3-GEOL</v>
          </cell>
        </row>
        <row r="130">
          <cell r="D130" t="str">
            <v>ED4-AE</v>
          </cell>
        </row>
        <row r="131">
          <cell r="D131" t="str">
            <v>ED4-MSE</v>
          </cell>
        </row>
        <row r="132">
          <cell r="D132" t="str">
            <v>ED2-CE</v>
          </cell>
        </row>
        <row r="133">
          <cell r="D133" t="str">
            <v>ED2-GEOM</v>
          </cell>
        </row>
        <row r="134">
          <cell r="D134" t="str">
            <v>ED4-CE</v>
          </cell>
        </row>
        <row r="135">
          <cell r="D135" t="str">
            <v>ED4-GEOL</v>
          </cell>
        </row>
        <row r="136">
          <cell r="D136" t="str">
            <v>ED3-IND</v>
          </cell>
        </row>
        <row r="137">
          <cell r="D137" t="str">
            <v>ED4-ME</v>
          </cell>
        </row>
        <row r="138">
          <cell r="D138" t="str">
            <v>ED4-AERO</v>
          </cell>
        </row>
        <row r="139">
          <cell r="D139" t="str">
            <v>ED4-BME</v>
          </cell>
        </row>
        <row r="175">
          <cell r="D175" t="str">
            <v>CLASS</v>
          </cell>
        </row>
        <row r="176">
          <cell r="D176" t="str">
            <v>ED2-COE</v>
          </cell>
        </row>
        <row r="177">
          <cell r="D177" t="str">
            <v>ED1-CE</v>
          </cell>
        </row>
        <row r="178">
          <cell r="D178" t="str">
            <v>ED1-AE</v>
          </cell>
        </row>
        <row r="179">
          <cell r="D179" t="str">
            <v>ED1-EE</v>
          </cell>
        </row>
        <row r="180">
          <cell r="D180" t="str">
            <v>ED4-AE</v>
          </cell>
        </row>
        <row r="181">
          <cell r="D181" t="str">
            <v>ED4-ME</v>
          </cell>
        </row>
        <row r="182">
          <cell r="D182" t="str">
            <v>ED4-MARI</v>
          </cell>
        </row>
        <row r="183">
          <cell r="D183" t="str">
            <v>ED4-IND</v>
          </cell>
        </row>
        <row r="184">
          <cell r="D184" t="str">
            <v>ED4-AUTO</v>
          </cell>
        </row>
        <row r="185">
          <cell r="D185" t="str">
            <v>ED4-MSE</v>
          </cell>
        </row>
        <row r="186">
          <cell r="D186" t="str">
            <v>ED4-METE</v>
          </cell>
        </row>
        <row r="187">
          <cell r="D187" t="str">
            <v>ED4-BME</v>
          </cell>
        </row>
        <row r="188">
          <cell r="D188" t="str">
            <v>ED4-EE</v>
          </cell>
        </row>
        <row r="189">
          <cell r="D189" t="str">
            <v>ED4-TEL</v>
          </cell>
        </row>
        <row r="190">
          <cell r="D190" t="str">
            <v>ED4-COE</v>
          </cell>
        </row>
        <row r="205">
          <cell r="D205" t="str">
            <v>CLASS</v>
          </cell>
        </row>
        <row r="206">
          <cell r="D206" t="str">
            <v>ED3-CHE</v>
          </cell>
        </row>
        <row r="207">
          <cell r="D207" t="str">
            <v>ED3-PCE</v>
          </cell>
        </row>
        <row r="208">
          <cell r="D208" t="str">
            <v>ED3-IND</v>
          </cell>
        </row>
        <row r="209">
          <cell r="D209" t="str">
            <v>ED4-AERO</v>
          </cell>
        </row>
        <row r="210">
          <cell r="D210" t="str">
            <v>ED3-AUTO</v>
          </cell>
        </row>
        <row r="211">
          <cell r="D211" t="str">
            <v>ED2-EE</v>
          </cell>
        </row>
        <row r="212">
          <cell r="D212" t="str">
            <v>ED4-CE</v>
          </cell>
        </row>
        <row r="213">
          <cell r="D213" t="str">
            <v>ED4-GEOM</v>
          </cell>
        </row>
        <row r="214">
          <cell r="D214" t="str">
            <v>ED2-AUTO</v>
          </cell>
        </row>
        <row r="215">
          <cell r="D215" t="str">
            <v>ED2-AERO</v>
          </cell>
        </row>
        <row r="216">
          <cell r="D216" t="str">
            <v>ED2-IND</v>
          </cell>
        </row>
        <row r="217">
          <cell r="D217" t="str">
            <v>ED2-MARI</v>
          </cell>
        </row>
        <row r="218">
          <cell r="D218" t="str">
            <v>ED2-ME</v>
          </cell>
        </row>
        <row r="226">
          <cell r="D226" t="str">
            <v>CLASS</v>
          </cell>
        </row>
        <row r="227">
          <cell r="D227" t="str">
            <v>ED3-PETE</v>
          </cell>
        </row>
        <row r="228">
          <cell r="D228" t="str">
            <v>ED1-GEOL</v>
          </cell>
        </row>
        <row r="229">
          <cell r="D229" t="str">
            <v>ED1-GEOM</v>
          </cell>
        </row>
        <row r="230">
          <cell r="D230" t="str">
            <v>ED1-CE</v>
          </cell>
        </row>
        <row r="231">
          <cell r="D231" t="str">
            <v>ED1-BME</v>
          </cell>
        </row>
        <row r="232">
          <cell r="D232" t="str">
            <v>ED2-CHE</v>
          </cell>
        </row>
        <row r="233">
          <cell r="D233" t="str">
            <v>ED2-PCE</v>
          </cell>
        </row>
        <row r="234">
          <cell r="D234" t="str">
            <v>ED2-METE</v>
          </cell>
        </row>
        <row r="235">
          <cell r="D235" t="str">
            <v>ED2-MSE</v>
          </cell>
        </row>
        <row r="236">
          <cell r="D236" t="str">
            <v>ED4-GEOL</v>
          </cell>
        </row>
        <row r="237">
          <cell r="D237" t="str">
            <v>ED4-IND</v>
          </cell>
        </row>
        <row r="238">
          <cell r="D238" t="str">
            <v>ED4-ME</v>
          </cell>
        </row>
        <row r="252">
          <cell r="D252" t="str">
            <v>CLASS</v>
          </cell>
        </row>
        <row r="253">
          <cell r="D253" t="str">
            <v>ED2-EE</v>
          </cell>
        </row>
        <row r="254">
          <cell r="D254" t="str">
            <v>ED2-BME</v>
          </cell>
        </row>
        <row r="255">
          <cell r="D255" t="str">
            <v>ED1-AERO</v>
          </cell>
        </row>
        <row r="256">
          <cell r="D256" t="str">
            <v>ED1-COE</v>
          </cell>
        </row>
        <row r="257">
          <cell r="D257" t="str">
            <v>ED1-IND</v>
          </cell>
        </row>
        <row r="258">
          <cell r="D258" t="str">
            <v>ED1-EE</v>
          </cell>
        </row>
        <row r="259">
          <cell r="D259" t="str">
            <v>ED1-ME</v>
          </cell>
        </row>
        <row r="260">
          <cell r="D260" t="str">
            <v>ED1-AUTO</v>
          </cell>
        </row>
        <row r="261">
          <cell r="D261" t="str">
            <v>ED1-AE</v>
          </cell>
        </row>
        <row r="262">
          <cell r="D262" t="str">
            <v>ED1-TEL</v>
          </cell>
        </row>
        <row r="263">
          <cell r="D263" t="str">
            <v>ED1-MARI</v>
          </cell>
        </row>
        <row r="264">
          <cell r="D264" t="str">
            <v>ED3-AERO</v>
          </cell>
        </row>
        <row r="265">
          <cell r="D265" t="str">
            <v>ED2-AERO</v>
          </cell>
        </row>
        <row r="266">
          <cell r="D266" t="str">
            <v>ED2-ME</v>
          </cell>
        </row>
        <row r="267">
          <cell r="D267" t="str">
            <v>ED3-ME</v>
          </cell>
        </row>
        <row r="277">
          <cell r="D277" t="str">
            <v>CLASS</v>
          </cell>
        </row>
        <row r="278">
          <cell r="D278" t="str">
            <v>ED2-COE</v>
          </cell>
        </row>
        <row r="279">
          <cell r="D279" t="str">
            <v>ED3-GEOL</v>
          </cell>
        </row>
        <row r="280">
          <cell r="D280" t="str">
            <v>ED3-MSE</v>
          </cell>
        </row>
        <row r="281">
          <cell r="D281" t="str">
            <v>ED3-METE</v>
          </cell>
        </row>
        <row r="282">
          <cell r="D282" t="str">
            <v>ED4-GEOM</v>
          </cell>
        </row>
        <row r="283">
          <cell r="D283" t="str">
            <v>ED3-GEOM</v>
          </cell>
        </row>
        <row r="284">
          <cell r="D284" t="str">
            <v>ED2-AUTO</v>
          </cell>
        </row>
        <row r="285">
          <cell r="D285" t="str">
            <v>ED2-CE</v>
          </cell>
        </row>
        <row r="286">
          <cell r="D286" t="str">
            <v>ED2-PETE</v>
          </cell>
        </row>
        <row r="287">
          <cell r="D287" t="str">
            <v>ED3-CHE</v>
          </cell>
        </row>
        <row r="288">
          <cell r="D288" t="str">
            <v>ED4-CHE</v>
          </cell>
        </row>
        <row r="289">
          <cell r="D289" t="str">
            <v>ED4-PETE</v>
          </cell>
        </row>
        <row r="290">
          <cell r="D290" t="str">
            <v>ED4-PCE</v>
          </cell>
        </row>
        <row r="299">
          <cell r="D299" t="str">
            <v>CLASS</v>
          </cell>
        </row>
        <row r="300">
          <cell r="D300" t="str">
            <v>ED1-PETE</v>
          </cell>
        </row>
        <row r="301">
          <cell r="D301" t="str">
            <v>ED1-BME</v>
          </cell>
        </row>
        <row r="302">
          <cell r="D302" t="str">
            <v>ED1-GEOL</v>
          </cell>
        </row>
        <row r="303">
          <cell r="D303" t="str">
            <v>ED1-AE</v>
          </cell>
        </row>
        <row r="304">
          <cell r="D304" t="str">
            <v>ED1-CE</v>
          </cell>
        </row>
        <row r="305">
          <cell r="D305" t="str">
            <v>ED1-COE</v>
          </cell>
        </row>
        <row r="306">
          <cell r="D306" t="str">
            <v>ED4-GEOL</v>
          </cell>
        </row>
        <row r="307">
          <cell r="D307" t="str">
            <v>ED3-AE</v>
          </cell>
        </row>
        <row r="308">
          <cell r="D308" t="str">
            <v>ED4-AE</v>
          </cell>
        </row>
        <row r="309">
          <cell r="D309" t="str">
            <v>ED4-AERO</v>
          </cell>
        </row>
        <row r="310">
          <cell r="D310" t="str">
            <v>ED3-GEOL</v>
          </cell>
        </row>
        <row r="311">
          <cell r="D311" t="str">
            <v>ED4-AUTO</v>
          </cell>
        </row>
        <row r="312">
          <cell r="D312" t="str">
            <v>ED4-MARI</v>
          </cell>
        </row>
        <row r="313">
          <cell r="D313" t="str">
            <v>ED4-ME</v>
          </cell>
        </row>
        <row r="314">
          <cell r="D314" t="str">
            <v>ED3-IND</v>
          </cell>
        </row>
        <row r="324">
          <cell r="D324" t="str">
            <v>CLASS</v>
          </cell>
        </row>
        <row r="325">
          <cell r="D325" t="str">
            <v>ED1-ME</v>
          </cell>
        </row>
        <row r="326">
          <cell r="D326" t="str">
            <v>ED1-AUTO</v>
          </cell>
        </row>
        <row r="327">
          <cell r="D327" t="str">
            <v>ED1-TEL</v>
          </cell>
        </row>
        <row r="328">
          <cell r="D328" t="str">
            <v>ED1-CHE</v>
          </cell>
        </row>
        <row r="329">
          <cell r="D329" t="str">
            <v>ED1-PCE</v>
          </cell>
        </row>
        <row r="330">
          <cell r="D330" t="str">
            <v>ED1-GEOM</v>
          </cell>
        </row>
        <row r="331">
          <cell r="D331" t="str">
            <v>ED3-COE</v>
          </cell>
        </row>
        <row r="332">
          <cell r="D332" t="str">
            <v>ED3-TEL</v>
          </cell>
        </row>
        <row r="333">
          <cell r="D333" t="str">
            <v>ED3-CE</v>
          </cell>
        </row>
        <row r="334">
          <cell r="D334" t="str">
            <v>ED3-EE</v>
          </cell>
        </row>
        <row r="335">
          <cell r="D335" t="str">
            <v>ED3-CHE</v>
          </cell>
        </row>
        <row r="336">
          <cell r="D336" t="str">
            <v>ED4-ME</v>
          </cell>
        </row>
        <row r="343">
          <cell r="D343" t="str">
            <v>CLASS</v>
          </cell>
        </row>
        <row r="344">
          <cell r="D344" t="str">
            <v>ED1-MARI</v>
          </cell>
        </row>
        <row r="345">
          <cell r="D345" t="str">
            <v>ED1-IND</v>
          </cell>
        </row>
        <row r="346">
          <cell r="D346" t="str">
            <v>ED1-AERO</v>
          </cell>
        </row>
        <row r="347">
          <cell r="D347" t="str">
            <v>ED1-MSE</v>
          </cell>
        </row>
        <row r="348">
          <cell r="D348" t="str">
            <v>ED1-METE</v>
          </cell>
        </row>
        <row r="349">
          <cell r="D349" t="str">
            <v>ED1-EE</v>
          </cell>
        </row>
        <row r="350">
          <cell r="D350" t="str">
            <v>ED3-MSE</v>
          </cell>
        </row>
        <row r="351">
          <cell r="D351" t="str">
            <v>ED2-CHE</v>
          </cell>
        </row>
        <row r="352">
          <cell r="D352" t="str">
            <v>ED2-PCE</v>
          </cell>
        </row>
        <row r="353">
          <cell r="D353" t="str">
            <v>ED3-GEOM</v>
          </cell>
        </row>
        <row r="354">
          <cell r="D354" t="str">
            <v>ED2-MARI</v>
          </cell>
        </row>
        <row r="355">
          <cell r="D355" t="str">
            <v>ED2-IND</v>
          </cell>
        </row>
        <row r="356">
          <cell r="D356" t="str">
            <v>ED2-AUTO</v>
          </cell>
        </row>
        <row r="357">
          <cell r="D357" t="str">
            <v>ED4-PETE</v>
          </cell>
        </row>
        <row r="358">
          <cell r="D358" t="str">
            <v>ED2-CE</v>
          </cell>
        </row>
        <row r="359">
          <cell r="D359" t="str">
            <v>ED2-GEOL</v>
          </cell>
        </row>
        <row r="360">
          <cell r="D360" t="str">
            <v>ED4-IND</v>
          </cell>
        </row>
        <row r="361">
          <cell r="D361" t="str">
            <v>ED4-GEOM</v>
          </cell>
        </row>
        <row r="370">
          <cell r="D370" t="str">
            <v>CLASS</v>
          </cell>
        </row>
        <row r="371">
          <cell r="D371" t="str">
            <v>ED3-BME</v>
          </cell>
        </row>
        <row r="372">
          <cell r="D372" t="str">
            <v>ED3-TEL</v>
          </cell>
        </row>
        <row r="373">
          <cell r="D373" t="str">
            <v>ED3-AE</v>
          </cell>
        </row>
        <row r="374">
          <cell r="D374" t="str">
            <v>ED3-AERO</v>
          </cell>
        </row>
        <row r="375">
          <cell r="D375" t="str">
            <v>ED3-GEOL</v>
          </cell>
        </row>
        <row r="376">
          <cell r="D376" t="str">
            <v>ED3-COE</v>
          </cell>
        </row>
        <row r="377">
          <cell r="D377" t="str">
            <v>ED3-AUTO</v>
          </cell>
        </row>
        <row r="378">
          <cell r="D378" t="str">
            <v>ED3-CE</v>
          </cell>
        </row>
        <row r="379">
          <cell r="D379" t="str">
            <v>ED3-ME</v>
          </cell>
        </row>
        <row r="380">
          <cell r="D380" t="str">
            <v>ED3-IND</v>
          </cell>
        </row>
        <row r="381">
          <cell r="D381" t="str">
            <v>ED3-EE</v>
          </cell>
        </row>
        <row r="382">
          <cell r="D382" t="str">
            <v>ED3-MARI</v>
          </cell>
        </row>
        <row r="383">
          <cell r="D383" t="str">
            <v>ED2-MARI</v>
          </cell>
        </row>
        <row r="384">
          <cell r="D384" t="str">
            <v>ED2-IND</v>
          </cell>
        </row>
        <row r="385">
          <cell r="D385" t="str">
            <v>ED2-AUTO</v>
          </cell>
        </row>
        <row r="386">
          <cell r="D386" t="str">
            <v>ED3-METE</v>
          </cell>
        </row>
        <row r="387">
          <cell r="D387" t="str">
            <v>ED2-COE</v>
          </cell>
        </row>
        <row r="388">
          <cell r="D388" t="str">
            <v>ED2-BME</v>
          </cell>
        </row>
        <row r="389">
          <cell r="D389" t="str">
            <v>ED1-AUTO</v>
          </cell>
        </row>
        <row r="390">
          <cell r="D390" t="str">
            <v>ED2-GEOM</v>
          </cell>
        </row>
        <row r="391">
          <cell r="D391" t="str">
            <v>ED3-PCE</v>
          </cell>
        </row>
        <row r="392">
          <cell r="D392" t="str">
            <v>ED4-ME</v>
          </cell>
        </row>
        <row r="393">
          <cell r="D393" t="str">
            <v>ED4-EE</v>
          </cell>
        </row>
        <row r="394">
          <cell r="D394" t="str">
            <v>ED4-COE</v>
          </cell>
        </row>
        <row r="402">
          <cell r="D402" t="str">
            <v>CLASS</v>
          </cell>
        </row>
        <row r="403">
          <cell r="D403" t="str">
            <v>ED1-AERO</v>
          </cell>
        </row>
        <row r="404">
          <cell r="D404" t="str">
            <v>ED2-METE</v>
          </cell>
        </row>
        <row r="405">
          <cell r="D405" t="str">
            <v>ED1-CHE</v>
          </cell>
        </row>
        <row r="406">
          <cell r="D406" t="str">
            <v>ED1-PCE</v>
          </cell>
        </row>
        <row r="407">
          <cell r="D407" t="str">
            <v>ED1-PETE</v>
          </cell>
        </row>
        <row r="408">
          <cell r="D408" t="str">
            <v>ED1-MSE</v>
          </cell>
        </row>
        <row r="409">
          <cell r="D409" t="str">
            <v>ED1-METE</v>
          </cell>
        </row>
        <row r="410">
          <cell r="D410" t="str">
            <v>ED1-GEOM</v>
          </cell>
        </row>
        <row r="411">
          <cell r="D411" t="str">
            <v>ED2-TEL</v>
          </cell>
        </row>
        <row r="412">
          <cell r="D412" t="str">
            <v>ED2-PETE</v>
          </cell>
        </row>
        <row r="413">
          <cell r="D413" t="str">
            <v>ED4-PETE</v>
          </cell>
        </row>
        <row r="414">
          <cell r="D414" t="str">
            <v>ED4-METE</v>
          </cell>
        </row>
        <row r="422">
          <cell r="D422" t="str">
            <v>CLASS</v>
          </cell>
        </row>
        <row r="423">
          <cell r="D423" t="str">
            <v>ED2-AERO</v>
          </cell>
        </row>
        <row r="424">
          <cell r="D424" t="str">
            <v>ED2-ME</v>
          </cell>
        </row>
        <row r="425">
          <cell r="D425" t="str">
            <v>ED2-AE</v>
          </cell>
        </row>
        <row r="426">
          <cell r="D426" t="str">
            <v>ED4-IND</v>
          </cell>
        </row>
        <row r="427">
          <cell r="D427" t="str">
            <v>ED3-PETE</v>
          </cell>
        </row>
        <row r="428">
          <cell r="D428" t="str">
            <v>ED4-CE</v>
          </cell>
        </row>
        <row r="429">
          <cell r="D429" t="str">
            <v>ED4-ME</v>
          </cell>
        </row>
        <row r="430">
          <cell r="D430" t="str">
            <v>ED4-CHE</v>
          </cell>
        </row>
        <row r="431">
          <cell r="D431" t="str">
            <v>ED4-PCE</v>
          </cell>
        </row>
        <row r="432">
          <cell r="D432" t="str">
            <v>ED4-TEL</v>
          </cell>
        </row>
        <row r="433">
          <cell r="D433" t="str">
            <v>ED4-BME</v>
          </cell>
        </row>
        <row r="434">
          <cell r="D434" t="str">
            <v>ED4-AERO</v>
          </cell>
        </row>
        <row r="443">
          <cell r="D443" t="str">
            <v>CLASS</v>
          </cell>
        </row>
        <row r="444">
          <cell r="D444" t="str">
            <v>ED1-CE</v>
          </cell>
        </row>
        <row r="445">
          <cell r="D445" t="str">
            <v>ED1-GEOL</v>
          </cell>
        </row>
        <row r="446">
          <cell r="D446" t="str">
            <v>ED2-MSE</v>
          </cell>
        </row>
        <row r="447">
          <cell r="D447" t="str">
            <v>ED2-BME</v>
          </cell>
        </row>
        <row r="448">
          <cell r="D448" t="str">
            <v>ED2-EE</v>
          </cell>
        </row>
        <row r="449">
          <cell r="D449" t="str">
            <v>ED2-TEL</v>
          </cell>
        </row>
        <row r="450">
          <cell r="D450" t="str">
            <v>ED2-COE</v>
          </cell>
        </row>
        <row r="451">
          <cell r="D451" t="str">
            <v>ED3-GEOM</v>
          </cell>
        </row>
        <row r="452">
          <cell r="D452" t="str">
            <v>ED3-PCE</v>
          </cell>
        </row>
        <row r="453">
          <cell r="D453" t="str">
            <v>ED3-METE</v>
          </cell>
        </row>
        <row r="454">
          <cell r="D454" t="str">
            <v>ED3-ME</v>
          </cell>
        </row>
        <row r="455">
          <cell r="D455" t="str">
            <v>ED3-AERO</v>
          </cell>
        </row>
        <row r="456">
          <cell r="D456" t="str">
            <v>ED3-CHE</v>
          </cell>
        </row>
        <row r="457">
          <cell r="D457" t="str">
            <v>ED2-ME</v>
          </cell>
        </row>
        <row r="458">
          <cell r="D458" t="str">
            <v>ED2-AE</v>
          </cell>
        </row>
        <row r="459">
          <cell r="D459" t="str">
            <v>ED3-EE</v>
          </cell>
        </row>
        <row r="460">
          <cell r="D460" t="str">
            <v>ED3-COE</v>
          </cell>
        </row>
        <row r="461">
          <cell r="D461" t="str">
            <v>ED4-AERO</v>
          </cell>
        </row>
        <row r="470">
          <cell r="D470" t="str">
            <v>CLASS</v>
          </cell>
        </row>
        <row r="471">
          <cell r="D471" t="str">
            <v>ED2-GEOM</v>
          </cell>
        </row>
        <row r="472">
          <cell r="D472" t="str">
            <v>ED2-CHE</v>
          </cell>
        </row>
        <row r="473">
          <cell r="D473" t="str">
            <v>ED2-PCE</v>
          </cell>
        </row>
        <row r="474">
          <cell r="D474" t="str">
            <v>ED4-CE</v>
          </cell>
        </row>
        <row r="475">
          <cell r="D475" t="str">
            <v>ED3-CE</v>
          </cell>
        </row>
        <row r="476">
          <cell r="D476" t="str">
            <v>ED2-GEOL</v>
          </cell>
        </row>
        <row r="477">
          <cell r="D477" t="str">
            <v>ED3-PETE</v>
          </cell>
        </row>
        <row r="484">
          <cell r="D484" t="str">
            <v>CLASS</v>
          </cell>
        </row>
        <row r="485">
          <cell r="D485" t="str">
            <v>ED4-MARI</v>
          </cell>
        </row>
        <row r="486">
          <cell r="D486" t="str">
            <v>ED4-AUTO</v>
          </cell>
        </row>
        <row r="487">
          <cell r="D487" t="str">
            <v>ED4-ME</v>
          </cell>
        </row>
        <row r="488">
          <cell r="D488" t="str">
            <v>ED3-IND</v>
          </cell>
        </row>
        <row r="489">
          <cell r="D489" t="str">
            <v>ED4-AE</v>
          </cell>
        </row>
        <row r="490">
          <cell r="D490" t="str">
            <v>ED4-COE</v>
          </cell>
        </row>
        <row r="491">
          <cell r="D491" t="str">
            <v>ED4-IND</v>
          </cell>
        </row>
        <row r="492">
          <cell r="D492" t="str">
            <v>ED4-MSE</v>
          </cell>
        </row>
        <row r="493">
          <cell r="D493" t="str">
            <v>ED4-METE</v>
          </cell>
        </row>
        <row r="494">
          <cell r="D494" t="str">
            <v>ED4-CHE</v>
          </cell>
        </row>
        <row r="495">
          <cell r="D495" t="str">
            <v>ED4-PCE</v>
          </cell>
        </row>
        <row r="496">
          <cell r="D496" t="str">
            <v>ED2-IND</v>
          </cell>
        </row>
        <row r="497">
          <cell r="D497" t="str">
            <v>ED2-AUTO</v>
          </cell>
        </row>
        <row r="498">
          <cell r="D498" t="str">
            <v>ED2-CE</v>
          </cell>
        </row>
        <row r="506">
          <cell r="D506" t="str">
            <v>CLASS</v>
          </cell>
        </row>
        <row r="507">
          <cell r="D507" t="str">
            <v>ED1-TEL</v>
          </cell>
        </row>
        <row r="508">
          <cell r="D508" t="str">
            <v>ED1-AUTO</v>
          </cell>
        </row>
        <row r="509">
          <cell r="D509" t="str">
            <v>ED1-MARI</v>
          </cell>
        </row>
        <row r="510">
          <cell r="D510" t="str">
            <v>ED1-ME</v>
          </cell>
        </row>
        <row r="511">
          <cell r="D511" t="str">
            <v>ED1-METE</v>
          </cell>
        </row>
        <row r="512">
          <cell r="D512" t="str">
            <v>ED1-CHE</v>
          </cell>
        </row>
        <row r="513">
          <cell r="D513" t="str">
            <v>ED1-PETE</v>
          </cell>
        </row>
        <row r="514">
          <cell r="D514" t="str">
            <v>ED1-IND</v>
          </cell>
        </row>
        <row r="515">
          <cell r="D515" t="str">
            <v>ED1-COE</v>
          </cell>
        </row>
        <row r="516">
          <cell r="D516" t="str">
            <v>ED1-AERO</v>
          </cell>
        </row>
        <row r="517">
          <cell r="D517" t="str">
            <v>ED1-MSE</v>
          </cell>
        </row>
        <row r="518">
          <cell r="D518" t="str">
            <v>ED1-PCE</v>
          </cell>
        </row>
        <row r="519">
          <cell r="D519" t="str">
            <v>ED1-BME</v>
          </cell>
        </row>
        <row r="520">
          <cell r="D520" t="str">
            <v>ED1-GEOM</v>
          </cell>
        </row>
        <row r="521">
          <cell r="D521" t="str">
            <v>ED3-CHE</v>
          </cell>
        </row>
        <row r="522">
          <cell r="D522" t="str">
            <v>ED4-PCE</v>
          </cell>
        </row>
        <row r="523">
          <cell r="D523" t="str">
            <v>ED3-TEL</v>
          </cell>
        </row>
        <row r="524">
          <cell r="D524" t="str">
            <v>ED4-AERO</v>
          </cell>
        </row>
        <row r="535">
          <cell r="D535" t="str">
            <v>CLASS</v>
          </cell>
        </row>
        <row r="536">
          <cell r="D536" t="str">
            <v>ED2-AERO</v>
          </cell>
        </row>
        <row r="537">
          <cell r="D537" t="str">
            <v>ED2-ME</v>
          </cell>
        </row>
        <row r="538">
          <cell r="D538" t="str">
            <v>ED2-MARI</v>
          </cell>
        </row>
        <row r="539">
          <cell r="D539" t="str">
            <v>ED2-IND</v>
          </cell>
        </row>
        <row r="540">
          <cell r="D540" t="str">
            <v>ED2-AUTO</v>
          </cell>
        </row>
        <row r="541">
          <cell r="D541" t="str">
            <v>ED4-PETE</v>
          </cell>
        </row>
        <row r="542">
          <cell r="D542" t="str">
            <v>ED4-GEOL</v>
          </cell>
        </row>
        <row r="543">
          <cell r="D543" t="str">
            <v>ED3-EE</v>
          </cell>
        </row>
        <row r="544">
          <cell r="D544" t="str">
            <v>ED2-TEL</v>
          </cell>
        </row>
        <row r="545">
          <cell r="D545" t="str">
            <v>ED3-MSE</v>
          </cell>
        </row>
        <row r="546">
          <cell r="D546" t="str">
            <v>ED4-EE</v>
          </cell>
        </row>
        <row r="547">
          <cell r="D547" t="str">
            <v>ED4-TEL</v>
          </cell>
        </row>
        <row r="548">
          <cell r="D548" t="str">
            <v>ED4-ME</v>
          </cell>
        </row>
        <row r="561">
          <cell r="D561" t="str">
            <v>ED2-GEOM</v>
          </cell>
        </row>
        <row r="562">
          <cell r="D562" t="str">
            <v>ED2-CHE</v>
          </cell>
        </row>
        <row r="563">
          <cell r="D563" t="str">
            <v>ED2-PCE</v>
          </cell>
        </row>
        <row r="564">
          <cell r="D564" t="str">
            <v>ED3-PETE</v>
          </cell>
        </row>
        <row r="565">
          <cell r="D565" t="str">
            <v>ED1-EE</v>
          </cell>
        </row>
        <row r="566">
          <cell r="D566" t="str">
            <v>ED1-AE</v>
          </cell>
        </row>
        <row r="567">
          <cell r="D567" t="str">
            <v>ED3-PCE</v>
          </cell>
        </row>
        <row r="568">
          <cell r="D568" t="str">
            <v>ED3-GEOL</v>
          </cell>
        </row>
        <row r="569">
          <cell r="D569" t="str">
            <v>ED4-GEOM</v>
          </cell>
        </row>
        <row r="577">
          <cell r="D577" t="str">
            <v>CLASS</v>
          </cell>
        </row>
        <row r="578">
          <cell r="D578" t="str">
            <v>ED1-AERO</v>
          </cell>
        </row>
        <row r="579">
          <cell r="D579" t="str">
            <v>ED1-AE</v>
          </cell>
        </row>
        <row r="580">
          <cell r="D580" t="str">
            <v>ED1-AUTO</v>
          </cell>
        </row>
        <row r="581">
          <cell r="D581" t="str">
            <v>ED1-BME</v>
          </cell>
        </row>
        <row r="582">
          <cell r="D582" t="str">
            <v>ED1-CHE</v>
          </cell>
        </row>
        <row r="583">
          <cell r="D583" t="str">
            <v>ED1-PCE</v>
          </cell>
        </row>
        <row r="584">
          <cell r="D584" t="str">
            <v>ED1-COE</v>
          </cell>
        </row>
        <row r="585">
          <cell r="D585" t="str">
            <v>ED4-CHE</v>
          </cell>
        </row>
        <row r="586">
          <cell r="D586" t="str">
            <v>ED4-PCE</v>
          </cell>
        </row>
        <row r="587">
          <cell r="D587" t="str">
            <v>ED3-GEOM</v>
          </cell>
        </row>
        <row r="588">
          <cell r="D588" t="str">
            <v>ED3-METE</v>
          </cell>
        </row>
        <row r="589">
          <cell r="D589" t="str">
            <v>ED3-MSE</v>
          </cell>
        </row>
        <row r="590">
          <cell r="D590" t="str">
            <v>ED3-ME</v>
          </cell>
        </row>
        <row r="591">
          <cell r="D591" t="str">
            <v>ED2-COE</v>
          </cell>
        </row>
        <row r="592">
          <cell r="D592" t="str">
            <v>ED2-BME</v>
          </cell>
        </row>
        <row r="593">
          <cell r="D593" t="str">
            <v>ED2-TEL</v>
          </cell>
        </row>
        <row r="594">
          <cell r="D594" t="str">
            <v>ED4-PETE</v>
          </cell>
        </row>
        <row r="601">
          <cell r="D601" t="str">
            <v>CLASS</v>
          </cell>
        </row>
        <row r="602">
          <cell r="D602" t="str">
            <v>ED1-CE</v>
          </cell>
        </row>
        <row r="603">
          <cell r="D603" t="str">
            <v>ED1-EE</v>
          </cell>
        </row>
        <row r="604">
          <cell r="D604" t="str">
            <v>ED1-GEOL</v>
          </cell>
        </row>
        <row r="605">
          <cell r="D605" t="str">
            <v>ED1-METE</v>
          </cell>
        </row>
        <row r="606">
          <cell r="D606" t="str">
            <v>ED3-IND</v>
          </cell>
        </row>
        <row r="607">
          <cell r="D607" t="str">
            <v>ED3-AERO</v>
          </cell>
        </row>
        <row r="608">
          <cell r="D608" t="str">
            <v>ED2-GEOM</v>
          </cell>
        </row>
        <row r="609">
          <cell r="D609" t="str">
            <v>ED2-PETE</v>
          </cell>
        </row>
        <row r="610">
          <cell r="D610" t="str">
            <v>ED4-CE</v>
          </cell>
        </row>
        <row r="611">
          <cell r="D611" t="str">
            <v>ED4-COE</v>
          </cell>
        </row>
        <row r="612">
          <cell r="D612" t="str">
            <v>ED3-AUTO</v>
          </cell>
        </row>
        <row r="613">
          <cell r="D613" t="str">
            <v>ED2-AERO</v>
          </cell>
        </row>
        <row r="614">
          <cell r="D614" t="str">
            <v>ED2-ME</v>
          </cell>
        </row>
        <row r="615">
          <cell r="D615" t="str">
            <v>ED2-MSE</v>
          </cell>
        </row>
        <row r="616">
          <cell r="D616" t="str">
            <v>ED2-METE</v>
          </cell>
        </row>
        <row r="617">
          <cell r="D617" t="str">
            <v>ED3-PCE</v>
          </cell>
        </row>
        <row r="618">
          <cell r="D618" t="str">
            <v>ED3-CHE</v>
          </cell>
        </row>
        <row r="624">
          <cell r="D624" t="str">
            <v>CLASS</v>
          </cell>
        </row>
        <row r="625">
          <cell r="D625" t="str">
            <v>ED1-GEOM</v>
          </cell>
        </row>
        <row r="626">
          <cell r="D626" t="str">
            <v>ED1-IND</v>
          </cell>
        </row>
        <row r="627">
          <cell r="D627" t="str">
            <v>ED1-MARI</v>
          </cell>
        </row>
        <row r="628">
          <cell r="D628" t="str">
            <v>ED1-MSE</v>
          </cell>
        </row>
        <row r="629">
          <cell r="D629" t="str">
            <v>ED1-ME</v>
          </cell>
        </row>
        <row r="630">
          <cell r="D630" t="str">
            <v>ED1-PETE</v>
          </cell>
        </row>
        <row r="631">
          <cell r="D631" t="str">
            <v>ED1-TEL</v>
          </cell>
        </row>
        <row r="632">
          <cell r="D632" t="str">
            <v>ED3-AE</v>
          </cell>
        </row>
        <row r="633">
          <cell r="D633" t="str">
            <v>ED2-CE</v>
          </cell>
        </row>
        <row r="634">
          <cell r="D634" t="str">
            <v>ED2-GEOL</v>
          </cell>
        </row>
        <row r="635">
          <cell r="D635" t="str">
            <v>ED3-MARI</v>
          </cell>
        </row>
        <row r="636">
          <cell r="D636" t="str">
            <v>ED3-TEL</v>
          </cell>
        </row>
        <row r="637">
          <cell r="D637" t="str">
            <v>ED3-BME</v>
          </cell>
        </row>
        <row r="638">
          <cell r="D638" t="str">
            <v>ED4-ME</v>
          </cell>
        </row>
        <row r="639">
          <cell r="D639" t="str">
            <v>ED4-BME</v>
          </cell>
        </row>
        <row r="640">
          <cell r="D640" t="str">
            <v>ED3-PETE</v>
          </cell>
        </row>
        <row r="641">
          <cell r="D641" t="str">
            <v>ED2-EE</v>
          </cell>
        </row>
        <row r="647">
          <cell r="D647" t="str">
            <v>CLASS</v>
          </cell>
        </row>
        <row r="648">
          <cell r="D648" t="str">
            <v>ED1-GEOL</v>
          </cell>
        </row>
        <row r="649">
          <cell r="D649" t="str">
            <v>ED1-METE</v>
          </cell>
        </row>
        <row r="650">
          <cell r="D650" t="str">
            <v>ED2-PETE</v>
          </cell>
        </row>
        <row r="651">
          <cell r="D651" t="str">
            <v>ED3-COE</v>
          </cell>
        </row>
        <row r="652">
          <cell r="D652" t="str">
            <v>ED2-PCE</v>
          </cell>
        </row>
        <row r="653">
          <cell r="D653" t="str">
            <v>ED3-AE</v>
          </cell>
        </row>
        <row r="654">
          <cell r="D654" t="str">
            <v>ED4-ME</v>
          </cell>
        </row>
        <row r="655">
          <cell r="D655" t="str">
            <v>ED4-CE</v>
          </cell>
        </row>
        <row r="656">
          <cell r="D656" t="str">
            <v>ED4-GEOL</v>
          </cell>
        </row>
        <row r="657">
          <cell r="D657" t="str">
            <v>ED4-EE</v>
          </cell>
        </row>
        <row r="658">
          <cell r="D658" t="str">
            <v>ED4-TEL</v>
          </cell>
        </row>
        <row r="659">
          <cell r="D659" t="str">
            <v>ED4-AE</v>
          </cell>
        </row>
        <row r="665">
          <cell r="D665" t="str">
            <v>CLASS</v>
          </cell>
        </row>
        <row r="666">
          <cell r="D666" t="str">
            <v>ED3-ME</v>
          </cell>
        </row>
        <row r="667">
          <cell r="D667" t="str">
            <v>ED3-IND</v>
          </cell>
        </row>
        <row r="668">
          <cell r="D668" t="str">
            <v>ED3-AUTO</v>
          </cell>
        </row>
        <row r="669">
          <cell r="D669" t="str">
            <v>ED3-AERO</v>
          </cell>
        </row>
        <row r="670">
          <cell r="D670" t="str">
            <v>ED3-MARI</v>
          </cell>
        </row>
        <row r="671">
          <cell r="D671" t="str">
            <v>ED3-GEOL</v>
          </cell>
        </row>
        <row r="672">
          <cell r="D672" t="str">
            <v>ED3-BME</v>
          </cell>
        </row>
        <row r="673">
          <cell r="D673" t="str">
            <v>ED3-GEOM</v>
          </cell>
        </row>
        <row r="674">
          <cell r="D674" t="str">
            <v>ED3-MSE</v>
          </cell>
        </row>
        <row r="675">
          <cell r="D675" t="str">
            <v>ED3-METE</v>
          </cell>
        </row>
        <row r="676">
          <cell r="D676" t="str">
            <v>ED2-AE</v>
          </cell>
        </row>
        <row r="677">
          <cell r="D677" t="str">
            <v>ED2-MARI</v>
          </cell>
        </row>
        <row r="678">
          <cell r="D678" t="str">
            <v>ED4-MARI</v>
          </cell>
        </row>
        <row r="685">
          <cell r="D685" t="str">
            <v>CLASS</v>
          </cell>
        </row>
        <row r="686">
          <cell r="D686" t="str">
            <v>ED4-IND</v>
          </cell>
        </row>
        <row r="687">
          <cell r="D687" t="str">
            <v>ED2-TEL</v>
          </cell>
        </row>
        <row r="688">
          <cell r="D688" t="str">
            <v>ED2-GEOL</v>
          </cell>
        </row>
        <row r="689">
          <cell r="D689" t="str">
            <v>ED2-COE</v>
          </cell>
        </row>
        <row r="690">
          <cell r="D690" t="str">
            <v>ED2-GEOM</v>
          </cell>
        </row>
        <row r="691">
          <cell r="D691" t="str">
            <v>ED2-IND</v>
          </cell>
        </row>
        <row r="692">
          <cell r="D692" t="str">
            <v>ED2-MSE</v>
          </cell>
        </row>
        <row r="693">
          <cell r="D693" t="str">
            <v>ED2-METE</v>
          </cell>
        </row>
        <row r="694">
          <cell r="D694" t="str">
            <v>ED2-CE</v>
          </cell>
        </row>
        <row r="695">
          <cell r="D695" t="str">
            <v>ED3-CHE</v>
          </cell>
        </row>
        <row r="701">
          <cell r="D701" t="str">
            <v>CLASS</v>
          </cell>
        </row>
        <row r="702">
          <cell r="D702" t="str">
            <v>ED2-COE</v>
          </cell>
        </row>
        <row r="703">
          <cell r="D703" t="str">
            <v>ED2-EE</v>
          </cell>
        </row>
        <row r="704">
          <cell r="D704" t="str">
            <v>ED2-MSE</v>
          </cell>
        </row>
        <row r="705">
          <cell r="D705" t="str">
            <v>ED2-TEL</v>
          </cell>
        </row>
        <row r="706">
          <cell r="D706" t="str">
            <v>ED1-CE</v>
          </cell>
        </row>
        <row r="707">
          <cell r="D707" t="str">
            <v>ED1-GEOL</v>
          </cell>
        </row>
        <row r="708">
          <cell r="D708" t="str">
            <v>ED2-BME</v>
          </cell>
        </row>
        <row r="709">
          <cell r="D709" t="str">
            <v>ED3-CHE</v>
          </cell>
        </row>
        <row r="710">
          <cell r="D710" t="str">
            <v>ED3-GEOM</v>
          </cell>
        </row>
        <row r="711">
          <cell r="D711" t="str">
            <v>ED3-METE</v>
          </cell>
        </row>
        <row r="712">
          <cell r="D712" t="str">
            <v>ED1-MARI</v>
          </cell>
        </row>
        <row r="713">
          <cell r="D713" t="str">
            <v>ED3-PCE</v>
          </cell>
        </row>
        <row r="714">
          <cell r="D714" t="str">
            <v>ED1-AERO</v>
          </cell>
        </row>
        <row r="720">
          <cell r="D720" t="str">
            <v>CLASS</v>
          </cell>
        </row>
        <row r="721">
          <cell r="D721" t="str">
            <v>ED3-AE</v>
          </cell>
        </row>
        <row r="722">
          <cell r="D722" t="str">
            <v>ED1-PETE</v>
          </cell>
        </row>
        <row r="723">
          <cell r="D723" t="str">
            <v>ED3-AERO</v>
          </cell>
        </row>
        <row r="724">
          <cell r="D724" t="str">
            <v>ED3-EE</v>
          </cell>
        </row>
        <row r="725">
          <cell r="D725" t="str">
            <v>ED4-AUTO</v>
          </cell>
        </row>
        <row r="726">
          <cell r="D726" t="str">
            <v>ED4-CE</v>
          </cell>
        </row>
        <row r="727">
          <cell r="D727" t="str">
            <v>ED3-CE</v>
          </cell>
        </row>
        <row r="728">
          <cell r="D728" t="str">
            <v>ED4-BME</v>
          </cell>
        </row>
        <row r="729">
          <cell r="D729" t="str">
            <v>ED2-CHE</v>
          </cell>
        </row>
        <row r="730">
          <cell r="D730" t="str">
            <v>ED2-PCE</v>
          </cell>
        </row>
        <row r="737">
          <cell r="D737" t="str">
            <v>CLASS</v>
          </cell>
        </row>
        <row r="738">
          <cell r="D738" t="str">
            <v>ED2-MARI</v>
          </cell>
        </row>
        <row r="739">
          <cell r="D739" t="str">
            <v>ED2-ME</v>
          </cell>
        </row>
        <row r="740">
          <cell r="D740" t="str">
            <v>ED2-CE</v>
          </cell>
        </row>
        <row r="741">
          <cell r="D741" t="str">
            <v>ED4-PCE</v>
          </cell>
        </row>
        <row r="742">
          <cell r="D742" t="str">
            <v>ED3-GEOL</v>
          </cell>
        </row>
        <row r="743">
          <cell r="D743" t="str">
            <v>ED4-ME</v>
          </cell>
        </row>
        <row r="744">
          <cell r="D744" t="str">
            <v>ED4-PETE</v>
          </cell>
        </row>
        <row r="745">
          <cell r="D745" t="str">
            <v>ED4-MSE</v>
          </cell>
        </row>
        <row r="746">
          <cell r="D746" t="str">
            <v>ED4-METE</v>
          </cell>
        </row>
        <row r="747">
          <cell r="D747" t="str">
            <v>ED4-COE</v>
          </cell>
        </row>
        <row r="748">
          <cell r="D748" t="str">
            <v>ED3-TEL</v>
          </cell>
        </row>
        <row r="749">
          <cell r="D749" t="str">
            <v>ED3-MARI</v>
          </cell>
        </row>
        <row r="750">
          <cell r="D750" t="str">
            <v>ED3-AUTO</v>
          </cell>
        </row>
        <row r="756">
          <cell r="D756" t="str">
            <v>CLASS</v>
          </cell>
        </row>
        <row r="757">
          <cell r="D757" t="str">
            <v>ED2-GEOM</v>
          </cell>
        </row>
        <row r="758">
          <cell r="D758" t="str">
            <v>ED3-PETE</v>
          </cell>
        </row>
        <row r="759">
          <cell r="D759" t="str">
            <v>ED2-MSE</v>
          </cell>
        </row>
        <row r="760">
          <cell r="D760" t="str">
            <v>ED2-METE</v>
          </cell>
        </row>
        <row r="761">
          <cell r="D761" t="str">
            <v>ED2-AUTO</v>
          </cell>
        </row>
        <row r="762">
          <cell r="D762" t="str">
            <v>ED2-IND</v>
          </cell>
        </row>
        <row r="763">
          <cell r="D763" t="str">
            <v>ED2-MARI</v>
          </cell>
        </row>
        <row r="764">
          <cell r="D764" t="str">
            <v>ED4-TEL</v>
          </cell>
        </row>
        <row r="765">
          <cell r="D765" t="str">
            <v>ED4-ME</v>
          </cell>
        </row>
        <row r="766">
          <cell r="D766" t="str">
            <v>ED1-AE</v>
          </cell>
        </row>
        <row r="767">
          <cell r="D767" t="str">
            <v>ED2-BME</v>
          </cell>
        </row>
        <row r="768">
          <cell r="D768" t="str">
            <v>ED4-GEOL</v>
          </cell>
        </row>
        <row r="774">
          <cell r="D774" t="str">
            <v>CLASS</v>
          </cell>
        </row>
        <row r="775">
          <cell r="D775" t="str">
            <v>ED3-METE</v>
          </cell>
        </row>
        <row r="776">
          <cell r="D776" t="str">
            <v>ED3-MSE</v>
          </cell>
        </row>
        <row r="777">
          <cell r="D777" t="str">
            <v>ED4-PCE</v>
          </cell>
        </row>
        <row r="778">
          <cell r="D778" t="str">
            <v>ED2-GEOL</v>
          </cell>
        </row>
        <row r="779">
          <cell r="D779" t="str">
            <v>ED3-AE</v>
          </cell>
        </row>
        <row r="780">
          <cell r="D780" t="str">
            <v>ED3-ME</v>
          </cell>
        </row>
        <row r="781">
          <cell r="D781" t="str">
            <v>ED3-COE</v>
          </cell>
        </row>
        <row r="782">
          <cell r="D782" t="str">
            <v>ED3-BME</v>
          </cell>
        </row>
        <row r="783">
          <cell r="D783" t="str">
            <v>ED3-EE</v>
          </cell>
        </row>
        <row r="790">
          <cell r="D790" t="str">
            <v>CLASS</v>
          </cell>
        </row>
        <row r="791">
          <cell r="D791" t="str">
            <v>ED4-AERO</v>
          </cell>
        </row>
        <row r="792">
          <cell r="D792" t="str">
            <v>ED4-ME</v>
          </cell>
        </row>
        <row r="793">
          <cell r="D793" t="str">
            <v>ED2-AERO</v>
          </cell>
        </row>
        <row r="794">
          <cell r="D794" t="str">
            <v>ED2-EE</v>
          </cell>
        </row>
        <row r="795">
          <cell r="D795" t="str">
            <v>ED2-AE</v>
          </cell>
        </row>
        <row r="796">
          <cell r="D796" t="str">
            <v>ED2-CHE</v>
          </cell>
        </row>
        <row r="797">
          <cell r="D797" t="str">
            <v>ED3-MARI</v>
          </cell>
        </row>
        <row r="798">
          <cell r="D798" t="str">
            <v>ED3-AUTO</v>
          </cell>
        </row>
        <row r="799">
          <cell r="D799" t="str">
            <v>ED1-CE</v>
          </cell>
        </row>
        <row r="800">
          <cell r="D800" t="str">
            <v>ED1-GEOL</v>
          </cell>
        </row>
        <row r="801">
          <cell r="D801" t="str">
            <v>ED3-CE</v>
          </cell>
        </row>
        <row r="802">
          <cell r="D802" t="str">
            <v>ED3-PCE</v>
          </cell>
        </row>
        <row r="808">
          <cell r="D808" t="str">
            <v>CLASS</v>
          </cell>
        </row>
        <row r="809">
          <cell r="D809" t="str">
            <v>ED1-BME</v>
          </cell>
        </row>
        <row r="810">
          <cell r="D810" t="str">
            <v>ED1-CE</v>
          </cell>
        </row>
        <row r="811">
          <cell r="D811" t="str">
            <v>ED3-MARI</v>
          </cell>
        </row>
        <row r="812">
          <cell r="D812" t="str">
            <v>ED2-AE</v>
          </cell>
        </row>
        <row r="813">
          <cell r="D813" t="str">
            <v>ED3-TEL</v>
          </cell>
        </row>
        <row r="814">
          <cell r="D814" t="str">
            <v>ED3-EE</v>
          </cell>
        </row>
        <row r="815">
          <cell r="D815" t="str">
            <v>ED2-AERO</v>
          </cell>
        </row>
        <row r="816">
          <cell r="D816" t="str">
            <v>ED2-ME</v>
          </cell>
        </row>
        <row r="817">
          <cell r="D817" t="str">
            <v>ED4-AERO</v>
          </cell>
        </row>
        <row r="818">
          <cell r="D818" t="str">
            <v>ED1-MSE</v>
          </cell>
        </row>
        <row r="819">
          <cell r="D819" t="str">
            <v>ED3-BME</v>
          </cell>
        </row>
        <row r="820">
          <cell r="D820" t="str">
            <v>ED4-AE</v>
          </cell>
        </row>
        <row r="821">
          <cell r="D821" t="str">
            <v>ED3-AUTO</v>
          </cell>
        </row>
        <row r="822">
          <cell r="D822" t="str">
            <v>ED4-ME</v>
          </cell>
        </row>
        <row r="828">
          <cell r="D828" t="str">
            <v>CLASS</v>
          </cell>
        </row>
        <row r="829">
          <cell r="D829" t="str">
            <v>ED2-BME</v>
          </cell>
        </row>
        <row r="830">
          <cell r="D830" t="str">
            <v>ED2-COE</v>
          </cell>
        </row>
        <row r="831">
          <cell r="D831" t="str">
            <v>ED3-METE</v>
          </cell>
        </row>
        <row r="832">
          <cell r="D832" t="str">
            <v>ED2-TEL</v>
          </cell>
        </row>
        <row r="833">
          <cell r="D833" t="str">
            <v>ED2-MSE</v>
          </cell>
        </row>
        <row r="834">
          <cell r="D834" t="str">
            <v>ED3-GEOM</v>
          </cell>
        </row>
        <row r="835">
          <cell r="D835" t="str">
            <v>ED1-GEOL</v>
          </cell>
        </row>
        <row r="836">
          <cell r="D836" t="str">
            <v>ED1-GEOM</v>
          </cell>
        </row>
        <row r="837">
          <cell r="D837" t="str">
            <v>ED2-METE</v>
          </cell>
        </row>
        <row r="838">
          <cell r="D838" t="str">
            <v>ED2-GEOL</v>
          </cell>
        </row>
        <row r="839">
          <cell r="D839" t="str">
            <v>ED1-EE</v>
          </cell>
        </row>
        <row r="840">
          <cell r="D840" t="str">
            <v>ED1-COE</v>
          </cell>
        </row>
        <row r="841">
          <cell r="D841" t="str">
            <v>ED1-TEL</v>
          </cell>
        </row>
        <row r="842">
          <cell r="D842" t="str">
            <v>ED1-ME</v>
          </cell>
        </row>
        <row r="843">
          <cell r="D843" t="str">
            <v>ED1-MARI</v>
          </cell>
        </row>
        <row r="844">
          <cell r="D844" t="str">
            <v>ED1-IND</v>
          </cell>
        </row>
        <row r="851">
          <cell r="D851" t="str">
            <v>CLASS</v>
          </cell>
        </row>
        <row r="852">
          <cell r="D852" t="str">
            <v>ED3-CE</v>
          </cell>
        </row>
        <row r="853">
          <cell r="D853" t="str">
            <v>ED3-GEOL</v>
          </cell>
        </row>
        <row r="854">
          <cell r="D854" t="str">
            <v>ED2-PETE</v>
          </cell>
        </row>
        <row r="855">
          <cell r="D855" t="str">
            <v>ED2-MARI</v>
          </cell>
        </row>
        <row r="856">
          <cell r="D856" t="str">
            <v>ED3-ME</v>
          </cell>
        </row>
        <row r="857">
          <cell r="D857" t="str">
            <v>ED4-ME</v>
          </cell>
        </row>
        <row r="858">
          <cell r="D858" t="str">
            <v>ED4-CHE</v>
          </cell>
        </row>
        <row r="859">
          <cell r="D859" t="str">
            <v>ED4-CE</v>
          </cell>
        </row>
        <row r="865">
          <cell r="D865" t="str">
            <v>CLASS</v>
          </cell>
        </row>
        <row r="866">
          <cell r="D866" t="str">
            <v>ED2-AERO</v>
          </cell>
        </row>
        <row r="867">
          <cell r="D867" t="str">
            <v>ED2-ME</v>
          </cell>
        </row>
        <row r="868">
          <cell r="D868" t="str">
            <v>ED2-AE</v>
          </cell>
        </row>
        <row r="869">
          <cell r="D869" t="str">
            <v>ED2-GEOM</v>
          </cell>
        </row>
        <row r="870">
          <cell r="D870" t="str">
            <v>ED2-IND</v>
          </cell>
        </row>
        <row r="871">
          <cell r="D871" t="str">
            <v>ED2-BME</v>
          </cell>
        </row>
        <row r="872">
          <cell r="D872" t="str">
            <v>ED2-EE</v>
          </cell>
        </row>
        <row r="873">
          <cell r="D873" t="str">
            <v>ED2-TEL</v>
          </cell>
        </row>
        <row r="874">
          <cell r="D874" t="str">
            <v>ED2-PETE</v>
          </cell>
        </row>
        <row r="875">
          <cell r="D875" t="str">
            <v>ED3-MARI</v>
          </cell>
        </row>
        <row r="876">
          <cell r="D876" t="str">
            <v>ED4-MARI</v>
          </cell>
        </row>
        <row r="882">
          <cell r="D882" t="str">
            <v>CLASS</v>
          </cell>
        </row>
        <row r="883">
          <cell r="D883" t="str">
            <v>ED3-EE</v>
          </cell>
        </row>
        <row r="884">
          <cell r="D884" t="str">
            <v>ED3-TEL</v>
          </cell>
        </row>
        <row r="885">
          <cell r="D885" t="str">
            <v>ED3-COE</v>
          </cell>
        </row>
        <row r="886">
          <cell r="D886" t="str">
            <v>ED3-BME</v>
          </cell>
        </row>
        <row r="887">
          <cell r="D887" t="str">
            <v>ED3-MSE</v>
          </cell>
        </row>
        <row r="888">
          <cell r="D888" t="str">
            <v>ED3-METE</v>
          </cell>
        </row>
        <row r="889">
          <cell r="D889" t="str">
            <v>ED2-MSE</v>
          </cell>
        </row>
        <row r="890">
          <cell r="D890" t="str">
            <v>ED2-METE</v>
          </cell>
        </row>
        <row r="897">
          <cell r="D897" t="str">
            <v>CLASS</v>
          </cell>
        </row>
        <row r="898">
          <cell r="D898" t="str">
            <v>ED4-EE</v>
          </cell>
        </row>
        <row r="899">
          <cell r="D899" t="str">
            <v>ED4-CE</v>
          </cell>
        </row>
        <row r="900">
          <cell r="D900" t="str">
            <v>ED3-CE</v>
          </cell>
        </row>
        <row r="901">
          <cell r="D901" t="str">
            <v>ED3-CHE</v>
          </cell>
        </row>
        <row r="902">
          <cell r="D902" t="str">
            <v>ED3-PCE</v>
          </cell>
        </row>
        <row r="903">
          <cell r="D903" t="str">
            <v>ED2-CHE</v>
          </cell>
        </row>
        <row r="904">
          <cell r="D904" t="str">
            <v>ED2-PCE</v>
          </cell>
        </row>
        <row r="905">
          <cell r="D905" t="str">
            <v>ED3-GEOM</v>
          </cell>
        </row>
        <row r="906">
          <cell r="D906" t="str">
            <v>ED1-CHE</v>
          </cell>
        </row>
        <row r="907">
          <cell r="D907" t="str">
            <v>ED1-PCE</v>
          </cell>
        </row>
        <row r="908">
          <cell r="D908" t="str">
            <v>ED1-PETE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 (MAIN)"/>
      <sheetName val="COMBINED_ATTD_INV (3)"/>
      <sheetName val="Sheet1"/>
      <sheetName val="ROOMS AND SIZES"/>
      <sheetName val="FREQ"/>
      <sheetName val="WATER"/>
      <sheetName val="TALLY"/>
      <sheetName val="COORDINATORS_ATTENDANCE"/>
      <sheetName val="TEO_fred "/>
      <sheetName val="TT (Values)_1"/>
      <sheetName val="TT (Values)_for lect"/>
      <sheetName val="Collection_"/>
      <sheetName val="floor_coordinators (2)"/>
      <sheetName val="SESSIONS"/>
      <sheetName val="Sheet3"/>
      <sheetName val="COURSES"/>
      <sheetName val="TOTALSTD"/>
      <sheetName val="TEO (2)"/>
      <sheetName val="ATTDD"/>
      <sheetName val="TA_NSS"/>
      <sheetName val="TA_SCHED"/>
      <sheetName val="Sheet6"/>
      <sheetName val="Sheet5"/>
      <sheetName val="floor_TAs (final)"/>
    </sheetNames>
    <sheetDataSet>
      <sheetData sheetId="0">
        <row r="1">
          <cell r="I1" t="str">
            <v>Monday, 8 April 2024,</v>
          </cell>
        </row>
        <row r="3">
          <cell r="D3" t="str">
            <v>CLASS</v>
          </cell>
        </row>
        <row r="4">
          <cell r="D4" t="str">
            <v>ED1-EE</v>
          </cell>
        </row>
        <row r="5">
          <cell r="D5" t="str">
            <v>ED1-ME</v>
          </cell>
        </row>
        <row r="6">
          <cell r="D6" t="str">
            <v>ED1-TEL</v>
          </cell>
        </row>
        <row r="7">
          <cell r="D7" t="str">
            <v>ED1-AUTO</v>
          </cell>
        </row>
        <row r="8">
          <cell r="D8" t="str">
            <v>ED1-AE</v>
          </cell>
        </row>
        <row r="9">
          <cell r="D9" t="str">
            <v>ED1-IND</v>
          </cell>
        </row>
        <row r="10">
          <cell r="D10" t="str">
            <v>ED1-METE</v>
          </cell>
        </row>
        <row r="11">
          <cell r="D11" t="str">
            <v>ED1-MSE</v>
          </cell>
        </row>
        <row r="12">
          <cell r="D12" t="str">
            <v>ED3-CE</v>
          </cell>
        </row>
        <row r="13">
          <cell r="D13" t="str">
            <v>ED2-MARI</v>
          </cell>
        </row>
        <row r="14">
          <cell r="D14" t="str">
            <v>ED2-IND</v>
          </cell>
        </row>
        <row r="15">
          <cell r="D15" t="str">
            <v>ED2-AUTO</v>
          </cell>
        </row>
        <row r="21">
          <cell r="D21" t="str">
            <v>CLASS</v>
          </cell>
        </row>
        <row r="22">
          <cell r="D22" t="str">
            <v>ED2-AE</v>
          </cell>
        </row>
        <row r="23">
          <cell r="D23" t="str">
            <v>ED3-AUTO</v>
          </cell>
        </row>
        <row r="24">
          <cell r="D24" t="str">
            <v>ED1-CE</v>
          </cell>
        </row>
        <row r="25">
          <cell r="D25" t="str">
            <v>ED1-MARI</v>
          </cell>
        </row>
        <row r="26">
          <cell r="D26" t="str">
            <v>ED3-MARI</v>
          </cell>
        </row>
        <row r="27">
          <cell r="D27" t="str">
            <v>ED4-ME</v>
          </cell>
        </row>
        <row r="28">
          <cell r="D28" t="str">
            <v>ED3-AE</v>
          </cell>
        </row>
        <row r="29">
          <cell r="D29" t="str">
            <v>ED3-IND</v>
          </cell>
        </row>
        <row r="30">
          <cell r="D30" t="str">
            <v>ED2-TEL</v>
          </cell>
        </row>
        <row r="31">
          <cell r="D31" t="str">
            <v>ED4-COE</v>
          </cell>
        </row>
        <row r="32">
          <cell r="D32" t="str">
            <v>ED2-CHE</v>
          </cell>
        </row>
        <row r="33">
          <cell r="D33" t="str">
            <v>ED2-PCE</v>
          </cell>
        </row>
        <row r="39">
          <cell r="D39" t="str">
            <v>CLASS</v>
          </cell>
        </row>
        <row r="40">
          <cell r="D40" t="str">
            <v>ED2-EE</v>
          </cell>
        </row>
        <row r="41">
          <cell r="D41" t="str">
            <v>ED1-GEOM</v>
          </cell>
        </row>
        <row r="42">
          <cell r="D42" t="str">
            <v>ED3-MSE</v>
          </cell>
        </row>
        <row r="43">
          <cell r="D43" t="str">
            <v>ED3-METE</v>
          </cell>
        </row>
        <row r="44">
          <cell r="D44" t="str">
            <v>ED3-EE</v>
          </cell>
        </row>
        <row r="45">
          <cell r="D45" t="str">
            <v>ED2-ME</v>
          </cell>
        </row>
        <row r="46">
          <cell r="D46" t="str">
            <v>ED2-PETE</v>
          </cell>
        </row>
        <row r="47">
          <cell r="D47" t="str">
            <v>ED3-PETE</v>
          </cell>
        </row>
        <row r="48">
          <cell r="D48" t="str">
            <v>ED2-MSE</v>
          </cell>
        </row>
        <row r="49">
          <cell r="D49" t="str">
            <v>ED2-METE</v>
          </cell>
        </row>
        <row r="50">
          <cell r="D50" t="str">
            <v>ED4-PCE</v>
          </cell>
        </row>
        <row r="51">
          <cell r="D51" t="str">
            <v>ED3-CHE</v>
          </cell>
        </row>
        <row r="52">
          <cell r="D52" t="str">
            <v>ED3-PCE</v>
          </cell>
        </row>
        <row r="58">
          <cell r="D58" t="str">
            <v>CLASS</v>
          </cell>
        </row>
        <row r="59">
          <cell r="D59" t="str">
            <v>ED2-AERO</v>
          </cell>
        </row>
        <row r="60">
          <cell r="D60" t="str">
            <v>ED2-AE</v>
          </cell>
        </row>
        <row r="61">
          <cell r="D61" t="str">
            <v>ED2-GEOM</v>
          </cell>
        </row>
        <row r="62">
          <cell r="D62" t="str">
            <v>ED2-IND</v>
          </cell>
        </row>
        <row r="63">
          <cell r="D63" t="str">
            <v>ED4-AE</v>
          </cell>
        </row>
        <row r="64">
          <cell r="D64" t="str">
            <v>ED2-PCE</v>
          </cell>
        </row>
        <row r="65">
          <cell r="D65" t="str">
            <v>ED3-GEOM</v>
          </cell>
        </row>
        <row r="66">
          <cell r="D66" t="str">
            <v>ED4-MSE</v>
          </cell>
        </row>
        <row r="67">
          <cell r="D67" t="str">
            <v>ED4-METE</v>
          </cell>
        </row>
        <row r="68">
          <cell r="D68" t="str">
            <v>ED1-CHE</v>
          </cell>
        </row>
        <row r="69">
          <cell r="D69" t="str">
            <v>Total T1-1</v>
          </cell>
        </row>
        <row r="96">
          <cell r="D96" t="str">
            <v>ED3-MARI</v>
          </cell>
        </row>
        <row r="97">
          <cell r="D97" t="str">
            <v>ED4-CE</v>
          </cell>
        </row>
        <row r="98">
          <cell r="D98" t="str">
            <v>ED4-GEOL</v>
          </cell>
        </row>
        <row r="99">
          <cell r="D99" t="str">
            <v>ED4-PETE</v>
          </cell>
        </row>
        <row r="100">
          <cell r="D100" t="str">
            <v>ED1-TEL</v>
          </cell>
        </row>
        <row r="101">
          <cell r="D101" t="str">
            <v>ED1-AERO</v>
          </cell>
        </row>
        <row r="102">
          <cell r="D102" t="str">
            <v>ED1-COE</v>
          </cell>
        </row>
        <row r="103">
          <cell r="D103" t="str">
            <v>ED1-IND</v>
          </cell>
        </row>
        <row r="104">
          <cell r="D104" t="str">
            <v>ED1-EE</v>
          </cell>
        </row>
        <row r="105">
          <cell r="D105" t="str">
            <v>ED1-ME</v>
          </cell>
        </row>
        <row r="106">
          <cell r="D106" t="str">
            <v>ED1-AUTO</v>
          </cell>
        </row>
        <row r="107">
          <cell r="D107" t="str">
            <v>ED1-AE</v>
          </cell>
        </row>
        <row r="108">
          <cell r="D108" t="str">
            <v>Total T1-3</v>
          </cell>
        </row>
        <row r="109">
          <cell r="D109"/>
        </row>
        <row r="116">
          <cell r="D116" t="str">
            <v>ED2-CHE</v>
          </cell>
        </row>
        <row r="117">
          <cell r="D117" t="str">
            <v>ED3-CE</v>
          </cell>
        </row>
        <row r="118">
          <cell r="D118" t="str">
            <v>ED1-CE</v>
          </cell>
        </row>
        <row r="119">
          <cell r="D119" t="str">
            <v>ED2-PCE</v>
          </cell>
        </row>
        <row r="120">
          <cell r="D120" t="str">
            <v>ED2-GEOM</v>
          </cell>
        </row>
        <row r="121">
          <cell r="D121" t="str">
            <v>ED2-EE</v>
          </cell>
        </row>
        <row r="122">
          <cell r="D122" t="str">
            <v>ED4-AE</v>
          </cell>
        </row>
        <row r="123">
          <cell r="D123" t="str">
            <v>ED1-GEOL</v>
          </cell>
        </row>
        <row r="124">
          <cell r="D124" t="str">
            <v>ED1-BME</v>
          </cell>
        </row>
        <row r="125">
          <cell r="D125" t="str">
            <v>Total W1-1</v>
          </cell>
        </row>
        <row r="126">
          <cell r="D126"/>
        </row>
        <row r="127">
          <cell r="D127"/>
        </row>
        <row r="133">
          <cell r="D133" t="str">
            <v>ED1-AERO</v>
          </cell>
        </row>
        <row r="134">
          <cell r="D134" t="str">
            <v>ED1-MSE</v>
          </cell>
        </row>
        <row r="135">
          <cell r="D135" t="str">
            <v>ED1-METE</v>
          </cell>
        </row>
        <row r="136">
          <cell r="D136" t="str">
            <v>ED1-EE</v>
          </cell>
        </row>
        <row r="137">
          <cell r="D137" t="str">
            <v>ED1-AUTO</v>
          </cell>
        </row>
        <row r="138">
          <cell r="D138" t="str">
            <v>ED1-TEL</v>
          </cell>
        </row>
        <row r="139">
          <cell r="D139" t="str">
            <v>ED1-GEOM</v>
          </cell>
        </row>
        <row r="140">
          <cell r="D140" t="str">
            <v>ED2-IND</v>
          </cell>
        </row>
        <row r="141">
          <cell r="D141" t="str">
            <v>ED2-AUTO</v>
          </cell>
        </row>
        <row r="142">
          <cell r="D142" t="str">
            <v>ED2-BME</v>
          </cell>
        </row>
        <row r="143">
          <cell r="D143" t="str">
            <v>ED2-COE</v>
          </cell>
        </row>
        <row r="144">
          <cell r="D144" t="str">
            <v>ED3-AUTO</v>
          </cell>
        </row>
        <row r="145">
          <cell r="D145" t="str">
            <v>ED3-AE</v>
          </cell>
        </row>
        <row r="146">
          <cell r="D146" t="str">
            <v>ED3-IND</v>
          </cell>
        </row>
        <row r="147">
          <cell r="D147" t="str">
            <v>ED2-PETE</v>
          </cell>
        </row>
        <row r="148">
          <cell r="D148" t="str">
            <v>ED3-GEOL</v>
          </cell>
        </row>
        <row r="149">
          <cell r="D149" t="str">
            <v>ED3-EE</v>
          </cell>
        </row>
        <row r="150">
          <cell r="D150" t="str">
            <v>ED2-TEL</v>
          </cell>
        </row>
        <row r="151">
          <cell r="D151" t="str">
            <v>ED2-AERO</v>
          </cell>
        </row>
        <row r="152">
          <cell r="D152" t="str">
            <v>ED2-ME</v>
          </cell>
        </row>
        <row r="153">
          <cell r="D153" t="str">
            <v>Total W1-2</v>
          </cell>
        </row>
        <row r="154">
          <cell r="D154"/>
        </row>
        <row r="155">
          <cell r="D155"/>
        </row>
        <row r="156">
          <cell r="D156"/>
        </row>
        <row r="162">
          <cell r="D162" t="str">
            <v>ED3-METE</v>
          </cell>
        </row>
        <row r="163">
          <cell r="D163" t="str">
            <v>ED3-GEOM</v>
          </cell>
        </row>
        <row r="164">
          <cell r="D164" t="str">
            <v>ED2-CE</v>
          </cell>
        </row>
        <row r="165">
          <cell r="D165" t="str">
            <v>ED3-PCE</v>
          </cell>
        </row>
        <row r="166">
          <cell r="D166" t="str">
            <v>ED3-TEL</v>
          </cell>
        </row>
        <row r="167">
          <cell r="D167" t="str">
            <v>ED4-ME</v>
          </cell>
        </row>
        <row r="168">
          <cell r="D168" t="str">
            <v>ED4-AUTO</v>
          </cell>
        </row>
        <row r="169">
          <cell r="D169" t="str">
            <v>ED2-MSE</v>
          </cell>
        </row>
        <row r="170">
          <cell r="D170" t="str">
            <v>ED2-METE</v>
          </cell>
        </row>
        <row r="171">
          <cell r="D171" t="str">
            <v>ED4-CHE</v>
          </cell>
        </row>
        <row r="172">
          <cell r="D172" t="str">
            <v>ED4-PETE</v>
          </cell>
        </row>
        <row r="173">
          <cell r="D173" t="str">
            <v>ED4-PCE</v>
          </cell>
        </row>
        <row r="174">
          <cell r="D174" t="str">
            <v>Total W1-3</v>
          </cell>
        </row>
        <row r="175">
          <cell r="D175"/>
        </row>
        <row r="176">
          <cell r="D176"/>
        </row>
        <row r="177">
          <cell r="D177"/>
        </row>
        <row r="183">
          <cell r="D183" t="str">
            <v>ED3-AE</v>
          </cell>
        </row>
        <row r="184">
          <cell r="D184" t="str">
            <v>ED3-GEOL</v>
          </cell>
        </row>
        <row r="185">
          <cell r="D185" t="str">
            <v>ED3-COE</v>
          </cell>
        </row>
        <row r="186">
          <cell r="D186" t="str">
            <v>ED3-AUTO</v>
          </cell>
        </row>
        <row r="187">
          <cell r="D187" t="str">
            <v>ED3-CE</v>
          </cell>
        </row>
        <row r="188">
          <cell r="D188" t="str">
            <v>ED3-IND</v>
          </cell>
        </row>
        <row r="189">
          <cell r="D189" t="str">
            <v>ED3-EE</v>
          </cell>
        </row>
        <row r="190">
          <cell r="D190" t="str">
            <v>ED3-MARI</v>
          </cell>
        </row>
        <row r="191">
          <cell r="D191" t="str">
            <v>ED3-AERO</v>
          </cell>
        </row>
        <row r="192">
          <cell r="D192" t="str">
            <v>ED3-CHE</v>
          </cell>
        </row>
        <row r="193">
          <cell r="D193" t="str">
            <v>ED3-ME</v>
          </cell>
        </row>
        <row r="194">
          <cell r="D194" t="str">
            <v>ED2-COE</v>
          </cell>
        </row>
        <row r="195">
          <cell r="D195" t="str">
            <v>ED2-EE</v>
          </cell>
        </row>
        <row r="196">
          <cell r="D196" t="str">
            <v>ED1-CE</v>
          </cell>
        </row>
        <row r="197">
          <cell r="D197" t="str">
            <v>ED1-GEOL</v>
          </cell>
        </row>
        <row r="198">
          <cell r="D198" t="str">
            <v>ED2-MSE</v>
          </cell>
        </row>
        <row r="199">
          <cell r="D199" t="str">
            <v>ED2-TEL</v>
          </cell>
        </row>
        <row r="200">
          <cell r="D200" t="str">
            <v>ED3-METE</v>
          </cell>
        </row>
        <row r="201">
          <cell r="D201" t="str">
            <v>ED3-GEOM</v>
          </cell>
        </row>
        <row r="202">
          <cell r="D202" t="str">
            <v>ED2-BME</v>
          </cell>
        </row>
        <row r="203">
          <cell r="D203" t="str">
            <v>ED3-PCE</v>
          </cell>
        </row>
        <row r="204">
          <cell r="D204" t="str">
            <v>ED1-ME</v>
          </cell>
        </row>
        <row r="205">
          <cell r="D205" t="str">
            <v>ED1-AUTO</v>
          </cell>
        </row>
        <row r="206">
          <cell r="D206" t="str">
            <v>ED1-IND</v>
          </cell>
        </row>
        <row r="207">
          <cell r="D207" t="str">
            <v>ED1-MARI</v>
          </cell>
        </row>
        <row r="208">
          <cell r="D208" t="str">
            <v>ED1-MSE</v>
          </cell>
        </row>
        <row r="209">
          <cell r="D209" t="str">
            <v>ED4-GEOL</v>
          </cell>
        </row>
        <row r="210">
          <cell r="D210" t="str">
            <v>ED2-GEOL</v>
          </cell>
        </row>
        <row r="211">
          <cell r="D211" t="str">
            <v>ED4-TEL</v>
          </cell>
        </row>
        <row r="212">
          <cell r="D212" t="str">
            <v>ED4-CE</v>
          </cell>
        </row>
        <row r="213">
          <cell r="D213" t="str">
            <v>Total F1-1</v>
          </cell>
        </row>
        <row r="214">
          <cell r="D214"/>
        </row>
        <row r="215">
          <cell r="D215"/>
        </row>
        <row r="226">
          <cell r="D226" t="str">
            <v>ED2-METE</v>
          </cell>
        </row>
        <row r="227">
          <cell r="D227" t="str">
            <v>ED1-MARI</v>
          </cell>
        </row>
        <row r="228">
          <cell r="D228" t="str">
            <v>ED1-CE</v>
          </cell>
        </row>
        <row r="229">
          <cell r="D229" t="str">
            <v>ED1-AE</v>
          </cell>
        </row>
        <row r="230">
          <cell r="D230" t="str">
            <v>ED1-AERO</v>
          </cell>
        </row>
        <row r="231">
          <cell r="D231" t="str">
            <v>ED1-TEL</v>
          </cell>
        </row>
        <row r="232">
          <cell r="D232" t="str">
            <v>ED4-GEOM</v>
          </cell>
        </row>
        <row r="233">
          <cell r="D233" t="str">
            <v>ED3-METE</v>
          </cell>
        </row>
        <row r="234">
          <cell r="D234" t="str">
            <v>ED2-COE</v>
          </cell>
        </row>
        <row r="235">
          <cell r="D235" t="str">
            <v>ED1-AUTO</v>
          </cell>
        </row>
        <row r="236">
          <cell r="D236" t="str">
            <v>ED2-CHE</v>
          </cell>
        </row>
        <row r="237">
          <cell r="D237" t="str">
            <v>ED2-GEOM</v>
          </cell>
        </row>
        <row r="238">
          <cell r="D238" t="str">
            <v>ED3-GEOL</v>
          </cell>
        </row>
        <row r="239">
          <cell r="D239" t="str">
            <v>ED1-MSE</v>
          </cell>
        </row>
        <row r="240">
          <cell r="D240" t="str">
            <v>ED1-METE</v>
          </cell>
        </row>
        <row r="241">
          <cell r="D241" t="str">
            <v>Total M2-1</v>
          </cell>
        </row>
        <row r="242">
          <cell r="D242"/>
        </row>
        <row r="248">
          <cell r="D248" t="str">
            <v>ED2-EE</v>
          </cell>
        </row>
        <row r="249">
          <cell r="D249" t="str">
            <v>ED2-TEL</v>
          </cell>
        </row>
        <row r="250">
          <cell r="D250" t="str">
            <v>ED2-GEOL</v>
          </cell>
        </row>
        <row r="251">
          <cell r="D251" t="str">
            <v>ED4-BME</v>
          </cell>
        </row>
        <row r="252">
          <cell r="D252" t="str">
            <v>ED1-EE</v>
          </cell>
        </row>
        <row r="253">
          <cell r="D253" t="str">
            <v>ED1-GEOM</v>
          </cell>
        </row>
        <row r="254">
          <cell r="D254" t="str">
            <v>ED3-PETE</v>
          </cell>
        </row>
        <row r="255">
          <cell r="D255" t="str">
            <v>ED4-EE</v>
          </cell>
        </row>
        <row r="256">
          <cell r="D256" t="str">
            <v>ED1-CHE</v>
          </cell>
        </row>
        <row r="257">
          <cell r="D257" t="str">
            <v>ED1-PCE</v>
          </cell>
        </row>
        <row r="258">
          <cell r="D258" t="str">
            <v>ED1-PETE</v>
          </cell>
        </row>
        <row r="259">
          <cell r="D259" t="str">
            <v>Total M2-2</v>
          </cell>
        </row>
        <row r="260">
          <cell r="D260"/>
        </row>
        <row r="266">
          <cell r="D266" t="str">
            <v>ED2-ME</v>
          </cell>
        </row>
        <row r="267">
          <cell r="D267" t="str">
            <v>ED2-PETE</v>
          </cell>
        </row>
        <row r="268">
          <cell r="D268" t="str">
            <v>ED3-CHE</v>
          </cell>
        </row>
        <row r="269">
          <cell r="D269" t="str">
            <v>ED3-PCE</v>
          </cell>
        </row>
        <row r="270">
          <cell r="D270" t="str">
            <v>ED2-BME</v>
          </cell>
        </row>
        <row r="271">
          <cell r="D271" t="str">
            <v>ED4-CE</v>
          </cell>
        </row>
        <row r="272">
          <cell r="D272" t="str">
            <v>ED3-IND</v>
          </cell>
        </row>
        <row r="273">
          <cell r="D273" t="str">
            <v>ED3-AERO</v>
          </cell>
        </row>
        <row r="274">
          <cell r="D274" t="str">
            <v>ED3-GEOM</v>
          </cell>
        </row>
        <row r="275">
          <cell r="D275" t="str">
            <v>ED3-ME</v>
          </cell>
        </row>
        <row r="276">
          <cell r="D276" t="str">
            <v>ED4-ME</v>
          </cell>
        </row>
        <row r="277">
          <cell r="D277" t="str">
            <v>ED4-AERO</v>
          </cell>
        </row>
        <row r="278">
          <cell r="D278" t="str">
            <v>ED3-MSE</v>
          </cell>
        </row>
        <row r="279">
          <cell r="D279" t="str">
            <v>ED4-CHE</v>
          </cell>
        </row>
        <row r="280">
          <cell r="D280" t="str">
            <v>ED4-PCE</v>
          </cell>
        </row>
        <row r="281">
          <cell r="D281" t="str">
            <v>Total M2-3</v>
          </cell>
        </row>
        <row r="282">
          <cell r="D282"/>
        </row>
        <row r="288">
          <cell r="D288" t="str">
            <v>ED1-PCE</v>
          </cell>
        </row>
        <row r="289">
          <cell r="D289" t="str">
            <v>ED1-PETE</v>
          </cell>
        </row>
        <row r="290">
          <cell r="D290" t="str">
            <v>ED1-ME</v>
          </cell>
        </row>
        <row r="291">
          <cell r="D291" t="str">
            <v>ED1-AE</v>
          </cell>
        </row>
        <row r="292">
          <cell r="D292" t="str">
            <v>ED1-BME</v>
          </cell>
        </row>
        <row r="293">
          <cell r="D293" t="str">
            <v>ED1-GEOL</v>
          </cell>
        </row>
        <row r="294">
          <cell r="D294" t="str">
            <v>ED1-CE</v>
          </cell>
        </row>
        <row r="295">
          <cell r="D295" t="str">
            <v>ED1-COE</v>
          </cell>
        </row>
        <row r="296">
          <cell r="D296" t="str">
            <v>ED4-AERO</v>
          </cell>
        </row>
        <row r="297">
          <cell r="D297" t="str">
            <v>ED4-COE</v>
          </cell>
        </row>
        <row r="298">
          <cell r="D298" t="str">
            <v>ED4-PETE</v>
          </cell>
        </row>
        <row r="299">
          <cell r="D299" t="str">
            <v>Total T2-1</v>
          </cell>
        </row>
        <row r="300">
          <cell r="D300"/>
        </row>
        <row r="306">
          <cell r="D306" t="str">
            <v>ED4-ME</v>
          </cell>
        </row>
        <row r="307">
          <cell r="D307" t="str">
            <v>ED4-CE</v>
          </cell>
        </row>
        <row r="308">
          <cell r="D308" t="str">
            <v>ED1-AERO</v>
          </cell>
        </row>
        <row r="309">
          <cell r="D309" t="str">
            <v>ED2-COE</v>
          </cell>
        </row>
        <row r="310">
          <cell r="D310" t="str">
            <v>ED2-BME</v>
          </cell>
        </row>
        <row r="311">
          <cell r="D311" t="str">
            <v>ED3-PCE</v>
          </cell>
        </row>
        <row r="312">
          <cell r="D312" t="str">
            <v>ED2-CE</v>
          </cell>
        </row>
        <row r="313">
          <cell r="D313" t="str">
            <v>ED3-AE</v>
          </cell>
        </row>
        <row r="314">
          <cell r="D314" t="str">
            <v>ED3-PETE</v>
          </cell>
        </row>
        <row r="315">
          <cell r="D315" t="str">
            <v>ED4-AE</v>
          </cell>
        </row>
        <row r="316">
          <cell r="D316" t="str">
            <v>ED3-IND</v>
          </cell>
        </row>
        <row r="317">
          <cell r="D317" t="str">
            <v>Total T2-2</v>
          </cell>
        </row>
        <row r="318">
          <cell r="D318"/>
        </row>
        <row r="324">
          <cell r="D324" t="str">
            <v>ED4-AUTO</v>
          </cell>
        </row>
        <row r="325">
          <cell r="D325" t="str">
            <v>ED4-ME</v>
          </cell>
        </row>
        <row r="326">
          <cell r="D326" t="str">
            <v>ED3-COE</v>
          </cell>
        </row>
        <row r="327">
          <cell r="D327" t="str">
            <v>ED3-AERO</v>
          </cell>
        </row>
        <row r="328">
          <cell r="D328" t="str">
            <v>ED4-IND</v>
          </cell>
        </row>
        <row r="329">
          <cell r="D329" t="str">
            <v>ED4-MSE</v>
          </cell>
        </row>
        <row r="330">
          <cell r="D330" t="str">
            <v>ED4-METE</v>
          </cell>
        </row>
        <row r="331">
          <cell r="D331" t="str">
            <v>ED2-IND</v>
          </cell>
        </row>
        <row r="332">
          <cell r="D332" t="str">
            <v>ED2-AUTO</v>
          </cell>
        </row>
        <row r="333">
          <cell r="D333" t="str">
            <v>ED2-MARI</v>
          </cell>
        </row>
        <row r="334">
          <cell r="D334" t="str">
            <v>ED3-GEOL</v>
          </cell>
        </row>
        <row r="335">
          <cell r="D335" t="str">
            <v>ED4-CHE</v>
          </cell>
        </row>
        <row r="336">
          <cell r="D336" t="str">
            <v>Total T2-3</v>
          </cell>
        </row>
        <row r="337">
          <cell r="D337"/>
        </row>
        <row r="343">
          <cell r="D343" t="str">
            <v>ED1-BME</v>
          </cell>
        </row>
        <row r="344">
          <cell r="D344" t="str">
            <v>ED1-ME</v>
          </cell>
        </row>
        <row r="345">
          <cell r="D345" t="str">
            <v>ED1-AUTO</v>
          </cell>
        </row>
        <row r="346">
          <cell r="D346" t="str">
            <v>ED1-MARI</v>
          </cell>
        </row>
        <row r="347">
          <cell r="D347" t="str">
            <v>ED1-TEL</v>
          </cell>
        </row>
        <row r="348">
          <cell r="D348" t="str">
            <v>ED1-METE</v>
          </cell>
        </row>
        <row r="349">
          <cell r="D349" t="str">
            <v>ED1-PETE</v>
          </cell>
        </row>
        <row r="350">
          <cell r="D350" t="str">
            <v>ED1-AERO</v>
          </cell>
        </row>
        <row r="351">
          <cell r="D351" t="str">
            <v>ED1-IND</v>
          </cell>
        </row>
        <row r="352">
          <cell r="D352" t="str">
            <v>ED1-MSE</v>
          </cell>
        </row>
        <row r="353">
          <cell r="D353" t="str">
            <v>ED2-MARI</v>
          </cell>
        </row>
        <row r="354">
          <cell r="D354" t="str">
            <v>ED2-IND</v>
          </cell>
        </row>
        <row r="355">
          <cell r="D355" t="str">
            <v>ED2-AUTO</v>
          </cell>
        </row>
        <row r="356">
          <cell r="D356" t="str">
            <v>ED2-AERO</v>
          </cell>
        </row>
        <row r="357">
          <cell r="D357" t="str">
            <v>ED2-ME</v>
          </cell>
        </row>
        <row r="358">
          <cell r="D358" t="str">
            <v>ED3-CHE</v>
          </cell>
        </row>
        <row r="359">
          <cell r="D359" t="str">
            <v>Total W2-1</v>
          </cell>
        </row>
        <row r="360">
          <cell r="D360"/>
        </row>
        <row r="366">
          <cell r="D366" t="str">
            <v>ED4-EE</v>
          </cell>
        </row>
        <row r="367">
          <cell r="D367" t="str">
            <v>ED3-MSE</v>
          </cell>
        </row>
        <row r="368">
          <cell r="D368" t="str">
            <v>ED3-METE</v>
          </cell>
        </row>
        <row r="369">
          <cell r="D369" t="str">
            <v>ED3-EE</v>
          </cell>
        </row>
        <row r="370">
          <cell r="D370" t="str">
            <v>ED4-GEOL</v>
          </cell>
        </row>
        <row r="371">
          <cell r="D371" t="str">
            <v>ED4-PETE</v>
          </cell>
        </row>
        <row r="372">
          <cell r="D372" t="str">
            <v>ED4-TEL</v>
          </cell>
        </row>
        <row r="373">
          <cell r="D373" t="str">
            <v>ED4-ME</v>
          </cell>
        </row>
        <row r="374">
          <cell r="D374" t="str">
            <v>Total W2-2</v>
          </cell>
        </row>
        <row r="375">
          <cell r="D375"/>
        </row>
        <row r="381">
          <cell r="D381" t="str">
            <v>ED3-PETE</v>
          </cell>
        </row>
        <row r="382">
          <cell r="D382" t="str">
            <v>ED1-EE</v>
          </cell>
        </row>
        <row r="383">
          <cell r="D383" t="str">
            <v>ED1-CHE</v>
          </cell>
        </row>
        <row r="384">
          <cell r="D384" t="str">
            <v>ED1-PCE</v>
          </cell>
        </row>
        <row r="385">
          <cell r="D385" t="str">
            <v>ED1-AE</v>
          </cell>
        </row>
        <row r="386">
          <cell r="D386" t="str">
            <v>ED4-CE</v>
          </cell>
        </row>
        <row r="387">
          <cell r="D387" t="str">
            <v>ED3-CE</v>
          </cell>
        </row>
        <row r="388">
          <cell r="D388" t="str">
            <v>ED1-GEOM</v>
          </cell>
        </row>
        <row r="389">
          <cell r="D389" t="str">
            <v>ED4-PCE</v>
          </cell>
        </row>
        <row r="390">
          <cell r="D390" t="str">
            <v>ED3-GEOL</v>
          </cell>
        </row>
        <row r="391">
          <cell r="D391" t="str">
            <v>ED2-CHE</v>
          </cell>
        </row>
        <row r="392">
          <cell r="D392" t="str">
            <v>ED2-PCE</v>
          </cell>
        </row>
        <row r="393">
          <cell r="D393" t="str">
            <v>ED3-PCE</v>
          </cell>
        </row>
        <row r="394">
          <cell r="D394" t="str">
            <v>ED4-GEOM</v>
          </cell>
        </row>
        <row r="395">
          <cell r="D395" t="str">
            <v>Total W2-3</v>
          </cell>
        </row>
        <row r="396">
          <cell r="D396"/>
        </row>
        <row r="402">
          <cell r="D402" t="str">
            <v>ED4-PCE</v>
          </cell>
        </row>
        <row r="403">
          <cell r="D403" t="str">
            <v>ED3-IND</v>
          </cell>
        </row>
        <row r="404">
          <cell r="D404" t="str">
            <v>ED2-AUTO</v>
          </cell>
        </row>
        <row r="405">
          <cell r="D405" t="str">
            <v>ED1-GEOL</v>
          </cell>
        </row>
        <row r="406">
          <cell r="D406" t="str">
            <v>ED4-COE</v>
          </cell>
        </row>
        <row r="407">
          <cell r="D407" t="str">
            <v>ED2-TEL</v>
          </cell>
        </row>
        <row r="408">
          <cell r="D408" t="str">
            <v>ED4-AE</v>
          </cell>
        </row>
        <row r="409">
          <cell r="D409" t="str">
            <v>ED2-COE</v>
          </cell>
        </row>
        <row r="410">
          <cell r="D410" t="str">
            <v>ED2-BME</v>
          </cell>
        </row>
        <row r="411">
          <cell r="D411" t="str">
            <v>ED4-PETE</v>
          </cell>
        </row>
        <row r="412">
          <cell r="D412" t="str">
            <v>Total H2-1</v>
          </cell>
        </row>
        <row r="413">
          <cell r="D413"/>
        </row>
        <row r="419">
          <cell r="D419" t="str">
            <v>ED2-GEOM</v>
          </cell>
        </row>
        <row r="420">
          <cell r="D420" t="str">
            <v>ED2-PETE</v>
          </cell>
        </row>
        <row r="421">
          <cell r="D421" t="str">
            <v>ED4-CE</v>
          </cell>
        </row>
        <row r="422">
          <cell r="D422" t="str">
            <v>ED4-IND</v>
          </cell>
        </row>
        <row r="423">
          <cell r="D423" t="str">
            <v>ED3-AUTO</v>
          </cell>
        </row>
        <row r="424">
          <cell r="D424" t="str">
            <v>ED2-AERO</v>
          </cell>
        </row>
        <row r="425">
          <cell r="D425" t="str">
            <v>ED2-ME</v>
          </cell>
        </row>
        <row r="426">
          <cell r="D426" t="str">
            <v>ED2-MSE</v>
          </cell>
        </row>
        <row r="427">
          <cell r="D427" t="str">
            <v>ED2-METE</v>
          </cell>
        </row>
        <row r="428">
          <cell r="D428" t="str">
            <v>ED4-BME</v>
          </cell>
        </row>
        <row r="429">
          <cell r="D429" t="str">
            <v>ED4-AERO</v>
          </cell>
        </row>
        <row r="430">
          <cell r="D430" t="str">
            <v>ED4-ME</v>
          </cell>
        </row>
        <row r="431">
          <cell r="D431" t="str">
            <v>ED2-EE</v>
          </cell>
        </row>
        <row r="432">
          <cell r="D432" t="str">
            <v>ED2-MARI</v>
          </cell>
        </row>
        <row r="433">
          <cell r="D433" t="str">
            <v>ED4-MARI</v>
          </cell>
        </row>
        <row r="434">
          <cell r="D434" t="str">
            <v>Total H2-2</v>
          </cell>
        </row>
        <row r="435">
          <cell r="D435"/>
        </row>
        <row r="441">
          <cell r="D441" t="str">
            <v>ED2-CE</v>
          </cell>
        </row>
        <row r="442">
          <cell r="D442" t="str">
            <v>ED2-GEOL</v>
          </cell>
        </row>
        <row r="443">
          <cell r="D443" t="str">
            <v>ED4-MSE</v>
          </cell>
        </row>
        <row r="444">
          <cell r="D444" t="str">
            <v>ED3-GEOM</v>
          </cell>
        </row>
        <row r="445">
          <cell r="D445" t="str">
            <v>ED3-MARI</v>
          </cell>
        </row>
        <row r="446">
          <cell r="D446" t="str">
            <v>ED3-TEL</v>
          </cell>
        </row>
        <row r="447">
          <cell r="D447" t="str">
            <v>ED3-BME</v>
          </cell>
        </row>
        <row r="448">
          <cell r="D448" t="str">
            <v>ED3-COE</v>
          </cell>
        </row>
        <row r="449">
          <cell r="D449" t="str">
            <v>ED4-ME</v>
          </cell>
        </row>
        <row r="450">
          <cell r="D450" t="str">
            <v>ED4-AERO</v>
          </cell>
        </row>
        <row r="451">
          <cell r="D451" t="str">
            <v>ED3-CHE</v>
          </cell>
        </row>
        <row r="452">
          <cell r="D452" t="str">
            <v>ED3-PCE</v>
          </cell>
        </row>
        <row r="453">
          <cell r="D453" t="str">
            <v>Total H2-3</v>
          </cell>
        </row>
        <row r="459">
          <cell r="D459" t="str">
            <v>ED2-GEOM</v>
          </cell>
        </row>
        <row r="460">
          <cell r="D460" t="str">
            <v>ED4-GEOM</v>
          </cell>
        </row>
        <row r="461">
          <cell r="D461" t="str">
            <v>ED1-ME</v>
          </cell>
        </row>
        <row r="462">
          <cell r="D462" t="str">
            <v>ED3-AE</v>
          </cell>
        </row>
        <row r="463">
          <cell r="D463" t="str">
            <v>ED4-CE</v>
          </cell>
        </row>
        <row r="464">
          <cell r="D464" t="str">
            <v>ED3-PETE</v>
          </cell>
        </row>
        <row r="465">
          <cell r="D465" t="str">
            <v>ED4-GEOL</v>
          </cell>
        </row>
        <row r="466">
          <cell r="D466" t="str">
            <v>ED1-CHE</v>
          </cell>
        </row>
        <row r="467">
          <cell r="D467" t="str">
            <v>ED1-PCE</v>
          </cell>
        </row>
        <row r="468">
          <cell r="D468" t="str">
            <v>ED1-PETE</v>
          </cell>
        </row>
        <row r="469">
          <cell r="D469" t="str">
            <v>ED4-EE</v>
          </cell>
        </row>
        <row r="470">
          <cell r="D470" t="str">
            <v>ED4-TEL</v>
          </cell>
        </row>
        <row r="471">
          <cell r="D471" t="str">
            <v>ED3-EE</v>
          </cell>
        </row>
        <row r="472">
          <cell r="D472" t="str">
            <v>Total F2-1</v>
          </cell>
        </row>
        <row r="486">
          <cell r="D486" t="str">
            <v>ED2-AERO</v>
          </cell>
        </row>
        <row r="487">
          <cell r="D487" t="str">
            <v>ED2-GEOL</v>
          </cell>
        </row>
        <row r="488">
          <cell r="D488" t="str">
            <v>ED2-AE</v>
          </cell>
        </row>
        <row r="489">
          <cell r="D489" t="str">
            <v>ED2-COE</v>
          </cell>
        </row>
        <row r="490">
          <cell r="D490" t="str">
            <v>ED2-IND</v>
          </cell>
        </row>
        <row r="491">
          <cell r="D491" t="str">
            <v>ED3-METE</v>
          </cell>
        </row>
        <row r="492">
          <cell r="D492" t="str">
            <v>ED3-MSE</v>
          </cell>
        </row>
        <row r="493">
          <cell r="D493" t="str">
            <v>Total F2-2</v>
          </cell>
        </row>
        <row r="494">
          <cell r="D494"/>
        </row>
        <row r="495">
          <cell r="D495"/>
        </row>
        <row r="496">
          <cell r="D496"/>
        </row>
        <row r="497">
          <cell r="D497"/>
        </row>
        <row r="498">
          <cell r="D498" t="str">
            <v>CLASS</v>
          </cell>
        </row>
        <row r="499">
          <cell r="D499" t="str">
            <v>ED2-AUTO</v>
          </cell>
        </row>
        <row r="500">
          <cell r="D500" t="str">
            <v>ED2-BME</v>
          </cell>
        </row>
        <row r="506">
          <cell r="D506"/>
        </row>
        <row r="507">
          <cell r="D507"/>
        </row>
        <row r="508">
          <cell r="D508" t="str">
            <v>CLASS</v>
          </cell>
        </row>
        <row r="509">
          <cell r="D509" t="str">
            <v>ED3-PETE</v>
          </cell>
        </row>
        <row r="510">
          <cell r="D510" t="str">
            <v>ED4-PETE</v>
          </cell>
        </row>
        <row r="511">
          <cell r="D511" t="str">
            <v>ED2-MSE</v>
          </cell>
        </row>
        <row r="512">
          <cell r="D512" t="str">
            <v>ED2-METE</v>
          </cell>
        </row>
        <row r="513">
          <cell r="D513" t="str">
            <v>ED3-GEOM</v>
          </cell>
        </row>
        <row r="514">
          <cell r="D514" t="str">
            <v>ED2-AUTO</v>
          </cell>
        </row>
        <row r="515">
          <cell r="D515" t="str">
            <v>ED2-IND</v>
          </cell>
        </row>
        <row r="516">
          <cell r="D516" t="str">
            <v>ED2-MARI</v>
          </cell>
        </row>
        <row r="517">
          <cell r="D517" t="str">
            <v>ED4-TEL</v>
          </cell>
        </row>
        <row r="518">
          <cell r="D518" t="str">
            <v>ED4-ME</v>
          </cell>
        </row>
        <row r="519">
          <cell r="D519" t="str">
            <v>ED4-AERO</v>
          </cell>
        </row>
        <row r="520">
          <cell r="D520" t="str">
            <v>ED4-MARI</v>
          </cell>
        </row>
        <row r="521">
          <cell r="D521" t="str">
            <v>ED1-AE</v>
          </cell>
        </row>
        <row r="522">
          <cell r="D522" t="str">
            <v>ED2-BME</v>
          </cell>
        </row>
        <row r="523">
          <cell r="D523" t="str">
            <v>ED4-GEOL</v>
          </cell>
        </row>
        <row r="524">
          <cell r="D524" t="str">
            <v>Total T3-1</v>
          </cell>
        </row>
        <row r="525">
          <cell r="D525"/>
        </row>
        <row r="526">
          <cell r="D526"/>
        </row>
        <row r="532">
          <cell r="D532" t="str">
            <v>ED1-BME</v>
          </cell>
        </row>
        <row r="533">
          <cell r="D533" t="str">
            <v>ED3-METE</v>
          </cell>
        </row>
        <row r="534">
          <cell r="D534" t="str">
            <v>ED3-MSE</v>
          </cell>
        </row>
        <row r="535">
          <cell r="D535" t="str">
            <v>ED1-EE</v>
          </cell>
        </row>
        <row r="536">
          <cell r="D536" t="str">
            <v>ED1-GEOL</v>
          </cell>
        </row>
        <row r="537">
          <cell r="D537" t="str">
            <v>ED1-PCE</v>
          </cell>
        </row>
        <row r="538">
          <cell r="D538" t="str">
            <v>ED3-COE</v>
          </cell>
        </row>
        <row r="539">
          <cell r="D539" t="str">
            <v>ED3-BME</v>
          </cell>
        </row>
        <row r="540">
          <cell r="D540" t="str">
            <v>ED3-EE</v>
          </cell>
        </row>
        <row r="541">
          <cell r="D541" t="str">
            <v>Total T3-2</v>
          </cell>
        </row>
        <row r="542">
          <cell r="D542"/>
        </row>
        <row r="543">
          <cell r="D543"/>
        </row>
        <row r="544">
          <cell r="D544"/>
        </row>
        <row r="550">
          <cell r="D550" t="str">
            <v>ED2-EE</v>
          </cell>
        </row>
        <row r="551">
          <cell r="D551" t="str">
            <v>ED2-CHE</v>
          </cell>
        </row>
        <row r="552">
          <cell r="D552" t="str">
            <v>ED4-PCE</v>
          </cell>
        </row>
        <row r="553">
          <cell r="D553" t="str">
            <v>ED3-ME</v>
          </cell>
        </row>
        <row r="554">
          <cell r="D554" t="str">
            <v>ED3-MARI</v>
          </cell>
        </row>
        <row r="555">
          <cell r="D555" t="str">
            <v>ED3-AUTO</v>
          </cell>
        </row>
        <row r="556">
          <cell r="D556" t="str">
            <v>ED4-IND</v>
          </cell>
        </row>
        <row r="557">
          <cell r="D557" t="str">
            <v>ED4-AE</v>
          </cell>
        </row>
        <row r="558">
          <cell r="D558" t="str">
            <v>Total T3-3</v>
          </cell>
        </row>
        <row r="559">
          <cell r="D559"/>
        </row>
        <row r="560">
          <cell r="D560"/>
        </row>
        <row r="561">
          <cell r="D561"/>
        </row>
        <row r="562">
          <cell r="D562"/>
        </row>
        <row r="563">
          <cell r="D563" t="str">
            <v>CLASS</v>
          </cell>
        </row>
        <row r="564">
          <cell r="D564" t="str">
            <v>ED2-COE</v>
          </cell>
        </row>
        <row r="565">
          <cell r="D565" t="str">
            <v>ED2-EE</v>
          </cell>
        </row>
        <row r="571">
          <cell r="D571" t="str">
            <v>ED3-CHE</v>
          </cell>
        </row>
        <row r="572">
          <cell r="D572" t="str">
            <v>ED3-GEOM</v>
          </cell>
        </row>
        <row r="573">
          <cell r="D573" t="str">
            <v>ED3-METE</v>
          </cell>
        </row>
        <row r="574">
          <cell r="D574" t="str">
            <v>ED1-MARI</v>
          </cell>
        </row>
        <row r="575">
          <cell r="D575" t="str">
            <v>ED1-AERO</v>
          </cell>
        </row>
        <row r="576">
          <cell r="D576" t="str">
            <v>ED4-ME</v>
          </cell>
        </row>
        <row r="577">
          <cell r="D577" t="str">
            <v>ED2-IND</v>
          </cell>
        </row>
        <row r="578">
          <cell r="D578" t="str">
            <v>ED2-ME</v>
          </cell>
        </row>
        <row r="579">
          <cell r="D579" t="str">
            <v>ED2-AUTO</v>
          </cell>
        </row>
        <row r="580">
          <cell r="D580" t="str">
            <v>ED2-MARI</v>
          </cell>
        </row>
        <row r="581">
          <cell r="D581" t="str">
            <v>ED2-AERO</v>
          </cell>
        </row>
        <row r="582">
          <cell r="D582" t="str">
            <v>ED3-PCE</v>
          </cell>
        </row>
        <row r="583">
          <cell r="D583" t="str">
            <v>Total M3-1</v>
          </cell>
        </row>
        <row r="584">
          <cell r="D584"/>
        </row>
        <row r="585">
          <cell r="D585"/>
        </row>
        <row r="591">
          <cell r="D591" t="str">
            <v>ED4-AUTO</v>
          </cell>
        </row>
        <row r="592">
          <cell r="D592" t="str">
            <v>ED2-CE</v>
          </cell>
        </row>
        <row r="593">
          <cell r="D593" t="str">
            <v>ED3-CE</v>
          </cell>
        </row>
        <row r="594">
          <cell r="D594" t="str">
            <v>ED2-AE</v>
          </cell>
        </row>
        <row r="595">
          <cell r="D595" t="str">
            <v>ED4-GEOM</v>
          </cell>
        </row>
        <row r="596">
          <cell r="D596" t="str">
            <v>ED4-BME</v>
          </cell>
        </row>
        <row r="597">
          <cell r="D597" t="str">
            <v>ED4-CHE</v>
          </cell>
        </row>
        <row r="598">
          <cell r="D598" t="str">
            <v>ED4-PCE</v>
          </cell>
        </row>
        <row r="599">
          <cell r="D599" t="str">
            <v>ED2-CHE</v>
          </cell>
        </row>
        <row r="600">
          <cell r="D600" t="str">
            <v>ED2-PCE</v>
          </cell>
        </row>
        <row r="601">
          <cell r="D601" t="str">
            <v>Total M3-2</v>
          </cell>
        </row>
        <row r="602">
          <cell r="D602"/>
        </row>
        <row r="608">
          <cell r="D608" t="str">
            <v>ED3-IND</v>
          </cell>
        </row>
        <row r="609">
          <cell r="D609" t="str">
            <v>ED3-GEOL</v>
          </cell>
        </row>
        <row r="610">
          <cell r="D610" t="str">
            <v>ED2-PETE</v>
          </cell>
        </row>
        <row r="611">
          <cell r="D611" t="str">
            <v>ED4-ME</v>
          </cell>
        </row>
        <row r="612">
          <cell r="D612" t="str">
            <v>ED4-IND</v>
          </cell>
        </row>
        <row r="613">
          <cell r="D613" t="str">
            <v>ED4-MSE</v>
          </cell>
        </row>
        <row r="614">
          <cell r="D614" t="str">
            <v>ED4-METE</v>
          </cell>
        </row>
        <row r="615">
          <cell r="D615" t="str">
            <v>ED2-GEOL</v>
          </cell>
        </row>
        <row r="616">
          <cell r="D616" t="str">
            <v>ED3-AE</v>
          </cell>
        </row>
        <row r="617">
          <cell r="D617" t="str">
            <v>ED3-ME</v>
          </cell>
        </row>
        <row r="618">
          <cell r="D618" t="str">
            <v>ED3-TEL</v>
          </cell>
        </row>
        <row r="619">
          <cell r="D619" t="str">
            <v>ED2-GEOM</v>
          </cell>
        </row>
        <row r="625">
          <cell r="D625"/>
        </row>
        <row r="626">
          <cell r="D626"/>
        </row>
        <row r="627">
          <cell r="D627"/>
        </row>
        <row r="628">
          <cell r="D628"/>
        </row>
        <row r="629">
          <cell r="D629"/>
        </row>
        <row r="630">
          <cell r="D630" t="str">
            <v>CLASS</v>
          </cell>
        </row>
        <row r="631">
          <cell r="D631" t="str">
            <v>ED1-AERO</v>
          </cell>
        </row>
        <row r="632">
          <cell r="D632" t="str">
            <v>ED1-AE</v>
          </cell>
        </row>
        <row r="633">
          <cell r="D633" t="str">
            <v>ED1-AUTO</v>
          </cell>
        </row>
        <row r="634">
          <cell r="D634" t="str">
            <v>ED1-BME</v>
          </cell>
        </row>
        <row r="635">
          <cell r="D635" t="str">
            <v>ED1-CHE</v>
          </cell>
        </row>
        <row r="636">
          <cell r="D636" t="str">
            <v>ED1-PCE</v>
          </cell>
        </row>
        <row r="637">
          <cell r="D637" t="str">
            <v>ED1-COE</v>
          </cell>
        </row>
        <row r="638">
          <cell r="D638" t="str">
            <v>ED1-CE</v>
          </cell>
        </row>
        <row r="639">
          <cell r="D639" t="str">
            <v>ED1-EE</v>
          </cell>
        </row>
        <row r="640">
          <cell r="D640" t="str">
            <v>ED1-GEOL</v>
          </cell>
        </row>
        <row r="641">
          <cell r="D641" t="str">
            <v>ED1-METE</v>
          </cell>
        </row>
        <row r="642">
          <cell r="D642" t="str">
            <v>ED1-GEOM</v>
          </cell>
        </row>
        <row r="643">
          <cell r="D643" t="str">
            <v>ED1-IND</v>
          </cell>
        </row>
        <row r="644">
          <cell r="D644" t="str">
            <v>ED1-MARI</v>
          </cell>
        </row>
        <row r="645">
          <cell r="D645" t="str">
            <v>ED1-MSE</v>
          </cell>
        </row>
        <row r="646">
          <cell r="D646" t="str">
            <v>ED1-ME</v>
          </cell>
        </row>
        <row r="647">
          <cell r="D647" t="str">
            <v>ED1-PETE</v>
          </cell>
        </row>
        <row r="648">
          <cell r="D648" t="str">
            <v>ED1-TEL</v>
          </cell>
        </row>
        <row r="649">
          <cell r="D649" t="str">
            <v>ED2-MARI</v>
          </cell>
        </row>
        <row r="650">
          <cell r="D650" t="str">
            <v>ED2-ME</v>
          </cell>
        </row>
        <row r="651">
          <cell r="D651" t="str">
            <v>ED2-CE</v>
          </cell>
        </row>
        <row r="652">
          <cell r="D652" t="str">
            <v>ED2-METE</v>
          </cell>
        </row>
        <row r="653">
          <cell r="D653" t="str">
            <v>ED2-GEOL</v>
          </cell>
        </row>
        <row r="659">
          <cell r="D659" t="str">
            <v>Total W3-1</v>
          </cell>
        </row>
        <row r="660">
          <cell r="D660"/>
        </row>
        <row r="661">
          <cell r="D661"/>
        </row>
        <row r="662">
          <cell r="D662"/>
        </row>
        <row r="663">
          <cell r="D663"/>
        </row>
        <row r="664">
          <cell r="D664" t="str">
            <v>CLASS</v>
          </cell>
        </row>
        <row r="665">
          <cell r="D665" t="str">
            <v>ED4-EE</v>
          </cell>
        </row>
        <row r="666">
          <cell r="D666" t="str">
            <v>ED4-ME</v>
          </cell>
        </row>
        <row r="667">
          <cell r="D667" t="str">
            <v>ED4-COE</v>
          </cell>
        </row>
        <row r="668">
          <cell r="D668" t="str">
            <v>ED4-MSE</v>
          </cell>
        </row>
        <row r="669">
          <cell r="D669" t="str">
            <v>ED4-METE</v>
          </cell>
        </row>
        <row r="670">
          <cell r="D670" t="str">
            <v>ED4-AE</v>
          </cell>
        </row>
        <row r="676">
          <cell r="D676" t="str">
            <v>Total W3-2</v>
          </cell>
        </row>
        <row r="677">
          <cell r="D677"/>
        </row>
        <row r="678">
          <cell r="D678"/>
        </row>
        <row r="679">
          <cell r="D679"/>
        </row>
        <row r="680">
          <cell r="D680"/>
        </row>
        <row r="681">
          <cell r="D681" t="str">
            <v>CLASS</v>
          </cell>
        </row>
        <row r="682">
          <cell r="D682" t="str">
            <v>ED3-CE</v>
          </cell>
        </row>
        <row r="683">
          <cell r="D683" t="str">
            <v>ED3-GEOL</v>
          </cell>
        </row>
        <row r="684">
          <cell r="D684" t="str">
            <v>ED3-AERO</v>
          </cell>
        </row>
        <row r="685">
          <cell r="D685" t="str">
            <v>ED3-ME</v>
          </cell>
        </row>
        <row r="686">
          <cell r="D686" t="str">
            <v>ED3-MARI</v>
          </cell>
        </row>
        <row r="692">
          <cell r="D692" t="str">
            <v>Total W3-3</v>
          </cell>
        </row>
        <row r="693">
          <cell r="D693"/>
        </row>
        <row r="694">
          <cell r="D694"/>
        </row>
        <row r="695">
          <cell r="D695"/>
        </row>
        <row r="696">
          <cell r="D696"/>
        </row>
        <row r="697">
          <cell r="D697" t="str">
            <v>CLASS</v>
          </cell>
        </row>
        <row r="698">
          <cell r="D698" t="str">
            <v>ED2-BME</v>
          </cell>
        </row>
        <row r="699">
          <cell r="D699" t="str">
            <v>ED2-COE</v>
          </cell>
        </row>
        <row r="700">
          <cell r="D700" t="str">
            <v>ED3-METE</v>
          </cell>
        </row>
        <row r="701">
          <cell r="D701" t="str">
            <v>ED2-TEL</v>
          </cell>
        </row>
        <row r="702">
          <cell r="D702" t="str">
            <v>ED2-MSE</v>
          </cell>
        </row>
        <row r="703">
          <cell r="D703" t="str">
            <v>ED3-GEOM</v>
          </cell>
        </row>
        <row r="704">
          <cell r="D704" t="str">
            <v>ED1-GEOL</v>
          </cell>
        </row>
        <row r="705">
          <cell r="D705" t="str">
            <v>ED3-ME</v>
          </cell>
        </row>
        <row r="706">
          <cell r="D706" t="str">
            <v>ED1-MSE</v>
          </cell>
        </row>
        <row r="707">
          <cell r="D707" t="str">
            <v>ED2-AERO</v>
          </cell>
        </row>
        <row r="708">
          <cell r="D708" t="str">
            <v>ED2-AE</v>
          </cell>
        </row>
        <row r="709">
          <cell r="D709" t="str">
            <v>ED1-BME</v>
          </cell>
        </row>
        <row r="710">
          <cell r="D710" t="str">
            <v>ED2-ME</v>
          </cell>
        </row>
        <row r="711">
          <cell r="D711" t="str">
            <v>ED3-AUTO</v>
          </cell>
        </row>
        <row r="712">
          <cell r="D712" t="str">
            <v>ED4-ME</v>
          </cell>
        </row>
        <row r="718">
          <cell r="D718"/>
        </row>
        <row r="719">
          <cell r="D719"/>
        </row>
        <row r="720">
          <cell r="D720"/>
        </row>
        <row r="721">
          <cell r="D721" t="str">
            <v>CLASS</v>
          </cell>
        </row>
        <row r="722">
          <cell r="D722" t="str">
            <v>ED3-EE</v>
          </cell>
        </row>
        <row r="723">
          <cell r="D723" t="str">
            <v>ED3-TEL</v>
          </cell>
        </row>
        <row r="724">
          <cell r="D724" t="str">
            <v>ED3-COE</v>
          </cell>
        </row>
        <row r="725">
          <cell r="D725" t="str">
            <v>ED3-BME</v>
          </cell>
        </row>
        <row r="726">
          <cell r="D726" t="str">
            <v>ED4-PCE</v>
          </cell>
        </row>
        <row r="727">
          <cell r="D727" t="str">
            <v>ED4-EE</v>
          </cell>
        </row>
        <row r="728">
          <cell r="D728" t="str">
            <v>ED4-METE</v>
          </cell>
        </row>
        <row r="734">
          <cell r="D734" t="str">
            <v>Total H3-2</v>
          </cell>
        </row>
        <row r="735">
          <cell r="D735"/>
        </row>
        <row r="736">
          <cell r="D736"/>
        </row>
        <row r="737">
          <cell r="D737"/>
        </row>
        <row r="738">
          <cell r="D738"/>
        </row>
        <row r="739">
          <cell r="D739" t="str">
            <v>CLASS</v>
          </cell>
        </row>
        <row r="740">
          <cell r="D740" t="str">
            <v>ED2-IND</v>
          </cell>
        </row>
        <row r="741">
          <cell r="D741" t="str">
            <v>ED2-MARI</v>
          </cell>
        </row>
        <row r="742">
          <cell r="D742" t="str">
            <v>ED2-AUTO</v>
          </cell>
        </row>
        <row r="743">
          <cell r="D743" t="str">
            <v>ED4-CE</v>
          </cell>
        </row>
        <row r="744">
          <cell r="D744" t="str">
            <v>ED1-GEOM</v>
          </cell>
        </row>
        <row r="745">
          <cell r="D745" t="str">
            <v>ED3-PCE</v>
          </cell>
        </row>
        <row r="746">
          <cell r="D746" t="str">
            <v>ED3-CHE</v>
          </cell>
        </row>
        <row r="747">
          <cell r="D747" t="str">
            <v>ED2-CHE</v>
          </cell>
        </row>
        <row r="748">
          <cell r="D748" t="str">
            <v>ED2-PCE</v>
          </cell>
        </row>
        <row r="749">
          <cell r="D749" t="str">
            <v>ED2-GEOM</v>
          </cell>
        </row>
        <row r="750">
          <cell r="D750" t="str">
            <v>ED3-AE</v>
          </cell>
        </row>
        <row r="751">
          <cell r="D751" t="str">
            <v>ED4-AUTO</v>
          </cell>
        </row>
        <row r="752">
          <cell r="D752" t="str">
            <v>ED4-MARI</v>
          </cell>
        </row>
        <row r="753">
          <cell r="D753" t="str">
            <v>ED4-AERO</v>
          </cell>
        </row>
        <row r="759">
          <cell r="D759" t="str">
            <v>ED1-PETE</v>
          </cell>
        </row>
        <row r="760">
          <cell r="D760" t="str">
            <v>Total H3-3</v>
          </cell>
        </row>
        <row r="761">
          <cell r="D761"/>
        </row>
        <row r="762">
          <cell r="D762"/>
        </row>
        <row r="763">
          <cell r="D763"/>
        </row>
        <row r="764">
          <cell r="D764"/>
        </row>
        <row r="765">
          <cell r="D765" t="str">
            <v>CLASS</v>
          </cell>
        </row>
        <row r="766">
          <cell r="D766" t="str">
            <v>ED4-ME</v>
          </cell>
        </row>
        <row r="767">
          <cell r="D767" t="str">
            <v>ED4-IND</v>
          </cell>
        </row>
        <row r="768">
          <cell r="D768" t="str">
            <v>ED1-GEOL</v>
          </cell>
        </row>
        <row r="769">
          <cell r="D769" t="str">
            <v>ED1-METE</v>
          </cell>
        </row>
        <row r="770">
          <cell r="D770" t="str">
            <v>ED2-AE</v>
          </cell>
        </row>
        <row r="771">
          <cell r="D771" t="str">
            <v>ED3-CHE</v>
          </cell>
        </row>
      </sheetData>
      <sheetData sheetId="1"/>
      <sheetData sheetId="2"/>
      <sheetData sheetId="3"/>
      <sheetData sheetId="4">
        <row r="2">
          <cell r="B2">
            <v>1575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 (2)"/>
      <sheetName val="TT"/>
      <sheetName val="TT (Values)"/>
      <sheetName val="Sheet2"/>
      <sheetName val="FREQ"/>
      <sheetName val="TALLY"/>
      <sheetName val="ROOMS"/>
      <sheetName val="WATER"/>
      <sheetName val="SESSIONS"/>
      <sheetName val="COURSES"/>
      <sheetName val="TEO_fred"/>
      <sheetName val="Collection_"/>
      <sheetName val="WATER_old"/>
      <sheetName val="COMBINED_ATTD_INV"/>
      <sheetName val="COMBINED_ATTD_INV (2)"/>
      <sheetName val="COMBINED_ATTD_INV (final)"/>
      <sheetName val="TAs"/>
      <sheetName val="floor_coordinators (2)"/>
      <sheetName val="Sheet3"/>
      <sheetName val="tt_rm"/>
      <sheetName val="Sheet1"/>
      <sheetName val="TOTALSTD"/>
      <sheetName val="TEO (2)"/>
      <sheetName val="LECT"/>
      <sheetName val="ATTDD"/>
      <sheetName val="TA_NSS"/>
      <sheetName val="TA_SCHED"/>
    </sheetNames>
    <sheetDataSet>
      <sheetData sheetId="0" refreshError="1"/>
      <sheetData sheetId="1" refreshError="1">
        <row r="1">
          <cell r="I1" t="str">
            <v>Monday, 7 August 2023,,</v>
          </cell>
        </row>
        <row r="3">
          <cell r="D3" t="str">
            <v>CLASS</v>
          </cell>
        </row>
        <row r="4">
          <cell r="D4" t="str">
            <v>ED3-CHE</v>
          </cell>
        </row>
        <row r="5">
          <cell r="D5" t="str">
            <v>ED2-CHE</v>
          </cell>
        </row>
        <row r="6">
          <cell r="D6" t="str">
            <v>ED2-PCE</v>
          </cell>
        </row>
        <row r="19">
          <cell r="D19" t="str">
            <v>CLASS</v>
          </cell>
        </row>
        <row r="35">
          <cell r="D35" t="str">
            <v>CLASS</v>
          </cell>
        </row>
        <row r="36">
          <cell r="D36" t="str">
            <v>ED4-BME</v>
          </cell>
        </row>
        <row r="37">
          <cell r="D37" t="str">
            <v>ED4-COE</v>
          </cell>
        </row>
        <row r="51">
          <cell r="D51" t="str">
            <v>CLASS</v>
          </cell>
        </row>
        <row r="52">
          <cell r="D52" t="str">
            <v>ED1-CHE</v>
          </cell>
        </row>
        <row r="53">
          <cell r="D53" t="str">
            <v>ED1-PCE</v>
          </cell>
        </row>
        <row r="67">
          <cell r="D67" t="str">
            <v>CLASS</v>
          </cell>
        </row>
        <row r="83">
          <cell r="D83" t="str">
            <v>CLASS</v>
          </cell>
        </row>
        <row r="84">
          <cell r="D84" t="str">
            <v>ED3-PCE</v>
          </cell>
        </row>
        <row r="99">
          <cell r="D99" t="str">
            <v>CLASS</v>
          </cell>
        </row>
        <row r="100">
          <cell r="D100" t="str">
            <v>ED3-GEOL</v>
          </cell>
        </row>
        <row r="115">
          <cell r="D115" t="str">
            <v>CLASS</v>
          </cell>
        </row>
        <row r="116">
          <cell r="D116" t="str">
            <v>ED3-AE</v>
          </cell>
        </row>
        <row r="117">
          <cell r="D117" t="str">
            <v>ED1-CHE</v>
          </cell>
        </row>
        <row r="118">
          <cell r="D118" t="str">
            <v>ED1-PCE</v>
          </cell>
        </row>
        <row r="119">
          <cell r="D119" t="str">
            <v>ED1-PETE</v>
          </cell>
        </row>
        <row r="120">
          <cell r="D120" t="str">
            <v>ED3-GEOL</v>
          </cell>
        </row>
        <row r="131">
          <cell r="D131" t="str">
            <v>CLASS</v>
          </cell>
        </row>
        <row r="132">
          <cell r="D132" t="str">
            <v>ED3-IND</v>
          </cell>
        </row>
        <row r="147">
          <cell r="D147" t="str">
            <v>CLASS</v>
          </cell>
        </row>
        <row r="148">
          <cell r="D148" t="str">
            <v>ED2-PETE</v>
          </cell>
        </row>
        <row r="149">
          <cell r="D149" t="str">
            <v>ED3-MSE</v>
          </cell>
        </row>
        <row r="150">
          <cell r="D150" t="str">
            <v>ED2-METE</v>
          </cell>
        </row>
        <row r="151">
          <cell r="D151" t="str">
            <v>ED2-MSE</v>
          </cell>
        </row>
        <row r="152">
          <cell r="D152" t="str">
            <v>ED3-AERO</v>
          </cell>
        </row>
        <row r="153">
          <cell r="D153" t="str">
            <v>ED1-IND</v>
          </cell>
        </row>
        <row r="154">
          <cell r="D154" t="str">
            <v>ED1-ME</v>
          </cell>
        </row>
        <row r="155">
          <cell r="D155" t="str">
            <v>ED1-MARI</v>
          </cell>
        </row>
        <row r="156">
          <cell r="D156" t="str">
            <v>ED1-AERO</v>
          </cell>
        </row>
        <row r="157">
          <cell r="D157" t="str">
            <v>ED2-GEOL</v>
          </cell>
        </row>
        <row r="158">
          <cell r="D158" t="str">
            <v>ED2-COE</v>
          </cell>
        </row>
        <row r="159">
          <cell r="D159" t="str">
            <v>ED3-ME</v>
          </cell>
        </row>
        <row r="160">
          <cell r="D160" t="str">
            <v>ED3-MARI</v>
          </cell>
        </row>
        <row r="161">
          <cell r="D161" t="str">
            <v>ED2-BME</v>
          </cell>
        </row>
        <row r="167">
          <cell r="D167" t="str">
            <v>CLASS</v>
          </cell>
        </row>
        <row r="168">
          <cell r="D168" t="str">
            <v>ED1-GEOL</v>
          </cell>
        </row>
        <row r="169">
          <cell r="D169" t="str">
            <v>ED1-GEOM</v>
          </cell>
        </row>
        <row r="170">
          <cell r="D170" t="str">
            <v>ED2-GEOM</v>
          </cell>
        </row>
        <row r="171">
          <cell r="D171" t="str">
            <v>ED2-MARI</v>
          </cell>
        </row>
        <row r="172">
          <cell r="D172" t="str">
            <v>ED3-TEL</v>
          </cell>
        </row>
        <row r="173">
          <cell r="D173" t="str">
            <v>ED2-CE</v>
          </cell>
        </row>
        <row r="174">
          <cell r="D174" t="str">
            <v>ED2-IND</v>
          </cell>
        </row>
        <row r="175">
          <cell r="D175" t="str">
            <v>ED2-AE</v>
          </cell>
        </row>
        <row r="176">
          <cell r="D176" t="str">
            <v>ED3-GEOL</v>
          </cell>
        </row>
        <row r="177">
          <cell r="D177" t="str">
            <v>ED3-BME</v>
          </cell>
        </row>
        <row r="178">
          <cell r="D178" t="str">
            <v>Total H1-2</v>
          </cell>
        </row>
        <row r="184">
          <cell r="D184" t="str">
            <v>ED1-CE</v>
          </cell>
        </row>
        <row r="185">
          <cell r="D185" t="str">
            <v>ED1-TEL</v>
          </cell>
        </row>
        <row r="186">
          <cell r="D186" t="str">
            <v>ED2-TEL</v>
          </cell>
        </row>
        <row r="187">
          <cell r="D187" t="str">
            <v>ED1-BME</v>
          </cell>
        </row>
        <row r="188">
          <cell r="D188" t="str">
            <v>ED3-PETE</v>
          </cell>
        </row>
        <row r="189">
          <cell r="D189" t="str">
            <v>ED4-AE</v>
          </cell>
        </row>
        <row r="190">
          <cell r="D190" t="str">
            <v>ED4-AERO</v>
          </cell>
        </row>
        <row r="191">
          <cell r="D191" t="str">
            <v>ED4-AUTO</v>
          </cell>
        </row>
        <row r="192">
          <cell r="D192" t="str">
            <v>ED4-BME</v>
          </cell>
        </row>
        <row r="193">
          <cell r="D193" t="str">
            <v>ED4-COE</v>
          </cell>
        </row>
        <row r="194">
          <cell r="D194" t="str">
            <v>ED4-EE</v>
          </cell>
        </row>
        <row r="195">
          <cell r="D195" t="str">
            <v>ED4-IND</v>
          </cell>
        </row>
        <row r="196">
          <cell r="D196" t="str">
            <v>ED4-ME</v>
          </cell>
        </row>
        <row r="197">
          <cell r="D197" t="str">
            <v>ED4-METE</v>
          </cell>
        </row>
        <row r="198">
          <cell r="D198" t="str">
            <v>ED4-MSE</v>
          </cell>
        </row>
        <row r="199">
          <cell r="D199" t="str">
            <v>ED4-TEL</v>
          </cell>
        </row>
        <row r="200">
          <cell r="D200" t="str">
            <v>Total H1-3</v>
          </cell>
        </row>
        <row r="205">
          <cell r="D205" t="str">
            <v>CLASS</v>
          </cell>
        </row>
        <row r="206">
          <cell r="D206" t="str">
            <v>ED3-AUTO</v>
          </cell>
        </row>
        <row r="207">
          <cell r="D207" t="str">
            <v>ED2-AE</v>
          </cell>
        </row>
        <row r="208">
          <cell r="D208" t="str">
            <v>ED3-PETE</v>
          </cell>
        </row>
        <row r="209">
          <cell r="D209" t="str">
            <v>ED3-MARI</v>
          </cell>
        </row>
        <row r="210">
          <cell r="D210" t="str">
            <v>ED3-COE</v>
          </cell>
        </row>
        <row r="211">
          <cell r="D211" t="str">
            <v>ED3-BME</v>
          </cell>
        </row>
        <row r="212">
          <cell r="D212" t="str">
            <v>ED3-ME</v>
          </cell>
        </row>
        <row r="213">
          <cell r="D213" t="str">
            <v>ED4-GEOL</v>
          </cell>
        </row>
        <row r="214">
          <cell r="D214" t="str">
            <v>ED3-CHE</v>
          </cell>
        </row>
        <row r="215">
          <cell r="D215" t="str">
            <v>ED4-TEL</v>
          </cell>
        </row>
        <row r="216">
          <cell r="D216" t="str">
            <v>ED3-GEOM</v>
          </cell>
        </row>
        <row r="217">
          <cell r="D217" t="str">
            <v>ED3-PCE</v>
          </cell>
        </row>
        <row r="218">
          <cell r="D218" t="str">
            <v>ED2-BME</v>
          </cell>
        </row>
        <row r="219">
          <cell r="D219" t="str">
            <v>Total F1-1</v>
          </cell>
        </row>
        <row r="224">
          <cell r="D224" t="str">
            <v>CLASS</v>
          </cell>
        </row>
        <row r="225">
          <cell r="D225" t="str">
            <v>ED4-AUTO</v>
          </cell>
        </row>
        <row r="226">
          <cell r="D226" t="str">
            <v>ED2-AUTO</v>
          </cell>
        </row>
        <row r="227">
          <cell r="D227" t="str">
            <v>ED1-CE</v>
          </cell>
        </row>
        <row r="228">
          <cell r="D228" t="str">
            <v>ED1-GEOL</v>
          </cell>
        </row>
        <row r="229">
          <cell r="D229" t="str">
            <v>ED4-GEOM</v>
          </cell>
        </row>
        <row r="230">
          <cell r="D230" t="str">
            <v>ED2-MSE</v>
          </cell>
        </row>
        <row r="231">
          <cell r="D231" t="str">
            <v>ED2-METE</v>
          </cell>
        </row>
        <row r="232">
          <cell r="D232" t="str">
            <v>ED3-EE</v>
          </cell>
        </row>
        <row r="233">
          <cell r="D233" t="str">
            <v>ED1-TEL</v>
          </cell>
        </row>
        <row r="234">
          <cell r="D234" t="str">
            <v>ED1-CHE</v>
          </cell>
        </row>
        <row r="235">
          <cell r="D235" t="str">
            <v>ED1-AUTO</v>
          </cell>
        </row>
        <row r="236">
          <cell r="D236" t="str">
            <v>ED1-EE</v>
          </cell>
        </row>
        <row r="237">
          <cell r="D237" t="str">
            <v>ED3-AE</v>
          </cell>
        </row>
        <row r="238">
          <cell r="D238" t="str">
            <v>ED1-AERO</v>
          </cell>
        </row>
        <row r="239">
          <cell r="D239" t="str">
            <v>Total F1-2</v>
          </cell>
        </row>
        <row r="245">
          <cell r="D245" t="str">
            <v>ED2-COE</v>
          </cell>
        </row>
        <row r="246">
          <cell r="D246" t="str">
            <v>ED3-MSE</v>
          </cell>
        </row>
        <row r="247">
          <cell r="D247" t="str">
            <v>ED3-METE</v>
          </cell>
        </row>
        <row r="248">
          <cell r="D248" t="str">
            <v>ED4-EE</v>
          </cell>
        </row>
        <row r="249">
          <cell r="D249" t="str">
            <v>ED1-COE</v>
          </cell>
        </row>
        <row r="250">
          <cell r="D250" t="str">
            <v>ED4-PCE</v>
          </cell>
        </row>
        <row r="251">
          <cell r="D251" t="str">
            <v>ED4-CHE</v>
          </cell>
        </row>
        <row r="252">
          <cell r="D252" t="str">
            <v>ED4-PETE</v>
          </cell>
        </row>
        <row r="253">
          <cell r="D253" t="str">
            <v>ED4-CE</v>
          </cell>
        </row>
        <row r="254">
          <cell r="D254" t="str">
            <v>ED4-MARI</v>
          </cell>
        </row>
        <row r="255">
          <cell r="D255" t="str">
            <v>ED2-CE</v>
          </cell>
        </row>
        <row r="256">
          <cell r="D256" t="str">
            <v>ED2-GEOM</v>
          </cell>
        </row>
        <row r="257">
          <cell r="D257" t="str">
            <v>ED2-MARI</v>
          </cell>
        </row>
        <row r="258">
          <cell r="D258" t="str">
            <v>ED1-METE</v>
          </cell>
        </row>
        <row r="259">
          <cell r="D259" t="str">
            <v>ED4-ME</v>
          </cell>
        </row>
        <row r="260">
          <cell r="D260" t="str">
            <v>ED2-PETE</v>
          </cell>
        </row>
        <row r="261">
          <cell r="D261" t="str">
            <v>Total F1-3</v>
          </cell>
        </row>
        <row r="267">
          <cell r="D267" t="str">
            <v>ED2-CHE</v>
          </cell>
        </row>
        <row r="268">
          <cell r="D268" t="str">
            <v>ED2-PCE</v>
          </cell>
        </row>
        <row r="269">
          <cell r="D269" t="str">
            <v>ED2-TEL</v>
          </cell>
        </row>
        <row r="270">
          <cell r="D270" t="str">
            <v>ED3-CHE</v>
          </cell>
        </row>
        <row r="271">
          <cell r="D271" t="str">
            <v>ED2-EE</v>
          </cell>
        </row>
        <row r="272">
          <cell r="D272" t="str">
            <v>ED1-GEOL</v>
          </cell>
        </row>
        <row r="273">
          <cell r="D273" t="str">
            <v>ED1-CE</v>
          </cell>
        </row>
        <row r="274">
          <cell r="D274" t="str">
            <v>ED1-MARI</v>
          </cell>
        </row>
        <row r="275">
          <cell r="D275" t="str">
            <v>ED3-GEOM</v>
          </cell>
        </row>
        <row r="276">
          <cell r="D276" t="str">
            <v>ED2-BME</v>
          </cell>
        </row>
        <row r="277">
          <cell r="D277" t="str">
            <v>ED2-COE</v>
          </cell>
        </row>
        <row r="278">
          <cell r="D278" t="str">
            <v>ED2-METE</v>
          </cell>
        </row>
        <row r="279">
          <cell r="D279" t="str">
            <v>ED2-MSE</v>
          </cell>
        </row>
        <row r="280">
          <cell r="D280" t="str">
            <v>ED4-GEOL</v>
          </cell>
        </row>
        <row r="281">
          <cell r="D281" t="str">
            <v>ED4-PCE</v>
          </cell>
        </row>
        <row r="282">
          <cell r="D282" t="str">
            <v>ED3-GEOL</v>
          </cell>
        </row>
        <row r="283">
          <cell r="D283" t="str">
            <v>ED3-PCE</v>
          </cell>
        </row>
        <row r="284">
          <cell r="D284" t="str">
            <v>ED1-TEL</v>
          </cell>
        </row>
        <row r="285">
          <cell r="D285" t="str">
            <v>Total M2-1</v>
          </cell>
        </row>
        <row r="291">
          <cell r="D291" t="str">
            <v>ED3-AERO</v>
          </cell>
        </row>
        <row r="292">
          <cell r="D292" t="str">
            <v>ED3-ME</v>
          </cell>
        </row>
        <row r="293">
          <cell r="D293" t="str">
            <v>ED3-MARI</v>
          </cell>
        </row>
        <row r="294">
          <cell r="D294" t="str">
            <v>ED3-AUTO</v>
          </cell>
        </row>
        <row r="295">
          <cell r="D295" t="str">
            <v>ED3-TEL</v>
          </cell>
        </row>
        <row r="296">
          <cell r="D296" t="str">
            <v>ED3-PETE</v>
          </cell>
        </row>
        <row r="297">
          <cell r="D297" t="str">
            <v>ED2-IND</v>
          </cell>
        </row>
        <row r="298">
          <cell r="D298" t="str">
            <v>ED2-MARI</v>
          </cell>
        </row>
        <row r="299">
          <cell r="D299" t="str">
            <v>ED2-AUTO</v>
          </cell>
        </row>
        <row r="300">
          <cell r="D300" t="str">
            <v>ED4-MARI</v>
          </cell>
        </row>
        <row r="301">
          <cell r="D301" t="str">
            <v>ED4-ME</v>
          </cell>
        </row>
        <row r="302">
          <cell r="D302" t="str">
            <v>ED4-IND</v>
          </cell>
        </row>
        <row r="303">
          <cell r="D303" t="str">
            <v>ED2-PETE</v>
          </cell>
        </row>
        <row r="304">
          <cell r="D304" t="str">
            <v>ED4-AE</v>
          </cell>
        </row>
        <row r="305">
          <cell r="D305" t="str">
            <v>Total M2-2</v>
          </cell>
        </row>
        <row r="310">
          <cell r="D310" t="str">
            <v>CLASS</v>
          </cell>
        </row>
        <row r="311">
          <cell r="D311" t="str">
            <v>ED4-MSE</v>
          </cell>
        </row>
        <row r="312">
          <cell r="D312" t="str">
            <v>ED4-BME</v>
          </cell>
        </row>
        <row r="313">
          <cell r="D313" t="str">
            <v>ED1-PETE</v>
          </cell>
        </row>
        <row r="314">
          <cell r="D314" t="str">
            <v>ED1-GEOM</v>
          </cell>
        </row>
        <row r="315">
          <cell r="D315" t="str">
            <v>ED4-COE</v>
          </cell>
        </row>
        <row r="316">
          <cell r="D316" t="str">
            <v>ED1-MSE</v>
          </cell>
        </row>
        <row r="317">
          <cell r="D317" t="str">
            <v>ED1-ME</v>
          </cell>
        </row>
        <row r="318">
          <cell r="D318" t="str">
            <v>ED3-MSE</v>
          </cell>
        </row>
        <row r="319">
          <cell r="D319" t="str">
            <v>ED1-AERO</v>
          </cell>
        </row>
        <row r="320">
          <cell r="D320" t="str">
            <v>ED3-AE</v>
          </cell>
        </row>
        <row r="321">
          <cell r="D321" t="str">
            <v>ED3-EE</v>
          </cell>
        </row>
        <row r="322">
          <cell r="D322" t="str">
            <v>ED1-BME</v>
          </cell>
        </row>
        <row r="323">
          <cell r="D323" t="str">
            <v>ED2-GEOL</v>
          </cell>
        </row>
        <row r="324">
          <cell r="D324" t="str">
            <v>ED1-PCE</v>
          </cell>
        </row>
        <row r="325">
          <cell r="D325" t="str">
            <v>Total M2-3</v>
          </cell>
        </row>
        <row r="330">
          <cell r="D330" t="str">
            <v>CLASS</v>
          </cell>
        </row>
        <row r="331">
          <cell r="D331" t="str">
            <v>ED2-AE</v>
          </cell>
        </row>
        <row r="332">
          <cell r="D332" t="str">
            <v>ED2-AERO</v>
          </cell>
        </row>
        <row r="333">
          <cell r="D333" t="str">
            <v>ED2-BME</v>
          </cell>
        </row>
        <row r="334">
          <cell r="D334" t="str">
            <v>ED2-GEOM</v>
          </cell>
        </row>
        <row r="335">
          <cell r="D335" t="str">
            <v>ED2-IND</v>
          </cell>
        </row>
        <row r="336">
          <cell r="D336" t="str">
            <v>ED2-ME</v>
          </cell>
        </row>
        <row r="337">
          <cell r="D337" t="str">
            <v>ED2-MSE</v>
          </cell>
        </row>
        <row r="338">
          <cell r="D338" t="str">
            <v>ED3-METE</v>
          </cell>
        </row>
        <row r="339">
          <cell r="D339" t="str">
            <v>ED1-EE</v>
          </cell>
        </row>
        <row r="340">
          <cell r="D340" t="str">
            <v>ED1-COE</v>
          </cell>
        </row>
        <row r="341">
          <cell r="D341" t="str">
            <v>ED1-BME</v>
          </cell>
        </row>
        <row r="342">
          <cell r="D342" t="str">
            <v>ED4-PETE</v>
          </cell>
        </row>
        <row r="343">
          <cell r="D343" t="str">
            <v>ED4-CE</v>
          </cell>
        </row>
        <row r="344">
          <cell r="D344" t="str">
            <v>ED4-GEOL</v>
          </cell>
        </row>
        <row r="345">
          <cell r="D345" t="str">
            <v>ED1-AE</v>
          </cell>
        </row>
        <row r="346">
          <cell r="D346" t="str">
            <v>Total T2-1</v>
          </cell>
        </row>
        <row r="351">
          <cell r="D351" t="str">
            <v>CLASS</v>
          </cell>
        </row>
        <row r="352">
          <cell r="D352" t="str">
            <v>ED3-EE</v>
          </cell>
        </row>
        <row r="353">
          <cell r="D353" t="str">
            <v>ED3-IND</v>
          </cell>
        </row>
        <row r="354">
          <cell r="D354" t="str">
            <v>ED3-GEOL</v>
          </cell>
        </row>
        <row r="355">
          <cell r="D355" t="str">
            <v>ED3-PCE</v>
          </cell>
        </row>
        <row r="356">
          <cell r="D356" t="str">
            <v>ED4-ME</v>
          </cell>
        </row>
        <row r="357">
          <cell r="D357" t="str">
            <v>ED4-AERO</v>
          </cell>
        </row>
        <row r="358">
          <cell r="D358" t="str">
            <v>ED1-GEOL</v>
          </cell>
        </row>
        <row r="359">
          <cell r="D359" t="str">
            <v>ED3-CE</v>
          </cell>
        </row>
        <row r="360">
          <cell r="D360" t="str">
            <v>ED3-GEOM</v>
          </cell>
        </row>
        <row r="361">
          <cell r="D361" t="str">
            <v>ED3-AE</v>
          </cell>
        </row>
        <row r="362">
          <cell r="D362" t="str">
            <v>ED4-COE</v>
          </cell>
        </row>
        <row r="363">
          <cell r="D363" t="str">
            <v>ED3-BME</v>
          </cell>
        </row>
        <row r="364">
          <cell r="D364" t="str">
            <v>ED3-CHE</v>
          </cell>
        </row>
        <row r="365">
          <cell r="D365" t="str">
            <v>Total T2-2</v>
          </cell>
        </row>
        <row r="370">
          <cell r="D370" t="str">
            <v>CLASS</v>
          </cell>
        </row>
        <row r="371">
          <cell r="D371" t="str">
            <v>ED3-PETE</v>
          </cell>
        </row>
        <row r="372">
          <cell r="D372" t="str">
            <v>ED3-AERO</v>
          </cell>
        </row>
        <row r="373">
          <cell r="D373" t="str">
            <v>ED3-ME</v>
          </cell>
        </row>
        <row r="374">
          <cell r="D374" t="str">
            <v>ED3-AUTO</v>
          </cell>
        </row>
        <row r="375">
          <cell r="D375" t="str">
            <v>ED3-MARI</v>
          </cell>
        </row>
        <row r="376">
          <cell r="D376" t="str">
            <v>ED4-EE</v>
          </cell>
        </row>
        <row r="377">
          <cell r="D377" t="str">
            <v>ED4-CHE</v>
          </cell>
        </row>
        <row r="378">
          <cell r="D378" t="str">
            <v>ED4-PCE</v>
          </cell>
        </row>
        <row r="379">
          <cell r="D379" t="str">
            <v>ED2-EE</v>
          </cell>
        </row>
        <row r="380">
          <cell r="D380" t="str">
            <v>ED4-TEL</v>
          </cell>
        </row>
        <row r="381">
          <cell r="D381" t="str">
            <v>Total T2-3</v>
          </cell>
        </row>
        <row r="386">
          <cell r="D386" t="str">
            <v>CLASS</v>
          </cell>
        </row>
        <row r="387">
          <cell r="D387" t="str">
            <v>ED2-EE</v>
          </cell>
        </row>
        <row r="388">
          <cell r="D388" t="str">
            <v>ED2-BME</v>
          </cell>
        </row>
        <row r="389">
          <cell r="D389" t="str">
            <v>ED2-AUTO</v>
          </cell>
        </row>
        <row r="390">
          <cell r="D390" t="str">
            <v>ED2-PCE</v>
          </cell>
        </row>
        <row r="391">
          <cell r="D391" t="str">
            <v>ED2-PETE</v>
          </cell>
        </row>
        <row r="392">
          <cell r="D392" t="str">
            <v>ED2-MSE</v>
          </cell>
        </row>
        <row r="393">
          <cell r="D393" t="str">
            <v>ED2-METE</v>
          </cell>
        </row>
        <row r="394">
          <cell r="D394" t="str">
            <v>ED2-COE</v>
          </cell>
        </row>
        <row r="395">
          <cell r="D395" t="str">
            <v>ED2-GEOL</v>
          </cell>
        </row>
        <row r="396">
          <cell r="D396" t="str">
            <v>ED2-GEOM</v>
          </cell>
        </row>
        <row r="397">
          <cell r="D397" t="str">
            <v>ED2-IND</v>
          </cell>
        </row>
        <row r="398">
          <cell r="D398" t="str">
            <v>ED2-TEL</v>
          </cell>
        </row>
        <row r="399">
          <cell r="D399" t="str">
            <v>ED2-AE</v>
          </cell>
        </row>
        <row r="400">
          <cell r="D400" t="str">
            <v>ED2-AERO</v>
          </cell>
        </row>
        <row r="401">
          <cell r="D401" t="str">
            <v>ED2-CE</v>
          </cell>
        </row>
        <row r="402">
          <cell r="D402" t="str">
            <v>ED2-MARI</v>
          </cell>
        </row>
        <row r="403">
          <cell r="D403" t="str">
            <v>ED2-ME</v>
          </cell>
        </row>
        <row r="404">
          <cell r="D404" t="str">
            <v>ED2-CHE</v>
          </cell>
        </row>
        <row r="405">
          <cell r="D405" t="str">
            <v>Total W2-1</v>
          </cell>
        </row>
        <row r="410">
          <cell r="D410" t="str">
            <v>CLASS</v>
          </cell>
        </row>
        <row r="411">
          <cell r="D411" t="str">
            <v>ED1-BME</v>
          </cell>
        </row>
        <row r="412">
          <cell r="D412" t="str">
            <v>ED3-TEL</v>
          </cell>
        </row>
        <row r="413">
          <cell r="D413" t="str">
            <v>ED3-PCE</v>
          </cell>
        </row>
        <row r="414">
          <cell r="D414" t="str">
            <v>ED3-CHE</v>
          </cell>
        </row>
        <row r="415">
          <cell r="D415" t="str">
            <v>ED4-AERO</v>
          </cell>
        </row>
        <row r="416">
          <cell r="D416" t="str">
            <v>ED4-ME</v>
          </cell>
        </row>
        <row r="417">
          <cell r="D417" t="str">
            <v>ED4-CE</v>
          </cell>
        </row>
        <row r="418">
          <cell r="D418" t="str">
            <v>ED3-GEOM</v>
          </cell>
        </row>
        <row r="419">
          <cell r="D419" t="str">
            <v>ED3-CE</v>
          </cell>
        </row>
        <row r="420">
          <cell r="D420" t="str">
            <v>ED4-PETE</v>
          </cell>
        </row>
        <row r="421">
          <cell r="D421" t="str">
            <v>ED3-IND</v>
          </cell>
        </row>
        <row r="422">
          <cell r="D422" t="str">
            <v>ED4-MSE</v>
          </cell>
        </row>
        <row r="423">
          <cell r="D423" t="str">
            <v>ED4-METE</v>
          </cell>
        </row>
        <row r="424">
          <cell r="D424" t="str">
            <v>Total W2-2</v>
          </cell>
        </row>
        <row r="429">
          <cell r="D429" t="str">
            <v>CLASS</v>
          </cell>
        </row>
        <row r="430">
          <cell r="D430" t="str">
            <v>ED1-AE</v>
          </cell>
        </row>
        <row r="431">
          <cell r="D431" t="str">
            <v>ED1-METE</v>
          </cell>
        </row>
        <row r="432">
          <cell r="D432" t="str">
            <v>ED1-MSE</v>
          </cell>
        </row>
        <row r="433">
          <cell r="D433" t="str">
            <v>ED1-ME</v>
          </cell>
        </row>
        <row r="434">
          <cell r="D434" t="str">
            <v>ED1-AUTO</v>
          </cell>
        </row>
        <row r="435">
          <cell r="D435" t="str">
            <v>ED1-IND</v>
          </cell>
        </row>
        <row r="436">
          <cell r="D436" t="str">
            <v>ED1-MARI</v>
          </cell>
        </row>
        <row r="437">
          <cell r="D437" t="str">
            <v>ED3-METE</v>
          </cell>
        </row>
        <row r="438">
          <cell r="D438" t="str">
            <v>ED3-MSE</v>
          </cell>
        </row>
        <row r="439">
          <cell r="D439" t="str">
            <v>ED4-GEOM</v>
          </cell>
        </row>
        <row r="440">
          <cell r="D440" t="str">
            <v>ED1-GEOL</v>
          </cell>
        </row>
        <row r="441">
          <cell r="D441" t="str">
            <v>ED1-CE</v>
          </cell>
        </row>
        <row r="442">
          <cell r="D442" t="str">
            <v>ED4-GEOL</v>
          </cell>
        </row>
        <row r="443">
          <cell r="D443" t="str">
            <v>ED3-EE</v>
          </cell>
        </row>
        <row r="444">
          <cell r="D444" t="str">
            <v>Total W2-3</v>
          </cell>
        </row>
        <row r="450">
          <cell r="D450" t="str">
            <v>ED4-CHE</v>
          </cell>
        </row>
        <row r="451">
          <cell r="D451" t="str">
            <v>ED4-PCE</v>
          </cell>
        </row>
        <row r="452">
          <cell r="D452" t="str">
            <v>ED4-AERO</v>
          </cell>
        </row>
        <row r="453">
          <cell r="D453" t="str">
            <v>ED4-AE</v>
          </cell>
        </row>
        <row r="454">
          <cell r="D454" t="str">
            <v>ED3-AERO</v>
          </cell>
        </row>
        <row r="455">
          <cell r="D455" t="str">
            <v>ED3-PETE</v>
          </cell>
        </row>
        <row r="456">
          <cell r="D456" t="str">
            <v>ED4-AUTO</v>
          </cell>
        </row>
        <row r="457">
          <cell r="D457" t="str">
            <v>ED3-PCE</v>
          </cell>
        </row>
        <row r="458">
          <cell r="D458" t="str">
            <v>ED3-BME</v>
          </cell>
        </row>
        <row r="459">
          <cell r="D459" t="str">
            <v>ED4-TEL</v>
          </cell>
        </row>
        <row r="460">
          <cell r="D460" t="str">
            <v>ED4-MARI</v>
          </cell>
        </row>
        <row r="461">
          <cell r="D461" t="str">
            <v>ED2-IND</v>
          </cell>
        </row>
        <row r="462">
          <cell r="D462" t="str">
            <v>ED2-MARI</v>
          </cell>
        </row>
        <row r="463">
          <cell r="D463" t="str">
            <v>ED2-AUTO</v>
          </cell>
        </row>
        <row r="464">
          <cell r="D464" t="str">
            <v>Total H2-1</v>
          </cell>
        </row>
        <row r="469">
          <cell r="D469" t="str">
            <v>CLASS</v>
          </cell>
        </row>
        <row r="470">
          <cell r="D470" t="str">
            <v>ED4-PETE</v>
          </cell>
        </row>
        <row r="471">
          <cell r="D471" t="str">
            <v>ED3-AE</v>
          </cell>
        </row>
        <row r="472">
          <cell r="D472" t="str">
            <v>ED1-AE</v>
          </cell>
        </row>
        <row r="473">
          <cell r="D473" t="str">
            <v>ED3-COE</v>
          </cell>
        </row>
        <row r="474">
          <cell r="D474" t="str">
            <v>ED2-COE</v>
          </cell>
        </row>
        <row r="475">
          <cell r="D475" t="str">
            <v>ED2-BME</v>
          </cell>
        </row>
        <row r="476">
          <cell r="D476" t="str">
            <v>ED1-COE</v>
          </cell>
        </row>
        <row r="477">
          <cell r="D477" t="str">
            <v>ED1-AUTO</v>
          </cell>
        </row>
        <row r="478">
          <cell r="D478" t="str">
            <v>ED3-IND</v>
          </cell>
        </row>
        <row r="479">
          <cell r="D479" t="str">
            <v>ED3-CHE</v>
          </cell>
        </row>
        <row r="480">
          <cell r="D480" t="str">
            <v>Total H2-2</v>
          </cell>
        </row>
        <row r="485">
          <cell r="D485" t="str">
            <v>CLASS</v>
          </cell>
        </row>
        <row r="486">
          <cell r="D486" t="str">
            <v>ED2-PETE</v>
          </cell>
        </row>
        <row r="487">
          <cell r="D487" t="str">
            <v>ED2-PCE</v>
          </cell>
        </row>
        <row r="488">
          <cell r="D488" t="str">
            <v>ED1-TEL</v>
          </cell>
        </row>
        <row r="489">
          <cell r="D489" t="str">
            <v>ED4-ME</v>
          </cell>
        </row>
        <row r="490">
          <cell r="D490" t="str">
            <v>ED2-ME</v>
          </cell>
        </row>
        <row r="491">
          <cell r="D491" t="str">
            <v>ED1-PETE</v>
          </cell>
        </row>
        <row r="492">
          <cell r="D492" t="str">
            <v>ED2-CHE</v>
          </cell>
        </row>
        <row r="493">
          <cell r="D493" t="str">
            <v>ED1-IND</v>
          </cell>
        </row>
        <row r="494">
          <cell r="D494" t="str">
            <v>ED1-MARI</v>
          </cell>
        </row>
        <row r="495">
          <cell r="D495" t="str">
            <v>ED3-AUTO</v>
          </cell>
        </row>
        <row r="496">
          <cell r="D496" t="str">
            <v>ED2-AERO</v>
          </cell>
        </row>
        <row r="497">
          <cell r="D497" t="str">
            <v>Total H2-3</v>
          </cell>
        </row>
        <row r="502">
          <cell r="D502" t="str">
            <v>CLASS</v>
          </cell>
        </row>
        <row r="503">
          <cell r="D503" t="str">
            <v>ED1-AERO</v>
          </cell>
        </row>
        <row r="504">
          <cell r="D504" t="str">
            <v>ED1-AE</v>
          </cell>
        </row>
        <row r="505">
          <cell r="D505" t="str">
            <v>ED1-AUTO</v>
          </cell>
        </row>
        <row r="506">
          <cell r="D506" t="str">
            <v>ED1-BME</v>
          </cell>
        </row>
        <row r="507">
          <cell r="D507" t="str">
            <v>ED1-CHE</v>
          </cell>
        </row>
        <row r="508">
          <cell r="D508" t="str">
            <v>ED1-PCE</v>
          </cell>
        </row>
        <row r="509">
          <cell r="D509" t="str">
            <v>ED1-COE</v>
          </cell>
        </row>
        <row r="510">
          <cell r="D510" t="str">
            <v>ED2-EE</v>
          </cell>
        </row>
        <row r="511">
          <cell r="D511" t="str">
            <v>ED2-TEL</v>
          </cell>
        </row>
        <row r="512">
          <cell r="D512" t="str">
            <v>ED3-MSE</v>
          </cell>
        </row>
        <row r="513">
          <cell r="D513" t="str">
            <v>ED3-METE</v>
          </cell>
        </row>
        <row r="514">
          <cell r="D514" t="str">
            <v>ED2-METE</v>
          </cell>
        </row>
        <row r="515">
          <cell r="D515" t="str">
            <v>ED2-AE</v>
          </cell>
        </row>
        <row r="516">
          <cell r="D516" t="str">
            <v>ED3-CE</v>
          </cell>
        </row>
        <row r="517">
          <cell r="D517" t="str">
            <v>ED3-GEOL</v>
          </cell>
        </row>
        <row r="518">
          <cell r="D518" t="str">
            <v>ED3-MARI</v>
          </cell>
        </row>
        <row r="519">
          <cell r="D519" t="str">
            <v>ED2-AERO</v>
          </cell>
        </row>
        <row r="520">
          <cell r="D520" t="str">
            <v>Total F2-1</v>
          </cell>
        </row>
        <row r="525">
          <cell r="D525" t="str">
            <v>CLASS</v>
          </cell>
        </row>
        <row r="526">
          <cell r="D526" t="str">
            <v>ED1-CE</v>
          </cell>
        </row>
        <row r="527">
          <cell r="D527" t="str">
            <v>ED1-EE</v>
          </cell>
        </row>
        <row r="528">
          <cell r="D528" t="str">
            <v>ED1-GEOL</v>
          </cell>
        </row>
        <row r="529">
          <cell r="D529" t="str">
            <v>ED1-METE</v>
          </cell>
        </row>
        <row r="530">
          <cell r="D530" t="str">
            <v>ED2-GEOM</v>
          </cell>
        </row>
        <row r="531">
          <cell r="D531" t="str">
            <v>ED3-EE</v>
          </cell>
        </row>
        <row r="532">
          <cell r="D532" t="str">
            <v>ED4-ME</v>
          </cell>
        </row>
        <row r="533">
          <cell r="D533" t="str">
            <v>ED3-PETE</v>
          </cell>
        </row>
        <row r="534">
          <cell r="D534" t="str">
            <v>ED4-EE</v>
          </cell>
        </row>
        <row r="535">
          <cell r="D535" t="str">
            <v>ED4-CHE</v>
          </cell>
        </row>
        <row r="536">
          <cell r="D536" t="str">
            <v>Total F2-2</v>
          </cell>
        </row>
        <row r="541">
          <cell r="D541" t="str">
            <v>CLASS</v>
          </cell>
        </row>
        <row r="542">
          <cell r="D542" t="str">
            <v>ED1-GEOM</v>
          </cell>
        </row>
        <row r="543">
          <cell r="D543" t="str">
            <v>ED1-IND</v>
          </cell>
        </row>
        <row r="544">
          <cell r="D544" t="str">
            <v>ED1-MARI</v>
          </cell>
        </row>
        <row r="545">
          <cell r="D545" t="str">
            <v>ED1-MSE</v>
          </cell>
        </row>
        <row r="546">
          <cell r="D546" t="str">
            <v>ED1-ME</v>
          </cell>
        </row>
        <row r="547">
          <cell r="D547" t="str">
            <v>ED1-PETE</v>
          </cell>
        </row>
        <row r="548">
          <cell r="D548" t="str">
            <v>ED1-TEL</v>
          </cell>
        </row>
        <row r="549">
          <cell r="D549" t="str">
            <v>ED4-AE</v>
          </cell>
        </row>
        <row r="550">
          <cell r="D550" t="str">
            <v>ED4-MSE</v>
          </cell>
        </row>
        <row r="551">
          <cell r="D551" t="str">
            <v>ED4-METE</v>
          </cell>
        </row>
        <row r="552">
          <cell r="D552" t="str">
            <v>ED4-AERO</v>
          </cell>
        </row>
        <row r="553">
          <cell r="D553" t="str">
            <v>ED2-GEOL</v>
          </cell>
        </row>
        <row r="554">
          <cell r="D554" t="str">
            <v>ED3-PCE</v>
          </cell>
        </row>
        <row r="555">
          <cell r="D555" t="str">
            <v>ED4-PETE</v>
          </cell>
        </row>
        <row r="556">
          <cell r="D556" t="str">
            <v>ED3-TEL</v>
          </cell>
        </row>
        <row r="557">
          <cell r="D557" t="str">
            <v>ED4-GEOM</v>
          </cell>
        </row>
        <row r="558">
          <cell r="D558" t="str">
            <v>ED4-GEOL</v>
          </cell>
        </row>
        <row r="559">
          <cell r="D559" t="str">
            <v>Total F2-3</v>
          </cell>
        </row>
        <row r="564">
          <cell r="D564" t="str">
            <v>CLASS</v>
          </cell>
        </row>
        <row r="565">
          <cell r="D565" t="str">
            <v>ED3-AE</v>
          </cell>
        </row>
        <row r="566">
          <cell r="D566" t="str">
            <v>ED3-AERO</v>
          </cell>
        </row>
        <row r="567">
          <cell r="D567" t="str">
            <v>ED4-EE</v>
          </cell>
        </row>
        <row r="568">
          <cell r="D568" t="str">
            <v>ED4-CE</v>
          </cell>
        </row>
        <row r="569">
          <cell r="D569" t="str">
            <v>ED2-METE</v>
          </cell>
        </row>
        <row r="570">
          <cell r="D570" t="str">
            <v>ED1-AERO</v>
          </cell>
        </row>
        <row r="571">
          <cell r="D571" t="str">
            <v>ED1-ME</v>
          </cell>
        </row>
        <row r="572">
          <cell r="D572" t="str">
            <v>ED1-IND</v>
          </cell>
        </row>
        <row r="573">
          <cell r="D573" t="str">
            <v>ED1-MARI</v>
          </cell>
        </row>
        <row r="574">
          <cell r="D574" t="str">
            <v>ED3-ME</v>
          </cell>
        </row>
        <row r="575">
          <cell r="D575" t="str">
            <v>ED3-BME</v>
          </cell>
        </row>
        <row r="576">
          <cell r="D576" t="str">
            <v>ED3-COE</v>
          </cell>
        </row>
        <row r="577">
          <cell r="D577" t="str">
            <v>Total M3-1</v>
          </cell>
        </row>
        <row r="582">
          <cell r="D582" t="str">
            <v>CLASS</v>
          </cell>
        </row>
        <row r="583">
          <cell r="D583" t="str">
            <v>ED2-CHE</v>
          </cell>
        </row>
        <row r="584">
          <cell r="D584" t="str">
            <v>ED2-PCE</v>
          </cell>
        </row>
        <row r="585">
          <cell r="D585" t="str">
            <v>ED4-PCE</v>
          </cell>
        </row>
        <row r="586">
          <cell r="D586" t="str">
            <v>ED3-MSE</v>
          </cell>
        </row>
        <row r="587">
          <cell r="D587" t="str">
            <v>ED1-METE</v>
          </cell>
        </row>
        <row r="588">
          <cell r="D588" t="str">
            <v>ED3-METE</v>
          </cell>
        </row>
        <row r="589">
          <cell r="D589" t="str">
            <v>ED1-MSE</v>
          </cell>
        </row>
        <row r="590">
          <cell r="D590" t="str">
            <v>ED2-PETE</v>
          </cell>
        </row>
        <row r="591">
          <cell r="D591" t="str">
            <v>ED1-EE</v>
          </cell>
        </row>
        <row r="592">
          <cell r="D592" t="str">
            <v>ED2-CE</v>
          </cell>
        </row>
        <row r="593">
          <cell r="D593" t="str">
            <v>ED2-GEOL</v>
          </cell>
        </row>
        <row r="594">
          <cell r="D594" t="str">
            <v>ED2-AE</v>
          </cell>
        </row>
        <row r="595">
          <cell r="D595" t="str">
            <v>Total M3-2</v>
          </cell>
        </row>
        <row r="600">
          <cell r="D600" t="str">
            <v>CLASS</v>
          </cell>
        </row>
        <row r="601">
          <cell r="D601" t="str">
            <v>ED2-EE</v>
          </cell>
        </row>
        <row r="602">
          <cell r="D602" t="str">
            <v>ED3-GEOM</v>
          </cell>
        </row>
        <row r="603">
          <cell r="D603" t="str">
            <v>ED1-CE</v>
          </cell>
        </row>
        <row r="604">
          <cell r="D604" t="str">
            <v>ED1-GEOL</v>
          </cell>
        </row>
        <row r="605">
          <cell r="D605" t="str">
            <v>ED2-BME</v>
          </cell>
        </row>
        <row r="606">
          <cell r="D606" t="str">
            <v>ED2-COE</v>
          </cell>
        </row>
        <row r="607">
          <cell r="D607" t="str">
            <v>ED2-TEL</v>
          </cell>
        </row>
        <row r="608">
          <cell r="D608" t="str">
            <v>ED3-CHE</v>
          </cell>
        </row>
        <row r="609">
          <cell r="D609" t="str">
            <v>ED3-IND</v>
          </cell>
        </row>
        <row r="610">
          <cell r="D610" t="str">
            <v>ED2-MSE</v>
          </cell>
        </row>
        <row r="611">
          <cell r="D611" t="str">
            <v>ED4-AERO</v>
          </cell>
        </row>
        <row r="612">
          <cell r="D612" t="str">
            <v>ED4-ME</v>
          </cell>
        </row>
        <row r="613">
          <cell r="D613" t="str">
            <v>ED2-ME</v>
          </cell>
        </row>
        <row r="614">
          <cell r="D614" t="str">
            <v>ED4-IND</v>
          </cell>
        </row>
        <row r="615">
          <cell r="D615" t="str">
            <v>ED4-GEOL</v>
          </cell>
        </row>
        <row r="616">
          <cell r="D616" t="str">
            <v>ED1-AE</v>
          </cell>
        </row>
        <row r="617">
          <cell r="D617" t="str">
            <v>ED4-CHE</v>
          </cell>
        </row>
        <row r="618">
          <cell r="D618" t="str">
            <v>ED3-MARI</v>
          </cell>
        </row>
        <row r="619">
          <cell r="D619" t="str">
            <v>ED3-PETE</v>
          </cell>
        </row>
        <row r="620">
          <cell r="D620" t="str">
            <v>ED3-CE</v>
          </cell>
        </row>
        <row r="621">
          <cell r="D621" t="str">
            <v>Total M3-3</v>
          </cell>
        </row>
        <row r="626">
          <cell r="D626" t="str">
            <v>CLASS</v>
          </cell>
        </row>
        <row r="627">
          <cell r="D627" t="str">
            <v>ED1-GEOL</v>
          </cell>
        </row>
        <row r="628">
          <cell r="D628" t="str">
            <v>ED2-BME</v>
          </cell>
        </row>
        <row r="629">
          <cell r="D629" t="str">
            <v>ED2-COE</v>
          </cell>
        </row>
        <row r="630">
          <cell r="D630" t="str">
            <v>ED2-TEL</v>
          </cell>
        </row>
        <row r="631">
          <cell r="D631" t="str">
            <v>ED3-GEOM</v>
          </cell>
        </row>
        <row r="632">
          <cell r="D632" t="str">
            <v>ED1-EE</v>
          </cell>
        </row>
        <row r="633">
          <cell r="D633" t="str">
            <v>ED1-BME</v>
          </cell>
        </row>
        <row r="634">
          <cell r="D634" t="str">
            <v>ED1-GEOM</v>
          </cell>
        </row>
        <row r="635">
          <cell r="D635" t="str">
            <v>ED4-MARI</v>
          </cell>
        </row>
        <row r="636">
          <cell r="D636" t="str">
            <v>ED2-IND</v>
          </cell>
        </row>
        <row r="637">
          <cell r="D637" t="str">
            <v>ED2-ME</v>
          </cell>
        </row>
        <row r="638">
          <cell r="D638" t="str">
            <v>ED1-AUTO</v>
          </cell>
        </row>
        <row r="639">
          <cell r="D639" t="str">
            <v>ED2-AERO</v>
          </cell>
        </row>
        <row r="640">
          <cell r="D640" t="str">
            <v>ED4-PETE</v>
          </cell>
        </row>
        <row r="641">
          <cell r="D641" t="str">
            <v>ED1-CHE</v>
          </cell>
        </row>
        <row r="642">
          <cell r="D642" t="str">
            <v>Total T3-1</v>
          </cell>
        </row>
        <row r="647">
          <cell r="D647" t="str">
            <v>CLASS</v>
          </cell>
        </row>
        <row r="648">
          <cell r="D648" t="str">
            <v>ED2-EE</v>
          </cell>
        </row>
        <row r="649">
          <cell r="D649" t="str">
            <v>ED4-AERO</v>
          </cell>
        </row>
        <row r="650">
          <cell r="D650" t="str">
            <v>ED4-TEL</v>
          </cell>
        </row>
        <row r="651">
          <cell r="D651" t="str">
            <v>ED4-EE</v>
          </cell>
        </row>
        <row r="652">
          <cell r="D652" t="str">
            <v>ED4-COE</v>
          </cell>
        </row>
        <row r="653">
          <cell r="D653" t="str">
            <v>ED3-IND</v>
          </cell>
        </row>
        <row r="654">
          <cell r="D654" t="str">
            <v>ED4-METE</v>
          </cell>
        </row>
        <row r="655">
          <cell r="D655" t="str">
            <v>ED3-AUTO</v>
          </cell>
        </row>
        <row r="656">
          <cell r="D656" t="str">
            <v>ED4-ME</v>
          </cell>
        </row>
        <row r="657">
          <cell r="D657" t="str">
            <v>ED4-CHE</v>
          </cell>
        </row>
        <row r="658">
          <cell r="D658" t="str">
            <v>ED3-COE</v>
          </cell>
        </row>
        <row r="659">
          <cell r="D659" t="str">
            <v>Total T3-2</v>
          </cell>
        </row>
        <row r="664">
          <cell r="D664" t="str">
            <v>CLASS</v>
          </cell>
        </row>
        <row r="665">
          <cell r="D665" t="str">
            <v>ED4-IND</v>
          </cell>
        </row>
        <row r="666">
          <cell r="D666" t="str">
            <v>ED2-GEOM</v>
          </cell>
        </row>
        <row r="667">
          <cell r="D667" t="str">
            <v>ED1-METE</v>
          </cell>
        </row>
        <row r="668">
          <cell r="D668" t="str">
            <v>ED1-PCE</v>
          </cell>
        </row>
        <row r="669">
          <cell r="D669" t="str">
            <v>ED1-PETE</v>
          </cell>
        </row>
        <row r="670">
          <cell r="D670" t="str">
            <v>ED1-MSE</v>
          </cell>
        </row>
        <row r="671">
          <cell r="D671" t="str">
            <v>ED1-AE</v>
          </cell>
        </row>
        <row r="672">
          <cell r="D672" t="str">
            <v>ED3-PCE</v>
          </cell>
        </row>
        <row r="673">
          <cell r="D673" t="str">
            <v>ED4-AE</v>
          </cell>
        </row>
        <row r="674">
          <cell r="D674" t="str">
            <v>ED2-MARI</v>
          </cell>
        </row>
        <row r="675">
          <cell r="D675" t="str">
            <v>ED1-TEL</v>
          </cell>
        </row>
        <row r="676">
          <cell r="D676" t="str">
            <v>ED4-CE</v>
          </cell>
        </row>
        <row r="677">
          <cell r="D677" t="str">
            <v>ED3-PETE</v>
          </cell>
        </row>
        <row r="678">
          <cell r="D678" t="str">
            <v>ED3-EE</v>
          </cell>
        </row>
        <row r="679">
          <cell r="D679" t="str">
            <v>ED3-TEL</v>
          </cell>
        </row>
        <row r="680">
          <cell r="D680" t="str">
            <v>Total T3-3</v>
          </cell>
        </row>
        <row r="685">
          <cell r="D685" t="str">
            <v>CLASS</v>
          </cell>
        </row>
        <row r="686">
          <cell r="D686" t="str">
            <v>ED4-IND</v>
          </cell>
        </row>
        <row r="687">
          <cell r="D687" t="str">
            <v>ED3-GEOM</v>
          </cell>
        </row>
        <row r="688">
          <cell r="D688" t="str">
            <v>ED3-CE</v>
          </cell>
        </row>
        <row r="689">
          <cell r="D689" t="str">
            <v>ED4-AERO</v>
          </cell>
        </row>
        <row r="690">
          <cell r="D690" t="str">
            <v>ED4-AUTO</v>
          </cell>
        </row>
        <row r="691">
          <cell r="D691" t="str">
            <v>ED4-ME</v>
          </cell>
        </row>
        <row r="692">
          <cell r="D692" t="str">
            <v>ED2-CHE</v>
          </cell>
        </row>
        <row r="693">
          <cell r="D693" t="str">
            <v>ED2-PCE</v>
          </cell>
        </row>
        <row r="694">
          <cell r="D694" t="str">
            <v>ED2-PETE</v>
          </cell>
        </row>
        <row r="695">
          <cell r="D695" t="str">
            <v>ED3-ME</v>
          </cell>
        </row>
        <row r="696">
          <cell r="D696" t="str">
            <v>Total W3-1</v>
          </cell>
        </row>
        <row r="701">
          <cell r="D701" t="str">
            <v>CLASS</v>
          </cell>
        </row>
        <row r="702">
          <cell r="D702" t="str">
            <v>ED3-MSE</v>
          </cell>
        </row>
        <row r="703">
          <cell r="D703" t="str">
            <v>ED3-METE</v>
          </cell>
        </row>
        <row r="704">
          <cell r="D704" t="str">
            <v>ED2-COE</v>
          </cell>
        </row>
        <row r="705">
          <cell r="D705" t="str">
            <v>ED3-AERO</v>
          </cell>
        </row>
        <row r="706">
          <cell r="D706" t="str">
            <v>ED2-METE</v>
          </cell>
        </row>
        <row r="707">
          <cell r="D707" t="str">
            <v>ED4-GEOL</v>
          </cell>
        </row>
        <row r="708">
          <cell r="D708" t="str">
            <v>ED2-GEOM</v>
          </cell>
        </row>
        <row r="709">
          <cell r="D709" t="str">
            <v>ED4-BME</v>
          </cell>
        </row>
        <row r="710">
          <cell r="D710" t="str">
            <v>ED2-BME</v>
          </cell>
        </row>
        <row r="711">
          <cell r="D711" t="str">
            <v>ED2-AERO</v>
          </cell>
        </row>
        <row r="712">
          <cell r="D712" t="str">
            <v>ED3-BME</v>
          </cell>
        </row>
        <row r="713">
          <cell r="D713" t="str">
            <v>ED2-CE</v>
          </cell>
        </row>
        <row r="714">
          <cell r="D714" t="str">
            <v>ED4-CE</v>
          </cell>
        </row>
        <row r="715">
          <cell r="D715" t="str">
            <v>ED3-GEOL</v>
          </cell>
        </row>
        <row r="716">
          <cell r="D716" t="str">
            <v>Total W3-2</v>
          </cell>
        </row>
        <row r="721">
          <cell r="D721" t="str">
            <v>CLASS</v>
          </cell>
        </row>
        <row r="722">
          <cell r="D722" t="str">
            <v>ED3-EE</v>
          </cell>
        </row>
        <row r="723">
          <cell r="D723" t="str">
            <v>ED1-GEOL</v>
          </cell>
        </row>
        <row r="724">
          <cell r="D724" t="str">
            <v>ED1-GEOM</v>
          </cell>
        </row>
        <row r="725">
          <cell r="D725" t="str">
            <v>ED1-AE</v>
          </cell>
        </row>
        <row r="726">
          <cell r="D726" t="str">
            <v>ED1-IND</v>
          </cell>
        </row>
        <row r="727">
          <cell r="D727" t="str">
            <v>ED1-MARI</v>
          </cell>
        </row>
        <row r="728">
          <cell r="D728" t="str">
            <v>ED1-EE</v>
          </cell>
        </row>
        <row r="729">
          <cell r="D729" t="str">
            <v>ED1-AUTO</v>
          </cell>
        </row>
        <row r="730">
          <cell r="D730" t="str">
            <v>ED1-ME</v>
          </cell>
        </row>
        <row r="731">
          <cell r="D731" t="str">
            <v>ED1-MSE</v>
          </cell>
        </row>
        <row r="732">
          <cell r="D732" t="str">
            <v>ED1-CE</v>
          </cell>
        </row>
        <row r="733">
          <cell r="D733" t="str">
            <v>ED1-BME</v>
          </cell>
        </row>
        <row r="734">
          <cell r="D734" t="str">
            <v>ED1-CHE</v>
          </cell>
        </row>
        <row r="735">
          <cell r="D735" t="str">
            <v>ED1-PCE</v>
          </cell>
        </row>
        <row r="736">
          <cell r="D736" t="str">
            <v>ED1-PETE</v>
          </cell>
        </row>
        <row r="737">
          <cell r="D737" t="str">
            <v>ED1-AERO</v>
          </cell>
        </row>
        <row r="738">
          <cell r="D738" t="str">
            <v>Total W3-3</v>
          </cell>
        </row>
        <row r="743">
          <cell r="D743" t="str">
            <v>CLASS</v>
          </cell>
        </row>
        <row r="744">
          <cell r="D744" t="str">
            <v>ED4-AERO</v>
          </cell>
        </row>
        <row r="745">
          <cell r="D745" t="str">
            <v>ED4-ME</v>
          </cell>
        </row>
        <row r="746">
          <cell r="D746" t="str">
            <v>ED4-IND</v>
          </cell>
        </row>
        <row r="747">
          <cell r="D747" t="str">
            <v>ED4-TEL</v>
          </cell>
        </row>
        <row r="748">
          <cell r="D748" t="str">
            <v>ED4-AE</v>
          </cell>
        </row>
        <row r="749">
          <cell r="D749" t="str">
            <v>ED4-PETE</v>
          </cell>
        </row>
        <row r="750">
          <cell r="D750" t="str">
            <v>ED4-GEOL</v>
          </cell>
        </row>
        <row r="751">
          <cell r="D751" t="str">
            <v>ED3-COE</v>
          </cell>
        </row>
        <row r="752">
          <cell r="D752" t="str">
            <v>ED4-MSE</v>
          </cell>
        </row>
        <row r="753">
          <cell r="D753" t="str">
            <v>ED4-METE</v>
          </cell>
        </row>
        <row r="754">
          <cell r="D754" t="str">
            <v>ED3-EE</v>
          </cell>
        </row>
        <row r="755">
          <cell r="D755" t="str">
            <v>ED4-MARI</v>
          </cell>
        </row>
        <row r="756">
          <cell r="D756" t="str">
            <v>ED3-MARI</v>
          </cell>
        </row>
        <row r="757">
          <cell r="D757" t="str">
            <v>ED3-AE</v>
          </cell>
        </row>
        <row r="758">
          <cell r="D758" t="str">
            <v>ED1-TEL</v>
          </cell>
        </row>
        <row r="759">
          <cell r="D759" t="str">
            <v>ED1-COE</v>
          </cell>
        </row>
        <row r="760">
          <cell r="D760" t="str">
            <v>Total H3-1</v>
          </cell>
        </row>
        <row r="766">
          <cell r="D766" t="str">
            <v>ED2-AE</v>
          </cell>
        </row>
        <row r="767">
          <cell r="D767" t="str">
            <v>ED3-ME</v>
          </cell>
        </row>
        <row r="768">
          <cell r="D768" t="str">
            <v>ED2-GEOL</v>
          </cell>
        </row>
        <row r="769">
          <cell r="D769" t="str">
            <v>ED2-IND</v>
          </cell>
        </row>
        <row r="770">
          <cell r="D770" t="str">
            <v>ED2-MARI</v>
          </cell>
        </row>
        <row r="771">
          <cell r="D771" t="str">
            <v>ED2-ME</v>
          </cell>
        </row>
        <row r="772">
          <cell r="D772" t="str">
            <v>ED2-AUTO</v>
          </cell>
        </row>
        <row r="773">
          <cell r="D773" t="str">
            <v>ED2-PETE</v>
          </cell>
        </row>
        <row r="774">
          <cell r="D774" t="str">
            <v>ED3-CE</v>
          </cell>
        </row>
        <row r="775">
          <cell r="D775" t="str">
            <v>Total H3-2</v>
          </cell>
        </row>
        <row r="781">
          <cell r="D781" t="str">
            <v>ED3-GEOL</v>
          </cell>
        </row>
        <row r="782">
          <cell r="D782" t="str">
            <v>ED4-CE</v>
          </cell>
        </row>
        <row r="783">
          <cell r="D783" t="str">
            <v>ED1-CE</v>
          </cell>
        </row>
        <row r="784">
          <cell r="D784" t="str">
            <v>ED1-METE</v>
          </cell>
        </row>
        <row r="785">
          <cell r="D785" t="str">
            <v>ED2-MSE</v>
          </cell>
        </row>
        <row r="786">
          <cell r="D786" t="str">
            <v>ED2-EE</v>
          </cell>
        </row>
        <row r="787">
          <cell r="D787" t="str">
            <v>ED3-CHE</v>
          </cell>
        </row>
        <row r="788">
          <cell r="D788" t="str">
            <v>ED3-PCE</v>
          </cell>
        </row>
        <row r="789">
          <cell r="D789" t="str">
            <v>ED3-AUTO</v>
          </cell>
        </row>
        <row r="790">
          <cell r="D790" t="str">
            <v>ED4-EE</v>
          </cell>
        </row>
        <row r="791">
          <cell r="D791" t="str">
            <v>ED4-COE</v>
          </cell>
        </row>
        <row r="792">
          <cell r="D792" t="str">
            <v>ED4-GEOM</v>
          </cell>
        </row>
        <row r="793">
          <cell r="D793" t="str">
            <v>ED1-GEOM</v>
          </cell>
        </row>
        <row r="794">
          <cell r="D794" t="str">
            <v>ED3-GEOM</v>
          </cell>
        </row>
        <row r="795">
          <cell r="D795" t="str">
            <v>Total H3-3</v>
          </cell>
        </row>
        <row r="801">
          <cell r="D801" t="str">
            <v>ED3-EE</v>
          </cell>
        </row>
        <row r="802">
          <cell r="D802" t="str">
            <v>ED3-TEL</v>
          </cell>
        </row>
        <row r="803">
          <cell r="D803" t="str">
            <v>ED3-ME</v>
          </cell>
        </row>
        <row r="804">
          <cell r="D804" t="str">
            <v>ED3-AERO</v>
          </cell>
        </row>
        <row r="805">
          <cell r="D805" t="str">
            <v>ED3-AE</v>
          </cell>
        </row>
        <row r="806">
          <cell r="D806" t="str">
            <v>ED3-MARI</v>
          </cell>
        </row>
        <row r="807">
          <cell r="D807" t="str">
            <v>ED2-TEL</v>
          </cell>
        </row>
        <row r="808">
          <cell r="D808" t="str">
            <v>ED2-MARI</v>
          </cell>
        </row>
        <row r="809">
          <cell r="D809" t="str">
            <v>ED2-ME</v>
          </cell>
        </row>
        <row r="810">
          <cell r="D810" t="str">
            <v>ED2-AERO</v>
          </cell>
        </row>
        <row r="811">
          <cell r="D811" t="str">
            <v>ED2-IND</v>
          </cell>
        </row>
        <row r="812">
          <cell r="D812" t="str">
            <v>ED2-AUTO</v>
          </cell>
        </row>
        <row r="813">
          <cell r="D813" t="str">
            <v>ED4-AERO</v>
          </cell>
        </row>
        <row r="814">
          <cell r="D814" t="str">
            <v>ED4-ME</v>
          </cell>
        </row>
        <row r="815">
          <cell r="D815" t="str">
            <v>ED2-CHE</v>
          </cell>
        </row>
        <row r="816">
          <cell r="D816" t="str">
            <v>ED2-PCE</v>
          </cell>
        </row>
        <row r="817">
          <cell r="D817" t="str">
            <v>Total F3-1</v>
          </cell>
        </row>
        <row r="823">
          <cell r="D823" t="str">
            <v>ED1-AUTO</v>
          </cell>
        </row>
        <row r="824">
          <cell r="D824" t="str">
            <v>ED1-GEOM</v>
          </cell>
        </row>
        <row r="825">
          <cell r="D825" t="str">
            <v>ED1-CHE</v>
          </cell>
        </row>
        <row r="826">
          <cell r="D826" t="str">
            <v>ED1-PCE</v>
          </cell>
        </row>
        <row r="827">
          <cell r="D827" t="str">
            <v>ED1-AERO</v>
          </cell>
        </row>
        <row r="828">
          <cell r="D828" t="str">
            <v>ED1-IND</v>
          </cell>
        </row>
        <row r="829">
          <cell r="D829" t="str">
            <v>ED1-MARI</v>
          </cell>
        </row>
        <row r="830">
          <cell r="D830" t="str">
            <v>ED1-CE</v>
          </cell>
        </row>
        <row r="831">
          <cell r="D831" t="str">
            <v>ED1-COE</v>
          </cell>
        </row>
        <row r="832">
          <cell r="D832" t="str">
            <v>ED2-COE</v>
          </cell>
        </row>
        <row r="833">
          <cell r="D833" t="str">
            <v>ED3-CE</v>
          </cell>
        </row>
        <row r="834">
          <cell r="D834" t="str">
            <v>ED3-MSE</v>
          </cell>
        </row>
        <row r="835">
          <cell r="D835" t="str">
            <v>ED3-METE</v>
          </cell>
        </row>
        <row r="836">
          <cell r="D836" t="str">
            <v>Total F3-2</v>
          </cell>
        </row>
        <row r="842">
          <cell r="D842" t="str">
            <v>ED1-EE</v>
          </cell>
        </row>
        <row r="843">
          <cell r="D843" t="str">
            <v>ED1-TEL</v>
          </cell>
        </row>
        <row r="844">
          <cell r="D844" t="str">
            <v>ED1-METE</v>
          </cell>
        </row>
        <row r="845">
          <cell r="D845" t="str">
            <v>ED1-MSE</v>
          </cell>
        </row>
        <row r="846">
          <cell r="D846" t="str">
            <v>ED1-ME</v>
          </cell>
        </row>
        <row r="847">
          <cell r="D847" t="str">
            <v>ED1-AE</v>
          </cell>
        </row>
        <row r="848">
          <cell r="D848" t="str">
            <v>ED1-BME</v>
          </cell>
        </row>
        <row r="849">
          <cell r="D849" t="str">
            <v>ED1-PETE</v>
          </cell>
        </row>
        <row r="850">
          <cell r="D850" t="str">
            <v>ED1-GEOL</v>
          </cell>
        </row>
        <row r="851">
          <cell r="D851" t="str">
            <v>ED2-GEOL</v>
          </cell>
        </row>
        <row r="852">
          <cell r="D852" t="str">
            <v>ED2-CE</v>
          </cell>
        </row>
        <row r="853">
          <cell r="D853" t="str">
            <v>ED4-COE</v>
          </cell>
        </row>
        <row r="854">
          <cell r="D854" t="str">
            <v>ED3-PETE</v>
          </cell>
        </row>
        <row r="855">
          <cell r="D855" t="str">
            <v>ED4-PETE</v>
          </cell>
        </row>
        <row r="856">
          <cell r="D856" t="str">
            <v>ED4-MARI</v>
          </cell>
        </row>
        <row r="857">
          <cell r="D857" t="str">
            <v>ED3-CHE</v>
          </cell>
        </row>
        <row r="858">
          <cell r="D858" t="str">
            <v>Total F3-3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"/>
      <sheetName val="TT (2)"/>
      <sheetName val="TT Main"/>
      <sheetName val="TT (PRINT_2)"/>
      <sheetName val="Combined Data (2)"/>
      <sheetName val="TT (PRINT)"/>
      <sheetName val="SESSIONS"/>
      <sheetName val="COURSES"/>
      <sheetName val="ROOMS"/>
      <sheetName val="TALLY"/>
      <sheetName val="FREQ"/>
      <sheetName val="LECT"/>
      <sheetName val="TEO_fred"/>
      <sheetName val="course_all"/>
      <sheetName val="S8"/>
      <sheetName val="WATER11"/>
      <sheetName val="WATER"/>
      <sheetName val="LECCTALL"/>
      <sheetName val="INVIG"/>
      <sheetName val="INVIGLECT"/>
      <sheetName val="Sheet13"/>
      <sheetName val="LECT (2)"/>
      <sheetName val="LECT (3)"/>
      <sheetName val="ALL_LECT"/>
      <sheetName val="COMBINED_TA_ATTD_INV (2)"/>
      <sheetName val="COMBINED_TA_ATTD_INV (3)"/>
      <sheetName val="delim"/>
      <sheetName val="Sheet1"/>
      <sheetName val="floor_coordinators"/>
      <sheetName val="COMPARE"/>
      <sheetName val="combined_all"/>
    </sheetNames>
    <sheetDataSet>
      <sheetData sheetId="0"/>
      <sheetData sheetId="1"/>
      <sheetData sheetId="2"/>
      <sheetData sheetId="3"/>
      <sheetData sheetId="4"/>
      <sheetData sheetId="5"/>
      <sheetData sheetId="6">
        <row r="1">
          <cell r="K1" t="str">
            <v>Session, 1 (8:15 AM - 9:15 AM)</v>
          </cell>
        </row>
        <row r="2">
          <cell r="K2" t="str">
            <v>Session, 2 (10:00 AM - 11:00 AM)</v>
          </cell>
        </row>
        <row r="3">
          <cell r="K3" t="str">
            <v>Session, 3 (11:45 AM - 12:45 PM)</v>
          </cell>
        </row>
        <row r="4">
          <cell r="K4" t="str">
            <v>Session, 4 (1:30 PM - 2:30 PM)</v>
          </cell>
        </row>
        <row r="5">
          <cell r="K5" t="str">
            <v>Session, 5 (3:15 PM - 4:15 PM)</v>
          </cell>
        </row>
        <row r="6">
          <cell r="K6" t="str">
            <v>Session, 6 (5:00 PM - 6:00 PM)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 "/>
      <sheetName val="TALLY"/>
      <sheetName val="Lecturers"/>
      <sheetName val="ROOMS"/>
      <sheetName val="WATER (2)"/>
      <sheetName val="COMBINED_ATTD_INV (2)"/>
      <sheetName val="BANK DETAILS INVIGILATORS"/>
      <sheetName val="SUPP"/>
      <sheetName val="Invigilation + Meals(2nd Sem)"/>
    </sheetNames>
    <sheetDataSet>
      <sheetData sheetId="0">
        <row r="553">
          <cell r="F553" t="str">
            <v>NAF1/A110</v>
          </cell>
          <cell r="H553" t="str">
            <v>42/28</v>
          </cell>
        </row>
        <row r="554">
          <cell r="F554" t="str">
            <v>VSLA/LT/303/304/N1/RMA/RMB/206/N2</v>
          </cell>
          <cell r="H554" t="str">
            <v>44/26/26/22/22/21/21/21/20</v>
          </cell>
        </row>
        <row r="559">
          <cell r="F559" t="str">
            <v>NEB-SF/NEB-TF/NEB-FF1/NEB-FF2</v>
          </cell>
          <cell r="H559" t="str">
            <v>85/85/55/28</v>
          </cell>
        </row>
        <row r="560">
          <cell r="F560" t="str">
            <v>NEB-SF/NEB-TF/NEB-FF1/NEB-FF2</v>
          </cell>
          <cell r="H560" t="str">
            <v>85/85/55/29</v>
          </cell>
        </row>
        <row r="569">
          <cell r="F569" t="str">
            <v>VSLA/RMA/303/N2</v>
          </cell>
          <cell r="H569" t="str">
            <v>50/30/24/15</v>
          </cell>
        </row>
        <row r="570">
          <cell r="F570" t="str">
            <v>LT/304/RMA/206</v>
          </cell>
          <cell r="H570" t="str">
            <v>30/25/24/18</v>
          </cell>
        </row>
        <row r="571">
          <cell r="F571" t="str">
            <v>VSLA/304/RMB/N2</v>
          </cell>
          <cell r="H571" t="str">
            <v>50/25/24/6</v>
          </cell>
        </row>
        <row r="572">
          <cell r="F572" t="str">
            <v>PB020/PB201/PB008/PB212</v>
          </cell>
          <cell r="H572" t="str">
            <v>45/45/30/9</v>
          </cell>
        </row>
        <row r="573">
          <cell r="F573" t="str">
            <v>PB001/PB014/PB214/PB208</v>
          </cell>
          <cell r="H573" t="str">
            <v>45/45/45/19</v>
          </cell>
        </row>
        <row r="574">
          <cell r="F574" t="str">
            <v>NAF1/A110</v>
          </cell>
          <cell r="H574" t="str">
            <v>39/20</v>
          </cell>
        </row>
        <row r="576">
          <cell r="F576" t="str">
            <v>LT/N1/RMB</v>
          </cell>
          <cell r="H576" t="str">
            <v>30/25/25</v>
          </cell>
        </row>
        <row r="578">
          <cell r="F578" t="str">
            <v>PB020/PB201/PB008/PB212</v>
          </cell>
          <cell r="H578" t="str">
            <v>45/45/30/14</v>
          </cell>
        </row>
        <row r="581">
          <cell r="F581" t="str">
            <v>PB001/PB014/PB214/PB208</v>
          </cell>
          <cell r="H581" t="str">
            <v>45/45/45/19</v>
          </cell>
        </row>
        <row r="589">
          <cell r="F589" t="str">
            <v>PB001/PB014/PB214/PB208/PB212</v>
          </cell>
          <cell r="H589" t="str">
            <v>45/45/45/38/9</v>
          </cell>
        </row>
        <row r="590">
          <cell r="F590" t="str">
            <v>PB001/PB020/PB014/PB201/PB008/PB212</v>
          </cell>
          <cell r="H590" t="str">
            <v>45/45/45/45/30/14</v>
          </cell>
        </row>
        <row r="591">
          <cell r="F591" t="str">
            <v>PB020/PB201/PB008/PB208</v>
          </cell>
          <cell r="H591" t="str">
            <v>45/45/30/22</v>
          </cell>
        </row>
        <row r="592">
          <cell r="F592" t="str">
            <v>PB214/PB212</v>
          </cell>
          <cell r="H592" t="str">
            <v>45/22</v>
          </cell>
        </row>
        <row r="593">
          <cell r="F593" t="str">
            <v>NEB-SF/NEB-TF/NEB-FF1</v>
          </cell>
          <cell r="H593" t="str">
            <v>85/85/53</v>
          </cell>
        </row>
        <row r="594">
          <cell r="F594" t="str">
            <v>304/RMA/N2</v>
          </cell>
          <cell r="H594" t="str">
            <v>25/24/15</v>
          </cell>
        </row>
        <row r="596">
          <cell r="F596" t="str">
            <v>A110</v>
          </cell>
          <cell r="H596">
            <v>18</v>
          </cell>
        </row>
        <row r="597">
          <cell r="H597">
            <v>40</v>
          </cell>
        </row>
        <row r="598">
          <cell r="F598" t="str">
            <v>NEB-SF/NEB-TF/NEB-FF1/NEB-FF2</v>
          </cell>
        </row>
        <row r="599">
          <cell r="F599" t="str">
            <v>LT/303/RMA/206</v>
          </cell>
          <cell r="H599" t="str">
            <v>30/30/24/18</v>
          </cell>
        </row>
        <row r="600">
          <cell r="F600" t="str">
            <v>VSLA/N1/RMB/N2</v>
          </cell>
          <cell r="H600" t="str">
            <v>45/25/24/9</v>
          </cell>
        </row>
        <row r="601">
          <cell r="F601" t="str">
            <v>303/N1/206</v>
          </cell>
          <cell r="H601" t="str">
            <v>30/25/27</v>
          </cell>
        </row>
        <row r="602">
          <cell r="F602" t="str">
            <v>VSLA/LT/304/RMB/N2</v>
          </cell>
          <cell r="H602" t="str">
            <v>50/30/25/24/7</v>
          </cell>
        </row>
        <row r="610">
          <cell r="F610" t="str">
            <v>NEB-SF/NEB-TF/NEB-FF1/NEB-FF2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_print"/>
      <sheetName val="TT"/>
      <sheetName val="COURSES"/>
      <sheetName val="ROOMS"/>
      <sheetName val="LECT"/>
      <sheetName val="FREQ"/>
      <sheetName val="TALLY"/>
      <sheetName val="TEO_fred"/>
      <sheetName val="course_all"/>
      <sheetName val="S8"/>
      <sheetName val="SESSIONS"/>
      <sheetName val="LECCTALL"/>
      <sheetName val="INVIG"/>
      <sheetName val="INVIGLECT"/>
      <sheetName val="Sheet13"/>
      <sheetName val="COMPARE"/>
      <sheetName val="combined_a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Sheet4"/>
      <sheetName val="Sheet5"/>
      <sheetName val="Sheet6"/>
      <sheetName val="Sheet7"/>
      <sheetName val="Sheet8"/>
      <sheetName val="Sheet9"/>
      <sheetName val="Sheet10"/>
      <sheetName val="Sheet11"/>
      <sheetName val="Sheet12"/>
      <sheetName val="Sheet13"/>
      <sheetName val="Sheet14"/>
      <sheetName val="Sheet15"/>
      <sheetName val="Sheet16"/>
      <sheetName val="Sheet17"/>
      <sheetName val="Sheet18"/>
      <sheetName val="Sheet19"/>
      <sheetName val="Sheet20"/>
      <sheetName val="Sheet21"/>
      <sheetName val="Sheet22"/>
      <sheetName val="Sheet23"/>
      <sheetName val="Sheet24"/>
      <sheetName val="Sheet25"/>
      <sheetName val="Sheet26"/>
      <sheetName val="Sheet27"/>
      <sheetName val="Sheet28"/>
      <sheetName val="Sheet29"/>
      <sheetName val="Sheet30"/>
      <sheetName val="Sheet31"/>
      <sheetName val="Sheet32"/>
      <sheetName val="Sheet33"/>
      <sheetName val="Sheet34"/>
      <sheetName val="Sheet35"/>
      <sheetName val="Sheet36"/>
      <sheetName val="Sheet37"/>
      <sheetName val="Sheet38"/>
      <sheetName val="Sheet39"/>
      <sheetName val="Sheet40"/>
      <sheetName val="Sheet41"/>
      <sheetName val="Sheet42"/>
      <sheetName val="Sheet43"/>
      <sheetName val="Sheet44"/>
      <sheetName val="Sheet45"/>
      <sheetName val="Sheet46"/>
      <sheetName val="Sheet47"/>
      <sheetName val="Sheet48"/>
      <sheetName val="Sheet49"/>
      <sheetName val="Sheet50"/>
      <sheetName val="Sheet51"/>
      <sheetName val="Sheet52"/>
      <sheetName val="Sheet53"/>
      <sheetName val="Sheet54"/>
      <sheetName val="Sheet55"/>
      <sheetName val="Sheet56"/>
      <sheetName val="Sheet57"/>
      <sheetName val="Sheet58"/>
      <sheetName val="Sheet59"/>
      <sheetName val="Sheet60"/>
      <sheetName val="Sheet61"/>
      <sheetName val="Sheet62"/>
      <sheetName val="Sheet63"/>
      <sheetName val="Sheet64"/>
      <sheetName val="Sheet65"/>
      <sheetName val="Sheet66"/>
      <sheetName val="Sheet67"/>
      <sheetName val="Sheet68"/>
      <sheetName val="Sheet69"/>
      <sheetName val="Sheet70"/>
      <sheetName val="Sheet71"/>
      <sheetName val="Sheet72"/>
      <sheetName val="Sheet73"/>
      <sheetName val="Sheet74"/>
      <sheetName val="Sheet75"/>
      <sheetName val="Sheet76"/>
      <sheetName val="Sheet77"/>
      <sheetName val="Sheet78"/>
      <sheetName val="Sheet79"/>
      <sheetName val="Sheet80"/>
      <sheetName val="Sheet81"/>
      <sheetName val="Sheet82"/>
      <sheetName val="Sheet83"/>
      <sheetName val="Sheet84"/>
      <sheetName val="Sheet85"/>
      <sheetName val="Sheet86"/>
      <sheetName val="Sheet87"/>
    </sheetNames>
    <sheetDataSet>
      <sheetData sheetId="0">
        <row r="13">
          <cell r="G13" t="str">
            <v>Appiah-Brempong Miriam</v>
          </cell>
        </row>
        <row r="15">
          <cell r="G15" t="str">
            <v>Appiah Franklin Benjamin</v>
          </cell>
        </row>
      </sheetData>
      <sheetData sheetId="1">
        <row r="10">
          <cell r="G10" t="str">
            <v>Yeboah Philomena Ama Okyeso</v>
          </cell>
        </row>
        <row r="14">
          <cell r="E14" t="str">
            <v>ENGINEERING MECHANICS II:DYNAMICS</v>
          </cell>
        </row>
      </sheetData>
      <sheetData sheetId="2"/>
      <sheetData sheetId="3">
        <row r="8">
          <cell r="B8" t="str">
            <v>AERO 473</v>
          </cell>
          <cell r="E8" t="str">
            <v>AEROSPACE VEHICLE DESIGN</v>
          </cell>
          <cell r="G8" t="str">
            <v>Oppong David Kofi</v>
          </cell>
        </row>
        <row r="9">
          <cell r="B9" t="str">
            <v>AERO 483</v>
          </cell>
          <cell r="E9" t="str">
            <v>AVIONICS</v>
          </cell>
          <cell r="G9" t="str">
            <v>Oppong David Kofi</v>
          </cell>
        </row>
        <row r="10">
          <cell r="B10" t="str">
            <v>AERO 491</v>
          </cell>
          <cell r="E10" t="str">
            <v>AVIATION BUSINESS MANAGEMENT</v>
          </cell>
          <cell r="G10" t="str">
            <v>Takyi Gabriel</v>
          </cell>
        </row>
        <row r="11">
          <cell r="B11" t="str">
            <v>AERO 493</v>
          </cell>
          <cell r="E11" t="str">
            <v>AEROSPACE ENGINEERING VACATION TRAINING III</v>
          </cell>
          <cell r="G11" t="str">
            <v>Oppong David Kofi</v>
          </cell>
        </row>
        <row r="12">
          <cell r="B12" t="str">
            <v>AERO 495</v>
          </cell>
          <cell r="E12" t="str">
            <v>AIRCRAFT MAINTENANCE ENGINEERING</v>
          </cell>
          <cell r="G12" t="str">
            <v>Oppong Tawiah Peter</v>
          </cell>
        </row>
        <row r="13">
          <cell r="B13" t="str">
            <v>AERO 497</v>
          </cell>
          <cell r="E13" t="str">
            <v>PROJECT I</v>
          </cell>
          <cell r="G13" t="str">
            <v>Tay Godwin Fabiola Kwaku</v>
          </cell>
        </row>
        <row r="14">
          <cell r="B14" t="str">
            <v>ME 451</v>
          </cell>
          <cell r="E14" t="str">
            <v>BEHAVIOUR OF REAL FLUIDS</v>
          </cell>
          <cell r="G14" t="str">
            <v>Opoku Richard</v>
          </cell>
        </row>
        <row r="15">
          <cell r="B15" t="str">
            <v>ME 465</v>
          </cell>
          <cell r="E15" t="str">
            <v>AIR CONDITIONING AND REFRIGERATION</v>
          </cell>
          <cell r="G15" t="str">
            <v>Sekyere Charles Kofi Kafui</v>
          </cell>
        </row>
        <row r="16">
          <cell r="B16" t="str">
            <v>ME 467</v>
          </cell>
          <cell r="E16" t="str">
            <v>RENEWABLE ENERGY CONVERSION</v>
          </cell>
          <cell r="G16" t="str">
            <v>Quansah David Ato</v>
          </cell>
        </row>
        <row r="17">
          <cell r="B17" t="str">
            <v>ME 473</v>
          </cell>
          <cell r="E17" t="str">
            <v>COMPUTER AIDED DESIGN AND MANUFACTURING</v>
          </cell>
          <cell r="G17" t="str">
            <v>Afriyie Nyarko Frank Kwabena</v>
          </cell>
        </row>
        <row r="18">
          <cell r="B18" t="str">
            <v>ME 499</v>
          </cell>
          <cell r="E18" t="str">
            <v>OPERATIONS RESEARCH</v>
          </cell>
          <cell r="G18" t="str">
            <v>Mensah Lena Dzifa</v>
          </cell>
        </row>
        <row r="19">
          <cell r="B19" t="str">
            <v/>
          </cell>
        </row>
        <row r="22">
          <cell r="B22" t="str">
            <v>AE 153</v>
          </cell>
          <cell r="E22" t="str">
            <v>AGRIC. METEOROLOGY AND CLIMATOLOGY</v>
          </cell>
          <cell r="G22" t="str">
            <v>Bessah Enoch</v>
          </cell>
        </row>
        <row r="23">
          <cell r="B23" t="str">
            <v>EE 151</v>
          </cell>
          <cell r="E23" t="str">
            <v>APPLIED ELECTRICITY</v>
          </cell>
          <cell r="G23" t="str">
            <v>Prah II Nicholas Kwesi</v>
          </cell>
        </row>
        <row r="24">
          <cell r="B24" t="str">
            <v>ENGL 157</v>
          </cell>
          <cell r="E24" t="str">
            <v>COMMUNICATION SKILLS I</v>
          </cell>
          <cell r="G24" t="str">
            <v>Yeboah Philomena Ama Okyeso</v>
          </cell>
        </row>
        <row r="25">
          <cell r="B25" t="str">
            <v>MATH 151</v>
          </cell>
          <cell r="E25" t="str">
            <v>ALGEBRA</v>
          </cell>
          <cell r="G25" t="str">
            <v>Asamoah Joshua Kiddy Kwasi</v>
          </cell>
        </row>
        <row r="26">
          <cell r="B26" t="str">
            <v>ME 159</v>
          </cell>
          <cell r="E26" t="str">
            <v>TECHNICAL DRAWING</v>
          </cell>
          <cell r="G26" t="str">
            <v>Aveyire Joseph</v>
          </cell>
        </row>
        <row r="27">
          <cell r="B27" t="str">
            <v>ME 195</v>
          </cell>
          <cell r="E27" t="str">
            <v>ENGINEERING TECHNOLOGY I</v>
          </cell>
          <cell r="G27" t="str">
            <v>Oppong David Kofi</v>
          </cell>
        </row>
        <row r="28">
          <cell r="B28" t="str">
            <v>CE 155</v>
          </cell>
          <cell r="E28" t="str">
            <v>ENVIRONMENTAL STUDIES</v>
          </cell>
          <cell r="G28" t="str">
            <v>Buamah Richard Akwasi</v>
          </cell>
        </row>
      </sheetData>
      <sheetData sheetId="4">
        <row r="8">
          <cell r="B8" t="str">
            <v>CENG 291</v>
          </cell>
          <cell r="E8" t="str">
            <v>ENGINEERING IN SOCIETY</v>
          </cell>
          <cell r="G8" t="str">
            <v>Lavie Jerome Dela</v>
          </cell>
        </row>
        <row r="9">
          <cell r="B9" t="str">
            <v>ENGL 263</v>
          </cell>
          <cell r="E9" t="str">
            <v>LITERATURE IN ENGLISH I</v>
          </cell>
          <cell r="G9" t="str">
            <v>Yeboah Philomena Ama Okyeso</v>
          </cell>
        </row>
        <row r="10">
          <cell r="B10" t="str">
            <v>MATH 251</v>
          </cell>
          <cell r="E10" t="str">
            <v>DIFFERENTIAL EQUATIONS</v>
          </cell>
          <cell r="G10" t="str">
            <v>Wireko Fredrick Asenso</v>
          </cell>
        </row>
        <row r="11">
          <cell r="B11" t="str">
            <v>ME 251</v>
          </cell>
          <cell r="E11" t="str">
            <v>FLUID MECHANICS I</v>
          </cell>
          <cell r="G11" t="str">
            <v>Fiagbe Yesuenyeagbe Atsu Kwabla</v>
          </cell>
        </row>
        <row r="12">
          <cell r="B12" t="str">
            <v>ME 255</v>
          </cell>
          <cell r="E12" t="str">
            <v>STRENGTH OF MATERIALS I</v>
          </cell>
          <cell r="G12" t="str">
            <v>Boahen Samuel</v>
          </cell>
        </row>
        <row r="13">
          <cell r="B13" t="str">
            <v>ME 259</v>
          </cell>
          <cell r="E13" t="str">
            <v>APPLICATIONS OF COMPUTER GRAPHICS</v>
          </cell>
          <cell r="G13" t="str">
            <v>Asante Eric Amoah</v>
          </cell>
        </row>
        <row r="14">
          <cell r="B14" t="str">
            <v>ME 265</v>
          </cell>
          <cell r="E14" t="str">
            <v>THERMODYNAMICS I</v>
          </cell>
          <cell r="G14" t="str">
            <v>Forson Francis Kofi</v>
          </cell>
        </row>
        <row r="15">
          <cell r="B15" t="str">
            <v>ME 295</v>
          </cell>
          <cell r="E15" t="str">
            <v>MECHANICAL ENGINEERING LAB. I</v>
          </cell>
          <cell r="G15" t="str">
            <v>Adam Faisal Wahib</v>
          </cell>
        </row>
      </sheetData>
      <sheetData sheetId="5">
        <row r="8">
          <cell r="B8" t="str">
            <v>AE 351</v>
          </cell>
          <cell r="E8" t="str">
            <v>SOIL AND WATER ENGINEERING</v>
          </cell>
          <cell r="G8" t="str">
            <v>Kyei-Baffour Nicholas</v>
          </cell>
        </row>
        <row r="9">
          <cell r="B9" t="str">
            <v>AE 353</v>
          </cell>
          <cell r="E9" t="str">
            <v>AGRICULTURAL MATERIALS HANDLING AND PROCESSING</v>
          </cell>
          <cell r="G9" t="str">
            <v>Akowuah Joseph Oppong</v>
          </cell>
        </row>
        <row r="10">
          <cell r="B10" t="str">
            <v>AE 373</v>
          </cell>
          <cell r="E10" t="str">
            <v>MACHINE DESIGN I</v>
          </cell>
          <cell r="G10" t="str">
            <v>Aveyire Joseph</v>
          </cell>
        </row>
        <row r="11">
          <cell r="B11" t="str">
            <v>AE 381</v>
          </cell>
          <cell r="E11" t="str">
            <v>COMPUTER APPLICATION FOR AGRICULTURAL ENGINEERS</v>
          </cell>
          <cell r="G11" t="str">
            <v>Amponsah William</v>
          </cell>
        </row>
        <row r="12">
          <cell r="B12" t="str">
            <v>MATH 351</v>
          </cell>
          <cell r="E12" t="str">
            <v>NUMERICAL ANALYSIS</v>
          </cell>
          <cell r="G12" t="str">
            <v>Borkor Reindorf Nartey</v>
          </cell>
        </row>
        <row r="13">
          <cell r="B13" t="str">
            <v>ME 355</v>
          </cell>
          <cell r="E13" t="str">
            <v>STRENGTH OF MATERIALS II</v>
          </cell>
          <cell r="G13" t="str">
            <v>Agyei Agyemang Anthony</v>
          </cell>
        </row>
        <row r="14">
          <cell r="B14" t="str">
            <v>ME 365</v>
          </cell>
          <cell r="E14" t="str">
            <v>THERMODYNAMICS  II</v>
          </cell>
          <cell r="G14" t="str">
            <v>Forson Francis Kofi</v>
          </cell>
        </row>
      </sheetData>
      <sheetData sheetId="6">
        <row r="8">
          <cell r="B8" t="str">
            <v>AE 451</v>
          </cell>
          <cell r="E8" t="str">
            <v>IRRIGATION AND DRAINAGE</v>
          </cell>
          <cell r="G8" t="str">
            <v>Agodzo Sampson Kwaku</v>
          </cell>
        </row>
        <row r="9">
          <cell r="B9" t="str">
            <v>AE 453</v>
          </cell>
          <cell r="E9" t="str">
            <v>ENVIRONMENTAL CONTROL AND LIVESTOCK HOUSING</v>
          </cell>
          <cell r="G9" t="str">
            <v>Lavie Jerome Dela</v>
          </cell>
        </row>
        <row r="10">
          <cell r="B10" t="str">
            <v>AE 457</v>
          </cell>
          <cell r="E10" t="str">
            <v>CROP PROCESSING</v>
          </cell>
          <cell r="G10" t="str">
            <v xml:space="preserve">Darko Joseph Ofei </v>
          </cell>
        </row>
        <row r="11">
          <cell r="B11" t="str">
            <v>AE 459</v>
          </cell>
          <cell r="E11" t="str">
            <v>ADVANCED FARM POWER AND MACHINERY</v>
          </cell>
          <cell r="G11" t="str">
            <v>Aikins Stephen Hill Mends</v>
          </cell>
        </row>
        <row r="12">
          <cell r="B12" t="str">
            <v>AE 471</v>
          </cell>
          <cell r="E12" t="str">
            <v>FARM STRUCTURES</v>
          </cell>
          <cell r="G12" t="str">
            <v>Bart Plange Ato</v>
          </cell>
        </row>
        <row r="13">
          <cell r="B13" t="str">
            <v>AE 497</v>
          </cell>
          <cell r="E13" t="str">
            <v>PROJECT I</v>
          </cell>
          <cell r="G13" t="str">
            <v>Darko Clara Bernice</v>
          </cell>
        </row>
        <row r="14">
          <cell r="B14" t="str">
            <v>ME 491</v>
          </cell>
          <cell r="E14" t="str">
            <v>ENGINEERING ECONOMICS AND MANAGEMENT</v>
          </cell>
          <cell r="G14" t="str">
            <v>Aikins Stephen Hill Mends</v>
          </cell>
        </row>
        <row r="15">
          <cell r="B15" t="str">
            <v>AE 499</v>
          </cell>
          <cell r="E15" t="str">
            <v>VACATION TRAINING</v>
          </cell>
          <cell r="G15" t="str">
            <v>Asante Eric Amoah</v>
          </cell>
        </row>
        <row r="19">
          <cell r="B19" t="str">
            <v>AI 150</v>
          </cell>
          <cell r="E19" t="str">
            <v>FUNDAMENTALS OF RESPONSIBLE AI FOR ALL</v>
          </cell>
          <cell r="G19" t="str">
            <v>Nunoo-Mensah Henry</v>
          </cell>
        </row>
        <row r="20">
          <cell r="B20" t="str">
            <v>AME 167</v>
          </cell>
          <cell r="E20" t="str">
            <v>COMPUTER PROGRAMMING FOR ENGINEERS</v>
          </cell>
          <cell r="G20" t="str">
            <v>Tay Godwin Fabiola Kwaku</v>
          </cell>
        </row>
        <row r="21">
          <cell r="B21" t="str">
            <v>ECON 151</v>
          </cell>
          <cell r="E21" t="str">
            <v xml:space="preserve">INTRODUCTION TO ECONOMICS </v>
          </cell>
          <cell r="G21" t="str">
            <v>Takyi Paul Owusu</v>
          </cell>
        </row>
        <row r="22">
          <cell r="B22" t="str">
            <v>EE 151</v>
          </cell>
          <cell r="E22" t="str">
            <v>APPLIED ELECTRICITY</v>
          </cell>
          <cell r="G22" t="str">
            <v>Acheampong Francisca Adoma</v>
          </cell>
        </row>
        <row r="23">
          <cell r="B23" t="str">
            <v>ENGL 157</v>
          </cell>
          <cell r="E23" t="str">
            <v>COMMUNICATION SKILLS I</v>
          </cell>
          <cell r="G23" t="str">
            <v>Sarfo-Adu Kwasi</v>
          </cell>
        </row>
        <row r="24">
          <cell r="B24" t="str">
            <v>MATH 151</v>
          </cell>
          <cell r="E24" t="str">
            <v>ALGEBRA</v>
          </cell>
          <cell r="G24" t="str">
            <v>Azure Isaac</v>
          </cell>
        </row>
        <row r="25">
          <cell r="B25" t="str">
            <v>ME 159</v>
          </cell>
          <cell r="E25" t="str">
            <v>TECHNICAL DRAWING</v>
          </cell>
          <cell r="G25" t="str">
            <v>Sekyere Charles Kofi Kafui</v>
          </cell>
        </row>
        <row r="26">
          <cell r="B26" t="str">
            <v>ME 195</v>
          </cell>
          <cell r="E26" t="str">
            <v xml:space="preserve">ENGINEERING TECHNOLOGY </v>
          </cell>
          <cell r="G26" t="str">
            <v>Tay Godwin Fabiola Kwaku</v>
          </cell>
        </row>
      </sheetData>
      <sheetData sheetId="7">
        <row r="8">
          <cell r="B8" t="str">
            <v>AME 295</v>
          </cell>
          <cell r="E8" t="str">
            <v>AUTOMOBILE ENGINEERING LABORATORY I</v>
          </cell>
          <cell r="G8" t="str">
            <v>Ayetor Godwin Kafui Kwesi</v>
          </cell>
        </row>
        <row r="9">
          <cell r="B9" t="str">
            <v>CENG 291</v>
          </cell>
          <cell r="E9" t="str">
            <v>ENGINEERING IN SOCIETY</v>
          </cell>
          <cell r="G9" t="str">
            <v>Amoabeng Kofi Owura</v>
          </cell>
        </row>
        <row r="10">
          <cell r="B10" t="str">
            <v>MATH 251</v>
          </cell>
          <cell r="E10" t="str">
            <v>DIFFERENTIAL EQUATIONS</v>
          </cell>
          <cell r="G10" t="str">
            <v>Eghan Rhydal Esi</v>
          </cell>
        </row>
        <row r="11">
          <cell r="B11" t="str">
            <v>ME 251</v>
          </cell>
          <cell r="E11" t="str">
            <v>INTRODUCTION TO FLUID MECHANICS</v>
          </cell>
          <cell r="G11" t="str">
            <v>Tay Godwin Fabiola Kwaku</v>
          </cell>
        </row>
        <row r="12">
          <cell r="B12" t="str">
            <v>ME 255</v>
          </cell>
          <cell r="E12" t="str">
            <v>STRENGTH OF MATERIALS I</v>
          </cell>
          <cell r="G12" t="str">
            <v>Dzebre Denis Edem Kwame</v>
          </cell>
        </row>
        <row r="13">
          <cell r="B13" t="str">
            <v>ME 259</v>
          </cell>
          <cell r="E13" t="str">
            <v>APPLICATIONS OF COMPUTER GRAPHICS</v>
          </cell>
          <cell r="G13" t="str">
            <v>Ayetor Godwin Kafui Kwesi</v>
          </cell>
        </row>
        <row r="14">
          <cell r="B14" t="str">
            <v>ME 261</v>
          </cell>
          <cell r="E14" t="str">
            <v>ENGINEERING MECHANICS II:DYNAMICS</v>
          </cell>
          <cell r="G14" t="str">
            <v>Ampofo Joshua</v>
          </cell>
        </row>
        <row r="15">
          <cell r="B15" t="str">
            <v>ME 281</v>
          </cell>
          <cell r="E15" t="str">
            <v>ENGINEERING MATERIALS I</v>
          </cell>
          <cell r="G15" t="str">
            <v>Boahen Samuel</v>
          </cell>
        </row>
        <row r="16">
          <cell r="B16" t="str">
            <v/>
          </cell>
        </row>
      </sheetData>
      <sheetData sheetId="8">
        <row r="8">
          <cell r="B8" t="str">
            <v>AME 365</v>
          </cell>
          <cell r="E8" t="str">
            <v>HEAT TRANSFER AND COMBUSTION</v>
          </cell>
          <cell r="G8" t="str">
            <v>Forson Francis Kofi</v>
          </cell>
        </row>
        <row r="9">
          <cell r="B9" t="str">
            <v>AME 371</v>
          </cell>
          <cell r="E9" t="str">
            <v>LAND VEHICLE DESIGN</v>
          </cell>
          <cell r="G9" t="str">
            <v>Ayetor Godwin Kafui Kwesi</v>
          </cell>
        </row>
        <row r="10">
          <cell r="B10" t="str">
            <v>AME 373</v>
          </cell>
          <cell r="E10" t="str">
            <v>DESIGN OF AUTO MECHANICAL SYSTEMS</v>
          </cell>
          <cell r="G10" t="str">
            <v>Andoh Prince Yaw</v>
          </cell>
        </row>
        <row r="11">
          <cell r="B11" t="str">
            <v>AME 379</v>
          </cell>
          <cell r="E11" t="str">
            <v>AUTOMOBILE ENGINEERING VACATION TRAINING I</v>
          </cell>
          <cell r="G11" t="str">
            <v>Ayetor Godwin Kafui Kwesi</v>
          </cell>
        </row>
        <row r="12">
          <cell r="B12" t="str">
            <v>AME 381</v>
          </cell>
          <cell r="E12" t="str">
            <v>AUTOMOTIVE WORKSHOP PRACTICE I</v>
          </cell>
          <cell r="G12" t="str">
            <v>Ayetor Godwin Kafui Kwesi</v>
          </cell>
        </row>
        <row r="13">
          <cell r="B13" t="str">
            <v>AME 395</v>
          </cell>
          <cell r="E13" t="str">
            <v>AUTOMOBILE ENGINEERING LABORATORY III</v>
          </cell>
          <cell r="G13" t="str">
            <v>Dzebre Denis Edem Kwame</v>
          </cell>
        </row>
        <row r="14">
          <cell r="B14" t="str">
            <v>MATH 351</v>
          </cell>
          <cell r="E14" t="str">
            <v>NUMERICAL ANALYSIS</v>
          </cell>
          <cell r="G14" t="str">
            <v>Azure Isaac</v>
          </cell>
        </row>
        <row r="15">
          <cell r="B15" t="str">
            <v>ME 361</v>
          </cell>
          <cell r="E15" t="str">
            <v>DYNAMICS OF MACHINERY</v>
          </cell>
          <cell r="G15" t="str">
            <v>Ampofo Joshua</v>
          </cell>
        </row>
        <row r="16">
          <cell r="B16" t="str">
            <v>STAT 253</v>
          </cell>
          <cell r="E16" t="str">
            <v>PROBABILITY AND STATISTICS</v>
          </cell>
          <cell r="G16" t="str">
            <v>Okutu John Kwadey</v>
          </cell>
        </row>
      </sheetData>
      <sheetData sheetId="9">
        <row r="8">
          <cell r="B8" t="str">
            <v>AME 455</v>
          </cell>
          <cell r="E8" t="str">
            <v>VEHICLE AIR-CONDITIONING AND REFRIGERATION</v>
          </cell>
          <cell r="G8" t="str">
            <v>Sekyere Charles Kofi Kafui</v>
          </cell>
        </row>
        <row r="9">
          <cell r="B9" t="str">
            <v>AME 467</v>
          </cell>
          <cell r="E9" t="str">
            <v>AUTOMOTIVE COMPRESSION-IGNITION ENGINES</v>
          </cell>
          <cell r="G9" t="str">
            <v>Abu Frimpong Solomon</v>
          </cell>
        </row>
        <row r="10">
          <cell r="B10" t="str">
            <v>AME 479</v>
          </cell>
          <cell r="E10" t="str">
            <v>AUTOMOBILE ENGINEERING VACATION TRAINING II</v>
          </cell>
          <cell r="G10" t="str">
            <v>Afriyie Nyarko Frank Kwabena</v>
          </cell>
        </row>
        <row r="11">
          <cell r="B11" t="str">
            <v>AME 485</v>
          </cell>
          <cell r="E11" t="str">
            <v>AUTOMATIC POWER TRAIN</v>
          </cell>
          <cell r="G11" t="str">
            <v>Abu Frimpong Solomon</v>
          </cell>
        </row>
        <row r="12">
          <cell r="B12" t="str">
            <v>AME 495</v>
          </cell>
          <cell r="E12" t="str">
            <v>AUTOMOTIVE WORKSHOP PRACTICE II</v>
          </cell>
          <cell r="G12" t="str">
            <v>Ayetor Godwin Kafui Kwesi</v>
          </cell>
        </row>
        <row r="13">
          <cell r="B13" t="str">
            <v>AME 497</v>
          </cell>
          <cell r="E13" t="str">
            <v>FINAL YEAR PROJECT I</v>
          </cell>
          <cell r="G13" t="str">
            <v>Tay Godwin Fabiola Kwaku</v>
          </cell>
        </row>
        <row r="14">
          <cell r="B14" t="str">
            <v>ME 453</v>
          </cell>
          <cell r="E14" t="str">
            <v>HYDRAULICS AND PNEUMATICS</v>
          </cell>
          <cell r="G14" t="str">
            <v>Fiagbe Yesuenyeagbe Atsu Kwabla</v>
          </cell>
        </row>
        <row r="15">
          <cell r="B15" t="str">
            <v>ME 491</v>
          </cell>
          <cell r="E15" t="str">
            <v>ENGINEERING ECONOMY AND MANAGEMENT</v>
          </cell>
          <cell r="G15" t="str">
            <v>Asiedu Charlotte</v>
          </cell>
        </row>
        <row r="19">
          <cell r="B19" t="str">
            <v>BME 161</v>
          </cell>
          <cell r="E19" t="str">
            <v>CELL BIOLOGY</v>
          </cell>
          <cell r="G19" t="str">
            <v>Adjei Prince Ebenezer</v>
          </cell>
        </row>
        <row r="20">
          <cell r="B20" t="str">
            <v>CHEM 151</v>
          </cell>
          <cell r="E20" t="str">
            <v>GENERAL CHEMISTRY</v>
          </cell>
          <cell r="G20" t="str">
            <v>Sarpong Lilian</v>
          </cell>
        </row>
        <row r="21">
          <cell r="B21" t="str">
            <v>COE 153</v>
          </cell>
          <cell r="E21" t="str">
            <v>ENGINEERING TECHNOLOGY</v>
          </cell>
          <cell r="G21" t="str">
            <v>Addo Daniel Akwei</v>
          </cell>
        </row>
        <row r="22">
          <cell r="B22" t="str">
            <v>EE 151</v>
          </cell>
          <cell r="E22" t="str">
            <v>APPLIED ELECTRICITY</v>
          </cell>
          <cell r="G22" t="str">
            <v>Obeng Kwakye Kingsford Sarkodie</v>
          </cell>
        </row>
        <row r="23">
          <cell r="B23" t="str">
            <v>ENGL 157</v>
          </cell>
          <cell r="E23" t="str">
            <v>COMMUNICATION SKILLS I</v>
          </cell>
          <cell r="G23" t="str">
            <v>Alhassan Yakubu</v>
          </cell>
        </row>
        <row r="24">
          <cell r="B24" t="str">
            <v>MATH 151</v>
          </cell>
          <cell r="E24" t="str">
            <v>ALGEBRA</v>
          </cell>
          <cell r="G24" t="str">
            <v>Asamoah Joshua Kiddy Kwasi</v>
          </cell>
        </row>
        <row r="25">
          <cell r="B25" t="str">
            <v>ME 161</v>
          </cell>
          <cell r="E25" t="str">
            <v>BASIC MECHANICS</v>
          </cell>
          <cell r="G25" t="str">
            <v>Amoabeng Kofi Owura</v>
          </cell>
        </row>
        <row r="26">
          <cell r="B26" t="str">
            <v/>
          </cell>
        </row>
      </sheetData>
      <sheetData sheetId="10">
        <row r="8">
          <cell r="B8" t="str">
            <v>BME 291</v>
          </cell>
          <cell r="E8" t="str">
            <v>BIOMEDICAL ENGINEERING LAB I</v>
          </cell>
          <cell r="G8" t="str">
            <v>Addo Daniel Akwei</v>
          </cell>
        </row>
        <row r="9">
          <cell r="B9" t="str">
            <v>BME 265</v>
          </cell>
          <cell r="E9" t="str">
            <v>BIOLOGICAL TRANSPORT PHENOMENA</v>
          </cell>
          <cell r="G9" t="str">
            <v>Odame Prince</v>
          </cell>
        </row>
        <row r="10">
          <cell r="B10" t="str">
            <v>ACF 255</v>
          </cell>
          <cell r="E10" t="str">
            <v>FINANCIAL ACCOUNTING I</v>
          </cell>
          <cell r="G10" t="str">
            <v>Yeboah Edward</v>
          </cell>
        </row>
        <row r="11">
          <cell r="B11" t="str">
            <v>BME 285</v>
          </cell>
          <cell r="E11" t="str">
            <v>ANATOMY AND PHYSIOLOGY FOR ENGINEERS I</v>
          </cell>
          <cell r="G11" t="str">
            <v>Agyapong Dorothy Araba Yakoba</v>
          </cell>
        </row>
        <row r="12">
          <cell r="B12" t="str">
            <v>CENG 291</v>
          </cell>
          <cell r="E12" t="str">
            <v>ENGINEERING IN SOCIETY</v>
          </cell>
          <cell r="G12" t="str">
            <v>Odame Prince</v>
          </cell>
        </row>
        <row r="13">
          <cell r="B13" t="str">
            <v>COE 271</v>
          </cell>
          <cell r="E13" t="str">
            <v>SEMICONDUCTOR DEVICES</v>
          </cell>
          <cell r="G13" t="str">
            <v>Kommey Benjamin</v>
          </cell>
        </row>
        <row r="14">
          <cell r="B14" t="str">
            <v>COE 281</v>
          </cell>
          <cell r="E14" t="str">
            <v>PROGRAMMING AND PROBLEM SOLIVING</v>
          </cell>
          <cell r="G14" t="str">
            <v>Adjei Prince Ebenezer</v>
          </cell>
        </row>
        <row r="15">
          <cell r="B15" t="str">
            <v>ECON 151</v>
          </cell>
          <cell r="E15" t="str">
            <v>INTRODUCTORY ECONOMICS I</v>
          </cell>
          <cell r="G15" t="str">
            <v>Takyi Paul Owusu</v>
          </cell>
        </row>
        <row r="16">
          <cell r="B16" t="str">
            <v>FC 181</v>
          </cell>
          <cell r="E16" t="str">
            <v>FRENCH FOR COMMUNICATION PURPOSES I</v>
          </cell>
          <cell r="G16" t="str">
            <v>Boakye-Agyeman Candy</v>
          </cell>
        </row>
      </sheetData>
      <sheetData sheetId="11">
        <row r="8">
          <cell r="B8" t="str">
            <v>BME 397</v>
          </cell>
          <cell r="E8" t="str">
            <v>RESEARCH METHODS</v>
          </cell>
          <cell r="G8" t="str">
            <v>Acquah Isaac</v>
          </cell>
        </row>
        <row r="9">
          <cell r="B9" t="str">
            <v>COE 371</v>
          </cell>
          <cell r="E9" t="str">
            <v>LINEAR ELECTRONIC CIRCUITS</v>
          </cell>
          <cell r="G9" t="str">
            <v>Agbemenu Andrew Selasi</v>
          </cell>
        </row>
        <row r="10">
          <cell r="B10" t="str">
            <v>COE 381</v>
          </cell>
          <cell r="E10" t="str">
            <v>MICROPROCESSORS</v>
          </cell>
          <cell r="G10" t="str">
            <v>Keelson Eliel</v>
          </cell>
        </row>
        <row r="11">
          <cell r="B11" t="str">
            <v>MATH 351</v>
          </cell>
          <cell r="E11" t="str">
            <v>NUMERICAL METHODS</v>
          </cell>
          <cell r="G11" t="str">
            <v>Azure Isaac</v>
          </cell>
        </row>
        <row r="12">
          <cell r="B12" t="str">
            <v>STAT 253</v>
          </cell>
          <cell r="E12" t="str">
            <v>PROBABILITY AND STATISTICS</v>
          </cell>
        </row>
        <row r="13">
          <cell r="B13" t="str">
            <v>TE 385</v>
          </cell>
          <cell r="E13" t="str">
            <v>SIGNALS AND SYSTEMS</v>
          </cell>
          <cell r="G13" t="str">
            <v>Yeboah-Akowuah Bright</v>
          </cell>
        </row>
        <row r="14">
          <cell r="B14" t="str">
            <v>COE 387</v>
          </cell>
          <cell r="E14" t="str">
            <v>CLASSICAL CONTROL SYSTEMS</v>
          </cell>
          <cell r="G14" t="str">
            <v>Klogo Griffith Selorm</v>
          </cell>
        </row>
      </sheetData>
      <sheetData sheetId="12">
        <row r="8">
          <cell r="B8" t="str">
            <v>BME 451</v>
          </cell>
          <cell r="E8" t="str">
            <v>MEDICAL IMAGING II</v>
          </cell>
          <cell r="G8" t="str">
            <v>Kotei Addison Eric Clement</v>
          </cell>
        </row>
        <row r="9">
          <cell r="B9" t="str">
            <v>BME 461</v>
          </cell>
          <cell r="E9" t="str">
            <v>BIOMECHANICS I</v>
          </cell>
          <cell r="G9" t="str">
            <v>Odame Prince</v>
          </cell>
        </row>
        <row r="10">
          <cell r="B10" t="str">
            <v>BME 463</v>
          </cell>
          <cell r="E10" t="str">
            <v>BIOMATERIALS II</v>
          </cell>
          <cell r="G10" t="str">
            <v>Agyapong Dorothy Araba Yakoba</v>
          </cell>
        </row>
        <row r="11">
          <cell r="B11" t="str">
            <v>BME 471</v>
          </cell>
          <cell r="E11" t="str">
            <v>BIOINSTRUMENTATION II</v>
          </cell>
          <cell r="G11" t="str">
            <v>Acquah Isaac</v>
          </cell>
        </row>
        <row r="12">
          <cell r="B12" t="str">
            <v>BME 497</v>
          </cell>
          <cell r="E12" t="str">
            <v>PROJECT I</v>
          </cell>
          <cell r="G12" t="str">
            <v>Adjaidoo Theresa-Samuelle Maame Atwemaah</v>
          </cell>
        </row>
        <row r="13">
          <cell r="B13" t="str">
            <v>BME 499</v>
          </cell>
          <cell r="E13" t="str">
            <v>VACATION TRAINING</v>
          </cell>
          <cell r="G13" t="str">
            <v>Yeboah-Akowuah Bright</v>
          </cell>
        </row>
        <row r="14">
          <cell r="B14" t="str">
            <v>ME 491</v>
          </cell>
          <cell r="E14" t="str">
            <v>ENGINEERING ECONOMICS AND MANAGEMENT</v>
          </cell>
          <cell r="G14" t="str">
            <v>Mensah Lena Dzifa</v>
          </cell>
        </row>
        <row r="18">
          <cell r="B18" t="str">
            <v>CHE 151</v>
          </cell>
          <cell r="E18" t="str">
            <v>INORGANIC CHEMISTRY FOR ENGINEERS</v>
          </cell>
          <cell r="G18" t="str">
            <v>Opoku Francis</v>
          </cell>
        </row>
        <row r="19">
          <cell r="B19" t="str">
            <v>CHE 153</v>
          </cell>
          <cell r="E19" t="str">
            <v>ORGANIC CHEMISTRY FOR ENGINEERS</v>
          </cell>
          <cell r="G19" t="str">
            <v>Laryea Michael Konney</v>
          </cell>
        </row>
        <row r="20">
          <cell r="B20" t="str">
            <v>CHEM 169</v>
          </cell>
          <cell r="E20" t="str">
            <v>PRACTICAL CHEMISTRY I</v>
          </cell>
          <cell r="G20" t="str">
            <v>Opoku Francis</v>
          </cell>
        </row>
        <row r="21">
          <cell r="B21" t="str">
            <v>EE 151</v>
          </cell>
          <cell r="E21" t="str">
            <v>APPLIED ELECTRICITY</v>
          </cell>
        </row>
        <row r="22">
          <cell r="B22" t="str">
            <v>ENGL 157</v>
          </cell>
          <cell r="E22" t="str">
            <v>COMMUNICATION SKILLS I</v>
          </cell>
          <cell r="G22" t="str">
            <v>Sarfo-Adu Kwasi</v>
          </cell>
        </row>
        <row r="23">
          <cell r="B23" t="str">
            <v>MATH 151</v>
          </cell>
          <cell r="E23" t="str">
            <v>ALGEBRA</v>
          </cell>
          <cell r="G23" t="str">
            <v>Barnes Benedict</v>
          </cell>
        </row>
        <row r="24">
          <cell r="B24" t="str">
            <v>ME 159</v>
          </cell>
          <cell r="E24" t="str">
            <v>TECHNICAL DRAWING</v>
          </cell>
          <cell r="G24" t="str">
            <v>Asante Eric Amoah</v>
          </cell>
        </row>
      </sheetData>
      <sheetData sheetId="13">
        <row r="8">
          <cell r="B8" t="str">
            <v>CHE 257</v>
          </cell>
          <cell r="G8" t="str">
            <v>Boakye Patrick</v>
          </cell>
        </row>
        <row r="9">
          <cell r="B9" t="str">
            <v>CHE 259</v>
          </cell>
          <cell r="G9" t="str">
            <v>Afotey Benjamin</v>
          </cell>
        </row>
        <row r="10">
          <cell r="B10" t="str">
            <v>CENG 291</v>
          </cell>
          <cell r="G10" t="str">
            <v>Baah-Ennumh Emmanuel Kwaku</v>
          </cell>
        </row>
        <row r="11">
          <cell r="B11" t="str">
            <v>CHE 255</v>
          </cell>
          <cell r="G11" t="str">
            <v>Momade Zsuzsanna Gál</v>
          </cell>
        </row>
        <row r="12">
          <cell r="B12" t="str">
            <v>CHE 261</v>
          </cell>
          <cell r="G12" t="str">
            <v>Anang Daniel Adjah</v>
          </cell>
        </row>
        <row r="13">
          <cell r="B13" t="str">
            <v>MATH 251</v>
          </cell>
          <cell r="G13" t="str">
            <v>Barnes Benedict</v>
          </cell>
        </row>
        <row r="14">
          <cell r="B14" t="str">
            <v>CHE 251</v>
          </cell>
          <cell r="G14" t="str">
            <v>Rockson Mizpah Ama Dziedzorm</v>
          </cell>
        </row>
        <row r="15">
          <cell r="B15" t="str">
            <v>CHE 253</v>
          </cell>
          <cell r="G15" t="str">
            <v>Bonsu Jude Kwaku</v>
          </cell>
        </row>
      </sheetData>
      <sheetData sheetId="14">
        <row r="8">
          <cell r="B8" t="str">
            <v>CHE 357</v>
          </cell>
          <cell r="E8" t="str">
            <v>EXPERIMENTAL DATA ANALYSIS</v>
          </cell>
          <cell r="G8" t="str">
            <v>Rockson Mizpah Ama Dziedzorm</v>
          </cell>
        </row>
        <row r="9">
          <cell r="B9" t="str">
            <v>CHE 353</v>
          </cell>
          <cell r="E9" t="str">
            <v>CHEMICAL ENGINEERING LABORATORY I</v>
          </cell>
          <cell r="G9" t="str">
            <v>Mensah Mary</v>
          </cell>
        </row>
        <row r="10">
          <cell r="B10" t="str">
            <v>CHE 351</v>
          </cell>
          <cell r="E10" t="str">
            <v>MASS TRANSFER PROCESSES</v>
          </cell>
          <cell r="G10" t="str">
            <v>Ankudey Emmanuel Godwin</v>
          </cell>
        </row>
        <row r="11">
          <cell r="B11" t="str">
            <v>CHE 355</v>
          </cell>
          <cell r="E11" t="str">
            <v>PROCESS ENGINEERING PROJECT I</v>
          </cell>
          <cell r="G11" t="str">
            <v>Ankudey Emmanuel Godwin</v>
          </cell>
        </row>
        <row r="12">
          <cell r="B12" t="str">
            <v>CHE 359</v>
          </cell>
          <cell r="E12" t="str">
            <v>MECHANICAL SEPARATION PROCESSES</v>
          </cell>
          <cell r="G12" t="str">
            <v>Darkwah Lawrence</v>
          </cell>
        </row>
        <row r="13">
          <cell r="B13" t="str">
            <v>CHE 361</v>
          </cell>
          <cell r="E13" t="str">
            <v>SILICATE TECHNOLOGY I</v>
          </cell>
          <cell r="G13" t="str">
            <v>Momade Zsuzsanna Gál</v>
          </cell>
        </row>
        <row r="14">
          <cell r="B14" t="str">
            <v>ECON 151</v>
          </cell>
          <cell r="E14" t="str">
            <v>INTRODUCTORY ECONOMICS I</v>
          </cell>
          <cell r="G14" t="str">
            <v>Takyi Paul Owusu</v>
          </cell>
        </row>
        <row r="15">
          <cell r="E15" t="str">
            <v>FRENCH FOR COMMUNICATION PURPOSES I</v>
          </cell>
          <cell r="G15" t="str">
            <v>Darko Jeel Pharis</v>
          </cell>
        </row>
        <row r="16">
          <cell r="B16" t="str">
            <v>AI 150</v>
          </cell>
          <cell r="E16" t="str">
            <v>FUNDAMENTALS OF RESPONSIBLE AI FOR ALL</v>
          </cell>
        </row>
      </sheetData>
      <sheetData sheetId="15">
        <row r="8">
          <cell r="B8" t="str">
            <v>CHE 451</v>
          </cell>
          <cell r="E8" t="str">
            <v>CHEMICAL PROCESS DESIGN AND ECONOMICS</v>
          </cell>
          <cell r="G8" t="str">
            <v>Afotey Benjamin</v>
          </cell>
        </row>
        <row r="9">
          <cell r="B9" t="str">
            <v>CHE 453</v>
          </cell>
          <cell r="E9" t="str">
            <v>PLANT DESIGN PROJECT I</v>
          </cell>
          <cell r="G9" t="str">
            <v>Momade Zsuzsanna Gál</v>
          </cell>
        </row>
        <row r="10">
          <cell r="B10" t="str">
            <v>CHE 455</v>
          </cell>
          <cell r="E10" t="str">
            <v>PROCESS CONTROL AND INSTRUMENTATION</v>
          </cell>
          <cell r="G10" t="str">
            <v>Baah-Ennumh Emmanuel Kwaku</v>
          </cell>
        </row>
        <row r="11">
          <cell r="B11" t="str">
            <v>CHE 457</v>
          </cell>
          <cell r="E11" t="str">
            <v>CHEMICAL ENGINEERING LABORATORY II</v>
          </cell>
          <cell r="G11" t="str">
            <v>Bonsu Jude Kwaku</v>
          </cell>
        </row>
        <row r="12">
          <cell r="B12" t="str">
            <v>CHE 459</v>
          </cell>
          <cell r="E12" t="str">
            <v>SAFETY AND POLLUTION CONTROL</v>
          </cell>
          <cell r="G12" t="str">
            <v>Ohemeng-Boahen Godfred</v>
          </cell>
        </row>
        <row r="13">
          <cell r="B13" t="str">
            <v>CHE 461</v>
          </cell>
          <cell r="E13" t="str">
            <v>COMPUTER OPTIMIZATION METHOD</v>
          </cell>
          <cell r="G13" t="str">
            <v>Bonsu Jude Kwaku</v>
          </cell>
        </row>
        <row r="18">
          <cell r="B18" t="str">
            <v>ARC 155</v>
          </cell>
          <cell r="E18" t="str">
            <v>CLIMATE AND ARCHITECTURE</v>
          </cell>
          <cell r="G18" t="str">
            <v>Amos-Abanyie Samuel</v>
          </cell>
        </row>
        <row r="19">
          <cell r="B19" t="str">
            <v>CE 151</v>
          </cell>
          <cell r="E19" t="str">
            <v>ELEMENTARY STRUCTURES</v>
          </cell>
          <cell r="G19" t="str">
            <v>Afrifa Russel Owusu</v>
          </cell>
        </row>
        <row r="20">
          <cell r="B20" t="str">
            <v>CE 153</v>
          </cell>
          <cell r="E20" t="str">
            <v>ENGINEERING PRACTICE AND TECHNOLOGY</v>
          </cell>
          <cell r="G20" t="str">
            <v>Acquaah Vincent Kofi Abaka</v>
          </cell>
        </row>
        <row r="21">
          <cell r="B21" t="str">
            <v>ECON 151</v>
          </cell>
          <cell r="E21" t="str">
            <v>INTRODUCTORY ECONOMICS I</v>
          </cell>
          <cell r="G21" t="str">
            <v>Takyi Paul Owusu</v>
          </cell>
        </row>
        <row r="22">
          <cell r="B22" t="str">
            <v>ENGL 157</v>
          </cell>
          <cell r="E22" t="str">
            <v>COMMUNICATION SKILLS I</v>
          </cell>
          <cell r="G22" t="str">
            <v>Alhassan Yakubu</v>
          </cell>
        </row>
        <row r="23">
          <cell r="B23" t="str">
            <v>FC 181</v>
          </cell>
          <cell r="E23" t="str">
            <v>FRENCH FOR COMMUNICATION PURPOSES I</v>
          </cell>
          <cell r="G23" t="str">
            <v>Boakye-Agyeman Candy</v>
          </cell>
        </row>
        <row r="24">
          <cell r="B24" t="str">
            <v>MATH 151</v>
          </cell>
          <cell r="E24" t="str">
            <v>ALGEBRA</v>
          </cell>
          <cell r="G24" t="str">
            <v>Ezearn Jeffery</v>
          </cell>
        </row>
        <row r="25">
          <cell r="B25" t="str">
            <v>ME 159</v>
          </cell>
          <cell r="E25" t="str">
            <v>TECHNICAL DRAWING</v>
          </cell>
          <cell r="G25" t="str">
            <v>Aveyire Joseph</v>
          </cell>
        </row>
        <row r="26">
          <cell r="B26" t="str">
            <v>ME 161</v>
          </cell>
          <cell r="E26" t="str">
            <v>BASIC MECHANICS</v>
          </cell>
          <cell r="G26" t="str">
            <v>Opoku Richard</v>
          </cell>
        </row>
      </sheetData>
      <sheetData sheetId="16">
        <row r="8">
          <cell r="B8" t="str">
            <v>CE 251</v>
          </cell>
          <cell r="E8" t="str">
            <v>STRENGTH OF MATERIALS</v>
          </cell>
          <cell r="G8" t="str">
            <v>Amponsah Evans</v>
          </cell>
        </row>
        <row r="9">
          <cell r="B9" t="str">
            <v>CE 255</v>
          </cell>
          <cell r="E9" t="str">
            <v>THEORY OF STRUCTURES</v>
          </cell>
          <cell r="G9" t="str">
            <v>Ampofo James Wiafe</v>
          </cell>
        </row>
        <row r="10">
          <cell r="B10" t="str">
            <v>CE 257</v>
          </cell>
          <cell r="E10" t="str">
            <v>COMPUTER PROGRAMMING</v>
          </cell>
          <cell r="G10" t="str">
            <v>Osei Jack Banahene</v>
          </cell>
        </row>
        <row r="11">
          <cell r="B11" t="str">
            <v>CE 259</v>
          </cell>
          <cell r="E11" t="str">
            <v>ENGINEERING GEOLOGY</v>
          </cell>
          <cell r="G11" t="str">
            <v>Acquaah Vincent Kofi Abaka</v>
          </cell>
        </row>
        <row r="12">
          <cell r="B12" t="str">
            <v>CE 271</v>
          </cell>
          <cell r="E12" t="str">
            <v>ENGINEERING REPORTING</v>
          </cell>
          <cell r="G12" t="str">
            <v>Tuffour Yaw Adubofour</v>
          </cell>
        </row>
        <row r="13">
          <cell r="B13" t="str">
            <v>CENG 291</v>
          </cell>
          <cell r="E13" t="str">
            <v>ENGINEERING IN SOCIETY</v>
          </cell>
          <cell r="G13" t="str">
            <v>Appiah-Effah Eugene</v>
          </cell>
        </row>
        <row r="14">
          <cell r="B14" t="str">
            <v>MATH 251</v>
          </cell>
          <cell r="E14" t="str">
            <v>DIFFERENTIAL EQUATIONS</v>
          </cell>
          <cell r="G14" t="str">
            <v>Wireko Fredrick Asenso</v>
          </cell>
        </row>
      </sheetData>
      <sheetData sheetId="17">
        <row r="8">
          <cell r="B8" t="str">
            <v>CE 353</v>
          </cell>
          <cell r="E8" t="str">
            <v>REINFORCED CONCRETE DESIGN</v>
          </cell>
          <cell r="G8" t="str">
            <v>Owusu Twumasi Jones</v>
          </cell>
        </row>
        <row r="9">
          <cell r="B9" t="str">
            <v>CE 355</v>
          </cell>
          <cell r="E9" t="str">
            <v>HYDROLOGY</v>
          </cell>
          <cell r="G9" t="str">
            <v>Adjei Kwaku Amaning</v>
          </cell>
        </row>
        <row r="10">
          <cell r="B10" t="str">
            <v>CE 359</v>
          </cell>
          <cell r="E10" t="str">
            <v>SOIL MECHANICS</v>
          </cell>
          <cell r="G10" t="str">
            <v>Charkley Frederick Nai</v>
          </cell>
        </row>
        <row r="11">
          <cell r="B11" t="str">
            <v>CE 361</v>
          </cell>
          <cell r="E11" t="str">
            <v>SOIL MECHANICS LABORATORY</v>
          </cell>
          <cell r="G11" t="str">
            <v>Dzikunu-Bansah Nancy Anataba Kyorku</v>
          </cell>
        </row>
        <row r="12">
          <cell r="B12" t="str">
            <v>CE 367</v>
          </cell>
          <cell r="E12" t="str">
            <v>TRANSPORTATION ENGINEERING I</v>
          </cell>
          <cell r="G12" t="str">
            <v>Tutu Kenneth Adomako</v>
          </cell>
        </row>
        <row r="13">
          <cell r="B13" t="str">
            <v>CE 391</v>
          </cell>
          <cell r="E13" t="str">
            <v>TRAFFIC ENGINEERING LABORATORY</v>
          </cell>
          <cell r="G13" t="str">
            <v>Tutu Kenneth Adomako</v>
          </cell>
        </row>
        <row r="14">
          <cell r="B14" t="str">
            <v>GE 381</v>
          </cell>
          <cell r="E14" t="str">
            <v>ENGINEERING SURVEYING I</v>
          </cell>
          <cell r="G14" t="str">
            <v>Obeng Kwame</v>
          </cell>
        </row>
        <row r="15">
          <cell r="B15" t="str">
            <v>MATH 351</v>
          </cell>
          <cell r="E15" t="str">
            <v>NUMERICAL ANALYSIS</v>
          </cell>
          <cell r="G15" t="str">
            <v>Borkor Reindorf Nartey</v>
          </cell>
        </row>
        <row r="16">
          <cell r="B16" t="str">
            <v>STAT 253</v>
          </cell>
          <cell r="E16" t="str">
            <v>PROBABILITY AND STATISTICS</v>
          </cell>
          <cell r="G16" t="str">
            <v>Awiakye-Marfo George</v>
          </cell>
        </row>
      </sheetData>
      <sheetData sheetId="18">
        <row r="8">
          <cell r="B8" t="str">
            <v>CE 451</v>
          </cell>
          <cell r="E8" t="str">
            <v>STRUCTURAL ENGINEERING I</v>
          </cell>
          <cell r="G8" t="str">
            <v>Osei Jack Banahene</v>
          </cell>
        </row>
        <row r="9">
          <cell r="B9" t="str">
            <v>CE 457</v>
          </cell>
          <cell r="E9" t="str">
            <v>DRAINAGE SYSTEMS</v>
          </cell>
          <cell r="G9" t="str">
            <v>Adjei Kwaku Amaning</v>
          </cell>
        </row>
        <row r="10">
          <cell r="B10" t="str">
            <v>CE 461</v>
          </cell>
          <cell r="E10" t="str">
            <v>ENGINEERING ECONOMY AND ENTERPRENEURSHIP</v>
          </cell>
          <cell r="G10" t="str">
            <v>Appiah-Effah Eugene</v>
          </cell>
        </row>
        <row r="11">
          <cell r="B11" t="str">
            <v>CE 463</v>
          </cell>
          <cell r="E11" t="str">
            <v>WATER AND WASTE WATER ENGINEERING</v>
          </cell>
          <cell r="G11" t="str">
            <v>Buamah Richard Akwasi</v>
          </cell>
        </row>
        <row r="12">
          <cell r="B12" t="str">
            <v>CE 467</v>
          </cell>
          <cell r="E12" t="str">
            <v>HIGHWAY ENGINEERING II</v>
          </cell>
          <cell r="G12" t="str">
            <v>Tuffour Yaw Adubofour</v>
          </cell>
        </row>
        <row r="13">
          <cell r="B13" t="str">
            <v>CE 471</v>
          </cell>
          <cell r="E13" t="str">
            <v>IRRIGATION AND DRAINAGE ENGINEERING</v>
          </cell>
          <cell r="G13" t="str">
            <v>Anornu Geophrey Kwame</v>
          </cell>
        </row>
        <row r="14">
          <cell r="B14" t="str">
            <v>CE 473</v>
          </cell>
          <cell r="E14" t="str">
            <v>DEVELOPMENT ENGINEERING</v>
          </cell>
          <cell r="G14" t="str">
            <v>Tuffour Yaw Adubofour</v>
          </cell>
        </row>
        <row r="15">
          <cell r="B15" t="str">
            <v>CE 475</v>
          </cell>
          <cell r="E15" t="str">
            <v>SYSTEMS ENGINEERING I</v>
          </cell>
          <cell r="G15" t="str">
            <v>Donkor Emmanuel Amponsah</v>
          </cell>
        </row>
        <row r="16">
          <cell r="B16" t="str">
            <v>CE 477</v>
          </cell>
          <cell r="E16" t="str">
            <v>GEOTECHNICAL ENGINEERING I</v>
          </cell>
          <cell r="G16" t="str">
            <v>Ayeh Felix Jojo Fianko</v>
          </cell>
        </row>
        <row r="17">
          <cell r="B17" t="str">
            <v>CE 479</v>
          </cell>
          <cell r="E17" t="str">
            <v>ENGINEERING AND ENVIRONMENTAL GEOPHYSICS</v>
          </cell>
          <cell r="G17" t="str">
            <v>Owusu-Nimo Frederick</v>
          </cell>
        </row>
        <row r="18">
          <cell r="B18" t="str">
            <v>CE 481</v>
          </cell>
          <cell r="E18" t="str">
            <v>VACATION TRAINING</v>
          </cell>
          <cell r="G18" t="str">
            <v>Appiah-Effah Eugene</v>
          </cell>
        </row>
        <row r="19">
          <cell r="B19" t="str">
            <v>CE 495</v>
          </cell>
          <cell r="E19" t="str">
            <v>RESEARCH PROJECT I</v>
          </cell>
          <cell r="G19" t="str">
            <v>Buamah Richard Akwasi</v>
          </cell>
        </row>
        <row r="20">
          <cell r="B20" t="str">
            <v>CE 497</v>
          </cell>
          <cell r="E20" t="str">
            <v>CIVIL ENGINEERING DESIGN</v>
          </cell>
          <cell r="G20" t="str">
            <v>Appiah-Effah Eugene</v>
          </cell>
        </row>
      </sheetData>
      <sheetData sheetId="19"/>
      <sheetData sheetId="20"/>
      <sheetData sheetId="21">
        <row r="24">
          <cell r="E24" t="str">
            <v>ENVIRONMENTAL STUDIES</v>
          </cell>
          <cell r="G24" t="str">
            <v>Essandoh Helen Michelle Korkor</v>
          </cell>
        </row>
        <row r="25">
          <cell r="E25" t="str">
            <v>ENGINEERING TECHNOLOGY</v>
          </cell>
          <cell r="G25" t="str">
            <v>Addo Daniel Akwei</v>
          </cell>
        </row>
        <row r="26">
          <cell r="E26" t="str">
            <v>APPLIED ELECTRICITY</v>
          </cell>
        </row>
        <row r="27">
          <cell r="E27" t="str">
            <v>COMMUNICATION SKILLS I</v>
          </cell>
          <cell r="G27" t="str">
            <v>Alhassan Yakubu</v>
          </cell>
        </row>
        <row r="28">
          <cell r="E28" t="str">
            <v>ALGEBRA</v>
          </cell>
          <cell r="G28" t="str">
            <v>Ezearn Jeffery</v>
          </cell>
        </row>
        <row r="29">
          <cell r="E29" t="str">
            <v>TECHNICAL DRAWING</v>
          </cell>
          <cell r="G29" t="str">
            <v>Afriyie Nyarko Frank Kwabena</v>
          </cell>
        </row>
        <row r="30">
          <cell r="E30" t="str">
            <v>BASIC MECHANICS</v>
          </cell>
          <cell r="G30" t="str">
            <v>Tay Godwin Fabiola Kwaku</v>
          </cell>
        </row>
      </sheetData>
      <sheetData sheetId="22">
        <row r="8">
          <cell r="B8" t="str">
            <v>ACF 255</v>
          </cell>
          <cell r="E8" t="str">
            <v>FINANCIAL ACCOUNTING I</v>
          </cell>
          <cell r="G8" t="str">
            <v>Yeboah Edward</v>
          </cell>
        </row>
        <row r="9">
          <cell r="B9" t="str">
            <v>CENG 291</v>
          </cell>
          <cell r="E9" t="str">
            <v>ENGINEERING IN SOCIETY</v>
          </cell>
          <cell r="G9" t="str">
            <v>Odame Prince</v>
          </cell>
        </row>
        <row r="10">
          <cell r="B10" t="str">
            <v>COE 253</v>
          </cell>
          <cell r="E10" t="str">
            <v>DISCRETE STRUCTURES</v>
          </cell>
          <cell r="G10" t="str">
            <v>Kwabi Prince Amponsah</v>
          </cell>
        </row>
        <row r="11">
          <cell r="B11" t="str">
            <v>COE 261</v>
          </cell>
          <cell r="E11" t="str">
            <v>COMMUNICATION SYSTEMS</v>
          </cell>
          <cell r="G11" t="str">
            <v>Tchao Eric Tutu</v>
          </cell>
        </row>
        <row r="12">
          <cell r="B12" t="str">
            <v>COE 271</v>
          </cell>
          <cell r="E12" t="str">
            <v>SEMICONDUCTOR DEVICES</v>
          </cell>
          <cell r="G12" t="str">
            <v>Kommey Benjamin</v>
          </cell>
        </row>
        <row r="13">
          <cell r="B13" t="str">
            <v>COE 291</v>
          </cell>
          <cell r="E13" t="str">
            <v>COMPUTER ENGINEERING LAB. I</v>
          </cell>
          <cell r="G13" t="str">
            <v>Kommey Benjamin</v>
          </cell>
        </row>
        <row r="14">
          <cell r="B14" t="str">
            <v>ECON 151</v>
          </cell>
          <cell r="E14" t="str">
            <v>ELEMENTS OF ECONOMICS I</v>
          </cell>
          <cell r="G14" t="str">
            <v>Takyi Paul Owusu</v>
          </cell>
        </row>
        <row r="15">
          <cell r="B15" t="str">
            <v>FC 181</v>
          </cell>
          <cell r="E15" t="str">
            <v>FRENCH FOR COMMUNICATION PURPOSES I</v>
          </cell>
          <cell r="G15" t="str">
            <v>Boakye-Agyeman Candy</v>
          </cell>
        </row>
        <row r="16">
          <cell r="B16" t="str">
            <v>MATH 251</v>
          </cell>
          <cell r="E16" t="str">
            <v>DIFFERENTIAL EQUATIONS</v>
          </cell>
          <cell r="G16" t="str">
            <v>Wireko Fredrick Asenso</v>
          </cell>
        </row>
      </sheetData>
      <sheetData sheetId="23">
        <row r="8">
          <cell r="B8" t="str">
            <v>COE 371</v>
          </cell>
          <cell r="E8" t="str">
            <v>LINEAR ELECTRONIC CIRCUITS</v>
          </cell>
          <cell r="G8" t="str">
            <v>Agbemenu Andrew Selasi</v>
          </cell>
        </row>
        <row r="9">
          <cell r="B9" t="str">
            <v>COE 381</v>
          </cell>
          <cell r="E9" t="str">
            <v>MICROPROCESSORS</v>
          </cell>
          <cell r="G9" t="str">
            <v>Keelson Eliel</v>
          </cell>
        </row>
        <row r="10">
          <cell r="B10" t="str">
            <v>COE 387</v>
          </cell>
          <cell r="E10" t="str">
            <v>CLASSICAL CONTROL SYSTEMS</v>
          </cell>
          <cell r="G10" t="str">
            <v>Klogo Griffith Selorm</v>
          </cell>
        </row>
        <row r="11">
          <cell r="B11" t="str">
            <v>MATH 351</v>
          </cell>
          <cell r="E11" t="str">
            <v>NUMERICAL ANALYSIS</v>
          </cell>
          <cell r="G11" t="str">
            <v>Borkor Reindorf Nartey</v>
          </cell>
        </row>
        <row r="12">
          <cell r="B12" t="str">
            <v>STAT 253</v>
          </cell>
          <cell r="E12" t="str">
            <v>PROBABILITY AND STATISTICS</v>
          </cell>
          <cell r="G12" t="str">
            <v>Amoako-Yirenkyi Carole Fredua</v>
          </cell>
        </row>
        <row r="13">
          <cell r="B13" t="str">
            <v>TE 385</v>
          </cell>
          <cell r="E13" t="str">
            <v>SIGNALS AND SYSTEMS</v>
          </cell>
          <cell r="G13" t="str">
            <v>Yeboah-Akowuah Bright</v>
          </cell>
        </row>
      </sheetData>
      <sheetData sheetId="24">
        <row r="8">
          <cell r="B8" t="str">
            <v>COE 451</v>
          </cell>
          <cell r="E8" t="str">
            <v>COMPUTER GRAPHICS</v>
          </cell>
          <cell r="G8" t="str">
            <v>Klogo Griffith Selorm</v>
          </cell>
        </row>
        <row r="9">
          <cell r="B9" t="str">
            <v>COE 453</v>
          </cell>
          <cell r="E9" t="str">
            <v>DISTRIBUTED COMPUTING</v>
          </cell>
          <cell r="G9" t="str">
            <v>Keelson Eliel</v>
          </cell>
        </row>
        <row r="10">
          <cell r="B10" t="str">
            <v>COE 457</v>
          </cell>
          <cell r="E10" t="str">
            <v>ARTIFICIAL INTELLIGENCE</v>
          </cell>
          <cell r="G10" t="str">
            <v>Nunoo-Mensah Henry</v>
          </cell>
        </row>
        <row r="11">
          <cell r="B11" t="str">
            <v>COE 475</v>
          </cell>
          <cell r="E11" t="str">
            <v>COMPUTER NETWORKING</v>
          </cell>
          <cell r="G11" t="str">
            <v>Akowuah Emmanuel Kofi</v>
          </cell>
        </row>
        <row r="12">
          <cell r="B12" t="str">
            <v>COE 485</v>
          </cell>
          <cell r="E12" t="str">
            <v>COMPUTER ARCHITECTURE</v>
          </cell>
          <cell r="G12" t="str">
            <v>Boateng Kwame Osei</v>
          </cell>
        </row>
        <row r="13">
          <cell r="B13" t="str">
            <v>COE 497</v>
          </cell>
          <cell r="E13" t="str">
            <v>PROJECT 1</v>
          </cell>
          <cell r="G13" t="str">
            <v>Adjaidoo Theresa-Samuelle Maame Atwemaah</v>
          </cell>
        </row>
        <row r="14">
          <cell r="B14" t="str">
            <v>COE 499</v>
          </cell>
          <cell r="E14" t="str">
            <v>VACATION TRAINING</v>
          </cell>
          <cell r="G14" t="str">
            <v>Yeboah-Akowuah Bright</v>
          </cell>
        </row>
        <row r="15">
          <cell r="B15" t="str">
            <v>ME 491</v>
          </cell>
          <cell r="E15" t="str">
            <v>ENGINEERING ECONOMICS AND MANAGEMENT</v>
          </cell>
          <cell r="G15" t="str">
            <v>Mensah Lena Dzifa</v>
          </cell>
        </row>
        <row r="20">
          <cell r="B20" t="str">
            <v>EE 151</v>
          </cell>
          <cell r="E20" t="str">
            <v>APPLIED ELECTRICITY</v>
          </cell>
          <cell r="G20" t="str">
            <v>Effah Francis Boafo</v>
          </cell>
        </row>
        <row r="21">
          <cell r="B21" t="str">
            <v>EE 153</v>
          </cell>
          <cell r="E21" t="str">
            <v>ELECTRICAL ENGINEERING TECHNOLOGY WITH MATLAB</v>
          </cell>
          <cell r="G21" t="str">
            <v>Prah II Nicholas Kwesi</v>
          </cell>
        </row>
        <row r="22">
          <cell r="B22" t="str">
            <v>EE 161</v>
          </cell>
          <cell r="E22" t="str">
            <v>TRANSFORMERS</v>
          </cell>
          <cell r="G22" t="str">
            <v>Opoku Daniel</v>
          </cell>
        </row>
        <row r="23">
          <cell r="B23" t="str">
            <v>EE 167</v>
          </cell>
          <cell r="E23" t="str">
            <v>OCCUPATIONAL HEALTH AND SAFETY</v>
          </cell>
          <cell r="G23" t="str">
            <v>Asiedu Charlotte</v>
          </cell>
        </row>
        <row r="24">
          <cell r="B24" t="str">
            <v>ENGL 157</v>
          </cell>
          <cell r="E24" t="str">
            <v>COMMUNICATION SKILLS I</v>
          </cell>
          <cell r="G24" t="str">
            <v>Sarfo-Adu Kwasi</v>
          </cell>
        </row>
        <row r="25">
          <cell r="B25" t="str">
            <v>MATH 151</v>
          </cell>
          <cell r="E25" t="str">
            <v>ALGEBRA</v>
          </cell>
          <cell r="G25" t="str">
            <v>Ayekple Yao Elikem</v>
          </cell>
        </row>
        <row r="26">
          <cell r="B26" t="str">
            <v>ME 161</v>
          </cell>
          <cell r="E26" t="str">
            <v>BASIC MECHANICS</v>
          </cell>
          <cell r="G26" t="str">
            <v>Dzebre Denis Edem Kwame</v>
          </cell>
        </row>
      </sheetData>
      <sheetData sheetId="25">
        <row r="9">
          <cell r="B9" t="str">
            <v>CENG 291</v>
          </cell>
          <cell r="E9" t="str">
            <v>ENGINEERING IN SOCIETY</v>
          </cell>
          <cell r="G9" t="str">
            <v>Kwegyir Daniel</v>
          </cell>
        </row>
        <row r="10">
          <cell r="B10" t="str">
            <v>COE 251</v>
          </cell>
          <cell r="E10" t="str">
            <v>C PROGRAMMING</v>
          </cell>
          <cell r="G10" t="str">
            <v>Adjei Prince Ebenezer</v>
          </cell>
        </row>
        <row r="11">
          <cell r="E11" t="str">
            <v>ELEMENTS OF ECONOMICS I</v>
          </cell>
          <cell r="G11" t="str">
            <v>Takyi Paul Owusu</v>
          </cell>
        </row>
        <row r="12">
          <cell r="B12" t="str">
            <v>EE 261</v>
          </cell>
          <cell r="E12" t="str">
            <v>DC MACHINES</v>
          </cell>
          <cell r="G12" t="str">
            <v>Effah Francis Boafo</v>
          </cell>
        </row>
        <row r="13">
          <cell r="B13" t="str">
            <v>EE 271</v>
          </cell>
          <cell r="E13" t="str">
            <v>SEMICONDUCTOR DEVICES</v>
          </cell>
        </row>
        <row r="14">
          <cell r="B14" t="str">
            <v>EE 291</v>
          </cell>
          <cell r="E14" t="str">
            <v>ELECTRICAL ENGINEERING LAB. I</v>
          </cell>
          <cell r="G14" t="str">
            <v>Frimpong Emmanuel Asuming</v>
          </cell>
        </row>
        <row r="15">
          <cell r="B15" t="str">
            <v>FC 181</v>
          </cell>
          <cell r="E15" t="str">
            <v>FRENCH FOR COMMUNICATION PURPOSES I</v>
          </cell>
          <cell r="G15" t="str">
            <v>Boakye-Agyeman Candy</v>
          </cell>
        </row>
        <row r="16">
          <cell r="B16" t="str">
            <v>MATH 251</v>
          </cell>
          <cell r="E16" t="str">
            <v>DIFFERENTIAL EQUATIONS</v>
          </cell>
          <cell r="G16" t="str">
            <v>Barnes Benedict</v>
          </cell>
        </row>
        <row r="17">
          <cell r="B17" t="str">
            <v>EE 265</v>
          </cell>
          <cell r="E17" t="str">
            <v>ELECTRICAL SERVICES DESIGN</v>
          </cell>
          <cell r="G17" t="str">
            <v>Kwegyir Daniel</v>
          </cell>
        </row>
      </sheetData>
      <sheetData sheetId="26">
        <row r="8">
          <cell r="B8" t="str">
            <v>EE 371</v>
          </cell>
          <cell r="E8" t="str">
            <v>LINEAR ELECTRONIC CIRCUITS</v>
          </cell>
          <cell r="G8" t="str">
            <v>Sekyere Yaw Opoku Mensah</v>
          </cell>
        </row>
        <row r="9">
          <cell r="B9" t="str">
            <v>STAT 253</v>
          </cell>
          <cell r="E9" t="str">
            <v>PROBABILITY AND STATISTICS</v>
          </cell>
          <cell r="G9" t="str">
            <v>Okutu John Kwadey</v>
          </cell>
        </row>
        <row r="10">
          <cell r="B10" t="str">
            <v>COE 381</v>
          </cell>
          <cell r="E10" t="str">
            <v>MICROPROCESSORS</v>
          </cell>
          <cell r="G10" t="str">
            <v>Keelson Eliel</v>
          </cell>
        </row>
        <row r="11">
          <cell r="B11" t="str">
            <v>EE 365</v>
          </cell>
          <cell r="E11" t="str">
            <v>ELECTRICAL SERVICES DESIGN</v>
          </cell>
          <cell r="G11" t="str">
            <v>Kwegyir Daniel</v>
          </cell>
        </row>
        <row r="12">
          <cell r="B12" t="str">
            <v>EE 367</v>
          </cell>
          <cell r="E12" t="str">
            <v>POWER GENERATION  AND SUPPLY</v>
          </cell>
          <cell r="G12" t="str">
            <v>Asigri Peter</v>
          </cell>
        </row>
        <row r="13">
          <cell r="B13" t="str">
            <v>EE 387</v>
          </cell>
          <cell r="E13" t="str">
            <v>CLASSICAL CONTROL SYSTEMS</v>
          </cell>
          <cell r="G13" t="str">
            <v>Opoku Daniel</v>
          </cell>
        </row>
        <row r="14">
          <cell r="B14" t="str">
            <v>MATH 351</v>
          </cell>
          <cell r="E14" t="str">
            <v>NUMERICAL ANALYSIS</v>
          </cell>
          <cell r="G14" t="str">
            <v>Awashie Gaston Edem</v>
          </cell>
        </row>
        <row r="15">
          <cell r="B15" t="str">
            <v>TE 271</v>
          </cell>
          <cell r="E15" t="str">
            <v>ANALOG COMMUNICATION SYSTEMS</v>
          </cell>
          <cell r="G15" t="str">
            <v>Ellis Sani Mubarak</v>
          </cell>
        </row>
      </sheetData>
      <sheetData sheetId="27">
        <row r="9">
          <cell r="B9" t="str">
            <v>COE 475</v>
          </cell>
          <cell r="E9" t="str">
            <v>COMPUTER NETWORKING</v>
          </cell>
          <cell r="G9" t="str">
            <v>Adrah Charles Mawutor</v>
          </cell>
        </row>
        <row r="10">
          <cell r="B10" t="str">
            <v>EE 463</v>
          </cell>
          <cell r="E10" t="str">
            <v>SPECIAL ELECTRICAL MACHINES</v>
          </cell>
          <cell r="G10" t="str">
            <v>Kwegyir Daniel</v>
          </cell>
        </row>
        <row r="11">
          <cell r="B11" t="str">
            <v>EE 467</v>
          </cell>
          <cell r="E11" t="str">
            <v>POWER SYSTEMS OPERATION AND CONTROL</v>
          </cell>
          <cell r="G11" t="str">
            <v>Antoh Emmanuel Kwaku</v>
          </cell>
        </row>
        <row r="12">
          <cell r="B12" t="str">
            <v>EE 489</v>
          </cell>
          <cell r="E12" t="str">
            <v>INDUSTRIAL TRAINING</v>
          </cell>
          <cell r="G12" t="str">
            <v>Kwegyir Daniel</v>
          </cell>
        </row>
        <row r="13">
          <cell r="B13" t="str">
            <v>EE 497</v>
          </cell>
          <cell r="E13" t="str">
            <v>PROJECT I</v>
          </cell>
          <cell r="G13" t="str">
            <v>Sekyere Yaw Opoku Mensah</v>
          </cell>
        </row>
        <row r="14">
          <cell r="B14" t="str">
            <v>ME 491</v>
          </cell>
          <cell r="E14" t="str">
            <v>ENGINEERING ECONOMICS AND MANAGEMENT</v>
          </cell>
          <cell r="G14" t="str">
            <v>Mensah Lena Dzifa</v>
          </cell>
        </row>
        <row r="15">
          <cell r="B15" t="str">
            <v>TE 481</v>
          </cell>
          <cell r="E15" t="str">
            <v>WIRELESS DATA COMMUNICATION NETWORK</v>
          </cell>
          <cell r="G15" t="str">
            <v>Opare Kwasi Adu-Boahen</v>
          </cell>
        </row>
      </sheetData>
      <sheetData sheetId="28"/>
      <sheetData sheetId="29"/>
      <sheetData sheetId="30">
        <row r="19">
          <cell r="B19" t="str">
            <v>ACF 255</v>
          </cell>
          <cell r="E19" t="str">
            <v>FINANCIAL ACCOUNTING I</v>
          </cell>
          <cell r="G19" t="str">
            <v>Yeboah Edward</v>
          </cell>
        </row>
        <row r="20">
          <cell r="B20" t="str">
            <v>CE 151</v>
          </cell>
          <cell r="E20" t="str">
            <v>ELEMENTARY STRUCTURES</v>
          </cell>
          <cell r="G20" t="str">
            <v>Afrifa Russel Owusu</v>
          </cell>
        </row>
        <row r="21">
          <cell r="B21" t="str">
            <v>ECON 151</v>
          </cell>
          <cell r="E21" t="str">
            <v>INTRODUCTORY ECONOMICS I</v>
          </cell>
          <cell r="G21" t="str">
            <v>Takyi Paul Owusu</v>
          </cell>
        </row>
        <row r="22">
          <cell r="B22" t="str">
            <v>ENGL 157</v>
          </cell>
          <cell r="E22" t="str">
            <v>COMMUNICATION SKILLS I</v>
          </cell>
          <cell r="G22" t="str">
            <v>Yeboah Philomena Ama Okyeso</v>
          </cell>
        </row>
        <row r="23">
          <cell r="B23" t="str">
            <v>FC 181</v>
          </cell>
          <cell r="E23" t="str">
            <v>FRENCH FOR COMMUNICATION PURPOSES I</v>
          </cell>
          <cell r="G23" t="str">
            <v>Boakye-Agyeman Candy</v>
          </cell>
        </row>
        <row r="24">
          <cell r="B24" t="str">
            <v>GED 151</v>
          </cell>
          <cell r="E24" t="str">
            <v>BASIC GEOLOGY</v>
          </cell>
          <cell r="G24" t="str">
            <v>Gawu Simon Kafui Yawo</v>
          </cell>
        </row>
        <row r="25">
          <cell r="B25" t="str">
            <v>GED 153</v>
          </cell>
          <cell r="E25" t="str">
            <v>ENGINEERING TECHNOLOGY</v>
          </cell>
          <cell r="G25" t="str">
            <v>Nuamah Daniel Oduro Boatey</v>
          </cell>
        </row>
        <row r="26">
          <cell r="B26" t="str">
            <v>MATH 151</v>
          </cell>
          <cell r="E26" t="str">
            <v>ALGEBRA</v>
          </cell>
          <cell r="G26" t="str">
            <v>Kwabi Prince Amponsah</v>
          </cell>
        </row>
        <row r="27">
          <cell r="B27" t="str">
            <v>ME 159</v>
          </cell>
          <cell r="E27" t="str">
            <v>TECHNICAL DRAWING</v>
          </cell>
          <cell r="G27" t="str">
            <v>Boahen Samuel</v>
          </cell>
        </row>
        <row r="28">
          <cell r="B28" t="str">
            <v>ME 161</v>
          </cell>
          <cell r="E28" t="str">
            <v>BASIC MECHANICS</v>
          </cell>
        </row>
      </sheetData>
      <sheetData sheetId="31">
        <row r="8">
          <cell r="B8" t="str">
            <v>CENG 291</v>
          </cell>
          <cell r="E8" t="str">
            <v>ENGINEERING IN SOCIETY</v>
          </cell>
        </row>
        <row r="9">
          <cell r="B9" t="str">
            <v>CE 251</v>
          </cell>
          <cell r="E9" t="str">
            <v>STRENGTH OF MATERIALS</v>
          </cell>
          <cell r="G9" t="str">
            <v>Kankam Charles Kwame</v>
          </cell>
        </row>
        <row r="10">
          <cell r="B10" t="str">
            <v>CE 255</v>
          </cell>
          <cell r="E10" t="str">
            <v>THEORY OF STRUCTURES</v>
          </cell>
        </row>
        <row r="11">
          <cell r="B11" t="str">
            <v>GED 251</v>
          </cell>
          <cell r="E11" t="str">
            <v>MINERALOGY</v>
          </cell>
          <cell r="G11" t="str">
            <v>Wilson Matthew Coffie</v>
          </cell>
        </row>
        <row r="12">
          <cell r="B12" t="str">
            <v>GED 253</v>
          </cell>
          <cell r="E12" t="str">
            <v>PHYSICAL GEOLOGY</v>
          </cell>
          <cell r="G12" t="str">
            <v>Mensah Emmanuel</v>
          </cell>
        </row>
        <row r="13">
          <cell r="B13" t="str">
            <v>GED 267</v>
          </cell>
          <cell r="E13" t="str">
            <v>COMPUTER PROGRAMMING</v>
          </cell>
          <cell r="G13" t="str">
            <v>Kwaw Albert Kwame</v>
          </cell>
        </row>
        <row r="14">
          <cell r="B14" t="str">
            <v>MATH 251</v>
          </cell>
          <cell r="E14" t="str">
            <v>DIFFERENTIAL EQUATIONS</v>
          </cell>
          <cell r="G14" t="str">
            <v>Wireko Fredrick Asenso</v>
          </cell>
        </row>
      </sheetData>
      <sheetData sheetId="32">
        <row r="8">
          <cell r="B8" t="str">
            <v>GED 351</v>
          </cell>
          <cell r="E8" t="str">
            <v>PETROLOGY</v>
          </cell>
          <cell r="G8" t="str">
            <v>Foli Gordon</v>
          </cell>
        </row>
        <row r="9">
          <cell r="B9" t="str">
            <v>GED 357</v>
          </cell>
          <cell r="E9" t="str">
            <v>BASIC HYDROLOGY</v>
          </cell>
          <cell r="G9" t="str">
            <v>Appiah-Adjei Emmanuel Kwame</v>
          </cell>
        </row>
        <row r="10">
          <cell r="B10" t="str">
            <v>GED 365</v>
          </cell>
          <cell r="E10" t="str">
            <v>GEOLOGICAL FIELD MAPPPING</v>
          </cell>
          <cell r="G10" t="str">
            <v>Brako Blestmond Afrifa</v>
          </cell>
        </row>
        <row r="11">
          <cell r="B11" t="str">
            <v>GED 369</v>
          </cell>
          <cell r="E11" t="str">
            <v>PHOTOGEOLOGY AND REMOTE SENSING</v>
          </cell>
          <cell r="G11" t="str">
            <v>Nuamah Daniel Oduro Boatey</v>
          </cell>
        </row>
        <row r="12">
          <cell r="B12" t="str">
            <v>GED 375</v>
          </cell>
          <cell r="E12" t="str">
            <v>PRINCIPLES OF ENGINEERING GEOLOGY</v>
          </cell>
          <cell r="G12" t="str">
            <v>Gidigasu Solomon Senyo Robert</v>
          </cell>
        </row>
        <row r="13">
          <cell r="B13" t="str">
            <v>GED 379</v>
          </cell>
          <cell r="E13" t="str">
            <v>SOIL MECHANICS</v>
          </cell>
          <cell r="G13" t="str">
            <v>Amenuvor Andrew Cudzo</v>
          </cell>
        </row>
        <row r="14">
          <cell r="B14" t="str">
            <v>MATH 351</v>
          </cell>
          <cell r="E14" t="str">
            <v>NUMERICAL ANALYSIS</v>
          </cell>
          <cell r="G14" t="str">
            <v>Borkor Reindorf Nartey</v>
          </cell>
        </row>
        <row r="15">
          <cell r="B15" t="str">
            <v>STAT 253</v>
          </cell>
          <cell r="E15" t="str">
            <v>PROBABILITY AND STATISTICS</v>
          </cell>
        </row>
      </sheetData>
      <sheetData sheetId="33">
        <row r="8">
          <cell r="B8" t="str">
            <v>CE 477</v>
          </cell>
          <cell r="E8" t="str">
            <v>GEOTECHNICAL ENGINEERING I</v>
          </cell>
          <cell r="G8" t="str">
            <v>Ampadu Samuel Innocent Kofi</v>
          </cell>
        </row>
        <row r="9">
          <cell r="B9" t="str">
            <v>GED 461</v>
          </cell>
          <cell r="E9" t="str">
            <v>EXPLORATION GEOPHYSICS</v>
          </cell>
          <cell r="G9" t="str">
            <v>Ali Bukari</v>
          </cell>
        </row>
        <row r="10">
          <cell r="B10" t="str">
            <v>GED 471</v>
          </cell>
          <cell r="E10" t="str">
            <v>INDUSTRIAL TRAINING</v>
          </cell>
        </row>
        <row r="11">
          <cell r="B11" t="str">
            <v>GED 451</v>
          </cell>
          <cell r="E11" t="str">
            <v>REGIONAL GEOLOGY</v>
          </cell>
          <cell r="G11" t="str">
            <v>Foli Gordon</v>
          </cell>
        </row>
        <row r="12">
          <cell r="B12" t="str">
            <v>GED 457</v>
          </cell>
          <cell r="E12" t="str">
            <v>PROJECT 1</v>
          </cell>
          <cell r="G12" t="str">
            <v>Appiah-Adjei Emmanuel Kwame</v>
          </cell>
        </row>
        <row r="13">
          <cell r="B13" t="str">
            <v>GED 459</v>
          </cell>
          <cell r="E13" t="str">
            <v>EXPLORATION GEOCHEMISTRY</v>
          </cell>
          <cell r="G13" t="str">
            <v>Gawu Simon Kafui Yawo</v>
          </cell>
        </row>
        <row r="14">
          <cell r="B14" t="str">
            <v>GED 465</v>
          </cell>
          <cell r="E14" t="str">
            <v>ENGINEERING GEOLOGICAL INVESTIGATIONS</v>
          </cell>
          <cell r="G14" t="str">
            <v>Ali Bukari</v>
          </cell>
        </row>
        <row r="15">
          <cell r="B15" t="str">
            <v>GED 475</v>
          </cell>
          <cell r="E15" t="str">
            <v>PRINCIPLES OF HYDROGEOLOGY</v>
          </cell>
          <cell r="G15" t="str">
            <v>Appiah-Adjei Emmanuel Kwame</v>
          </cell>
        </row>
      </sheetData>
      <sheetData sheetId="34"/>
      <sheetData sheetId="35"/>
      <sheetData sheetId="36">
        <row r="19">
          <cell r="B19" t="str">
            <v>ENGL 157</v>
          </cell>
          <cell r="E19" t="str">
            <v>COMMUNICATION SKILLS I</v>
          </cell>
          <cell r="G19" t="str">
            <v>Yeboah Philomena Ama Okyeso</v>
          </cell>
        </row>
        <row r="20">
          <cell r="B20" t="str">
            <v>GE 151</v>
          </cell>
          <cell r="E20" t="str">
            <v>CARTOGRAPHY I</v>
          </cell>
          <cell r="G20" t="str">
            <v>Quaye-Ballard Jonathan Arthur</v>
          </cell>
        </row>
        <row r="21">
          <cell r="B21" t="str">
            <v>GE 161</v>
          </cell>
          <cell r="E21" t="str">
            <v>BASIC SURVEY PRINCIPLES I</v>
          </cell>
          <cell r="G21" t="str">
            <v>Ayer John Wise Divine</v>
          </cell>
        </row>
        <row r="22">
          <cell r="B22" t="str">
            <v>GE 171</v>
          </cell>
          <cell r="E22" t="str">
            <v>APPLIED OPTICS</v>
          </cell>
          <cell r="G22" t="str">
            <v>Andam-Akorful Samuel Ato</v>
          </cell>
        </row>
        <row r="23">
          <cell r="B23" t="str">
            <v>MATH 151</v>
          </cell>
          <cell r="E23" t="str">
            <v>ALGEBRA</v>
          </cell>
          <cell r="G23" t="str">
            <v>Azure Isaac</v>
          </cell>
        </row>
        <row r="24">
          <cell r="B24" t="str">
            <v>ME 159</v>
          </cell>
          <cell r="E24" t="str">
            <v>TECHNICAL DRAWING</v>
          </cell>
          <cell r="G24" t="str">
            <v>Dzebre Denis Edem Kwame</v>
          </cell>
        </row>
        <row r="25">
          <cell r="B25" t="str">
            <v>ME 161</v>
          </cell>
          <cell r="E25" t="str">
            <v>BASIC MECHANICS</v>
          </cell>
          <cell r="G25" t="str">
            <v>Dzebre Denis Edem Kwame</v>
          </cell>
        </row>
      </sheetData>
      <sheetData sheetId="37">
        <row r="8">
          <cell r="B8" t="str">
            <v>CENG 291</v>
          </cell>
          <cell r="E8" t="str">
            <v>ENGINEERING IN SOCIETY</v>
          </cell>
          <cell r="G8" t="str">
            <v>Kwarteng Efiba Vidda Senkyire</v>
          </cell>
        </row>
        <row r="9">
          <cell r="B9" t="str">
            <v>ENGL 263</v>
          </cell>
          <cell r="E9" t="str">
            <v>LITERATURE IN ENGLISH I</v>
          </cell>
          <cell r="G9" t="str">
            <v>Yeboah Philomena Ama Okyeso</v>
          </cell>
        </row>
        <row r="10">
          <cell r="B10" t="str">
            <v>GE 251</v>
          </cell>
          <cell r="E10" t="str">
            <v>PRINCIPLES OF PHOTOGRAMMETRY</v>
          </cell>
          <cell r="G10" t="str">
            <v>Ahorsu Harriet Atsufui</v>
          </cell>
        </row>
        <row r="11">
          <cell r="B11" t="str">
            <v>GE 261</v>
          </cell>
          <cell r="E11" t="str">
            <v>FIELD AND GEODETIC ASTRONOMY</v>
          </cell>
          <cell r="G11" t="str">
            <v>Ayer John Wise Divine</v>
          </cell>
        </row>
        <row r="12">
          <cell r="B12" t="str">
            <v>GE 263</v>
          </cell>
          <cell r="E12" t="str">
            <v>INFORMATION SCIENCE AND PROGRAMMING</v>
          </cell>
          <cell r="G12" t="str">
            <v>Tienaah Titus</v>
          </cell>
        </row>
        <row r="13">
          <cell r="B13" t="str">
            <v>GE 271</v>
          </cell>
          <cell r="E13" t="str">
            <v>ENGINEERING SURVEYING I</v>
          </cell>
          <cell r="G13" t="str">
            <v>Arko-Adjei Anthony</v>
          </cell>
        </row>
        <row r="14">
          <cell r="B14" t="str">
            <v>GE 281</v>
          </cell>
          <cell r="E14" t="str">
            <v>BASIC PHYSICAL GEODESY</v>
          </cell>
          <cell r="G14" t="str">
            <v>Dadzie Isaac</v>
          </cell>
        </row>
        <row r="15">
          <cell r="B15" t="str">
            <v>MATH 251</v>
          </cell>
          <cell r="E15" t="str">
            <v>DIFFERENTIAL EQUATIONS</v>
          </cell>
          <cell r="G15" t="str">
            <v>Barnes Benedict</v>
          </cell>
        </row>
      </sheetData>
      <sheetData sheetId="38">
        <row r="8">
          <cell r="B8" t="str">
            <v>ACF 255</v>
          </cell>
          <cell r="E8" t="str">
            <v>FINANCIAL ACCOUNTING I</v>
          </cell>
          <cell r="G8" t="str">
            <v>Yeboah Edward</v>
          </cell>
        </row>
        <row r="9">
          <cell r="B9" t="str">
            <v>CE 367</v>
          </cell>
          <cell r="E9" t="str">
            <v>HIGHWAY AND TRANSPORTATION ENGINEERING I</v>
          </cell>
          <cell r="G9" t="str">
            <v>Ababio-Donkor Augustus</v>
          </cell>
        </row>
        <row r="10">
          <cell r="B10" t="str">
            <v>CE 391</v>
          </cell>
          <cell r="E10" t="str">
            <v>TRAFFIC ENGINEERING LABORATORY</v>
          </cell>
          <cell r="G10" t="str">
            <v>Ababio-Donkor Augustus</v>
          </cell>
        </row>
        <row r="11">
          <cell r="B11" t="str">
            <v>ECON151</v>
          </cell>
          <cell r="E11" t="str">
            <v>ELEMENTS OF ECONOMICS I</v>
          </cell>
          <cell r="G11" t="str">
            <v>Takyi Paul Owusu</v>
          </cell>
        </row>
        <row r="12">
          <cell r="B12" t="str">
            <v>FC 181</v>
          </cell>
          <cell r="E12" t="str">
            <v>FRENCH FOR COMMUNICATION PURPOSES I</v>
          </cell>
          <cell r="G12" t="str">
            <v>Osei-Danso Harriet Efua</v>
          </cell>
        </row>
        <row r="13">
          <cell r="B13" t="str">
            <v>GE 351</v>
          </cell>
          <cell r="E13" t="str">
            <v>STEREO PHOTOGRAMMETRY</v>
          </cell>
          <cell r="G13" t="str">
            <v>Tienaah Titus</v>
          </cell>
        </row>
        <row r="14">
          <cell r="B14" t="str">
            <v>GE 353</v>
          </cell>
          <cell r="E14" t="str">
            <v>GEOMETRICAL GEODESY</v>
          </cell>
          <cell r="G14" t="str">
            <v>Dadzie Isaac</v>
          </cell>
        </row>
        <row r="15">
          <cell r="B15" t="str">
            <v>GE 361</v>
          </cell>
          <cell r="E15" t="str">
            <v>IMAGE PROCESSING AND INTERPRETATION</v>
          </cell>
          <cell r="G15" t="str">
            <v xml:space="preserve">Asare Yaw Mensah </v>
          </cell>
        </row>
        <row r="16">
          <cell r="B16" t="str">
            <v>GE 371</v>
          </cell>
          <cell r="E16" t="str">
            <v>SURVEY ADJUSTMENT I</v>
          </cell>
          <cell r="G16" t="str">
            <v>Fosu Collins</v>
          </cell>
        </row>
        <row r="17">
          <cell r="B17" t="str">
            <v>STAT 253</v>
          </cell>
          <cell r="E17" t="str">
            <v>PROBABILITY AND STATISTICS</v>
          </cell>
          <cell r="G17" t="str">
            <v>Amoako-Yirenkyi Carole Fredua</v>
          </cell>
        </row>
      </sheetData>
      <sheetData sheetId="39">
        <row r="8">
          <cell r="B8" t="str">
            <v>CE 461</v>
          </cell>
          <cell r="E8" t="str">
            <v>ENG ECONOMY AND ENTERPRENEURSHIP DEVELOPMENT</v>
          </cell>
          <cell r="G8" t="str">
            <v>Appiah-Effah Eugene</v>
          </cell>
        </row>
        <row r="9">
          <cell r="B9" t="str">
            <v>GE 451</v>
          </cell>
          <cell r="E9" t="str">
            <v>GEODETIC SURVEYING II</v>
          </cell>
          <cell r="G9" t="str">
            <v>Fosu Collins</v>
          </cell>
        </row>
        <row r="10">
          <cell r="B10" t="str">
            <v>GE 461</v>
          </cell>
          <cell r="E10" t="str">
            <v>CADASTRAL SURVEYING</v>
          </cell>
          <cell r="G10" t="str">
            <v>Akrofi Emmanuel Offei</v>
          </cell>
        </row>
        <row r="11">
          <cell r="B11" t="str">
            <v>GE 463</v>
          </cell>
          <cell r="E11" t="str">
            <v>LAND AND GEOGRAPHIC INFORMATION SYSTEM I</v>
          </cell>
          <cell r="G11" t="str">
            <v>Forkuo Eric Kwabena</v>
          </cell>
        </row>
        <row r="12">
          <cell r="B12" t="str">
            <v>GE 475</v>
          </cell>
          <cell r="E12" t="str">
            <v>RESEARCH METHODS</v>
          </cell>
          <cell r="G12" t="str">
            <v>Duker Alfred Alan</v>
          </cell>
        </row>
        <row r="13">
          <cell r="B13" t="str">
            <v>GE 491</v>
          </cell>
          <cell r="E13" t="str">
            <v>PROJECT I</v>
          </cell>
          <cell r="G13" t="str">
            <v>Forkuo Eric Kwabena</v>
          </cell>
        </row>
      </sheetData>
      <sheetData sheetId="40"/>
      <sheetData sheetId="41"/>
      <sheetData sheetId="42">
        <row r="18">
          <cell r="B18" t="str">
            <v>CE 155</v>
          </cell>
          <cell r="E18" t="str">
            <v>ENVIRONMENTAL STUDIES</v>
          </cell>
          <cell r="G18" t="str">
            <v>Appiah-Brempong Miriam</v>
          </cell>
        </row>
        <row r="19">
          <cell r="B19" t="str">
            <v>EE 151</v>
          </cell>
          <cell r="E19" t="str">
            <v>APPLIED ELECTRICITY</v>
          </cell>
          <cell r="G19" t="str">
            <v>Obeng Kwakye Kingsford Sarkodie</v>
          </cell>
        </row>
        <row r="20">
          <cell r="B20" t="str">
            <v>ENGL 157</v>
          </cell>
          <cell r="E20" t="str">
            <v>COMMUNICATION SKILLS I</v>
          </cell>
          <cell r="G20" t="str">
            <v>Yeboah Philomena Ama Okyeso</v>
          </cell>
        </row>
        <row r="21">
          <cell r="B21" t="str">
            <v>MATH 151</v>
          </cell>
          <cell r="E21" t="str">
            <v>ALGEBRA</v>
          </cell>
          <cell r="G21" t="str">
            <v>Fosu Gabriel Obed</v>
          </cell>
        </row>
        <row r="22">
          <cell r="B22" t="str">
            <v>ME 157</v>
          </cell>
          <cell r="E22" t="str">
            <v>INTRODUCTION TO INFORMATION TECHNOLOGY</v>
          </cell>
          <cell r="G22" t="str">
            <v>Sekyere Charles Kofi Kafui</v>
          </cell>
        </row>
        <row r="23">
          <cell r="B23" t="str">
            <v>ME 159</v>
          </cell>
          <cell r="E23" t="str">
            <v>TECHNICAL DRAWING</v>
          </cell>
          <cell r="G23" t="str">
            <v>Sekyere Charles Kofi Kafui</v>
          </cell>
        </row>
        <row r="24">
          <cell r="B24" t="str">
            <v>ME 195</v>
          </cell>
          <cell r="E24" t="str">
            <v xml:space="preserve">ENGINEERING TECHNOLOGY </v>
          </cell>
          <cell r="G24" t="str">
            <v>Oppong Tawiah Peter</v>
          </cell>
        </row>
      </sheetData>
      <sheetData sheetId="43">
        <row r="8">
          <cell r="B8" t="str">
            <v>CENG 291</v>
          </cell>
          <cell r="E8" t="str">
            <v>ENGINEERING IN SOCIETY</v>
          </cell>
          <cell r="G8" t="str">
            <v>Afriyie Nyarko Frank Kwabena</v>
          </cell>
        </row>
        <row r="9">
          <cell r="B9" t="str">
            <v>ENGL 263</v>
          </cell>
          <cell r="E9" t="str">
            <v>LITERATURE IN ENGLISH I</v>
          </cell>
          <cell r="G9" t="str">
            <v>Yeboah Philomena Ama Okyeso</v>
          </cell>
        </row>
        <row r="10">
          <cell r="B10" t="str">
            <v>IE 295</v>
          </cell>
          <cell r="E10" t="str">
            <v>INDUSTRIAL ENGINEERING LABORATORY I</v>
          </cell>
          <cell r="G10" t="str">
            <v>Tay Godwin Fabiola Kwaku</v>
          </cell>
        </row>
        <row r="11">
          <cell r="B11" t="str">
            <v>MATH 251</v>
          </cell>
          <cell r="E11" t="str">
            <v>DIFFERENTIAL EQUATIONS</v>
          </cell>
          <cell r="G11" t="str">
            <v>Wireko Fredrick Asenso</v>
          </cell>
        </row>
        <row r="12">
          <cell r="B12" t="str">
            <v>ME 251</v>
          </cell>
          <cell r="E12" t="str">
            <v>INTRODUCTION TO FLUID MECHANICS</v>
          </cell>
          <cell r="G12" t="str">
            <v>Tay Godwin Fabiola Kwaku</v>
          </cell>
        </row>
        <row r="13">
          <cell r="B13" t="str">
            <v>ME 255</v>
          </cell>
          <cell r="E13" t="str">
            <v>STRENGTH OF MATERIALS I</v>
          </cell>
          <cell r="G13" t="str">
            <v>Dzebre Denis Edem Kwame</v>
          </cell>
        </row>
        <row r="14">
          <cell r="B14" t="str">
            <v>ME 259</v>
          </cell>
          <cell r="E14" t="str">
            <v>APPLICATIONS OF COMPUTER GRAPHICS</v>
          </cell>
          <cell r="G14" t="str">
            <v>Ayetor Godwin Kafui Kwesi</v>
          </cell>
        </row>
        <row r="15">
          <cell r="B15" t="str">
            <v>ME 261</v>
          </cell>
          <cell r="E15" t="str">
            <v>ENGINEERING MECHANICS II:DYNAMICS</v>
          </cell>
          <cell r="G15" t="str">
            <v>Ampofo Joshua</v>
          </cell>
        </row>
        <row r="16">
          <cell r="B16" t="str">
            <v>ME 281</v>
          </cell>
          <cell r="E16" t="str">
            <v>ENGINEERING MATERIALS I</v>
          </cell>
          <cell r="G16" t="str">
            <v>Boahen Samuel</v>
          </cell>
        </row>
      </sheetData>
      <sheetData sheetId="44">
        <row r="8">
          <cell r="B8" t="str">
            <v>IE 351</v>
          </cell>
          <cell r="E8" t="str">
            <v>OPERATIONS RESEARCH I</v>
          </cell>
          <cell r="G8" t="str">
            <v>Mensah Lena Dzifa</v>
          </cell>
        </row>
        <row r="9">
          <cell r="B9" t="str">
            <v>IE 355</v>
          </cell>
          <cell r="E9" t="str">
            <v>DISCRETE EVENT SIMULATION</v>
          </cell>
          <cell r="G9" t="str">
            <v>Takyi Gabriel</v>
          </cell>
        </row>
        <row r="10">
          <cell r="B10" t="str">
            <v>IE 357</v>
          </cell>
          <cell r="E10" t="str">
            <v>PROJECT MANAGEMENT</v>
          </cell>
          <cell r="G10" t="str">
            <v>Asiedu Charlotte</v>
          </cell>
        </row>
        <row r="11">
          <cell r="B11" t="str">
            <v>IE 363</v>
          </cell>
          <cell r="E11" t="str">
            <v>PROCESS PLANNING SYSTEMS</v>
          </cell>
          <cell r="G11" t="str">
            <v>Sackey Samuel Mensah</v>
          </cell>
        </row>
        <row r="12">
          <cell r="B12" t="str">
            <v>IE 365</v>
          </cell>
          <cell r="E12" t="str">
            <v>ENGINEERING WORK STUDY</v>
          </cell>
          <cell r="G12" t="str">
            <v>Takyi Gabriel</v>
          </cell>
        </row>
        <row r="13">
          <cell r="B13" t="str">
            <v>IE 367</v>
          </cell>
          <cell r="E13" t="str">
            <v>ETHICS, CONTRACT &amp; PRODUCT LIABILITY LAW</v>
          </cell>
          <cell r="G13" t="str">
            <v>Asiedu Charlotte</v>
          </cell>
        </row>
        <row r="14">
          <cell r="B14" t="str">
            <v>MATH 351</v>
          </cell>
          <cell r="E14" t="str">
            <v>NUMERICAL ANALYSIS</v>
          </cell>
          <cell r="G14" t="str">
            <v>Awashie Gaston Edem</v>
          </cell>
        </row>
        <row r="15">
          <cell r="B15" t="str">
            <v>STAT 253</v>
          </cell>
          <cell r="E15" t="str">
            <v>PROBABILITY AND STATISTICS</v>
          </cell>
          <cell r="G15" t="str">
            <v>Amoako-Yirenkyi Carole Fredua</v>
          </cell>
        </row>
      </sheetData>
      <sheetData sheetId="45">
        <row r="8">
          <cell r="B8" t="str">
            <v>IE 395</v>
          </cell>
          <cell r="E8" t="str">
            <v>SUPERVISED INDUSTRIAL WORK EXPERIENCE</v>
          </cell>
          <cell r="G8" t="str">
            <v>Boahen Samuel</v>
          </cell>
        </row>
        <row r="9">
          <cell r="B9" t="str">
            <v>IE 451</v>
          </cell>
          <cell r="E9" t="str">
            <v>FACILITIES DESIGN AND MATERIAL HANDLING</v>
          </cell>
          <cell r="G9" t="str">
            <v>Sackey Samuel Mensah</v>
          </cell>
        </row>
        <row r="10">
          <cell r="B10" t="str">
            <v>IE 453</v>
          </cell>
          <cell r="E10" t="str">
            <v>INDUSTRIAL ENGINNERING LAB IV</v>
          </cell>
          <cell r="G10" t="str">
            <v>Opoku Richard</v>
          </cell>
        </row>
        <row r="11">
          <cell r="B11" t="str">
            <v>IE 455</v>
          </cell>
          <cell r="E11" t="str">
            <v>COSTING AND BREAK-EVEN ANALYSIS</v>
          </cell>
          <cell r="G11" t="str">
            <v>Mensah Lena Dzifa</v>
          </cell>
        </row>
        <row r="12">
          <cell r="B12" t="str">
            <v>IE 457</v>
          </cell>
          <cell r="E12" t="str">
            <v>ADVANCED MANUFACTURING TECHNOLOGY II</v>
          </cell>
          <cell r="G12" t="str">
            <v>Takyi Gabriel</v>
          </cell>
        </row>
        <row r="13">
          <cell r="B13" t="str">
            <v>IE 459</v>
          </cell>
          <cell r="E13" t="str">
            <v>RISK ANALYSIS</v>
          </cell>
          <cell r="G13" t="str">
            <v>Asiedu Charlotte</v>
          </cell>
        </row>
        <row r="14">
          <cell r="B14" t="str">
            <v>IE 461</v>
          </cell>
          <cell r="E14" t="str">
            <v>INDUSTRIAL SAFETY AND MANUFACTURING RELATIONS</v>
          </cell>
          <cell r="G14" t="str">
            <v>Asiedu Charlotte</v>
          </cell>
        </row>
        <row r="15">
          <cell r="B15" t="str">
            <v>IE 463</v>
          </cell>
          <cell r="E15" t="str">
            <v>FINAL YEAR PROJECT I</v>
          </cell>
          <cell r="G15" t="str">
            <v>Tay Godwin Fabiola Kwaku</v>
          </cell>
        </row>
        <row r="16">
          <cell r="B16" t="str">
            <v>ME 491</v>
          </cell>
          <cell r="E16" t="str">
            <v>ENGINEERING ECONOMY AND MANAGEMENT</v>
          </cell>
          <cell r="G16" t="str">
            <v>Mensah Lena Dzifa</v>
          </cell>
        </row>
        <row r="21">
          <cell r="B21" t="str">
            <v>EE 151</v>
          </cell>
          <cell r="E21" t="str">
            <v>APPLIED ELECTRICITY</v>
          </cell>
          <cell r="G21" t="str">
            <v>Acheampong Francisca Adoma</v>
          </cell>
        </row>
        <row r="22">
          <cell r="B22" t="str">
            <v>ENGL 157</v>
          </cell>
          <cell r="E22" t="str">
            <v>COMMUNICATION SKILLS I</v>
          </cell>
          <cell r="G22" t="str">
            <v>Yeboah Philomena Ama Okyeso</v>
          </cell>
        </row>
        <row r="23">
          <cell r="B23" t="str">
            <v>FC 181</v>
          </cell>
          <cell r="E23" t="str">
            <v>FRENCH FOR COMMUNICATION PURPOSES I</v>
          </cell>
          <cell r="G23" t="str">
            <v>Boakye-Agyeman Candy</v>
          </cell>
        </row>
        <row r="24">
          <cell r="B24" t="str">
            <v>MATH 151</v>
          </cell>
          <cell r="E24" t="str">
            <v>ALGEBRA</v>
          </cell>
          <cell r="G24" t="str">
            <v>Fosu Gabriel Obed</v>
          </cell>
        </row>
        <row r="25">
          <cell r="B25" t="str">
            <v>ME 157</v>
          </cell>
          <cell r="E25" t="str">
            <v>INTRODUCTION TO INFORMATION TECHNOLOGY</v>
          </cell>
          <cell r="G25" t="str">
            <v>Sekyere Charles Kofi Kafui</v>
          </cell>
        </row>
        <row r="26">
          <cell r="B26" t="str">
            <v>ME 159</v>
          </cell>
          <cell r="E26" t="str">
            <v>TECHNICAL DRAWING</v>
          </cell>
        </row>
        <row r="27">
          <cell r="B27" t="str">
            <v>MME 155</v>
          </cell>
          <cell r="E27" t="str">
            <v>INTRODUCTION TO OCEANOGRAPHY</v>
          </cell>
          <cell r="G27" t="str">
            <v>Miezah Kodwo</v>
          </cell>
        </row>
        <row r="28">
          <cell r="B28" t="str">
            <v>MME 195</v>
          </cell>
          <cell r="E28" t="str">
            <v>MARINE ENGINEERING TECHNOLOGY</v>
          </cell>
          <cell r="G28" t="str">
            <v>Amoabeng Kofi Owura</v>
          </cell>
        </row>
      </sheetData>
      <sheetData sheetId="46">
        <row r="8">
          <cell r="B8" t="str">
            <v>CENG 291</v>
          </cell>
          <cell r="E8" t="str">
            <v>ENGINEERING IN SOCIETY</v>
          </cell>
          <cell r="G8" t="str">
            <v>Adam Faisal Wahib</v>
          </cell>
        </row>
        <row r="9">
          <cell r="B9" t="str">
            <v>MATH 251</v>
          </cell>
          <cell r="E9" t="str">
            <v>DIFFERENTIAL EQUATIONS</v>
          </cell>
          <cell r="G9" t="str">
            <v>Boateng Maxwell Akwasi</v>
          </cell>
        </row>
        <row r="10">
          <cell r="B10" t="str">
            <v>ME 251</v>
          </cell>
          <cell r="E10" t="str">
            <v>INTRODUCTION TO FLUID MECHANICS</v>
          </cell>
          <cell r="G10" t="str">
            <v>Tay Godwin Fabiola Kwaku</v>
          </cell>
        </row>
        <row r="11">
          <cell r="B11" t="str">
            <v>ME 255</v>
          </cell>
          <cell r="E11" t="str">
            <v>STRENGTH OF MATERIALS I</v>
          </cell>
          <cell r="G11" t="str">
            <v>Dzebre Denis Edem Kwame</v>
          </cell>
        </row>
        <row r="12">
          <cell r="B12" t="str">
            <v>ME 259</v>
          </cell>
          <cell r="E12" t="str">
            <v>APPLICATIONS OF COMPUTER GRAPHICS</v>
          </cell>
          <cell r="G12" t="str">
            <v>Ayetor Godwin Kafui Kwesi</v>
          </cell>
        </row>
        <row r="13">
          <cell r="B13" t="str">
            <v>ME 261</v>
          </cell>
          <cell r="E13" t="str">
            <v>ENGINEERING MECHANICS II:DYNAMICS</v>
          </cell>
          <cell r="G13" t="str">
            <v>Ampofo Joshua</v>
          </cell>
        </row>
        <row r="14">
          <cell r="B14" t="str">
            <v>MME 281</v>
          </cell>
          <cell r="E14" t="str">
            <v>MARINE ENGINEERING MATERIALS</v>
          </cell>
          <cell r="G14" t="str">
            <v>Boahen Samuel</v>
          </cell>
        </row>
        <row r="15">
          <cell r="B15" t="str">
            <v>MME 291</v>
          </cell>
          <cell r="E15" t="str">
            <v>ECONOMICS AND COMMERCIAL GEOGRAPHY</v>
          </cell>
          <cell r="G15" t="str">
            <v>Bonuedi Isaac</v>
          </cell>
        </row>
        <row r="16">
          <cell r="B16" t="str">
            <v>SES 171</v>
          </cell>
          <cell r="E16" t="str">
            <v>FUNDAMENTALS OF ACQUATIC SKILLS</v>
          </cell>
          <cell r="G16" t="str">
            <v>Afrifa Daniel</v>
          </cell>
        </row>
      </sheetData>
      <sheetData sheetId="47">
        <row r="8">
          <cell r="B8" t="str">
            <v>MATH 351</v>
          </cell>
          <cell r="E8" t="str">
            <v>NUMERICAL ANALYSIS</v>
          </cell>
          <cell r="G8" t="str">
            <v>Awashie Gaston Edem</v>
          </cell>
        </row>
        <row r="9">
          <cell r="B9" t="str">
            <v>ME 361</v>
          </cell>
          <cell r="E9" t="str">
            <v>DYNAMICS OF MACHINERY</v>
          </cell>
          <cell r="G9" t="str">
            <v>Ampofo Joshua</v>
          </cell>
        </row>
        <row r="10">
          <cell r="B10" t="str">
            <v>ME 363</v>
          </cell>
          <cell r="E10" t="str">
            <v>AUTOMATIC CONTROL I</v>
          </cell>
          <cell r="G10" t="str">
            <v>Adam Faisal Wahib</v>
          </cell>
        </row>
        <row r="11">
          <cell r="B11" t="str">
            <v>MME 353</v>
          </cell>
          <cell r="E11" t="str">
            <v>MARINE ELECTRICAL TECHNOLOGY</v>
          </cell>
          <cell r="G11" t="str">
            <v>Frimpong Emmanuel Asuming</v>
          </cell>
        </row>
        <row r="12">
          <cell r="B12" t="str">
            <v>MME 355</v>
          </cell>
          <cell r="E12" t="str">
            <v>BASIC SHIP STRUCTURE</v>
          </cell>
          <cell r="G12" t="str">
            <v>Andoh Prince Yaw</v>
          </cell>
        </row>
        <row r="13">
          <cell r="B13" t="str">
            <v>MME 365</v>
          </cell>
          <cell r="E13" t="str">
            <v>ENGINEERING THERMODYNAMICS</v>
          </cell>
          <cell r="G13" t="str">
            <v>Amoabeng Kofi Owura</v>
          </cell>
        </row>
        <row r="14">
          <cell r="B14" t="str">
            <v>MME 373</v>
          </cell>
          <cell r="E14" t="str">
            <v>DESIGN OF MARINE MACHINE ELEMENTS</v>
          </cell>
          <cell r="G14" t="str">
            <v>Andoh Prince Yaw</v>
          </cell>
        </row>
        <row r="15">
          <cell r="B15" t="str">
            <v>MME 395</v>
          </cell>
          <cell r="E15" t="str">
            <v>MARINE ENGINEERING LABORATORY II</v>
          </cell>
          <cell r="G15" t="str">
            <v>Sackey Michael Nii</v>
          </cell>
        </row>
        <row r="16">
          <cell r="B16" t="str">
            <v>STAT 253</v>
          </cell>
          <cell r="E16" t="str">
            <v>PROBABILITY AND STATISTICS</v>
          </cell>
        </row>
      </sheetData>
      <sheetData sheetId="48">
        <row r="8">
          <cell r="B8" t="str">
            <v>ME 453</v>
          </cell>
          <cell r="E8" t="str">
            <v>HYDRAULICS AND PNEUMATICS</v>
          </cell>
          <cell r="G8" t="str">
            <v>Fiagbe Yesuenyeagbe Atsu Kwabla</v>
          </cell>
        </row>
        <row r="9">
          <cell r="B9" t="str">
            <v>MME 465</v>
          </cell>
          <cell r="E9" t="str">
            <v>MARINE AIR CONDITIONING AND REFRIGERATION</v>
          </cell>
          <cell r="G9" t="str">
            <v>Sekyere Charles Kofi Kafui</v>
          </cell>
        </row>
        <row r="10">
          <cell r="B10" t="str">
            <v>MME 467</v>
          </cell>
          <cell r="E10" t="str">
            <v>MARINE INTERNAL COMBUSTION ENGINES</v>
          </cell>
          <cell r="G10" t="str">
            <v>Amoabeng Kofi Owura</v>
          </cell>
        </row>
        <row r="11">
          <cell r="B11" t="str">
            <v>MME 473</v>
          </cell>
          <cell r="E11" t="str">
            <v>MARINE MACHINERY SYSTEM DESIGN</v>
          </cell>
          <cell r="G11" t="str">
            <v>Sackey Michael Nii</v>
          </cell>
        </row>
        <row r="12">
          <cell r="B12" t="str">
            <v>MME 491</v>
          </cell>
          <cell r="E12" t="str">
            <v>MARINE ENGINEERING ECONOMY, ACCOUNTING AND MANAGEMENT</v>
          </cell>
          <cell r="G12" t="str">
            <v>Mensah Lena Dzifa</v>
          </cell>
        </row>
        <row r="13">
          <cell r="B13" t="str">
            <v>MME 495</v>
          </cell>
          <cell r="E13" t="str">
            <v>MARINE ENGINEERING PRACTICAL</v>
          </cell>
          <cell r="G13" t="str">
            <v>Amoabeng Kofi Owura</v>
          </cell>
        </row>
        <row r="14">
          <cell r="B14" t="str">
            <v>MME 497</v>
          </cell>
          <cell r="E14" t="str">
            <v>FINAL YEAR PROJECT I</v>
          </cell>
          <cell r="G14" t="str">
            <v>Tay Godwin Fabiola Kwaku</v>
          </cell>
        </row>
        <row r="18">
          <cell r="B18" t="str">
            <v>EE 151</v>
          </cell>
          <cell r="E18" t="str">
            <v>APPLIED ELECTRICITY</v>
          </cell>
          <cell r="G18" t="str">
            <v>Oteng Gyasi Kwame</v>
          </cell>
        </row>
        <row r="19">
          <cell r="B19" t="str">
            <v>ENGL 157</v>
          </cell>
          <cell r="E19" t="str">
            <v>COMMUNICATION SKILLS I</v>
          </cell>
          <cell r="G19" t="str">
            <v>Alhassan Yakubu</v>
          </cell>
        </row>
        <row r="20">
          <cell r="B20" t="str">
            <v>MATH 151</v>
          </cell>
          <cell r="E20" t="str">
            <v>ALGEBRA</v>
          </cell>
          <cell r="G20" t="str">
            <v>Fosu Gabriel Obed</v>
          </cell>
        </row>
        <row r="21">
          <cell r="B21" t="str">
            <v>ME 159</v>
          </cell>
          <cell r="E21" t="str">
            <v>TECHNICAL DRAWING</v>
          </cell>
        </row>
        <row r="22">
          <cell r="B22" t="str">
            <v>ME 195</v>
          </cell>
          <cell r="E22" t="str">
            <v>ENGINEERING TECHNOLOGY I</v>
          </cell>
          <cell r="G22" t="str">
            <v>Adam Faisal Wahib</v>
          </cell>
        </row>
        <row r="23">
          <cell r="B23" t="str">
            <v>MSE 151</v>
          </cell>
          <cell r="E23" t="str">
            <v>INTRODUCTION TO THERMODYNAMICS OF MATERIALS</v>
          </cell>
          <cell r="G23" t="str">
            <v>Gikunoo Emmanuel</v>
          </cell>
        </row>
        <row r="24">
          <cell r="B24" t="str">
            <v>MSE 153</v>
          </cell>
          <cell r="E24" t="str">
            <v>INTRODUCTION TO INFORMATION TECHNOLOGY</v>
          </cell>
          <cell r="G24" t="str">
            <v>Okae James</v>
          </cell>
        </row>
        <row r="25">
          <cell r="B25" t="str">
            <v>MSE 155</v>
          </cell>
          <cell r="E25" t="str">
            <v>PRINCIPLES OF MATERIALS SCIENCE</v>
          </cell>
          <cell r="G25" t="str">
            <v>Nartey Martinson Addo</v>
          </cell>
        </row>
      </sheetData>
      <sheetData sheetId="49">
        <row r="8">
          <cell r="B8" t="str">
            <v>ACF 255</v>
          </cell>
          <cell r="E8" t="str">
            <v>FINANCIAL ACCOUNTING I</v>
          </cell>
          <cell r="G8" t="str">
            <v>Yeboah Edward</v>
          </cell>
        </row>
        <row r="9">
          <cell r="B9" t="str">
            <v>CENG 291</v>
          </cell>
          <cell r="E9" t="str">
            <v>ENGINEERING IN SOCIETY</v>
          </cell>
          <cell r="G9" t="str">
            <v>Koomson Bennetta</v>
          </cell>
        </row>
        <row r="10">
          <cell r="B10" t="str">
            <v>ECON 151</v>
          </cell>
          <cell r="E10" t="str">
            <v>INTRODUCTORY ECONOMICS I</v>
          </cell>
          <cell r="G10" t="str">
            <v>Takyi Paul Owusu</v>
          </cell>
        </row>
        <row r="11">
          <cell r="B11" t="str">
            <v>FC 181</v>
          </cell>
          <cell r="E11" t="str">
            <v>FRENCH FOR COMMUNICATION PURPOSES I</v>
          </cell>
          <cell r="G11" t="str">
            <v>Ocloo Alexander</v>
          </cell>
        </row>
        <row r="12">
          <cell r="B12" t="str">
            <v>MATH 251</v>
          </cell>
          <cell r="E12" t="str">
            <v>DIFFERENTIAL EQUATIONS</v>
          </cell>
          <cell r="G12" t="str">
            <v>Asamoah Joshua Kiddy Kwasi</v>
          </cell>
        </row>
        <row r="13">
          <cell r="B13" t="str">
            <v>MSE 251</v>
          </cell>
          <cell r="E13" t="str">
            <v>MOMENTUM TRANSPORT</v>
          </cell>
          <cell r="G13" t="str">
            <v>Adjaottor Albert Amatey</v>
          </cell>
        </row>
        <row r="14">
          <cell r="B14" t="str">
            <v>MSE 253</v>
          </cell>
          <cell r="E14" t="str">
            <v>MECHANICAL BEHAVIOUR OF MATERIALS</v>
          </cell>
          <cell r="G14" t="str">
            <v>Kwofie Samuel</v>
          </cell>
        </row>
        <row r="15">
          <cell r="B15" t="str">
            <v>MSE 255</v>
          </cell>
          <cell r="E15" t="str">
            <v>ELECTRICAL AND MAGNETIC BEHAVIOUR OF MATERIALS</v>
          </cell>
          <cell r="G15" t="str">
            <v>Dzikunu Perseverance</v>
          </cell>
        </row>
        <row r="16">
          <cell r="B16" t="str">
            <v>MSE 257</v>
          </cell>
          <cell r="E16" t="str">
            <v>MATERIALS PROCESSING</v>
          </cell>
        </row>
      </sheetData>
      <sheetData sheetId="50">
        <row r="8">
          <cell r="B8" t="str">
            <v>MSE 351</v>
          </cell>
          <cell r="E8" t="str">
            <v>ENGINEERING CERAMICS</v>
          </cell>
          <cell r="G8" t="str">
            <v>Andrews Anthony</v>
          </cell>
        </row>
        <row r="9">
          <cell r="B9" t="str">
            <v>MSE 353</v>
          </cell>
          <cell r="E9" t="str">
            <v>PYROMETALLURGY</v>
          </cell>
          <cell r="G9" t="str">
            <v>Agyemang Frank Ofori</v>
          </cell>
        </row>
        <row r="10">
          <cell r="B10" t="str">
            <v>MSE 355</v>
          </cell>
          <cell r="E10" t="str">
            <v>POLYMER PROCESSING</v>
          </cell>
          <cell r="G10" t="str">
            <v>Asare Eric Kwame Anokye</v>
          </cell>
        </row>
        <row r="11">
          <cell r="B11" t="str">
            <v>MSE 357</v>
          </cell>
          <cell r="E11" t="str">
            <v>FOUNDRY TECHNOLOGY</v>
          </cell>
          <cell r="G11" t="str">
            <v>Bota Osei Sekyere</v>
          </cell>
        </row>
        <row r="12">
          <cell r="B12" t="str">
            <v>MSE 361</v>
          </cell>
          <cell r="E12" t="str">
            <v>STRESS AND STRAIN ANALYSIS OF RIGID BODIES</v>
          </cell>
          <cell r="G12" t="str">
            <v>Mensah-Darkwa Kwadwo</v>
          </cell>
        </row>
        <row r="13">
          <cell r="B13" t="str">
            <v>STAT 253</v>
          </cell>
          <cell r="E13" t="str">
            <v>PROBABILITY AND STATISTICS</v>
          </cell>
          <cell r="G13" t="str">
            <v>Benteh David</v>
          </cell>
        </row>
        <row r="14">
          <cell r="B14" t="str">
            <v>MSE 359</v>
          </cell>
          <cell r="E14" t="str">
            <v>MATERIALS PROCESSING LABORATORY</v>
          </cell>
          <cell r="G14" t="str">
            <v>Dzikunu Perseverance</v>
          </cell>
        </row>
        <row r="15">
          <cell r="B15" t="str">
            <v>MSE 363</v>
          </cell>
          <cell r="E15" t="str">
            <v>MATERIALS CHARACTERIZATION TECHNIQUE</v>
          </cell>
          <cell r="G15" t="str">
            <v>Arthur Emmanuel Kwesi</v>
          </cell>
        </row>
      </sheetData>
      <sheetData sheetId="51">
        <row r="8">
          <cell r="B8" t="str">
            <v>ME 491</v>
          </cell>
          <cell r="E8" t="str">
            <v>ENGINEERING ECONOMY AND MANAGEMENT</v>
          </cell>
          <cell r="G8" t="str">
            <v>Mensah Lena Dzifa</v>
          </cell>
        </row>
        <row r="9">
          <cell r="B9" t="str">
            <v>MSE 451</v>
          </cell>
          <cell r="E9" t="str">
            <v>COMPOSITE MATERIALS</v>
          </cell>
          <cell r="G9" t="str">
            <v>Asare Eric Kwame Anokye</v>
          </cell>
        </row>
        <row r="10">
          <cell r="B10" t="str">
            <v>MSE 453</v>
          </cell>
          <cell r="E10" t="str">
            <v>CORROSION OF ENGINEERING MATERIALS</v>
          </cell>
        </row>
        <row r="11">
          <cell r="B11" t="str">
            <v>MSE 455</v>
          </cell>
          <cell r="E11" t="str">
            <v>FAILURE ANALYSIS AND NON-DESTRUCTIVE TESTING</v>
          </cell>
          <cell r="G11" t="str">
            <v>Arthur Emmanuel Kwesi</v>
          </cell>
        </row>
        <row r="12">
          <cell r="B12" t="str">
            <v>MSE 457</v>
          </cell>
          <cell r="E12" t="str">
            <v>METALWORKING PROCESSES</v>
          </cell>
          <cell r="G12" t="str">
            <v>Kwofie Samuel</v>
          </cell>
        </row>
        <row r="13">
          <cell r="B13" t="str">
            <v>MSE 459</v>
          </cell>
          <cell r="E13" t="str">
            <v>VACATION TRAINING</v>
          </cell>
          <cell r="G13" t="str">
            <v>Asare Eric Kwame Anokye</v>
          </cell>
        </row>
        <row r="14">
          <cell r="B14" t="str">
            <v>MSE 497</v>
          </cell>
          <cell r="E14" t="str">
            <v>FINAL YEAR PROJECT-PROPOSAL DEVELOPMENT</v>
          </cell>
          <cell r="G14" t="str">
            <v>Asare Eric Kwame Anokye</v>
          </cell>
        </row>
      </sheetData>
      <sheetData sheetId="52"/>
      <sheetData sheetId="53"/>
      <sheetData sheetId="54">
        <row r="19">
          <cell r="B19" t="str">
            <v>CE 155</v>
          </cell>
          <cell r="E19" t="str">
            <v>ENVIRONMENTAL STUDIES</v>
          </cell>
          <cell r="G19" t="str">
            <v>Awuah Esi</v>
          </cell>
        </row>
        <row r="20">
          <cell r="B20" t="str">
            <v>EE 151</v>
          </cell>
          <cell r="E20" t="str">
            <v>APPLIED ELECTRICITY</v>
          </cell>
          <cell r="G20" t="str">
            <v>Affum Emmanuel Ampoma</v>
          </cell>
        </row>
        <row r="21">
          <cell r="B21" t="str">
            <v>ENGL 157</v>
          </cell>
          <cell r="E21" t="str">
            <v>COMMUNICATION SKILLS I</v>
          </cell>
          <cell r="G21" t="str">
            <v>Yeboah Philomena Ama Okyeso</v>
          </cell>
        </row>
        <row r="22">
          <cell r="B22" t="str">
            <v>MATH 151</v>
          </cell>
          <cell r="E22" t="str">
            <v>ALGEBRA</v>
          </cell>
          <cell r="G22" t="str">
            <v>Asamoah Joshua Kiddy Kwasi</v>
          </cell>
        </row>
        <row r="23">
          <cell r="B23" t="str">
            <v>ME 157</v>
          </cell>
          <cell r="E23" t="str">
            <v>INTRODUCTION TO INFORMATION TECHNOLOGY</v>
          </cell>
          <cell r="G23" t="str">
            <v>Sackey Michael Nii</v>
          </cell>
        </row>
        <row r="24">
          <cell r="B24" t="str">
            <v>ME 159</v>
          </cell>
          <cell r="E24" t="str">
            <v>TECHNICAL DRAWING</v>
          </cell>
          <cell r="G24" t="str">
            <v>Sunnu Albert Kojo</v>
          </cell>
        </row>
        <row r="25">
          <cell r="B25" t="str">
            <v>ME 195</v>
          </cell>
          <cell r="E25" t="str">
            <v>ENGINEERING TECHNOLOGY</v>
          </cell>
          <cell r="G25" t="str">
            <v>Agyei Agyemang Anthony</v>
          </cell>
        </row>
      </sheetData>
      <sheetData sheetId="55">
        <row r="8">
          <cell r="B8" t="str">
            <v>CENG 291</v>
          </cell>
          <cell r="E8" t="str">
            <v>ENGINEERING IN SOCIETY</v>
          </cell>
          <cell r="G8" t="str">
            <v>Boahen Samuel</v>
          </cell>
        </row>
        <row r="9">
          <cell r="B9" t="str">
            <v>MATH 251</v>
          </cell>
          <cell r="E9" t="str">
            <v>DIFFERENTIAL EQUATIONS</v>
          </cell>
          <cell r="G9" t="str">
            <v>Boateng Maxwell Akwasi</v>
          </cell>
        </row>
        <row r="10">
          <cell r="B10" t="str">
            <v>ME 251</v>
          </cell>
          <cell r="E10" t="str">
            <v>INTRODUCTION TO FLUID MECHANICS</v>
          </cell>
          <cell r="G10" t="str">
            <v>Fiagbe Yesuenyeagbe Atsu Kwabla</v>
          </cell>
        </row>
        <row r="11">
          <cell r="B11" t="str">
            <v>ME 255</v>
          </cell>
          <cell r="E11" t="str">
            <v>STRENGTH OF MATERIALS I</v>
          </cell>
          <cell r="G11" t="str">
            <v>Andoh Prince Yaw</v>
          </cell>
        </row>
        <row r="12">
          <cell r="B12" t="str">
            <v>ME 259</v>
          </cell>
          <cell r="E12" t="str">
            <v>APPLICATIONS OF COMPUTER GRAPHICS</v>
          </cell>
          <cell r="G12" t="str">
            <v>Sackey Michael Nii</v>
          </cell>
        </row>
        <row r="13">
          <cell r="B13" t="str">
            <v>ME 261</v>
          </cell>
          <cell r="E13" t="str">
            <v>ENGINEERING MECHANICS II: DYNAMICS</v>
          </cell>
          <cell r="G13" t="str">
            <v>Ampofo Joshua</v>
          </cell>
        </row>
        <row r="14">
          <cell r="B14" t="str">
            <v>ME 281</v>
          </cell>
          <cell r="E14" t="str">
            <v>ENGINEERING MATERIALS I</v>
          </cell>
          <cell r="G14" t="str">
            <v>Amoabeng Kofi Owura</v>
          </cell>
        </row>
        <row r="15">
          <cell r="B15" t="str">
            <v>ME 295</v>
          </cell>
          <cell r="E15" t="str">
            <v>MECHANICAL ENGINEERING LAB. I</v>
          </cell>
          <cell r="G15" t="str">
            <v>Quansah David Ato</v>
          </cell>
        </row>
      </sheetData>
      <sheetData sheetId="56">
        <row r="8">
          <cell r="B8" t="str">
            <v>ECON 151</v>
          </cell>
          <cell r="E8" t="str">
            <v>INTRODUCTION TO ECONOMICS I</v>
          </cell>
          <cell r="G8" t="str">
            <v>Takyi Paul Owusu</v>
          </cell>
        </row>
        <row r="9">
          <cell r="B9" t="str">
            <v>MATH 351</v>
          </cell>
          <cell r="E9" t="str">
            <v>NUMERICAL ANALYSIS</v>
          </cell>
          <cell r="G9" t="str">
            <v>Azure Isaac</v>
          </cell>
        </row>
        <row r="10">
          <cell r="B10" t="str">
            <v>ME 361</v>
          </cell>
          <cell r="E10" t="str">
            <v>DYNAMICS OF MACHINERY</v>
          </cell>
          <cell r="G10" t="str">
            <v>Sackey Samuel Mensah</v>
          </cell>
        </row>
        <row r="11">
          <cell r="B11" t="str">
            <v>ME 363</v>
          </cell>
          <cell r="E11" t="str">
            <v xml:space="preserve">AUTOMATIC CONTROL </v>
          </cell>
          <cell r="G11" t="str">
            <v>Adam Faisal Wahib</v>
          </cell>
        </row>
        <row r="12">
          <cell r="B12" t="str">
            <v>ME 365</v>
          </cell>
          <cell r="E12" t="str">
            <v>THERMODYNAMICS  II</v>
          </cell>
          <cell r="G12" t="str">
            <v>Forson Francis Kofi</v>
          </cell>
        </row>
        <row r="13">
          <cell r="B13" t="str">
            <v>ME 373</v>
          </cell>
          <cell r="E13" t="str">
            <v>MACHINE ELEMENTS DESIGN I</v>
          </cell>
          <cell r="G13" t="str">
            <v>Davis Francis</v>
          </cell>
        </row>
        <row r="14">
          <cell r="B14" t="str">
            <v>ME 395</v>
          </cell>
          <cell r="E14" t="str">
            <v>MECHANICAL ENGINEERING LAB. III</v>
          </cell>
          <cell r="G14" t="str">
            <v>Boahen Samuel</v>
          </cell>
        </row>
        <row r="15">
          <cell r="B15" t="str">
            <v>STAT 253</v>
          </cell>
          <cell r="E15" t="str">
            <v>PROBABILITY AND STATISTICS</v>
          </cell>
          <cell r="G15" t="str">
            <v>Amoako-Yirenkyi Carole Fredua</v>
          </cell>
        </row>
      </sheetData>
      <sheetData sheetId="57">
        <row r="8">
          <cell r="B8" t="str">
            <v>ME 465</v>
          </cell>
          <cell r="E8" t="str">
            <v>AIR CONDITIONING AND REFRIGERATION</v>
          </cell>
          <cell r="G8" t="str">
            <v>Sekyere Charles Kofi Kafui</v>
          </cell>
        </row>
        <row r="9">
          <cell r="B9" t="str">
            <v>ME 467</v>
          </cell>
          <cell r="E9" t="str">
            <v>RENEWABLE ENERGY CONVERSION</v>
          </cell>
          <cell r="G9" t="str">
            <v>Quansah David Ato</v>
          </cell>
        </row>
        <row r="10">
          <cell r="B10" t="str">
            <v>ME 453</v>
          </cell>
          <cell r="E10" t="str">
            <v>HYDRAULICS AND PNEUMATICS</v>
          </cell>
          <cell r="G10" t="str">
            <v>Fiagbe Yesuenyeagbe Atsu Kwabla</v>
          </cell>
        </row>
        <row r="11">
          <cell r="B11" t="str">
            <v>ME 455</v>
          </cell>
          <cell r="E11" t="str">
            <v>FINITE ELEMENT METHODS</v>
          </cell>
          <cell r="G11" t="str">
            <v>Andoh Prince Yaw</v>
          </cell>
        </row>
        <row r="12">
          <cell r="B12" t="str">
            <v>ME 471</v>
          </cell>
          <cell r="E12" t="str">
            <v>MACHINE TOOLS DESIGN</v>
          </cell>
          <cell r="G12" t="str">
            <v>Obeng George Yaw</v>
          </cell>
        </row>
        <row r="13">
          <cell r="B13" t="str">
            <v>ME 473</v>
          </cell>
          <cell r="E13" t="str">
            <v>COMPUTER AIDED DESIGN AND MANUFACTURING</v>
          </cell>
          <cell r="G13" t="str">
            <v>Afriyie Nyarko Frank Kwabena</v>
          </cell>
        </row>
        <row r="14">
          <cell r="B14" t="str">
            <v>ME 477</v>
          </cell>
          <cell r="E14" t="str">
            <v>PRODUCTION ENGINEERING</v>
          </cell>
          <cell r="G14" t="str">
            <v>Obeng George Yaw</v>
          </cell>
        </row>
        <row r="15">
          <cell r="B15" t="str">
            <v>ME 483</v>
          </cell>
          <cell r="E15" t="str">
            <v>MECHATRONICS</v>
          </cell>
          <cell r="G15" t="str">
            <v>Sackey Samuel Mensah</v>
          </cell>
        </row>
        <row r="16">
          <cell r="B16" t="str">
            <v>ME 491</v>
          </cell>
          <cell r="E16" t="str">
            <v>ENGINEERING ECONOMY AND MANAGEMENT</v>
          </cell>
          <cell r="G16" t="str">
            <v>Mensah Lena Dzifa</v>
          </cell>
        </row>
        <row r="17">
          <cell r="B17" t="str">
            <v>ME 497</v>
          </cell>
          <cell r="E17" t="str">
            <v>FINAL YEAR PROJECT I</v>
          </cell>
          <cell r="G17" t="str">
            <v>Tay Godwin Fabiola Kwaku</v>
          </cell>
        </row>
        <row r="18">
          <cell r="B18" t="str">
            <v>MECH 493</v>
          </cell>
          <cell r="E18" t="str">
            <v>INDUSTRIAL ATTACHMENT</v>
          </cell>
          <cell r="G18" t="str">
            <v>Boahen Samuel</v>
          </cell>
        </row>
        <row r="19">
          <cell r="B19" t="str">
            <v>ME 451</v>
          </cell>
          <cell r="E19" t="str">
            <v>BEHAVIOUR OF REAL FLUIDS</v>
          </cell>
          <cell r="G19" t="str">
            <v>Opoku Richard</v>
          </cell>
        </row>
      </sheetData>
      <sheetData sheetId="58"/>
      <sheetData sheetId="59"/>
      <sheetData sheetId="60">
        <row r="35">
          <cell r="B35" t="str">
            <v>EE 151</v>
          </cell>
          <cell r="E35" t="str">
            <v>APPLIED ELECTRICITY</v>
          </cell>
        </row>
        <row r="36">
          <cell r="B36" t="str">
            <v>ENGL 157</v>
          </cell>
          <cell r="E36" t="str">
            <v>COMMUNICATION SKILLS I</v>
          </cell>
          <cell r="G36" t="str">
            <v>Alhassan Yakubu</v>
          </cell>
        </row>
        <row r="37">
          <cell r="B37" t="str">
            <v>MATH 151</v>
          </cell>
          <cell r="E37" t="str">
            <v>ALGEBRA</v>
          </cell>
          <cell r="G37" t="str">
            <v>Fosu Gabriel Obed</v>
          </cell>
        </row>
        <row r="38">
          <cell r="B38" t="str">
            <v>ME 159</v>
          </cell>
          <cell r="E38" t="str">
            <v>TECHNICAL DRAWING</v>
          </cell>
          <cell r="G38" t="str">
            <v>Oppong Tawiah Peter</v>
          </cell>
        </row>
        <row r="39">
          <cell r="B39" t="str">
            <v>ME 195</v>
          </cell>
          <cell r="E39" t="str">
            <v>ENGINEERING TECHNOLOGY I</v>
          </cell>
          <cell r="G39" t="str">
            <v>Amoabeng Kofi Owura</v>
          </cell>
        </row>
        <row r="40">
          <cell r="B40" t="str">
            <v>METE 151</v>
          </cell>
          <cell r="E40" t="str">
            <v>INTRODUCTION TO METALLURGICAL ENGINEERING</v>
          </cell>
          <cell r="G40" t="str">
            <v>Koomson Bennetta</v>
          </cell>
        </row>
        <row r="41">
          <cell r="B41" t="str">
            <v>MSE 153</v>
          </cell>
          <cell r="E41" t="str">
            <v>INTRODUCTION TO INFORMATION TECHNOLOGY</v>
          </cell>
          <cell r="G41" t="str">
            <v>Okae James</v>
          </cell>
        </row>
        <row r="42">
          <cell r="B42" t="str">
            <v>MSE 155</v>
          </cell>
          <cell r="E42" t="str">
            <v>PRINCIPLES OF MATERIALS SCIENCE</v>
          </cell>
          <cell r="G42" t="str">
            <v>Nartey Martinson Addo</v>
          </cell>
        </row>
      </sheetData>
      <sheetData sheetId="61">
        <row r="8">
          <cell r="B8" t="str">
            <v>CENG 291</v>
          </cell>
          <cell r="E8" t="str">
            <v>ENGINEERING IN SOCIETY</v>
          </cell>
          <cell r="G8" t="str">
            <v>Koomson Bennetta</v>
          </cell>
        </row>
        <row r="9">
          <cell r="B9" t="str">
            <v>GED 251</v>
          </cell>
          <cell r="E9" t="str">
            <v>MINERALOGY</v>
          </cell>
          <cell r="G9" t="str">
            <v>Wilson Matthew Coffie</v>
          </cell>
        </row>
        <row r="10">
          <cell r="B10" t="str">
            <v>MATH 251</v>
          </cell>
          <cell r="E10" t="str">
            <v>DIFFERENTIAL EQUATIONS</v>
          </cell>
          <cell r="G10" t="str">
            <v>Asamoah Joshua Kiddy Kwasi</v>
          </cell>
        </row>
        <row r="11">
          <cell r="B11" t="str">
            <v>METE 251</v>
          </cell>
          <cell r="E11" t="str">
            <v>METALLURGICAL THERMODYNAMICS</v>
          </cell>
          <cell r="G11" t="str">
            <v>Gikunoo Emmanuel</v>
          </cell>
        </row>
        <row r="12">
          <cell r="B12" t="str">
            <v>MSE 251</v>
          </cell>
          <cell r="E12" t="str">
            <v>MOMENTUM TRANSPORT</v>
          </cell>
          <cell r="G12" t="str">
            <v>Adjaottor Albert Amatey</v>
          </cell>
        </row>
        <row r="13">
          <cell r="B13" t="str">
            <v>MSE 253</v>
          </cell>
          <cell r="E13" t="str">
            <v>MECHANICAL BEHAVIOUR OF MATERIALS</v>
          </cell>
          <cell r="G13" t="str">
            <v>Kwofie Samuel</v>
          </cell>
        </row>
        <row r="14">
          <cell r="B14" t="str">
            <v>MSE 255</v>
          </cell>
          <cell r="E14" t="str">
            <v>ELECTRICAL AND MAGNETIC BEHAVIOUR OF MATERIALS</v>
          </cell>
        </row>
        <row r="15">
          <cell r="B15" t="str">
            <v>SOC 255</v>
          </cell>
          <cell r="E15" t="str">
            <v>INTRODDUCTION TO RURAL SOCIOLOGY</v>
          </cell>
        </row>
      </sheetData>
      <sheetData sheetId="62">
        <row r="8">
          <cell r="B8" t="str">
            <v>METE 355</v>
          </cell>
          <cell r="E8" t="str">
            <v>METALLURGICAL PROCESSING LABORATORY</v>
          </cell>
        </row>
        <row r="9">
          <cell r="B9" t="str">
            <v>MSE 363</v>
          </cell>
          <cell r="E9" t="str">
            <v>MATERIALS CHARACTERIZATION TECHNIQUE</v>
          </cell>
        </row>
        <row r="10">
          <cell r="B10" t="str">
            <v>METE 351</v>
          </cell>
          <cell r="E10" t="str">
            <v>PRINCIPLES OF HYDROMETALLURGY</v>
          </cell>
          <cell r="G10" t="str">
            <v>Koomson Bennetta</v>
          </cell>
        </row>
        <row r="11">
          <cell r="B11" t="str">
            <v>METE 353</v>
          </cell>
          <cell r="E11" t="str">
            <v>STRENGTH OF MATERIALS</v>
          </cell>
          <cell r="G11" t="str">
            <v>Mensah-Darkwa Kwadwo</v>
          </cell>
        </row>
        <row r="12">
          <cell r="B12" t="str">
            <v>MSE 353</v>
          </cell>
          <cell r="E12" t="str">
            <v>PYROMETALLURGY</v>
          </cell>
          <cell r="G12" t="str">
            <v>Agyemang Frank Ofori</v>
          </cell>
        </row>
        <row r="13">
          <cell r="B13" t="str">
            <v>MSE 357</v>
          </cell>
          <cell r="E13" t="str">
            <v>FOUNDRY TECHNOLOGY</v>
          </cell>
          <cell r="G13" t="str">
            <v>Bota Osei Sekyere</v>
          </cell>
        </row>
        <row r="14">
          <cell r="B14" t="str">
            <v>SOC 255</v>
          </cell>
          <cell r="E14" t="str">
            <v>INTRODUCTION TO RURAL SOCIOLOGY</v>
          </cell>
          <cell r="G14" t="str">
            <v>Boateng Kwabena</v>
          </cell>
        </row>
        <row r="15">
          <cell r="B15" t="str">
            <v>STAT 253</v>
          </cell>
          <cell r="E15" t="str">
            <v>PROBABILITY AND STATISTICS</v>
          </cell>
          <cell r="G15" t="str">
            <v>Benteh David</v>
          </cell>
        </row>
      </sheetData>
      <sheetData sheetId="63">
        <row r="8">
          <cell r="B8" t="str">
            <v>ME 491</v>
          </cell>
          <cell r="E8" t="str">
            <v>ENGINEERING ECONOMY AND MANAGEMENT</v>
          </cell>
          <cell r="G8" t="str">
            <v>Mensah Lena Dzifa</v>
          </cell>
        </row>
        <row r="9">
          <cell r="B9" t="str">
            <v>METE 451</v>
          </cell>
          <cell r="E9" t="str">
            <v>METALLURGICAL PLANT DESIGN/OPERATIONS</v>
          </cell>
          <cell r="G9" t="str">
            <v>Koomson Bennetta</v>
          </cell>
        </row>
        <row r="10">
          <cell r="B10" t="str">
            <v>METE 453</v>
          </cell>
          <cell r="E10" t="str">
            <v>METALLURGICAL FAILURE ANALYSIS AND NDTs</v>
          </cell>
          <cell r="G10" t="str">
            <v>Arthur Emmanuel Kwesi</v>
          </cell>
        </row>
        <row r="11">
          <cell r="B11" t="str">
            <v>METE 455</v>
          </cell>
          <cell r="E11" t="str">
            <v>INDUSTRIAL ATTACHMENT AND FIELD TRIP</v>
          </cell>
          <cell r="G11" t="str">
            <v>Asare Eric Kwame Anokye</v>
          </cell>
        </row>
        <row r="12">
          <cell r="B12" t="str">
            <v>METE 457</v>
          </cell>
          <cell r="E12" t="str">
            <v>CORROSION OF ENGINEERING MATERIALS</v>
          </cell>
        </row>
        <row r="13">
          <cell r="B13" t="str">
            <v>METE 497</v>
          </cell>
          <cell r="E13" t="str">
            <v>FINAL YEAR PROJECT-PROPOSAL DEVELOPMENT</v>
          </cell>
          <cell r="G13" t="str">
            <v>Asare Eric Kwame Anokye</v>
          </cell>
        </row>
        <row r="14">
          <cell r="E14" t="str">
            <v>METAL FORMING PROCESSES</v>
          </cell>
        </row>
      </sheetData>
      <sheetData sheetId="64"/>
      <sheetData sheetId="65"/>
      <sheetData sheetId="66">
        <row r="18">
          <cell r="B18" t="str">
            <v>CHE 151</v>
          </cell>
          <cell r="E18" t="str">
            <v>INORGANIC CHEMISTRY FOR ENGINEERS</v>
          </cell>
          <cell r="G18" t="str">
            <v>Opoku Francis</v>
          </cell>
        </row>
        <row r="19">
          <cell r="B19" t="str">
            <v>CHE 153</v>
          </cell>
          <cell r="E19" t="str">
            <v>ORGANIC CHEMISTRY FOR ENGINEERS</v>
          </cell>
          <cell r="G19" t="str">
            <v>Laryea Michael Konney</v>
          </cell>
        </row>
        <row r="20">
          <cell r="B20" t="str">
            <v>CHEM 169</v>
          </cell>
          <cell r="E20" t="str">
            <v>PRACTICAL CHEMISTRY I</v>
          </cell>
          <cell r="G20" t="str">
            <v>Opoku Francis</v>
          </cell>
        </row>
        <row r="21">
          <cell r="B21" t="str">
            <v>EE 151</v>
          </cell>
          <cell r="E21" t="str">
            <v>APPLIED ELECTRICITY</v>
          </cell>
        </row>
        <row r="22">
          <cell r="B22" t="str">
            <v>ENGL 157</v>
          </cell>
          <cell r="E22" t="str">
            <v>COMMUNICATION SKILLS I</v>
          </cell>
        </row>
        <row r="23">
          <cell r="B23" t="str">
            <v>MATH 151</v>
          </cell>
          <cell r="E23" t="str">
            <v>ALGEBRA</v>
          </cell>
        </row>
        <row r="24">
          <cell r="B24" t="str">
            <v>ME 159</v>
          </cell>
          <cell r="E24" t="str">
            <v>TECHNICAL DRAWING</v>
          </cell>
          <cell r="G24" t="str">
            <v>Boahen Samuel</v>
          </cell>
        </row>
      </sheetData>
      <sheetData sheetId="67">
        <row r="8">
          <cell r="B8" t="str">
            <v>CENG 291</v>
          </cell>
          <cell r="E8" t="str">
            <v>ENGINEERING IN SOCIETY</v>
          </cell>
          <cell r="G8" t="str">
            <v>Kwao-Boateng Emmanuela</v>
          </cell>
        </row>
        <row r="9">
          <cell r="B9" t="str">
            <v>CHE 257</v>
          </cell>
          <cell r="E9" t="str">
            <v>ANALYTICAL CHEMISTRY FOR CHEMICAL ENGINEERS</v>
          </cell>
          <cell r="G9" t="str">
            <v>Boakye Patrick</v>
          </cell>
        </row>
        <row r="10">
          <cell r="B10" t="str">
            <v>CHE 251</v>
          </cell>
          <cell r="E10" t="str">
            <v>CHEMICAL PROCESS CALCULATIONS I</v>
          </cell>
          <cell r="G10" t="str">
            <v>Ohemeng-Boahen Godfred</v>
          </cell>
        </row>
        <row r="11">
          <cell r="B11" t="str">
            <v>CHE 253</v>
          </cell>
          <cell r="E11" t="str">
            <v>CHEMICAL ENGINEERING THERMODYNAMICS I</v>
          </cell>
          <cell r="G11" t="str">
            <v>Dogbe Eunice Sefakor Aku</v>
          </cell>
        </row>
        <row r="12">
          <cell r="B12" t="str">
            <v>PCE 253</v>
          </cell>
          <cell r="E12" t="str">
            <v>INTRODUCTION TO PETROCHEMICAL INDUSTRIES</v>
          </cell>
          <cell r="G12" t="str">
            <v>Baidoo Martina Francisca</v>
          </cell>
        </row>
        <row r="14">
          <cell r="B14" t="str">
            <v>CHE 255</v>
          </cell>
          <cell r="E14" t="str">
            <v>FLUID TRANSPORT</v>
          </cell>
          <cell r="G14" t="str">
            <v>Dogbe Eunice Sefakor Aku</v>
          </cell>
        </row>
        <row r="15">
          <cell r="B15" t="str">
            <v>CHE 261</v>
          </cell>
          <cell r="E15" t="str">
            <v>COMPUTER APPLICATIONS FOR ENGINEERS</v>
          </cell>
          <cell r="G15" t="str">
            <v>Bonsu Jude Kwaku</v>
          </cell>
        </row>
        <row r="16">
          <cell r="B16" t="str">
            <v>MATH 251</v>
          </cell>
          <cell r="E16" t="str">
            <v>DIFFERENTIAL EQUATIONS</v>
          </cell>
          <cell r="G16" t="str">
            <v>Eghan Rhydal Esi</v>
          </cell>
        </row>
      </sheetData>
      <sheetData sheetId="68">
        <row r="8">
          <cell r="B8" t="str">
            <v>CHE 365</v>
          </cell>
          <cell r="E8" t="str">
            <v>FERTILIZER TECHNOLOGY</v>
          </cell>
          <cell r="G8" t="str">
            <v>Darkwah Lawrence</v>
          </cell>
        </row>
        <row r="9">
          <cell r="B9" t="str">
            <v>ECON 151</v>
          </cell>
          <cell r="E9" t="str">
            <v>INTRODUCTORY ECONOMICS I</v>
          </cell>
          <cell r="G9" t="str">
            <v>Takyi Paul Owusu</v>
          </cell>
        </row>
        <row r="10">
          <cell r="B10" t="str">
            <v>FC 181</v>
          </cell>
          <cell r="E10" t="str">
            <v>FRENCH FOR COMMUNICATION PURPOSES I</v>
          </cell>
          <cell r="G10" t="str">
            <v>Darko Jeel Pharis</v>
          </cell>
        </row>
        <row r="11">
          <cell r="B11" t="str">
            <v>PCE 355</v>
          </cell>
          <cell r="E11" t="str">
            <v>FIRE AND SAFETY ENGINEERING</v>
          </cell>
          <cell r="G11" t="str">
            <v>Momade Zsuzsanna Gál</v>
          </cell>
        </row>
        <row r="12">
          <cell r="B12" t="str">
            <v>PCE 359</v>
          </cell>
          <cell r="E12" t="str">
            <v>PETROLEUM FLUID PROPERTIES</v>
          </cell>
          <cell r="G12" t="str">
            <v>Adenutsi Caspar Daniel</v>
          </cell>
        </row>
        <row r="13">
          <cell r="B13" t="str">
            <v>CHE 357</v>
          </cell>
          <cell r="E13" t="str">
            <v>EXPERIMENTAL DATA ANALYSIS</v>
          </cell>
          <cell r="G13" t="str">
            <v>Kwao-Boateng Emmanuela</v>
          </cell>
        </row>
        <row r="14">
          <cell r="B14" t="str">
            <v>PCE 351</v>
          </cell>
          <cell r="E14" t="str">
            <v>SEPARATION PROCESSES I</v>
          </cell>
          <cell r="G14" t="str">
            <v>Dogbe Eunice Sefakor Aku</v>
          </cell>
        </row>
        <row r="15">
          <cell r="B15" t="str">
            <v>CHE 363</v>
          </cell>
          <cell r="E15" t="str">
            <v>POLYMER TECHNOLOGY</v>
          </cell>
          <cell r="G15" t="str">
            <v>Boakye Patrick</v>
          </cell>
        </row>
        <row r="16">
          <cell r="B16" t="str">
            <v>PCE 353</v>
          </cell>
          <cell r="E16" t="str">
            <v>PETROCHEMICAL ENGINEERING LABORATORY I</v>
          </cell>
          <cell r="G16" t="str">
            <v>Mensah Mary</v>
          </cell>
        </row>
        <row r="17">
          <cell r="B17" t="str">
            <v>PCE 357</v>
          </cell>
          <cell r="E17" t="str">
            <v>ORGANIC AND PETROCHEMICAL SYNTHESIS</v>
          </cell>
          <cell r="G17" t="str">
            <v>Mensah Mary</v>
          </cell>
        </row>
      </sheetData>
      <sheetData sheetId="69">
        <row r="8">
          <cell r="B8" t="str">
            <v>CHE 451</v>
          </cell>
          <cell r="E8" t="str">
            <v>CHEMICAL PROCESS DESIGN AND ECONOMICS</v>
          </cell>
          <cell r="G8" t="str">
            <v>Afotey Benjamin</v>
          </cell>
        </row>
        <row r="9">
          <cell r="B9" t="str">
            <v>CHE 455</v>
          </cell>
          <cell r="E9" t="str">
            <v>PROCESS CONTROL AND INSTRUMENTATION</v>
          </cell>
        </row>
        <row r="10">
          <cell r="B10" t="str">
            <v>CHE 461</v>
          </cell>
          <cell r="E10" t="str">
            <v>COMPUTER OPTIMIZATION METHOD</v>
          </cell>
          <cell r="G10" t="str">
            <v>Bonsu Jude Kwaku</v>
          </cell>
        </row>
        <row r="11">
          <cell r="B11" t="str">
            <v>CHE 463</v>
          </cell>
          <cell r="E11" t="str">
            <v>ELECTROCHEMICAL TECHNOLOGY</v>
          </cell>
          <cell r="G11" t="str">
            <v>Anang Daniel Adjah</v>
          </cell>
        </row>
        <row r="12">
          <cell r="B12" t="str">
            <v>CHE 471</v>
          </cell>
          <cell r="E12" t="str">
            <v>PHARMACEUTICAL TECHNOLOGY</v>
          </cell>
          <cell r="G12" t="str">
            <v>Johnson Raphael</v>
          </cell>
        </row>
        <row r="13">
          <cell r="B13" t="str">
            <v>PCE 451</v>
          </cell>
          <cell r="E13" t="str">
            <v>CATALYSIS</v>
          </cell>
          <cell r="G13" t="str">
            <v>Baidoo Martina Francisca</v>
          </cell>
        </row>
        <row r="14">
          <cell r="B14" t="str">
            <v>PCE 453</v>
          </cell>
          <cell r="E14" t="str">
            <v>PROJECT I</v>
          </cell>
          <cell r="G14" t="str">
            <v>Afotey Benjamin</v>
          </cell>
        </row>
        <row r="15">
          <cell r="B15" t="str">
            <v>PCE 455</v>
          </cell>
          <cell r="E15" t="str">
            <v>POLLUTION CONTROL IN PETROCHEMICAL INDUSTRY</v>
          </cell>
          <cell r="G15" t="str">
            <v>Kwao-Boateng Emmanuela</v>
          </cell>
        </row>
        <row r="16">
          <cell r="B16" t="str">
            <v>PCE 457</v>
          </cell>
          <cell r="E16" t="str">
            <v>CORROSION ENGINEERING</v>
          </cell>
          <cell r="G16" t="str">
            <v>Anang Daniel Adjah</v>
          </cell>
        </row>
        <row r="17">
          <cell r="B17" t="str">
            <v>PCE 461</v>
          </cell>
          <cell r="E17" t="str">
            <v>FUEL AND COMBUSTION TECHNOLOGY</v>
          </cell>
          <cell r="G17" t="str">
            <v>Ohemeng-Boahen Godfred</v>
          </cell>
        </row>
        <row r="22">
          <cell r="B22" t="str">
            <v>CHEM 169</v>
          </cell>
          <cell r="E22" t="str">
            <v>PRACTICAL CHEMISTRY I</v>
          </cell>
          <cell r="G22" t="str">
            <v>Opoku Francis</v>
          </cell>
        </row>
        <row r="23">
          <cell r="B23" t="str">
            <v>EE 151</v>
          </cell>
          <cell r="E23" t="str">
            <v>APPLIED ELECTRICITY</v>
          </cell>
          <cell r="G23" t="str">
            <v>Ellis Sani Mubarak</v>
          </cell>
        </row>
        <row r="24">
          <cell r="B24" t="str">
            <v>ENGL 157</v>
          </cell>
          <cell r="E24" t="str">
            <v>COMMUNICATION SKILLS I</v>
          </cell>
          <cell r="G24" t="str">
            <v>Alhassan Yakubu</v>
          </cell>
        </row>
        <row r="25">
          <cell r="B25" t="str">
            <v>MATH 151</v>
          </cell>
          <cell r="E25" t="str">
            <v>ALGEBRA</v>
          </cell>
          <cell r="G25" t="str">
            <v>Kwabi Prince Amponsah</v>
          </cell>
        </row>
        <row r="26">
          <cell r="B26" t="str">
            <v>ME 159</v>
          </cell>
          <cell r="E26" t="str">
            <v>TECHNICAL DRAWING</v>
          </cell>
          <cell r="G26" t="str">
            <v>Oppong Tawiah Peter</v>
          </cell>
        </row>
        <row r="27">
          <cell r="B27" t="str">
            <v>PE 151</v>
          </cell>
          <cell r="E27" t="str">
            <v>INORGANIC CHEMISTRY FOR ENGINEERS</v>
          </cell>
          <cell r="G27" t="str">
            <v>Opoku Francis</v>
          </cell>
        </row>
        <row r="28">
          <cell r="B28" t="str">
            <v>PE 153</v>
          </cell>
          <cell r="E28" t="str">
            <v>ORGANIC CHEMISTRY FOR ENGINEERS</v>
          </cell>
          <cell r="G28" t="str">
            <v>Laryea Michael Konney</v>
          </cell>
        </row>
        <row r="29">
          <cell r="B29" t="str">
            <v>PE 155</v>
          </cell>
          <cell r="E29" t="str">
            <v>INTRODUCTION TO INFORMATION TECHNOLOGY</v>
          </cell>
          <cell r="G29" t="str">
            <v>Sokama-Neuyam Yen Adams</v>
          </cell>
        </row>
      </sheetData>
      <sheetData sheetId="70">
        <row r="8">
          <cell r="B8" t="str">
            <v>CENG 291</v>
          </cell>
          <cell r="E8" t="str">
            <v>ENGINEERING IN SOCIETY</v>
          </cell>
          <cell r="G8" t="str">
            <v>Erzuah Samuel</v>
          </cell>
        </row>
        <row r="9">
          <cell r="B9" t="str">
            <v>MATH 251</v>
          </cell>
          <cell r="E9" t="str">
            <v>DIFFERENTIAL EQUATIONS</v>
          </cell>
          <cell r="G9" t="str">
            <v>Eghan Rhydal Esi</v>
          </cell>
        </row>
        <row r="10">
          <cell r="B10" t="str">
            <v>ME 255</v>
          </cell>
          <cell r="E10" t="str">
            <v>STRENGTH OF MATERIALS I</v>
          </cell>
          <cell r="G10" t="str">
            <v>Andoh Prince Yaw</v>
          </cell>
        </row>
        <row r="11">
          <cell r="B11" t="str">
            <v>PE 251</v>
          </cell>
          <cell r="E11" t="str">
            <v>RESERVOIR ENGINEERING I</v>
          </cell>
          <cell r="G11" t="str">
            <v>Adenutsi Caspar Daniel</v>
          </cell>
        </row>
        <row r="12">
          <cell r="B12" t="str">
            <v>PE 253</v>
          </cell>
          <cell r="E12" t="str">
            <v>BASIC GEOLOGY</v>
          </cell>
          <cell r="G12" t="str">
            <v>Quaye Jonathan Atuquaye</v>
          </cell>
        </row>
        <row r="13">
          <cell r="B13" t="str">
            <v>PE 255</v>
          </cell>
          <cell r="E13" t="str">
            <v>FLUID MECHANICS</v>
          </cell>
          <cell r="G13" t="str">
            <v>Adjei Stephen</v>
          </cell>
        </row>
        <row r="14">
          <cell r="B14" t="str">
            <v>PE 257</v>
          </cell>
          <cell r="E14" t="str">
            <v>PETROLEUM ENGINEERING THERMODYNAMICS I</v>
          </cell>
          <cell r="G14" t="str">
            <v>Sokama-Neuyam Yen Adams</v>
          </cell>
        </row>
        <row r="15">
          <cell r="B15" t="str">
            <v>PE 259</v>
          </cell>
          <cell r="E15" t="str">
            <v>SURVIVAL SWIMMING TECHNIQUES</v>
          </cell>
          <cell r="G15" t="str">
            <v>Gyamfi Isaac</v>
          </cell>
        </row>
      </sheetData>
      <sheetData sheetId="71">
        <row r="8">
          <cell r="B8" t="str">
            <v>PE 351</v>
          </cell>
          <cell r="E8" t="str">
            <v>PETROLEUM ROCK MECHANICS</v>
          </cell>
          <cell r="G8" t="str">
            <v>Erzuah Samuel</v>
          </cell>
        </row>
        <row r="9">
          <cell r="B9" t="str">
            <v>PE 353</v>
          </cell>
          <cell r="E9" t="str">
            <v>DRILLING ENGINEERING I</v>
          </cell>
          <cell r="G9" t="str">
            <v>Adjei Stephen</v>
          </cell>
        </row>
        <row r="10">
          <cell r="B10" t="str">
            <v>PE 355</v>
          </cell>
          <cell r="E10" t="str">
            <v>PETROLEUM ENGINEERING LABORATORY I</v>
          </cell>
          <cell r="G10" t="str">
            <v>Adenutsi Caspar Daniel</v>
          </cell>
        </row>
        <row r="11">
          <cell r="B11" t="str">
            <v>PE 357</v>
          </cell>
          <cell r="E11" t="str">
            <v>PETROLEUM PRODUCTION ENGINEERING I</v>
          </cell>
          <cell r="G11" t="str">
            <v>Sarkodie Kwame</v>
          </cell>
        </row>
        <row r="12">
          <cell r="B12" t="str">
            <v>PE 359</v>
          </cell>
          <cell r="E12" t="str">
            <v>RESERVOIR PETROPHYSICS</v>
          </cell>
          <cell r="G12" t="str">
            <v>Erzuah Samuel</v>
          </cell>
        </row>
        <row r="13">
          <cell r="B13" t="str">
            <v>PE 361</v>
          </cell>
          <cell r="E13" t="str">
            <v>RESERVOIR ENGINEERING II</v>
          </cell>
          <cell r="G13" t="str">
            <v>Adenutsi Caspar Daniel</v>
          </cell>
        </row>
        <row r="14">
          <cell r="B14" t="str">
            <v>PE 363</v>
          </cell>
          <cell r="E14" t="str">
            <v>FORMATION EVALUATION</v>
          </cell>
          <cell r="G14" t="str">
            <v>Borkloe Julius Kwame</v>
          </cell>
        </row>
        <row r="15">
          <cell r="B15" t="str">
            <v>PE 367</v>
          </cell>
          <cell r="E15" t="str">
            <v>STATISTICS FOR PETROLEUM ENGINEERS</v>
          </cell>
          <cell r="G15" t="str">
            <v>Adjei Stephen</v>
          </cell>
        </row>
      </sheetData>
      <sheetData sheetId="72">
        <row r="8">
          <cell r="B8" t="str">
            <v>PCE 461</v>
          </cell>
          <cell r="E8" t="str">
            <v>FUEL AND COMBUSTION TECHNOLOGY</v>
          </cell>
          <cell r="G8" t="str">
            <v>Ohemeng-Boahen Godfred</v>
          </cell>
        </row>
        <row r="9">
          <cell r="B9" t="str">
            <v>PE 451</v>
          </cell>
          <cell r="E9" t="str">
            <v>PETROLEUM ECONOMICS</v>
          </cell>
          <cell r="G9" t="str">
            <v>Quaye Jonathan Atuquaye</v>
          </cell>
        </row>
        <row r="10">
          <cell r="B10" t="str">
            <v>PE 453</v>
          </cell>
          <cell r="E10" t="str">
            <v>DESIGN PROJECT I</v>
          </cell>
          <cell r="G10" t="str">
            <v>Adenutsi Caspar Daniel</v>
          </cell>
        </row>
        <row r="11">
          <cell r="B11" t="str">
            <v>PE 455</v>
          </cell>
          <cell r="E11" t="str">
            <v>RESERVOIR SIMULATION</v>
          </cell>
          <cell r="G11" t="str">
            <v>Ampomah William</v>
          </cell>
        </row>
        <row r="12">
          <cell r="B12" t="str">
            <v>PE 457</v>
          </cell>
          <cell r="E12" t="str">
            <v>INTEGRATED FIELD DESIGN</v>
          </cell>
          <cell r="G12" t="str">
            <v>Erzuah Samuel</v>
          </cell>
        </row>
        <row r="13">
          <cell r="B13" t="str">
            <v>PE 459</v>
          </cell>
          <cell r="E13" t="str">
            <v>NATURAL GAS ENGINEERING I</v>
          </cell>
          <cell r="G13" t="str">
            <v>Sarkodie Kwame</v>
          </cell>
        </row>
        <row r="14">
          <cell r="B14" t="str">
            <v>PE 465</v>
          </cell>
          <cell r="E14" t="str">
            <v>INSTRUMENTATION AND CONTROL</v>
          </cell>
          <cell r="G14" t="str">
            <v>Sarkodie Kwame</v>
          </cell>
        </row>
        <row r="15">
          <cell r="B15" t="str">
            <v>PE 471</v>
          </cell>
          <cell r="E15" t="str">
            <v>FIELD TRIP AND INDUSTRIAL ATTACHMENT</v>
          </cell>
          <cell r="G15" t="str">
            <v>Adjei Stephen</v>
          </cell>
        </row>
        <row r="16">
          <cell r="B16" t="str">
            <v>PE 473</v>
          </cell>
          <cell r="E16" t="str">
            <v>SAFETY AND RELIABILITY ENGINEERING</v>
          </cell>
          <cell r="G16" t="str">
            <v>Quaye Jonathan Atuquaye</v>
          </cell>
        </row>
        <row r="21">
          <cell r="B21" t="str">
            <v>CE 155</v>
          </cell>
          <cell r="E21" t="str">
            <v>ENVIRONMENTAL STUDIES</v>
          </cell>
          <cell r="G21" t="str">
            <v>Buamah Richard Akwasi</v>
          </cell>
        </row>
        <row r="22">
          <cell r="B22" t="str">
            <v>EE 151</v>
          </cell>
          <cell r="E22" t="str">
            <v>APPLIED ELECTRICITY</v>
          </cell>
          <cell r="G22" t="str">
            <v>Abdul-Rahman Ahmed</v>
          </cell>
        </row>
        <row r="23">
          <cell r="B23" t="str">
            <v>EE 153</v>
          </cell>
          <cell r="E23" t="str">
            <v>ENGINEERING TECHNOLOGY</v>
          </cell>
          <cell r="G23" t="str">
            <v>Oteng Gyasi Kwame</v>
          </cell>
        </row>
        <row r="24">
          <cell r="B24" t="str">
            <v>ENGL 157</v>
          </cell>
          <cell r="E24" t="str">
            <v>COMMUNICATION SKILLS I</v>
          </cell>
          <cell r="G24" t="str">
            <v>Alhassan Yakubu</v>
          </cell>
        </row>
        <row r="25">
          <cell r="B25" t="str">
            <v>ME 159</v>
          </cell>
          <cell r="E25" t="str">
            <v>TECHNICAL DRAWING</v>
          </cell>
        </row>
        <row r="26">
          <cell r="B26" t="str">
            <v>ME 161</v>
          </cell>
          <cell r="E26" t="str">
            <v>BASIC MECHANICS</v>
          </cell>
          <cell r="G26" t="str">
            <v>Oppong Tawiah Peter</v>
          </cell>
        </row>
        <row r="27">
          <cell r="B27" t="str">
            <v>MATH 151</v>
          </cell>
          <cell r="E27" t="str">
            <v>ALGEBRA</v>
          </cell>
          <cell r="G27" t="str">
            <v>Adu-Ansah Lawton</v>
          </cell>
        </row>
      </sheetData>
      <sheetData sheetId="73">
        <row r="8">
          <cell r="B8" t="str">
            <v>ACF 255</v>
          </cell>
          <cell r="E8" t="str">
            <v>FINANCIAL ACCOUNTING I</v>
          </cell>
          <cell r="G8" t="str">
            <v>Yeboah Edward</v>
          </cell>
        </row>
        <row r="9">
          <cell r="B9" t="str">
            <v>CENG 291</v>
          </cell>
          <cell r="E9" t="str">
            <v>ENGINEERING IN SOCIETY</v>
          </cell>
          <cell r="G9" t="str">
            <v>Agyemang Justice Owusu</v>
          </cell>
        </row>
        <row r="10">
          <cell r="B10" t="str">
            <v>ECON 151</v>
          </cell>
          <cell r="E10" t="str">
            <v>INTRODUCTORY ECONOMICS I</v>
          </cell>
          <cell r="G10" t="str">
            <v>Takyi Paul Owusu</v>
          </cell>
        </row>
        <row r="11">
          <cell r="B11" t="str">
            <v>EE 287</v>
          </cell>
          <cell r="E11" t="str">
            <v>CIRCUIT THEORY</v>
          </cell>
          <cell r="G11" t="str">
            <v>Gadze James Dzisi</v>
          </cell>
        </row>
        <row r="12">
          <cell r="B12" t="str">
            <v>MATH 251</v>
          </cell>
          <cell r="E12" t="str">
            <v>DIFFERENTIAL EQUATIONS</v>
          </cell>
          <cell r="G12" t="str">
            <v>Wireko Fredrick Asenso</v>
          </cell>
        </row>
        <row r="13">
          <cell r="B13" t="str">
            <v>TE 251</v>
          </cell>
          <cell r="E13" t="str">
            <v>ANALOG COMMUNICATION SYSTEMS</v>
          </cell>
          <cell r="G13" t="str">
            <v>Affum Emmanuel Ampoma</v>
          </cell>
        </row>
        <row r="14">
          <cell r="B14" t="str">
            <v>TE 253</v>
          </cell>
          <cell r="E14" t="str">
            <v>DIGITAL SYSTEMS</v>
          </cell>
          <cell r="G14" t="str">
            <v>Obour Agyekum Kwame Opuni-Boachie</v>
          </cell>
        </row>
        <row r="15">
          <cell r="B15" t="str">
            <v>TE 255</v>
          </cell>
          <cell r="E15" t="str">
            <v>INTRODUCTION TO PROGRAMMING II</v>
          </cell>
          <cell r="G15" t="str">
            <v>Agyemang Justice Owusu</v>
          </cell>
        </row>
        <row r="16">
          <cell r="B16" t="str">
            <v>TE 291</v>
          </cell>
          <cell r="E16" t="str">
            <v>ANALOG COMMUNICATION LAB</v>
          </cell>
          <cell r="G16" t="str">
            <v>Affum Emmanuel Ampoma</v>
          </cell>
        </row>
        <row r="17">
          <cell r="B17" t="str">
            <v>FC 181</v>
          </cell>
          <cell r="E17" t="str">
            <v>FRENCH FOR COMMUNICATION PURPOSES I</v>
          </cell>
          <cell r="G17" t="str">
            <v>Ocloo Alexander</v>
          </cell>
        </row>
      </sheetData>
      <sheetData sheetId="74">
        <row r="8">
          <cell r="B8" t="str">
            <v>EE 371</v>
          </cell>
          <cell r="E8" t="str">
            <v>MICROELECTRONIC CIRCUITS</v>
          </cell>
          <cell r="G8" t="str">
            <v>Acheampong Francisca Adoma</v>
          </cell>
        </row>
        <row r="9">
          <cell r="B9" t="str">
            <v>MATH 351</v>
          </cell>
          <cell r="E9" t="str">
            <v>NUMERICAL ANALYSIS</v>
          </cell>
          <cell r="G9" t="str">
            <v>Awashie Gaston Edem</v>
          </cell>
        </row>
        <row r="10">
          <cell r="B10" t="str">
            <v>TE 351</v>
          </cell>
          <cell r="E10" t="str">
            <v>INFORMATION THEORY AND CODING</v>
          </cell>
          <cell r="G10" t="str">
            <v>Obour Agyekum Kwame Opuni-Boachie</v>
          </cell>
        </row>
        <row r="11">
          <cell r="B11" t="str">
            <v>TE 353</v>
          </cell>
          <cell r="E11" t="str">
            <v>RANDOM VARIABLES AND STOCHASTIC PROCESSES</v>
          </cell>
          <cell r="G11" t="str">
            <v>Obour Agyekum Kwame Opuni-Boachie</v>
          </cell>
        </row>
        <row r="12">
          <cell r="B12" t="str">
            <v>TE 355</v>
          </cell>
          <cell r="E12" t="str">
            <v>SIGNALS AND SYSTEMS</v>
          </cell>
          <cell r="G12" t="str">
            <v>Agyekum Kwame Agyeman-Prempeh</v>
          </cell>
        </row>
        <row r="13">
          <cell r="B13" t="str">
            <v>TE 357</v>
          </cell>
          <cell r="E13" t="str">
            <v>OPTICAL COMMUNICATION</v>
          </cell>
          <cell r="G13" t="str">
            <v>Gadze James Dzisi</v>
          </cell>
        </row>
        <row r="14">
          <cell r="B14" t="str">
            <v>TE 391</v>
          </cell>
          <cell r="E14" t="str">
            <v>OPTICAL COMMUNICATION LAB</v>
          </cell>
          <cell r="G14" t="str">
            <v>Acheampong Francisca Adoma</v>
          </cell>
        </row>
      </sheetData>
      <sheetData sheetId="75">
        <row r="9">
          <cell r="B9" t="str">
            <v>TE 451</v>
          </cell>
          <cell r="E9" t="str">
            <v>FUNDAMENTALS OF NETWORK SECURITY</v>
          </cell>
          <cell r="G9" t="str">
            <v>Agyemang Justice Owusu</v>
          </cell>
        </row>
        <row r="10">
          <cell r="B10" t="str">
            <v>TE 457</v>
          </cell>
          <cell r="E10" t="str">
            <v>EMERGING TRENDS IN COMMUNICATION</v>
          </cell>
          <cell r="G10" t="str">
            <v>Kponyo Jerry John</v>
          </cell>
        </row>
        <row r="11">
          <cell r="B11" t="str">
            <v>TE 455</v>
          </cell>
          <cell r="E11" t="str">
            <v>MICROWAVE ENGINEERING</v>
          </cell>
          <cell r="G11" t="str">
            <v>Abdul-Rahman Ahmed</v>
          </cell>
        </row>
        <row r="12">
          <cell r="B12" t="str">
            <v>TE 453</v>
          </cell>
          <cell r="E12" t="str">
            <v>MOBILE AND WIRELESS COMMUNICATIONS</v>
          </cell>
          <cell r="G12" t="str">
            <v>Agyekum Kwame Agyeman-Prempeh</v>
          </cell>
        </row>
        <row r="13">
          <cell r="B13" t="str">
            <v>TE 459</v>
          </cell>
          <cell r="E13" t="str">
            <v>INDUSTRIAL PLACEMENT</v>
          </cell>
          <cell r="G13" t="str">
            <v>Opare Kwasi Adu-Boahen</v>
          </cell>
        </row>
        <row r="14">
          <cell r="B14" t="str">
            <v>TE 497</v>
          </cell>
          <cell r="E14" t="str">
            <v>PROJECT I</v>
          </cell>
        </row>
        <row r="15">
          <cell r="B15" t="str">
            <v>TE 463</v>
          </cell>
          <cell r="E15" t="str">
            <v>AVIATION COMMUNICATION</v>
          </cell>
          <cell r="G15" t="str">
            <v>Obeng Kwakye Kingsford Sarkodie</v>
          </cell>
        </row>
        <row r="16">
          <cell r="E16" t="str">
            <v>DIGITAL INTEGRATED CIRCUITS</v>
          </cell>
          <cell r="G16" t="str">
            <v>Affum Emmanuel Ampoma</v>
          </cell>
        </row>
      </sheetData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COMBINED_ATTD_INV (3)"/>
      <sheetName val="Schedule_Invigilators"/>
    </sheetNames>
    <sheetDataSet>
      <sheetData sheetId="0"/>
      <sheetData sheetId="1">
        <row r="351">
          <cell r="A351" t="str">
            <v>LT</v>
          </cell>
          <cell r="B351" t="str">
            <v>Mohammed Bakang//</v>
          </cell>
          <cell r="C351" t="str">
            <v>Mohammed Bakang</v>
          </cell>
          <cell r="D351"/>
          <cell r="E351"/>
        </row>
        <row r="352">
          <cell r="A352" t="str">
            <v>RM A</v>
          </cell>
          <cell r="B352" t="str">
            <v>Derrick Owusu Mensah//</v>
          </cell>
          <cell r="C352" t="str">
            <v>Derrick Owusu Mensah</v>
          </cell>
          <cell r="D352"/>
          <cell r="E352"/>
        </row>
        <row r="353">
          <cell r="A353" t="str">
            <v>RM B</v>
          </cell>
          <cell r="B353" t="str">
            <v>Mercy Nimako//</v>
          </cell>
          <cell r="C353" t="str">
            <v>Mercy Nimako</v>
          </cell>
          <cell r="D353"/>
          <cell r="E353"/>
        </row>
        <row r="354">
          <cell r="A354" t="str">
            <v>VSLA</v>
          </cell>
          <cell r="B354" t="str">
            <v>Issaka Ali Sambo/Paul Dery/</v>
          </cell>
          <cell r="C354" t="str">
            <v>Issaka Ali Sambo</v>
          </cell>
          <cell r="D354" t="str">
            <v>Paul Dery</v>
          </cell>
          <cell r="E354"/>
        </row>
        <row r="355">
          <cell r="A355">
            <v>206</v>
          </cell>
          <cell r="B355" t="str">
            <v>Edward Kpetege//</v>
          </cell>
          <cell r="C355" t="str">
            <v>Edward Kpetege</v>
          </cell>
          <cell r="D355"/>
          <cell r="E355"/>
        </row>
        <row r="356">
          <cell r="A356">
            <v>303</v>
          </cell>
          <cell r="B356" t="str">
            <v>Benjamin Opoku Atuahene//</v>
          </cell>
          <cell r="C356" t="str">
            <v>Benjamin Opoku Atuahene</v>
          </cell>
          <cell r="D356"/>
          <cell r="E356"/>
        </row>
        <row r="357">
          <cell r="A357">
            <v>304</v>
          </cell>
          <cell r="B357" t="str">
            <v>Eric Soku//</v>
          </cell>
          <cell r="C357" t="str">
            <v>Eric Soku</v>
          </cell>
          <cell r="D357"/>
          <cell r="E357"/>
        </row>
        <row r="358">
          <cell r="A358" t="str">
            <v>N1</v>
          </cell>
          <cell r="B358" t="str">
            <v>Marian Bemma//</v>
          </cell>
          <cell r="C358" t="str">
            <v>Marian Bemma</v>
          </cell>
          <cell r="D358"/>
          <cell r="E358"/>
        </row>
        <row r="359">
          <cell r="A359" t="str">
            <v>N2</v>
          </cell>
          <cell r="B359" t="str">
            <v>Derrick Amoateng//</v>
          </cell>
          <cell r="C359" t="str">
            <v>Derrick Amoateng</v>
          </cell>
          <cell r="D359"/>
          <cell r="E359"/>
        </row>
        <row r="360">
          <cell r="A360" t="str">
            <v>PB001</v>
          </cell>
          <cell r="B360" t="str">
            <v>John Ofosu//</v>
          </cell>
          <cell r="C360" t="str">
            <v>John Ofosu</v>
          </cell>
          <cell r="D360"/>
          <cell r="E360"/>
        </row>
        <row r="361">
          <cell r="A361" t="str">
            <v>PB020</v>
          </cell>
          <cell r="B361" t="str">
            <v>Owusu Stephen Akuoku/Evans Korletey/</v>
          </cell>
          <cell r="C361" t="str">
            <v>Owusu Stephen Akuoku</v>
          </cell>
          <cell r="D361" t="str">
            <v>Evans Korletey</v>
          </cell>
          <cell r="E361"/>
        </row>
        <row r="362">
          <cell r="A362" t="str">
            <v>PB014</v>
          </cell>
          <cell r="B362" t="str">
            <v>Kofi Bentum/Linda Berko/</v>
          </cell>
          <cell r="C362" t="str">
            <v>Kofi Bentum</v>
          </cell>
          <cell r="D362" t="str">
            <v>Linda Berko</v>
          </cell>
          <cell r="E362"/>
        </row>
        <row r="363">
          <cell r="A363" t="str">
            <v>PB008</v>
          </cell>
          <cell r="B363" t="str">
            <v>Richmond Awotwe//</v>
          </cell>
          <cell r="C363" t="str">
            <v>Richmond Awotwe</v>
          </cell>
          <cell r="D363"/>
          <cell r="E363"/>
        </row>
        <row r="364">
          <cell r="A364" t="str">
            <v>PB201</v>
          </cell>
          <cell r="B364" t="str">
            <v>Joseph Benneth Kankam//</v>
          </cell>
          <cell r="C364" t="str">
            <v>Joseph Benneth Kankam</v>
          </cell>
          <cell r="D364"/>
          <cell r="E364"/>
        </row>
        <row r="365">
          <cell r="A365" t="str">
            <v>PB214</v>
          </cell>
          <cell r="B365" t="str">
            <v>Desmond Adu-Yeboah/Fatawu Yakubu/</v>
          </cell>
          <cell r="C365" t="str">
            <v>Desmond Adu-Yeboah</v>
          </cell>
          <cell r="D365" t="str">
            <v>Fatawu Yakubu</v>
          </cell>
          <cell r="E365"/>
        </row>
        <row r="366">
          <cell r="A366" t="str">
            <v>PB212</v>
          </cell>
          <cell r="B366" t="str">
            <v>Clement Appiah//</v>
          </cell>
          <cell r="C366" t="str">
            <v>Clement Appiah</v>
          </cell>
          <cell r="D366"/>
          <cell r="E366"/>
        </row>
        <row r="367">
          <cell r="A367" t="str">
            <v>PB208</v>
          </cell>
          <cell r="B367" t="str">
            <v>Godfred Appiah//</v>
          </cell>
          <cell r="C367" t="str">
            <v>Godfred Appiah</v>
          </cell>
          <cell r="D367"/>
          <cell r="E367"/>
        </row>
        <row r="368">
          <cell r="A368" t="str">
            <v>VCR</v>
          </cell>
          <cell r="B368" t="str">
            <v>Ruth Adwubi Sarfo//</v>
          </cell>
          <cell r="C368" t="str">
            <v>Ruth Adwubi Sarfo</v>
          </cell>
          <cell r="D368"/>
          <cell r="E368"/>
        </row>
        <row r="369">
          <cell r="A369" t="str">
            <v>ECR</v>
          </cell>
          <cell r="B369" t="str">
            <v>Sandra Essel//</v>
          </cell>
          <cell r="C369" t="str">
            <v>Sandra Essel</v>
          </cell>
          <cell r="D369"/>
          <cell r="E369"/>
        </row>
        <row r="370">
          <cell r="A370" t="str">
            <v>A110</v>
          </cell>
          <cell r="B370" t="str">
            <v>Gifty Edem Senyaglo//</v>
          </cell>
          <cell r="C370" t="str">
            <v>Gifty Edem Senyaglo</v>
          </cell>
          <cell r="D370"/>
          <cell r="E370"/>
        </row>
        <row r="371">
          <cell r="A371" t="str">
            <v>EA</v>
          </cell>
          <cell r="B371" t="str">
            <v>Kwadwo Afful//</v>
          </cell>
          <cell r="C371" t="str">
            <v>Kwadwo Afful</v>
          </cell>
          <cell r="D371"/>
          <cell r="E371"/>
        </row>
        <row r="372">
          <cell r="A372" t="str">
            <v>NAF1</v>
          </cell>
          <cell r="B372" t="str">
            <v>Loretta Owusu Ansah/Adjatu Busali/</v>
          </cell>
          <cell r="C372" t="str">
            <v>Loretta Owusu Ansah</v>
          </cell>
          <cell r="D372" t="str">
            <v>Adjatu Busali</v>
          </cell>
          <cell r="E372"/>
        </row>
        <row r="373">
          <cell r="A373" t="str">
            <v>NEB SF1</v>
          </cell>
          <cell r="B373" t="str">
            <v>Micheal Obbo/Bernard Annan/Abigail Akos Worlanyo</v>
          </cell>
          <cell r="C373" t="str">
            <v>Micheal Obbo</v>
          </cell>
          <cell r="D373" t="str">
            <v>Bernard Annan</v>
          </cell>
          <cell r="E373" t="str">
            <v>Abigail Akos Worlanyo</v>
          </cell>
        </row>
        <row r="374">
          <cell r="A374" t="str">
            <v>NEB GF1</v>
          </cell>
          <cell r="B374" t="str">
            <v>Clement Dadzie/Perseverance Dzikunu/Benjamin Nana Oduro Konadu</v>
          </cell>
          <cell r="C374" t="str">
            <v>Clement Dadzie</v>
          </cell>
          <cell r="D374" t="str">
            <v>Perseverance Dzikunu</v>
          </cell>
          <cell r="E374" t="str">
            <v>Benjamin Nana Oduro Konadu</v>
          </cell>
        </row>
        <row r="375">
          <cell r="A375" t="str">
            <v>NEB FF1</v>
          </cell>
          <cell r="B375" t="str">
            <v>Kingsley Kyei Baffour/Bright Andoh-Baidoo/</v>
          </cell>
          <cell r="C375" t="str">
            <v>Kingsley Kyei Baffour</v>
          </cell>
          <cell r="D375" t="str">
            <v>Bright Andoh-Baidoo</v>
          </cell>
          <cell r="E375"/>
        </row>
        <row r="376">
          <cell r="A376" t="str">
            <v>NEB FF2</v>
          </cell>
          <cell r="B376" t="str">
            <v>Ernest Dapaah//</v>
          </cell>
          <cell r="C376" t="str">
            <v>Ernest Dapaah</v>
          </cell>
          <cell r="D376"/>
          <cell r="E376"/>
        </row>
        <row r="377">
          <cell r="A377"/>
          <cell r="B377"/>
          <cell r="C377"/>
          <cell r="D377"/>
          <cell r="E377"/>
        </row>
        <row r="378">
          <cell r="A378" t="str">
            <v>ROOM NO</v>
          </cell>
          <cell r="B378" t="str">
            <v>ATTENDANTS/</v>
          </cell>
          <cell r="C378" t="str">
            <v>ATTENDANTS</v>
          </cell>
          <cell r="D378"/>
          <cell r="E378"/>
        </row>
        <row r="379">
          <cell r="A379" t="str">
            <v>LT</v>
          </cell>
          <cell r="B379" t="str">
            <v>Reuben Asare Bediako//</v>
          </cell>
          <cell r="C379" t="str">
            <v>Reuben Asare Bediako</v>
          </cell>
          <cell r="D379"/>
          <cell r="E379"/>
        </row>
        <row r="380">
          <cell r="A380" t="str">
            <v>RM A</v>
          </cell>
          <cell r="B380" t="str">
            <v>George Ansong//</v>
          </cell>
          <cell r="C380" t="str">
            <v>George Ansong</v>
          </cell>
          <cell r="D380"/>
          <cell r="E380"/>
        </row>
        <row r="381">
          <cell r="A381" t="str">
            <v>RM B</v>
          </cell>
          <cell r="B381" t="str">
            <v>Derrick Owusu Mensah//</v>
          </cell>
          <cell r="C381" t="str">
            <v>Derrick Owusu Mensah</v>
          </cell>
          <cell r="D381"/>
          <cell r="E381"/>
        </row>
        <row r="382">
          <cell r="A382" t="str">
            <v>VSLA</v>
          </cell>
          <cell r="B382" t="str">
            <v>Sandra Essel/Paul Dery/</v>
          </cell>
          <cell r="C382" t="str">
            <v>Sandra Essel</v>
          </cell>
          <cell r="D382" t="str">
            <v>Paul Dery</v>
          </cell>
          <cell r="E382"/>
        </row>
        <row r="383">
          <cell r="A383">
            <v>206</v>
          </cell>
          <cell r="B383" t="str">
            <v>Edward Kpetege//</v>
          </cell>
          <cell r="C383" t="str">
            <v>Edward Kpetege</v>
          </cell>
          <cell r="D383"/>
          <cell r="E383"/>
        </row>
        <row r="384">
          <cell r="A384">
            <v>303</v>
          </cell>
          <cell r="B384" t="str">
            <v>Benjamin Opoku Atuahene//</v>
          </cell>
          <cell r="C384" t="str">
            <v>Benjamin Opoku Atuahene</v>
          </cell>
          <cell r="D384"/>
          <cell r="E384"/>
        </row>
        <row r="385">
          <cell r="A385">
            <v>304</v>
          </cell>
          <cell r="B385" t="str">
            <v>Eric Soku//</v>
          </cell>
          <cell r="C385" t="str">
            <v>Eric Soku</v>
          </cell>
          <cell r="D385"/>
          <cell r="E385"/>
        </row>
        <row r="386">
          <cell r="A386" t="str">
            <v>N1</v>
          </cell>
          <cell r="B386" t="str">
            <v>Abigail Akos Worlanyo//</v>
          </cell>
          <cell r="C386" t="str">
            <v>Abigail Akos Worlanyo</v>
          </cell>
          <cell r="D386"/>
          <cell r="E386"/>
        </row>
        <row r="387">
          <cell r="A387" t="str">
            <v>PB001</v>
          </cell>
          <cell r="B387" t="str">
            <v>John Ofosu//</v>
          </cell>
          <cell r="C387" t="str">
            <v>John Ofosu</v>
          </cell>
          <cell r="D387"/>
          <cell r="E387"/>
        </row>
        <row r="388">
          <cell r="A388" t="str">
            <v>PB020</v>
          </cell>
          <cell r="B388" t="str">
            <v>Owusu Stephen Akuoku/Michael Owusu/</v>
          </cell>
          <cell r="C388" t="str">
            <v>Owusu Stephen Akuoku</v>
          </cell>
          <cell r="D388" t="str">
            <v>Michael Owusu</v>
          </cell>
          <cell r="E388"/>
        </row>
        <row r="389">
          <cell r="A389" t="str">
            <v>PB014</v>
          </cell>
          <cell r="B389" t="str">
            <v>Rener Oppong/Fiifi Turkson/</v>
          </cell>
          <cell r="C389" t="str">
            <v>Rener Oppong</v>
          </cell>
          <cell r="D389" t="str">
            <v>Fiifi Turkson</v>
          </cell>
          <cell r="E389"/>
        </row>
        <row r="390">
          <cell r="A390" t="str">
            <v>PB008</v>
          </cell>
          <cell r="B390" t="str">
            <v>Rebecca Yamoah//</v>
          </cell>
          <cell r="C390" t="str">
            <v>Rebecca Yamoah</v>
          </cell>
          <cell r="D390"/>
          <cell r="E390"/>
        </row>
        <row r="391">
          <cell r="A391" t="str">
            <v>PB201</v>
          </cell>
          <cell r="B391" t="str">
            <v>Joseph Benneth Kankam//</v>
          </cell>
          <cell r="C391" t="str">
            <v>Joseph Benneth Kankam</v>
          </cell>
          <cell r="D391"/>
          <cell r="E391"/>
        </row>
        <row r="392">
          <cell r="A392" t="str">
            <v>PB214</v>
          </cell>
          <cell r="B392" t="str">
            <v>Evans Korletey/Fatawu Yakubu/</v>
          </cell>
          <cell r="C392" t="str">
            <v>Evans Korletey</v>
          </cell>
          <cell r="D392" t="str">
            <v>Fatawu Yakubu</v>
          </cell>
          <cell r="E392"/>
        </row>
        <row r="393">
          <cell r="A393" t="str">
            <v>PB212</v>
          </cell>
          <cell r="B393" t="str">
            <v>Clement Appiah//</v>
          </cell>
          <cell r="C393" t="str">
            <v>Clement Appiah</v>
          </cell>
          <cell r="D393"/>
          <cell r="E393"/>
        </row>
        <row r="394">
          <cell r="A394" t="str">
            <v>PB208</v>
          </cell>
          <cell r="B394" t="str">
            <v>Theresa Sarpong Peprah//</v>
          </cell>
          <cell r="C394" t="str">
            <v>Theresa Sarpong Peprah</v>
          </cell>
          <cell r="D394"/>
          <cell r="E394"/>
        </row>
        <row r="395">
          <cell r="A395" t="str">
            <v>VCR</v>
          </cell>
          <cell r="B395" t="str">
            <v>Ruth Adwubi Sarfo//</v>
          </cell>
          <cell r="C395" t="str">
            <v>Ruth Adwubi Sarfo</v>
          </cell>
          <cell r="D395"/>
          <cell r="E395"/>
        </row>
        <row r="396">
          <cell r="A396" t="str">
            <v>ECR</v>
          </cell>
          <cell r="B396" t="str">
            <v>Clement Dadzie//</v>
          </cell>
          <cell r="C396" t="str">
            <v>Clement Dadzie</v>
          </cell>
          <cell r="D396"/>
          <cell r="E396"/>
        </row>
        <row r="397">
          <cell r="A397" t="str">
            <v>A110</v>
          </cell>
          <cell r="B397" t="str">
            <v>Kwame Kwarteng Sarpong//</v>
          </cell>
          <cell r="C397" t="str">
            <v>Kwame Kwarteng Sarpong</v>
          </cell>
          <cell r="D397"/>
          <cell r="E397"/>
        </row>
        <row r="398">
          <cell r="A398" t="str">
            <v>EA</v>
          </cell>
          <cell r="B398" t="str">
            <v>Kwadwo Afful//</v>
          </cell>
          <cell r="C398" t="str">
            <v>Kwadwo Afful</v>
          </cell>
          <cell r="D398"/>
          <cell r="E398"/>
        </row>
        <row r="399">
          <cell r="A399" t="str">
            <v>NAF1</v>
          </cell>
          <cell r="B399" t="str">
            <v>Loretta Owusu Ansah/Adjatu Busali/</v>
          </cell>
          <cell r="C399" t="str">
            <v>Loretta Owusu Ansah</v>
          </cell>
          <cell r="D399" t="str">
            <v>Adjatu Busali</v>
          </cell>
          <cell r="E399"/>
        </row>
        <row r="400">
          <cell r="A400" t="str">
            <v>NEB SF1</v>
          </cell>
          <cell r="B400" t="str">
            <v>Micheal Obbo/Bernard Annan/Robert Kofi Kyere</v>
          </cell>
          <cell r="C400" t="str">
            <v>Micheal Obbo</v>
          </cell>
          <cell r="D400" t="str">
            <v>Bernard Annan</v>
          </cell>
          <cell r="E400" t="str">
            <v>Robert Kofi Kyere</v>
          </cell>
        </row>
        <row r="401">
          <cell r="A401" t="str">
            <v>NEB GF1</v>
          </cell>
          <cell r="B401" t="str">
            <v>Rener Oppong/Perseverance Dzikunu/Adom Ebenezer</v>
          </cell>
          <cell r="C401" t="str">
            <v>Rener Oppong</v>
          </cell>
          <cell r="D401" t="str">
            <v>Perseverance Dzikunu</v>
          </cell>
          <cell r="E401" t="str">
            <v>Adom Ebenezer</v>
          </cell>
        </row>
        <row r="402">
          <cell r="A402" t="str">
            <v>NEB FF1</v>
          </cell>
          <cell r="B402" t="str">
            <v>Kingsley Kyei Baffour/Bright Andoh-Baidoo/</v>
          </cell>
          <cell r="C402" t="str">
            <v>Kingsley Kyei Baffour</v>
          </cell>
          <cell r="D402" t="str">
            <v>Bright Andoh-Baidoo</v>
          </cell>
          <cell r="E402"/>
        </row>
        <row r="403">
          <cell r="A403" t="str">
            <v>NEB FF2</v>
          </cell>
          <cell r="B403" t="str">
            <v>Ernest Dapaah//</v>
          </cell>
          <cell r="C403" t="str">
            <v>Ernest Dapaah</v>
          </cell>
          <cell r="D403"/>
          <cell r="E403"/>
        </row>
        <row r="404">
          <cell r="B404"/>
          <cell r="C404"/>
          <cell r="D404"/>
          <cell r="E404"/>
        </row>
        <row r="405">
          <cell r="A405" t="str">
            <v>ROOM NO</v>
          </cell>
          <cell r="B405" t="str">
            <v>ATTENDANTS/</v>
          </cell>
          <cell r="C405" t="str">
            <v>ATTENDANTS</v>
          </cell>
          <cell r="D405"/>
          <cell r="E405"/>
        </row>
        <row r="406">
          <cell r="A406" t="str">
            <v>LT</v>
          </cell>
          <cell r="B406" t="str">
            <v>Theresa Sarpong Peprah//</v>
          </cell>
          <cell r="C406" t="str">
            <v>Theresa Sarpong Peprah</v>
          </cell>
          <cell r="D406"/>
          <cell r="E406"/>
        </row>
        <row r="407">
          <cell r="A407" t="str">
            <v>RM A</v>
          </cell>
          <cell r="B407" t="str">
            <v>George Ansong//</v>
          </cell>
          <cell r="C407" t="str">
            <v>George Ansong</v>
          </cell>
          <cell r="D407"/>
          <cell r="E407"/>
        </row>
        <row r="408">
          <cell r="A408" t="str">
            <v>RM B</v>
          </cell>
          <cell r="B408" t="str">
            <v>Derrick Owusu Mensah//</v>
          </cell>
          <cell r="C408" t="str">
            <v>Derrick Owusu Mensah</v>
          </cell>
          <cell r="D408"/>
          <cell r="E408"/>
        </row>
        <row r="409">
          <cell r="A409" t="str">
            <v>VSLA</v>
          </cell>
          <cell r="B409" t="str">
            <v>Victoria Agyenim-Boateng/Michael Owusu/</v>
          </cell>
          <cell r="C409" t="str">
            <v>Victoria Agyenim-Boateng</v>
          </cell>
          <cell r="D409" t="str">
            <v>Michael Owusu</v>
          </cell>
          <cell r="E409"/>
        </row>
        <row r="410">
          <cell r="A410">
            <v>206</v>
          </cell>
          <cell r="B410" t="str">
            <v>Edward Kpetege//</v>
          </cell>
          <cell r="C410" t="str">
            <v>Edward Kpetege</v>
          </cell>
          <cell r="D410"/>
          <cell r="E410"/>
        </row>
        <row r="411">
          <cell r="A411">
            <v>303</v>
          </cell>
          <cell r="B411" t="str">
            <v>Linda Berko//</v>
          </cell>
          <cell r="C411" t="str">
            <v>Linda Berko</v>
          </cell>
          <cell r="D411"/>
          <cell r="E411"/>
        </row>
        <row r="412">
          <cell r="A412">
            <v>304</v>
          </cell>
          <cell r="B412" t="str">
            <v>Eric Soku//</v>
          </cell>
          <cell r="C412" t="str">
            <v>Eric Soku</v>
          </cell>
          <cell r="D412"/>
          <cell r="E412"/>
        </row>
        <row r="413">
          <cell r="A413" t="str">
            <v>N1</v>
          </cell>
          <cell r="B413" t="str">
            <v>Salamatu Salifu//</v>
          </cell>
          <cell r="C413" t="str">
            <v>Salamatu Salifu</v>
          </cell>
          <cell r="D413"/>
          <cell r="E413"/>
        </row>
        <row r="414">
          <cell r="A414" t="str">
            <v>N2</v>
          </cell>
          <cell r="B414" t="str">
            <v>Derrick Amoateng//</v>
          </cell>
          <cell r="C414" t="str">
            <v>Derrick Amoateng</v>
          </cell>
          <cell r="D414"/>
          <cell r="E414"/>
        </row>
        <row r="415">
          <cell r="A415" t="str">
            <v>PB001</v>
          </cell>
          <cell r="B415" t="str">
            <v>John Ofosu//</v>
          </cell>
          <cell r="C415" t="str">
            <v>John Ofosu</v>
          </cell>
          <cell r="D415"/>
          <cell r="E415"/>
        </row>
        <row r="416">
          <cell r="A416" t="str">
            <v>PB020</v>
          </cell>
          <cell r="B416" t="str">
            <v>Rener Oppong/Samuel Osei-Asibey Bonsu/</v>
          </cell>
          <cell r="C416" t="str">
            <v>Rener Oppong</v>
          </cell>
          <cell r="D416" t="str">
            <v>Samuel Osei-Asibey Bonsu</v>
          </cell>
          <cell r="E416"/>
        </row>
        <row r="417">
          <cell r="A417" t="str">
            <v>PB014</v>
          </cell>
          <cell r="B417" t="str">
            <v>Kofi Bentum/Gifty Edem Senyaglo/</v>
          </cell>
          <cell r="C417" t="str">
            <v>Kofi Bentum</v>
          </cell>
          <cell r="D417" t="str">
            <v>Gifty Edem Senyaglo</v>
          </cell>
          <cell r="E417"/>
        </row>
        <row r="418">
          <cell r="A418" t="str">
            <v>PB008</v>
          </cell>
          <cell r="B418" t="str">
            <v>Rebecca Yamoah//</v>
          </cell>
          <cell r="C418" t="str">
            <v>Rebecca Yamoah</v>
          </cell>
          <cell r="D418"/>
          <cell r="E418"/>
        </row>
        <row r="419">
          <cell r="A419" t="str">
            <v>PB201</v>
          </cell>
          <cell r="B419" t="str">
            <v>Joseph Benneth Kankam//</v>
          </cell>
          <cell r="C419" t="str">
            <v>Joseph Benneth Kankam</v>
          </cell>
          <cell r="D419"/>
          <cell r="E419"/>
        </row>
        <row r="420">
          <cell r="A420" t="str">
            <v>PB214</v>
          </cell>
          <cell r="B420" t="str">
            <v>Bernard Audinada Ampofo/Fatawu Yakubu/</v>
          </cell>
          <cell r="C420" t="str">
            <v>Bernard Audinada Ampofo</v>
          </cell>
          <cell r="D420" t="str">
            <v>Fatawu Yakubu</v>
          </cell>
          <cell r="E420"/>
        </row>
        <row r="421">
          <cell r="A421" t="str">
            <v>PB212</v>
          </cell>
          <cell r="B421" t="str">
            <v>Clement Appiah//</v>
          </cell>
          <cell r="C421" t="str">
            <v>Clement Appiah</v>
          </cell>
          <cell r="D421"/>
          <cell r="E421"/>
        </row>
        <row r="422">
          <cell r="A422" t="str">
            <v>PB208</v>
          </cell>
          <cell r="B422" t="str">
            <v>Godfred Appiah//</v>
          </cell>
          <cell r="C422" t="str">
            <v>Godfred Appiah</v>
          </cell>
          <cell r="D422"/>
          <cell r="E422"/>
        </row>
        <row r="423">
          <cell r="A423" t="str">
            <v>VCR</v>
          </cell>
          <cell r="B423" t="str">
            <v>Abigail Akos Worlanyo//</v>
          </cell>
          <cell r="C423" t="str">
            <v>Abigail Akos Worlanyo</v>
          </cell>
          <cell r="D423"/>
          <cell r="E423"/>
        </row>
        <row r="424">
          <cell r="A424" t="str">
            <v>ECR</v>
          </cell>
          <cell r="B424" t="str">
            <v>Sandra Essel//</v>
          </cell>
          <cell r="C424" t="str">
            <v>Sandra Essel</v>
          </cell>
          <cell r="D424"/>
          <cell r="E424"/>
        </row>
        <row r="425">
          <cell r="A425" t="str">
            <v>A110</v>
          </cell>
          <cell r="B425" t="str">
            <v>Kwame Kwarteng Sarpong//</v>
          </cell>
          <cell r="C425" t="str">
            <v>Kwame Kwarteng Sarpong</v>
          </cell>
          <cell r="D425"/>
          <cell r="E425"/>
        </row>
        <row r="426">
          <cell r="A426" t="str">
            <v>EA</v>
          </cell>
          <cell r="B426" t="str">
            <v>Benjamin Nana Oduro Konadu//</v>
          </cell>
          <cell r="C426" t="str">
            <v>Benjamin Nana Oduro Konadu</v>
          </cell>
          <cell r="D426"/>
          <cell r="E426"/>
        </row>
        <row r="427">
          <cell r="A427" t="str">
            <v>NAF1</v>
          </cell>
          <cell r="B427" t="str">
            <v>Loretta Owusu Ansah/Desmond Adu-Yeboah/</v>
          </cell>
          <cell r="C427" t="str">
            <v>Loretta Owusu Ansah</v>
          </cell>
          <cell r="D427" t="str">
            <v>Desmond Adu-Yeboah</v>
          </cell>
          <cell r="E427"/>
        </row>
        <row r="428">
          <cell r="A428" t="str">
            <v>NEB SF1</v>
          </cell>
          <cell r="B428" t="str">
            <v>Micheal Obbo/Getrude Opoku/Clement Dadzie</v>
          </cell>
          <cell r="C428" t="str">
            <v>Micheal Obbo</v>
          </cell>
          <cell r="D428" t="str">
            <v>Getrude Opoku</v>
          </cell>
          <cell r="E428" t="str">
            <v>Clement Dadzie</v>
          </cell>
        </row>
        <row r="429">
          <cell r="A429" t="str">
            <v>NEB GF1</v>
          </cell>
          <cell r="B429" t="str">
            <v>Peter Agetinga/Perseverance Dzikunu/Adom Ebenezer</v>
          </cell>
          <cell r="C429" t="str">
            <v>Peter Agetinga</v>
          </cell>
          <cell r="D429" t="str">
            <v>Perseverance Dzikunu</v>
          </cell>
          <cell r="E429" t="str">
            <v>Adom Ebenezer</v>
          </cell>
        </row>
        <row r="430">
          <cell r="A430" t="str">
            <v>NEB FF1</v>
          </cell>
          <cell r="B430" t="str">
            <v>Kingsley Kyei Baffour/Bright Andoh-Baidoo/</v>
          </cell>
          <cell r="C430" t="str">
            <v>Kingsley Kyei Baffour</v>
          </cell>
          <cell r="D430" t="str">
            <v>Bright Andoh-Baidoo</v>
          </cell>
          <cell r="E430"/>
        </row>
        <row r="431">
          <cell r="A431" t="str">
            <v>NEB FF2</v>
          </cell>
          <cell r="B431" t="str">
            <v>Ernest Dapaah//</v>
          </cell>
          <cell r="C431" t="str">
            <v>Ernest Dapaah</v>
          </cell>
          <cell r="D431"/>
          <cell r="E431"/>
        </row>
        <row r="432">
          <cell r="A432"/>
          <cell r="B432"/>
          <cell r="C432"/>
          <cell r="D432"/>
          <cell r="E432"/>
        </row>
        <row r="433">
          <cell r="A433" t="str">
            <v>ROOM NO</v>
          </cell>
          <cell r="B433" t="str">
            <v>ATTENDANTS/</v>
          </cell>
          <cell r="C433" t="str">
            <v>ATTENDANTS</v>
          </cell>
          <cell r="D433"/>
          <cell r="E433"/>
        </row>
        <row r="434">
          <cell r="A434" t="str">
            <v>LT</v>
          </cell>
          <cell r="B434" t="str">
            <v>Reuben Asare Bediako//</v>
          </cell>
          <cell r="C434" t="str">
            <v>Reuben Asare Bediako</v>
          </cell>
          <cell r="D434"/>
          <cell r="E434"/>
        </row>
        <row r="435">
          <cell r="A435" t="str">
            <v>RM A</v>
          </cell>
          <cell r="B435" t="str">
            <v>George Ansong//</v>
          </cell>
          <cell r="C435" t="str">
            <v>George Ansong</v>
          </cell>
          <cell r="D435"/>
          <cell r="E435"/>
        </row>
        <row r="436">
          <cell r="A436" t="str">
            <v>RM B</v>
          </cell>
          <cell r="B436" t="str">
            <v>Victoria Agyenim-Boateng//</v>
          </cell>
          <cell r="C436" t="str">
            <v>Victoria Agyenim-Boateng</v>
          </cell>
          <cell r="D436"/>
          <cell r="E436"/>
        </row>
        <row r="437">
          <cell r="A437" t="str">
            <v>VSLA</v>
          </cell>
          <cell r="B437" t="str">
            <v>Issaka Ali Sambo/Paul Dery/</v>
          </cell>
          <cell r="C437" t="str">
            <v>Issaka Ali Sambo</v>
          </cell>
          <cell r="D437" t="str">
            <v>Paul Dery</v>
          </cell>
          <cell r="E437"/>
        </row>
        <row r="438">
          <cell r="A438">
            <v>206</v>
          </cell>
          <cell r="B438" t="str">
            <v>Peter Agetinga//</v>
          </cell>
          <cell r="C438" t="str">
            <v>Peter Agetinga</v>
          </cell>
          <cell r="D438"/>
          <cell r="E438"/>
        </row>
        <row r="439">
          <cell r="A439">
            <v>303</v>
          </cell>
          <cell r="B439" t="str">
            <v>Benjamin Opoku Atuahene//</v>
          </cell>
          <cell r="C439" t="str">
            <v>Benjamin Opoku Atuahene</v>
          </cell>
          <cell r="D439"/>
          <cell r="E439"/>
        </row>
        <row r="440">
          <cell r="A440">
            <v>304</v>
          </cell>
          <cell r="B440" t="str">
            <v>Eric Soku//</v>
          </cell>
          <cell r="C440" t="str">
            <v>Eric Soku</v>
          </cell>
          <cell r="D440"/>
          <cell r="E440"/>
        </row>
        <row r="441">
          <cell r="A441" t="str">
            <v>N1</v>
          </cell>
          <cell r="B441" t="str">
            <v>Marian Bemma//</v>
          </cell>
          <cell r="C441" t="str">
            <v>Marian Bemma</v>
          </cell>
          <cell r="D441"/>
          <cell r="E441"/>
        </row>
        <row r="442">
          <cell r="A442" t="str">
            <v>N2</v>
          </cell>
          <cell r="B442" t="str">
            <v>Derrick Amoateng//</v>
          </cell>
          <cell r="C442" t="str">
            <v>Derrick Amoateng</v>
          </cell>
          <cell r="D442"/>
          <cell r="E442"/>
        </row>
        <row r="443">
          <cell r="A443" t="str">
            <v>PB001</v>
          </cell>
          <cell r="B443" t="str">
            <v>John Ofosu//</v>
          </cell>
          <cell r="C443" t="str">
            <v>John Ofosu</v>
          </cell>
          <cell r="D443"/>
          <cell r="E443"/>
        </row>
        <row r="444">
          <cell r="A444" t="str">
            <v>PB020</v>
          </cell>
          <cell r="B444" t="str">
            <v>Gifty Edem Senyaglo/Mohammed Bakang/</v>
          </cell>
          <cell r="C444" t="str">
            <v>Gifty Edem Senyaglo</v>
          </cell>
          <cell r="D444" t="str">
            <v>Mohammed Bakang</v>
          </cell>
          <cell r="E444"/>
        </row>
        <row r="445">
          <cell r="A445" t="str">
            <v>PB014</v>
          </cell>
          <cell r="B445" t="str">
            <v>Michael Owusu/Fiifi Turkson/</v>
          </cell>
          <cell r="C445" t="str">
            <v>Michael Owusu</v>
          </cell>
          <cell r="D445" t="str">
            <v>Fiifi Turkson</v>
          </cell>
          <cell r="E445"/>
        </row>
        <row r="446">
          <cell r="A446" t="str">
            <v>PB008</v>
          </cell>
          <cell r="B446" t="str">
            <v>Salamatu Salifu//</v>
          </cell>
          <cell r="C446" t="str">
            <v>Salamatu Salifu</v>
          </cell>
          <cell r="D446"/>
          <cell r="E446"/>
        </row>
        <row r="447">
          <cell r="A447" t="str">
            <v>PB201</v>
          </cell>
          <cell r="B447" t="str">
            <v>Joseph Benneth Kankam//</v>
          </cell>
          <cell r="C447" t="str">
            <v>Joseph Benneth Kankam</v>
          </cell>
          <cell r="D447"/>
          <cell r="E447"/>
        </row>
        <row r="448">
          <cell r="A448" t="str">
            <v>PB214</v>
          </cell>
          <cell r="B448" t="str">
            <v>Desmond Adu-Yeboah/Benjamin Nana Oduro Konadu/</v>
          </cell>
          <cell r="C448" t="str">
            <v>Desmond Adu-Yeboah</v>
          </cell>
          <cell r="D448" t="str">
            <v>Benjamin Nana Oduro Konadu</v>
          </cell>
          <cell r="E448"/>
        </row>
        <row r="449">
          <cell r="A449" t="str">
            <v>PB212</v>
          </cell>
          <cell r="B449" t="str">
            <v>Getrude Opoku//</v>
          </cell>
          <cell r="C449" t="str">
            <v>Getrude Opoku</v>
          </cell>
          <cell r="D449"/>
          <cell r="E449"/>
        </row>
        <row r="450">
          <cell r="A450" t="str">
            <v>VCR</v>
          </cell>
          <cell r="B450" t="str">
            <v>Ruth Adwubi Sarfo//</v>
          </cell>
          <cell r="C450" t="str">
            <v>Ruth Adwubi Sarfo</v>
          </cell>
          <cell r="D450"/>
          <cell r="E450"/>
        </row>
        <row r="451">
          <cell r="A451" t="str">
            <v>ECR</v>
          </cell>
          <cell r="B451" t="str">
            <v>Sandra Essel//</v>
          </cell>
          <cell r="C451" t="str">
            <v>Sandra Essel</v>
          </cell>
          <cell r="D451"/>
          <cell r="E451"/>
        </row>
        <row r="452">
          <cell r="A452" t="str">
            <v>A110</v>
          </cell>
          <cell r="B452" t="str">
            <v>Kwame Kwarteng Sarpong//</v>
          </cell>
          <cell r="C452" t="str">
            <v>Kwame Kwarteng Sarpong</v>
          </cell>
          <cell r="D452"/>
          <cell r="E452"/>
        </row>
        <row r="453">
          <cell r="A453" t="str">
            <v>EA</v>
          </cell>
          <cell r="B453" t="str">
            <v>Loretta Owusu Ansah//</v>
          </cell>
          <cell r="C453" t="str">
            <v>Loretta Owusu Ansah</v>
          </cell>
          <cell r="D453"/>
          <cell r="E453"/>
        </row>
        <row r="454">
          <cell r="A454" t="str">
            <v>NAF1</v>
          </cell>
          <cell r="B454" t="str">
            <v>Rebecca Yamoah/Adjatu Busali/</v>
          </cell>
          <cell r="C454" t="str">
            <v>Rebecca Yamoah</v>
          </cell>
          <cell r="D454" t="str">
            <v>Adjatu Busali</v>
          </cell>
          <cell r="E454"/>
        </row>
        <row r="455">
          <cell r="A455" t="str">
            <v>NEB SF1</v>
          </cell>
          <cell r="B455" t="str">
            <v>Micheal Obbo/Bernard Annan/Clement Dadzie</v>
          </cell>
          <cell r="C455" t="str">
            <v>Micheal Obbo</v>
          </cell>
          <cell r="D455" t="str">
            <v>Bernard Annan</v>
          </cell>
          <cell r="E455" t="str">
            <v>Clement Dadzie</v>
          </cell>
        </row>
        <row r="456">
          <cell r="A456" t="str">
            <v>NEB GF1</v>
          </cell>
          <cell r="B456" t="str">
            <v>Rener Oppong/Theresa Sarpong Peprah/Adom Ebenezer</v>
          </cell>
          <cell r="C456" t="str">
            <v>Rener Oppong</v>
          </cell>
          <cell r="D456" t="str">
            <v>Theresa Sarpong Peprah</v>
          </cell>
          <cell r="E456" t="str">
            <v>Adom Ebenezer</v>
          </cell>
        </row>
        <row r="457">
          <cell r="A457" t="str">
            <v>NEB FF1</v>
          </cell>
          <cell r="B457" t="str">
            <v>Kingsley Kyei Baffour/Linda Berko/</v>
          </cell>
          <cell r="C457" t="str">
            <v>Kingsley Kyei Baffour</v>
          </cell>
          <cell r="D457" t="str">
            <v>Linda Berko</v>
          </cell>
          <cell r="E457"/>
        </row>
        <row r="458">
          <cell r="A458" t="str">
            <v>NEB FF2</v>
          </cell>
          <cell r="B458" t="str">
            <v>Ernest Dapaah//</v>
          </cell>
          <cell r="C458" t="str">
            <v>Ernest Dapaah</v>
          </cell>
          <cell r="D458"/>
          <cell r="E458"/>
        </row>
        <row r="459">
          <cell r="A459"/>
          <cell r="B459"/>
          <cell r="C459"/>
          <cell r="D459"/>
          <cell r="E459"/>
        </row>
        <row r="460">
          <cell r="A460" t="str">
            <v>ROOM NO</v>
          </cell>
          <cell r="B460" t="str">
            <v>ATTENDANTS/</v>
          </cell>
          <cell r="C460" t="str">
            <v>ATTENDANTS</v>
          </cell>
          <cell r="D460"/>
          <cell r="E460"/>
        </row>
        <row r="461">
          <cell r="A461" t="str">
            <v>LT</v>
          </cell>
          <cell r="B461" t="str">
            <v>Reuben Asare Bediako//</v>
          </cell>
          <cell r="C461" t="str">
            <v>Reuben Asare Bediako</v>
          </cell>
          <cell r="D461"/>
          <cell r="E461"/>
        </row>
        <row r="462">
          <cell r="A462" t="str">
            <v>RM A</v>
          </cell>
          <cell r="B462" t="str">
            <v>Desmond Adu-Yeboah//</v>
          </cell>
          <cell r="C462" t="str">
            <v>Desmond Adu-Yeboah</v>
          </cell>
          <cell r="D462"/>
          <cell r="E462"/>
        </row>
        <row r="463">
          <cell r="A463" t="str">
            <v>RM B</v>
          </cell>
          <cell r="B463" t="str">
            <v>Derrick Owusu Mensah//</v>
          </cell>
          <cell r="C463" t="str">
            <v>Derrick Owusu Mensah</v>
          </cell>
          <cell r="D463"/>
          <cell r="E463"/>
        </row>
        <row r="464">
          <cell r="A464" t="str">
            <v>VSLA</v>
          </cell>
          <cell r="B464" t="str">
            <v>Issaka Ali Sambo/Paul Dery/</v>
          </cell>
          <cell r="C464" t="str">
            <v>Issaka Ali Sambo</v>
          </cell>
          <cell r="D464" t="str">
            <v>Paul Dery</v>
          </cell>
          <cell r="E464"/>
        </row>
        <row r="465">
          <cell r="A465">
            <v>206</v>
          </cell>
          <cell r="B465" t="str">
            <v>Edward Kpetege//</v>
          </cell>
          <cell r="C465" t="str">
            <v>Edward Kpetege</v>
          </cell>
          <cell r="D465"/>
          <cell r="E465"/>
        </row>
        <row r="466">
          <cell r="A466">
            <v>303</v>
          </cell>
          <cell r="B466" t="str">
            <v>Benjamin Opoku Atuahene//</v>
          </cell>
          <cell r="C466" t="str">
            <v>Benjamin Opoku Atuahene</v>
          </cell>
          <cell r="D466"/>
          <cell r="E466"/>
        </row>
        <row r="467">
          <cell r="A467" t="str">
            <v>N1</v>
          </cell>
          <cell r="B467" t="str">
            <v>Marian Bemma//</v>
          </cell>
          <cell r="C467" t="str">
            <v>Marian Bemma</v>
          </cell>
          <cell r="D467"/>
          <cell r="E467"/>
        </row>
        <row r="468">
          <cell r="A468" t="str">
            <v>N2</v>
          </cell>
          <cell r="B468" t="str">
            <v>Derrick Amoateng//</v>
          </cell>
          <cell r="C468" t="str">
            <v>Derrick Amoateng</v>
          </cell>
          <cell r="D468"/>
          <cell r="E468"/>
        </row>
        <row r="469">
          <cell r="A469" t="str">
            <v>PB001</v>
          </cell>
          <cell r="B469" t="str">
            <v>John Ofosu//</v>
          </cell>
          <cell r="C469" t="str">
            <v>John Ofosu</v>
          </cell>
          <cell r="D469"/>
          <cell r="E469"/>
        </row>
        <row r="470">
          <cell r="A470" t="str">
            <v>PB020</v>
          </cell>
          <cell r="B470" t="str">
            <v>Owusu Stephen Akuoku/Samuel Osei-Asibey Bonsu/</v>
          </cell>
          <cell r="C470" t="str">
            <v>Owusu Stephen Akuoku</v>
          </cell>
          <cell r="D470" t="str">
            <v>Samuel Osei-Asibey Bonsu</v>
          </cell>
          <cell r="E470"/>
        </row>
        <row r="471">
          <cell r="A471" t="str">
            <v>PB014</v>
          </cell>
          <cell r="B471" t="str">
            <v>Kofi Bentum/Fiifi Turkson/</v>
          </cell>
          <cell r="C471" t="str">
            <v>Kofi Bentum</v>
          </cell>
          <cell r="D471" t="str">
            <v>Fiifi Turkson</v>
          </cell>
          <cell r="E471"/>
        </row>
        <row r="472">
          <cell r="A472" t="str">
            <v>PB008</v>
          </cell>
          <cell r="B472" t="str">
            <v>Richmond Awotwe//</v>
          </cell>
          <cell r="C472" t="str">
            <v>Richmond Awotwe</v>
          </cell>
          <cell r="D472"/>
          <cell r="E472"/>
        </row>
        <row r="473">
          <cell r="A473" t="str">
            <v>PB201</v>
          </cell>
          <cell r="B473" t="str">
            <v>Joseph Benneth Kankam//</v>
          </cell>
          <cell r="C473" t="str">
            <v>Joseph Benneth Kankam</v>
          </cell>
          <cell r="D473"/>
          <cell r="E473"/>
        </row>
        <row r="474">
          <cell r="A474" t="str">
            <v>PB214</v>
          </cell>
          <cell r="B474" t="str">
            <v>Bernard Audinada Ampofo/Fatawu Yakubu/</v>
          </cell>
          <cell r="C474" t="str">
            <v>Bernard Audinada Ampofo</v>
          </cell>
          <cell r="D474" t="str">
            <v>Fatawu Yakubu</v>
          </cell>
          <cell r="E474"/>
        </row>
        <row r="475">
          <cell r="A475" t="str">
            <v>PB212</v>
          </cell>
          <cell r="B475" t="str">
            <v>Clement Appiah//</v>
          </cell>
          <cell r="C475" t="str">
            <v>Clement Appiah</v>
          </cell>
          <cell r="D475"/>
          <cell r="E475"/>
        </row>
        <row r="476">
          <cell r="A476" t="str">
            <v>PB208</v>
          </cell>
          <cell r="B476" t="str">
            <v>Godfred Appiah//</v>
          </cell>
          <cell r="C476" t="str">
            <v>Godfred Appiah</v>
          </cell>
          <cell r="D476"/>
          <cell r="E476"/>
        </row>
        <row r="477">
          <cell r="A477" t="str">
            <v>VCR</v>
          </cell>
          <cell r="B477" t="str">
            <v>Ruth Adwubi Sarfo//</v>
          </cell>
          <cell r="C477" t="str">
            <v>Ruth Adwubi Sarfo</v>
          </cell>
          <cell r="D477"/>
          <cell r="E477"/>
        </row>
        <row r="478">
          <cell r="A478" t="str">
            <v>ECR</v>
          </cell>
          <cell r="B478" t="str">
            <v>Abigail Akos Worlanyo//</v>
          </cell>
          <cell r="C478" t="str">
            <v>Abigail Akos Worlanyo</v>
          </cell>
          <cell r="D478"/>
          <cell r="E478"/>
        </row>
        <row r="479">
          <cell r="A479" t="str">
            <v>A110</v>
          </cell>
          <cell r="B479" t="str">
            <v>Kwame Kwarteng Sarpong//</v>
          </cell>
          <cell r="C479" t="str">
            <v>Kwame Kwarteng Sarpong</v>
          </cell>
          <cell r="D479"/>
          <cell r="E479"/>
        </row>
        <row r="480">
          <cell r="A480" t="str">
            <v>EA</v>
          </cell>
          <cell r="B480" t="str">
            <v>Kwadwo Afful//</v>
          </cell>
          <cell r="C480" t="str">
            <v>Kwadwo Afful</v>
          </cell>
          <cell r="D480"/>
          <cell r="E480"/>
        </row>
        <row r="481">
          <cell r="A481" t="str">
            <v>NAF1</v>
          </cell>
          <cell r="B481" t="str">
            <v>Mercy Nimako/Adjatu Busali/</v>
          </cell>
          <cell r="C481" t="str">
            <v>Mercy Nimako</v>
          </cell>
          <cell r="D481" t="str">
            <v>Adjatu Busali</v>
          </cell>
          <cell r="E481"/>
        </row>
        <row r="482">
          <cell r="A482" t="str">
            <v>NEB SF1</v>
          </cell>
          <cell r="B482" t="str">
            <v>Micheal Obbo/Bernard Annan/Robert Kofi Kyere</v>
          </cell>
          <cell r="C482" t="str">
            <v>Micheal Obbo</v>
          </cell>
          <cell r="D482" t="str">
            <v>Bernard Annan</v>
          </cell>
          <cell r="E482" t="str">
            <v>Robert Kofi Kyere</v>
          </cell>
        </row>
        <row r="483">
          <cell r="A483" t="str">
            <v>NEB GF1</v>
          </cell>
          <cell r="B483" t="str">
            <v>Theresa Sarpong Peprah/Perseverance Dzikunu/Sandra Essel</v>
          </cell>
          <cell r="C483" t="str">
            <v>Theresa Sarpong Peprah</v>
          </cell>
          <cell r="D483" t="str">
            <v>Perseverance Dzikunu</v>
          </cell>
          <cell r="E483" t="str">
            <v>Sandra Essel</v>
          </cell>
        </row>
        <row r="484">
          <cell r="A484" t="str">
            <v>NEB FF1</v>
          </cell>
          <cell r="B484" t="str">
            <v>Kingsley Kyei Baffour/Clement Dadzie/</v>
          </cell>
          <cell r="C484" t="str">
            <v>Kingsley Kyei Baffour</v>
          </cell>
          <cell r="D484" t="str">
            <v>Clement Dadzie</v>
          </cell>
          <cell r="E484"/>
        </row>
        <row r="485">
          <cell r="A485" t="str">
            <v>NEB FF2</v>
          </cell>
          <cell r="B485" t="str">
            <v>Ernest Dapaah//</v>
          </cell>
          <cell r="C485" t="str">
            <v>Ernest Dapaah</v>
          </cell>
          <cell r="D485"/>
          <cell r="E485"/>
        </row>
        <row r="486">
          <cell r="A486"/>
          <cell r="B486"/>
          <cell r="C486"/>
          <cell r="D486"/>
          <cell r="E486"/>
        </row>
        <row r="487">
          <cell r="A487" t="str">
            <v>ROOM NO</v>
          </cell>
          <cell r="B487" t="str">
            <v>ATTENDANTS/</v>
          </cell>
          <cell r="C487" t="str">
            <v>ATTENDANTS</v>
          </cell>
          <cell r="D487"/>
          <cell r="E487"/>
        </row>
        <row r="488">
          <cell r="A488" t="str">
            <v>LT</v>
          </cell>
          <cell r="B488" t="str">
            <v>Reuben Asare Bediako//</v>
          </cell>
          <cell r="C488" t="str">
            <v>Reuben Asare Bediako</v>
          </cell>
          <cell r="D488"/>
          <cell r="E488"/>
        </row>
        <row r="489">
          <cell r="A489" t="str">
            <v>RM A</v>
          </cell>
          <cell r="B489" t="str">
            <v>George Ansong//</v>
          </cell>
          <cell r="C489" t="str">
            <v>George Ansong</v>
          </cell>
          <cell r="D489"/>
          <cell r="E489"/>
        </row>
        <row r="490">
          <cell r="A490" t="str">
            <v>RM B</v>
          </cell>
          <cell r="B490" t="str">
            <v>Gifty Edem Senyaglo//</v>
          </cell>
          <cell r="C490" t="str">
            <v>Gifty Edem Senyaglo</v>
          </cell>
          <cell r="D490"/>
          <cell r="E490"/>
        </row>
        <row r="491">
          <cell r="A491" t="str">
            <v>VSLA</v>
          </cell>
          <cell r="B491" t="str">
            <v>Issaka Ali Sambo/Paul Dery/</v>
          </cell>
          <cell r="C491" t="str">
            <v>Issaka Ali Sambo</v>
          </cell>
          <cell r="D491" t="str">
            <v>Paul Dery</v>
          </cell>
          <cell r="E491"/>
        </row>
        <row r="492">
          <cell r="A492">
            <v>206</v>
          </cell>
          <cell r="B492" t="str">
            <v>Edward Kpetege//</v>
          </cell>
          <cell r="C492" t="str">
            <v>Edward Kpetege</v>
          </cell>
          <cell r="D492"/>
          <cell r="E492"/>
        </row>
        <row r="493">
          <cell r="A493">
            <v>303</v>
          </cell>
          <cell r="B493" t="str">
            <v>Benjamin Opoku Atuahene//</v>
          </cell>
          <cell r="C493" t="str">
            <v>Benjamin Opoku Atuahene</v>
          </cell>
          <cell r="D493"/>
          <cell r="E493"/>
        </row>
        <row r="494">
          <cell r="A494">
            <v>304</v>
          </cell>
          <cell r="B494" t="str">
            <v>Eric Soku//</v>
          </cell>
          <cell r="C494" t="str">
            <v>Eric Soku</v>
          </cell>
          <cell r="D494"/>
          <cell r="E494"/>
        </row>
        <row r="495">
          <cell r="A495" t="str">
            <v>N1</v>
          </cell>
          <cell r="B495" t="str">
            <v>Marian Bemma//</v>
          </cell>
          <cell r="C495" t="str">
            <v>Marian Bemma</v>
          </cell>
          <cell r="D495"/>
          <cell r="E495"/>
        </row>
        <row r="496">
          <cell r="A496" t="str">
            <v>N2</v>
          </cell>
          <cell r="B496" t="str">
            <v>Benjamin Nana Oduro Konadu//</v>
          </cell>
          <cell r="C496" t="str">
            <v>Benjamin Nana Oduro Konadu</v>
          </cell>
          <cell r="D496"/>
          <cell r="E496"/>
        </row>
        <row r="497">
          <cell r="A497" t="str">
            <v>PB001</v>
          </cell>
          <cell r="B497" t="str">
            <v>John Ofosu//</v>
          </cell>
          <cell r="C497" t="str">
            <v>John Ofosu</v>
          </cell>
          <cell r="D497"/>
          <cell r="E497"/>
        </row>
        <row r="498">
          <cell r="A498" t="str">
            <v>PB020</v>
          </cell>
          <cell r="B498" t="str">
            <v>Owusu Stephen Akuoku/Samuel Osei-Asibey Bonsu/</v>
          </cell>
          <cell r="C498" t="str">
            <v>Owusu Stephen Akuoku</v>
          </cell>
          <cell r="D498" t="str">
            <v>Samuel Osei-Asibey Bonsu</v>
          </cell>
          <cell r="E498"/>
        </row>
        <row r="499">
          <cell r="A499" t="str">
            <v>PB014</v>
          </cell>
          <cell r="B499" t="str">
            <v>Kofi Bentum/Fiifi Turkson/</v>
          </cell>
          <cell r="C499" t="str">
            <v>Kofi Bentum</v>
          </cell>
          <cell r="D499" t="str">
            <v>Fiifi Turkson</v>
          </cell>
          <cell r="E499"/>
        </row>
        <row r="500">
          <cell r="A500" t="str">
            <v>PB008</v>
          </cell>
          <cell r="B500" t="str">
            <v>Richmond Awotwe//</v>
          </cell>
          <cell r="C500" t="str">
            <v>Richmond Awotwe</v>
          </cell>
          <cell r="D500"/>
          <cell r="E500"/>
        </row>
        <row r="501">
          <cell r="A501" t="str">
            <v>PB201</v>
          </cell>
          <cell r="B501" t="str">
            <v>Mercy Nimako//</v>
          </cell>
          <cell r="C501" t="str">
            <v>Mercy Nimako</v>
          </cell>
          <cell r="D501"/>
          <cell r="E501"/>
        </row>
        <row r="502">
          <cell r="A502" t="str">
            <v>PB214</v>
          </cell>
          <cell r="B502" t="str">
            <v>Bernard Audinada Ampofo/Fatawu Yakubu/</v>
          </cell>
          <cell r="C502" t="str">
            <v>Bernard Audinada Ampofo</v>
          </cell>
          <cell r="D502" t="str">
            <v>Fatawu Yakubu</v>
          </cell>
          <cell r="E502"/>
        </row>
        <row r="503">
          <cell r="A503" t="str">
            <v>PB212</v>
          </cell>
          <cell r="B503" t="str">
            <v>Clement Appiah//</v>
          </cell>
          <cell r="C503" t="str">
            <v>Clement Appiah</v>
          </cell>
          <cell r="D503"/>
          <cell r="E503"/>
        </row>
        <row r="504">
          <cell r="A504" t="str">
            <v>PB208</v>
          </cell>
          <cell r="B504" t="str">
            <v>Godfred Appiah//</v>
          </cell>
          <cell r="C504" t="str">
            <v>Godfred Appiah</v>
          </cell>
          <cell r="D504"/>
          <cell r="E504"/>
        </row>
        <row r="505">
          <cell r="A505" t="str">
            <v>ECR</v>
          </cell>
          <cell r="B505" t="str">
            <v>Rebecca Yamoah//</v>
          </cell>
          <cell r="C505" t="str">
            <v>Rebecca Yamoah</v>
          </cell>
          <cell r="D505"/>
          <cell r="E505"/>
        </row>
        <row r="506">
          <cell r="A506" t="str">
            <v>A110</v>
          </cell>
          <cell r="B506" t="str">
            <v>Salamatu Salifu//</v>
          </cell>
          <cell r="C506" t="str">
            <v>Salamatu Salifu</v>
          </cell>
          <cell r="D506"/>
          <cell r="E506"/>
        </row>
        <row r="507">
          <cell r="A507" t="str">
            <v>EA</v>
          </cell>
          <cell r="B507" t="str">
            <v>Loretta Owusu Ansah//</v>
          </cell>
          <cell r="C507" t="str">
            <v>Loretta Owusu Ansah</v>
          </cell>
          <cell r="D507"/>
          <cell r="E507"/>
        </row>
        <row r="508">
          <cell r="A508" t="str">
            <v>NAF1</v>
          </cell>
          <cell r="B508" t="str">
            <v>Mohammed Bakang/Adjatu Busali/</v>
          </cell>
          <cell r="C508" t="str">
            <v>Mohammed Bakang</v>
          </cell>
          <cell r="D508" t="str">
            <v>Adjatu Busali</v>
          </cell>
          <cell r="E508"/>
        </row>
        <row r="509">
          <cell r="A509" t="str">
            <v>NEB SF1</v>
          </cell>
          <cell r="B509" t="str">
            <v>Sandra Essel/Bernard Annan/Robert Kofi Kyere</v>
          </cell>
          <cell r="C509" t="str">
            <v>Sandra Essel</v>
          </cell>
          <cell r="D509" t="str">
            <v>Bernard Annan</v>
          </cell>
          <cell r="E509" t="str">
            <v>Robert Kofi Kyere</v>
          </cell>
        </row>
        <row r="510">
          <cell r="A510" t="str">
            <v>NEB FF1</v>
          </cell>
          <cell r="B510" t="str">
            <v>Kingsley Kyei Baffour/Bright Andoh-Baidoo/</v>
          </cell>
          <cell r="C510" t="str">
            <v>Kingsley Kyei Baffour</v>
          </cell>
          <cell r="D510" t="str">
            <v>Bright Andoh-Baidoo</v>
          </cell>
          <cell r="E510"/>
        </row>
        <row r="511">
          <cell r="A511" t="str">
            <v>NEB FF2</v>
          </cell>
          <cell r="B511" t="str">
            <v>Abigail Akos Worlanyo//</v>
          </cell>
          <cell r="C511" t="str">
            <v>Abigail Akos Worlanyo</v>
          </cell>
          <cell r="D511"/>
          <cell r="E511"/>
        </row>
        <row r="512">
          <cell r="A512"/>
          <cell r="B512"/>
          <cell r="C512"/>
          <cell r="D512"/>
          <cell r="E512"/>
        </row>
        <row r="513">
          <cell r="A513" t="str">
            <v>ROOM NO</v>
          </cell>
          <cell r="B513" t="str">
            <v>ATTENDANTS/</v>
          </cell>
          <cell r="C513" t="str">
            <v>ATTENDANTS</v>
          </cell>
          <cell r="D513"/>
          <cell r="E513"/>
        </row>
        <row r="514">
          <cell r="A514" t="str">
            <v>LT</v>
          </cell>
          <cell r="B514" t="str">
            <v>Mohammed Bakang//</v>
          </cell>
          <cell r="C514" t="str">
            <v>Mohammed Bakang</v>
          </cell>
          <cell r="D514"/>
          <cell r="E514"/>
        </row>
        <row r="515">
          <cell r="A515" t="str">
            <v>RM A</v>
          </cell>
          <cell r="B515" t="str">
            <v>Mercy Nimako//</v>
          </cell>
          <cell r="C515" t="str">
            <v>Mercy Nimako</v>
          </cell>
          <cell r="D515"/>
          <cell r="E515"/>
        </row>
        <row r="516">
          <cell r="A516" t="str">
            <v>RM B</v>
          </cell>
          <cell r="B516" t="str">
            <v>Derrick Owusu Mensah//</v>
          </cell>
          <cell r="C516" t="str">
            <v>Derrick Owusu Mensah</v>
          </cell>
          <cell r="D516"/>
          <cell r="E516"/>
        </row>
        <row r="517">
          <cell r="A517" t="str">
            <v>VSLA</v>
          </cell>
          <cell r="B517" t="str">
            <v>Issaka Ali Sambo/Paul Dery/</v>
          </cell>
          <cell r="C517" t="str">
            <v>Issaka Ali Sambo</v>
          </cell>
          <cell r="D517" t="str">
            <v>Paul Dery</v>
          </cell>
          <cell r="E517"/>
        </row>
        <row r="518">
          <cell r="A518">
            <v>206</v>
          </cell>
          <cell r="B518" t="str">
            <v>Edward Kpetege//</v>
          </cell>
          <cell r="C518" t="str">
            <v>Edward Kpetege</v>
          </cell>
          <cell r="D518"/>
          <cell r="E518"/>
        </row>
        <row r="519">
          <cell r="A519">
            <v>303</v>
          </cell>
          <cell r="B519" t="str">
            <v>Benjamin Opoku Atuahene//</v>
          </cell>
          <cell r="C519" t="str">
            <v>Benjamin Opoku Atuahene</v>
          </cell>
          <cell r="D519"/>
          <cell r="E519"/>
        </row>
        <row r="520">
          <cell r="A520">
            <v>304</v>
          </cell>
          <cell r="B520" t="str">
            <v>Eric Soku//</v>
          </cell>
          <cell r="C520" t="str">
            <v>Eric Soku</v>
          </cell>
          <cell r="D520"/>
          <cell r="E520"/>
        </row>
        <row r="521">
          <cell r="A521" t="str">
            <v>N1</v>
          </cell>
          <cell r="B521" t="str">
            <v>Marian Bemma//</v>
          </cell>
          <cell r="C521" t="str">
            <v>Marian Bemma</v>
          </cell>
          <cell r="D521"/>
          <cell r="E521"/>
        </row>
        <row r="522">
          <cell r="A522" t="str">
            <v>N2</v>
          </cell>
          <cell r="B522" t="str">
            <v>Derrick Amoateng//</v>
          </cell>
          <cell r="C522" t="str">
            <v>Derrick Amoateng</v>
          </cell>
          <cell r="D522"/>
          <cell r="E522"/>
        </row>
        <row r="523">
          <cell r="A523" t="str">
            <v>PB001</v>
          </cell>
          <cell r="B523" t="str">
            <v>John Ofosu//</v>
          </cell>
          <cell r="C523" t="str">
            <v>John Ofosu</v>
          </cell>
          <cell r="D523"/>
          <cell r="E523"/>
        </row>
        <row r="524">
          <cell r="A524" t="str">
            <v>PB020</v>
          </cell>
          <cell r="B524" t="str">
            <v>Michael Owusu/Samuel Osei-Asibey Bonsu/</v>
          </cell>
          <cell r="C524" t="str">
            <v>Michael Owusu</v>
          </cell>
          <cell r="D524" t="str">
            <v>Samuel Osei-Asibey Bonsu</v>
          </cell>
          <cell r="E524"/>
        </row>
        <row r="525">
          <cell r="A525" t="str">
            <v>PB014</v>
          </cell>
          <cell r="B525" t="str">
            <v>Evans Korletey/Linda Berko/</v>
          </cell>
          <cell r="C525" t="str">
            <v>Evans Korletey</v>
          </cell>
          <cell r="D525" t="str">
            <v>Linda Berko</v>
          </cell>
          <cell r="E525"/>
        </row>
        <row r="526">
          <cell r="A526" t="str">
            <v>PB008</v>
          </cell>
          <cell r="B526" t="str">
            <v>Richmond Awotwe//</v>
          </cell>
          <cell r="C526" t="str">
            <v>Richmond Awotwe</v>
          </cell>
          <cell r="D526"/>
          <cell r="E526"/>
        </row>
        <row r="527">
          <cell r="A527" t="str">
            <v>PB201</v>
          </cell>
          <cell r="B527" t="str">
            <v>Joseph Benneth Kankam//</v>
          </cell>
          <cell r="C527" t="str">
            <v>Joseph Benneth Kankam</v>
          </cell>
          <cell r="D527"/>
          <cell r="E527"/>
        </row>
        <row r="528">
          <cell r="A528" t="str">
            <v>PB214</v>
          </cell>
          <cell r="B528" t="str">
            <v>Desmond Adu-Yeboah/Fatawu Yakubu/</v>
          </cell>
          <cell r="C528" t="str">
            <v>Desmond Adu-Yeboah</v>
          </cell>
          <cell r="D528" t="str">
            <v>Fatawu Yakubu</v>
          </cell>
          <cell r="E528"/>
        </row>
        <row r="529">
          <cell r="A529" t="str">
            <v>PB212</v>
          </cell>
          <cell r="B529" t="str">
            <v>Clement Appiah//</v>
          </cell>
          <cell r="C529" t="str">
            <v>Clement Appiah</v>
          </cell>
          <cell r="D529"/>
          <cell r="E529"/>
        </row>
        <row r="530">
          <cell r="A530" t="str">
            <v>VCR</v>
          </cell>
          <cell r="B530" t="str">
            <v>Ruth Adwubi Sarfo//</v>
          </cell>
          <cell r="C530" t="str">
            <v>Ruth Adwubi Sarfo</v>
          </cell>
          <cell r="D530"/>
          <cell r="E530"/>
        </row>
        <row r="531">
          <cell r="A531" t="str">
            <v>ECR</v>
          </cell>
          <cell r="B531" t="str">
            <v>Sandra Essel//</v>
          </cell>
          <cell r="C531" t="str">
            <v>Sandra Essel</v>
          </cell>
          <cell r="D531"/>
          <cell r="E531"/>
        </row>
        <row r="532">
          <cell r="A532" t="str">
            <v>A110</v>
          </cell>
          <cell r="B532" t="str">
            <v>Gifty Edem Senyaglo//</v>
          </cell>
          <cell r="C532" t="str">
            <v>Gifty Edem Senyaglo</v>
          </cell>
          <cell r="D532"/>
          <cell r="E532"/>
        </row>
        <row r="533">
          <cell r="A533" t="str">
            <v>EA</v>
          </cell>
          <cell r="B533" t="str">
            <v>Kwadwo Afful//</v>
          </cell>
          <cell r="C533" t="str">
            <v>Kwadwo Afful</v>
          </cell>
          <cell r="D533"/>
          <cell r="E533"/>
        </row>
        <row r="534">
          <cell r="A534" t="str">
            <v>NEB SF1</v>
          </cell>
          <cell r="B534" t="str">
            <v>Micheal Obbo/Bernard Annan/Robert Kofi Kyere</v>
          </cell>
          <cell r="C534" t="str">
            <v>Micheal Obbo</v>
          </cell>
          <cell r="D534" t="str">
            <v>Bernard Annan</v>
          </cell>
          <cell r="E534" t="str">
            <v>Robert Kofi Kyere</v>
          </cell>
        </row>
        <row r="535">
          <cell r="A535" t="str">
            <v>NEB GF1</v>
          </cell>
          <cell r="B535" t="str">
            <v>Clement Dadzie/Perseverance Dzikunu/Benjamin Nana Oduro Konadu</v>
          </cell>
          <cell r="C535" t="str">
            <v>Clement Dadzie</v>
          </cell>
          <cell r="D535" t="str">
            <v>Perseverance Dzikunu</v>
          </cell>
          <cell r="E535" t="str">
            <v>Benjamin Nana Oduro Konadu</v>
          </cell>
        </row>
        <row r="536">
          <cell r="A536" t="str">
            <v>NEB FF1</v>
          </cell>
          <cell r="B536" t="str">
            <v>Kingsley Kyei Baffour/Bright Andoh-Baidoo/</v>
          </cell>
          <cell r="C536" t="str">
            <v>Kingsley Kyei Baffour</v>
          </cell>
          <cell r="D536" t="str">
            <v>Bright Andoh-Baidoo</v>
          </cell>
          <cell r="E536"/>
        </row>
        <row r="537">
          <cell r="A537" t="str">
            <v>NEB FF2</v>
          </cell>
          <cell r="B537" t="str">
            <v>Ernest Dapaah//</v>
          </cell>
          <cell r="C537" t="str">
            <v>Ernest Dapaah</v>
          </cell>
          <cell r="D537"/>
          <cell r="E537"/>
        </row>
        <row r="538">
          <cell r="A538"/>
          <cell r="B538"/>
          <cell r="C538"/>
          <cell r="D538"/>
          <cell r="E538"/>
        </row>
        <row r="539">
          <cell r="A539"/>
          <cell r="B539"/>
          <cell r="C539"/>
          <cell r="D539"/>
          <cell r="E539"/>
        </row>
        <row r="540">
          <cell r="A540" t="str">
            <v>ROOM NO</v>
          </cell>
          <cell r="B540" t="str">
            <v>ATTENDANTS/</v>
          </cell>
          <cell r="C540" t="str">
            <v>ATTENDANTS</v>
          </cell>
          <cell r="D540"/>
          <cell r="E540"/>
        </row>
        <row r="541">
          <cell r="A541" t="str">
            <v>LT</v>
          </cell>
          <cell r="B541" t="str">
            <v>Reuben Asare Bediako//</v>
          </cell>
          <cell r="C541" t="str">
            <v>Reuben Asare Bediako</v>
          </cell>
          <cell r="D541"/>
          <cell r="E541"/>
        </row>
        <row r="542">
          <cell r="A542" t="str">
            <v>RM A</v>
          </cell>
          <cell r="B542" t="str">
            <v>George Ansong//</v>
          </cell>
          <cell r="C542" t="str">
            <v>George Ansong</v>
          </cell>
          <cell r="D542"/>
          <cell r="E542"/>
        </row>
        <row r="543">
          <cell r="A543" t="str">
            <v>RM B</v>
          </cell>
          <cell r="B543" t="str">
            <v>Derrick Owusu Mensah//</v>
          </cell>
          <cell r="C543" t="str">
            <v>Derrick Owusu Mensah</v>
          </cell>
          <cell r="D543"/>
          <cell r="E543"/>
        </row>
        <row r="544">
          <cell r="A544" t="str">
            <v>VSLA</v>
          </cell>
          <cell r="B544" t="str">
            <v>Sandra Essel/Paul Dery/</v>
          </cell>
          <cell r="C544" t="str">
            <v>Sandra Essel</v>
          </cell>
          <cell r="D544" t="str">
            <v>Paul Dery</v>
          </cell>
          <cell r="E544"/>
        </row>
        <row r="545">
          <cell r="A545">
            <v>206</v>
          </cell>
          <cell r="B545" t="str">
            <v>Edward Kpetege//</v>
          </cell>
          <cell r="C545" t="str">
            <v>Edward Kpetege</v>
          </cell>
          <cell r="D545"/>
          <cell r="E545"/>
        </row>
        <row r="546">
          <cell r="A546">
            <v>303</v>
          </cell>
          <cell r="B546" t="str">
            <v>Benjamin Opoku Atuahene//</v>
          </cell>
          <cell r="C546" t="str">
            <v>Benjamin Opoku Atuahene</v>
          </cell>
          <cell r="D546"/>
          <cell r="E546"/>
        </row>
        <row r="547">
          <cell r="A547">
            <v>304</v>
          </cell>
          <cell r="B547" t="str">
            <v>Eric Soku//</v>
          </cell>
          <cell r="C547" t="str">
            <v>Eric Soku</v>
          </cell>
          <cell r="D547"/>
          <cell r="E547"/>
        </row>
        <row r="548">
          <cell r="A548" t="str">
            <v>N1</v>
          </cell>
          <cell r="B548" t="str">
            <v>Marian Bemma//</v>
          </cell>
          <cell r="C548" t="str">
            <v>Marian Bemma</v>
          </cell>
          <cell r="D548"/>
          <cell r="E548"/>
        </row>
        <row r="549">
          <cell r="A549" t="str">
            <v>N2</v>
          </cell>
          <cell r="B549" t="str">
            <v>Derrick Amoateng//</v>
          </cell>
          <cell r="C549" t="str">
            <v>Derrick Amoateng</v>
          </cell>
          <cell r="D549"/>
          <cell r="E549"/>
        </row>
        <row r="550">
          <cell r="A550" t="str">
            <v>PB001</v>
          </cell>
          <cell r="B550" t="str">
            <v>John Ofosu//</v>
          </cell>
          <cell r="C550" t="str">
            <v>John Ofosu</v>
          </cell>
          <cell r="D550"/>
          <cell r="E550"/>
        </row>
        <row r="551">
          <cell r="A551" t="str">
            <v>PB020</v>
          </cell>
          <cell r="B551" t="str">
            <v>Owusu Stephen Akuoku/Michael Owusu/</v>
          </cell>
          <cell r="C551" t="str">
            <v>Owusu Stephen Akuoku</v>
          </cell>
          <cell r="D551" t="str">
            <v>Michael Owusu</v>
          </cell>
          <cell r="E551"/>
        </row>
        <row r="552">
          <cell r="A552" t="str">
            <v>PB014</v>
          </cell>
          <cell r="B552" t="str">
            <v>Rener Oppong/Evans Korletey/</v>
          </cell>
          <cell r="C552" t="str">
            <v>Rener Oppong</v>
          </cell>
          <cell r="D552" t="str">
            <v>Evans Korletey</v>
          </cell>
          <cell r="E552"/>
        </row>
        <row r="553">
          <cell r="A553" t="str">
            <v>PB008</v>
          </cell>
          <cell r="B553" t="str">
            <v>Rebecca Yamoah//</v>
          </cell>
          <cell r="C553" t="str">
            <v>Rebecca Yamoah</v>
          </cell>
          <cell r="D553"/>
          <cell r="E553"/>
        </row>
        <row r="554">
          <cell r="A554" t="str">
            <v>PB201</v>
          </cell>
          <cell r="B554" t="str">
            <v>Joseph Benneth Kankam//</v>
          </cell>
          <cell r="C554" t="str">
            <v>Joseph Benneth Kankam</v>
          </cell>
          <cell r="D554"/>
          <cell r="E554"/>
        </row>
        <row r="555">
          <cell r="A555" t="str">
            <v>PB214</v>
          </cell>
          <cell r="B555" t="str">
            <v>Bernard Audinada Ampofo/Fatawu Yakubu/</v>
          </cell>
          <cell r="C555" t="str">
            <v>Bernard Audinada Ampofo</v>
          </cell>
          <cell r="D555" t="str">
            <v>Fatawu Yakubu</v>
          </cell>
          <cell r="E555"/>
        </row>
        <row r="556">
          <cell r="A556" t="str">
            <v>PB212</v>
          </cell>
          <cell r="B556" t="str">
            <v>Clement Appiah//</v>
          </cell>
          <cell r="C556" t="str">
            <v>Clement Appiah</v>
          </cell>
          <cell r="D556"/>
          <cell r="E556"/>
        </row>
        <row r="557">
          <cell r="A557" t="str">
            <v>PB208</v>
          </cell>
          <cell r="B557" t="str">
            <v>Theresa Sarpong Peprah//</v>
          </cell>
          <cell r="C557" t="str">
            <v>Theresa Sarpong Peprah</v>
          </cell>
          <cell r="D557"/>
          <cell r="E557"/>
        </row>
        <row r="558">
          <cell r="A558" t="str">
            <v>VCR</v>
          </cell>
          <cell r="B558" t="str">
            <v>Ruth Adwubi Sarfo//</v>
          </cell>
          <cell r="C558" t="str">
            <v>Ruth Adwubi Sarfo</v>
          </cell>
          <cell r="D558"/>
          <cell r="E558"/>
        </row>
        <row r="559">
          <cell r="A559" t="str">
            <v>ECR</v>
          </cell>
          <cell r="B559" t="str">
            <v>Clement Dadzie//</v>
          </cell>
          <cell r="C559" t="str">
            <v>Clement Dadzie</v>
          </cell>
          <cell r="D559"/>
          <cell r="E559"/>
        </row>
        <row r="560">
          <cell r="A560" t="str">
            <v>A110</v>
          </cell>
          <cell r="B560" t="str">
            <v>Kwame Kwarteng Sarpong//</v>
          </cell>
          <cell r="C560" t="str">
            <v>Kwame Kwarteng Sarpong</v>
          </cell>
          <cell r="D560"/>
          <cell r="E560"/>
        </row>
        <row r="561">
          <cell r="A561" t="str">
            <v>EA</v>
          </cell>
          <cell r="B561" t="str">
            <v>Abigail Akos Worlanyo//</v>
          </cell>
          <cell r="C561" t="str">
            <v>Abigail Akos Worlanyo</v>
          </cell>
          <cell r="D561"/>
          <cell r="E561"/>
        </row>
        <row r="562">
          <cell r="A562" t="str">
            <v>NAF1</v>
          </cell>
          <cell r="B562" t="str">
            <v>Loretta Owusu Ansah/Adjatu Busali/</v>
          </cell>
          <cell r="C562" t="str">
            <v>Loretta Owusu Ansah</v>
          </cell>
          <cell r="D562" t="str">
            <v>Adjatu Busali</v>
          </cell>
          <cell r="E562"/>
        </row>
        <row r="563">
          <cell r="A563" t="str">
            <v>NEB SF1</v>
          </cell>
          <cell r="B563" t="str">
            <v>Micheal Obbo/Bernard Annan/Robert Kofi Kyere</v>
          </cell>
          <cell r="C563" t="str">
            <v>Micheal Obbo</v>
          </cell>
          <cell r="D563" t="str">
            <v>Bernard Annan</v>
          </cell>
          <cell r="E563" t="str">
            <v>Robert Kofi Kyere</v>
          </cell>
        </row>
        <row r="564">
          <cell r="A564" t="str">
            <v>NEB GF1</v>
          </cell>
          <cell r="B564" t="str">
            <v>Rener Oppong/Perseverance Dzikunu/Adom Ebenezer</v>
          </cell>
          <cell r="C564" t="str">
            <v>Rener Oppong</v>
          </cell>
          <cell r="D564" t="str">
            <v>Perseverance Dzikunu</v>
          </cell>
          <cell r="E564" t="str">
            <v>Adom Ebenezer</v>
          </cell>
        </row>
        <row r="565">
          <cell r="A565" t="str">
            <v>NEB FF1</v>
          </cell>
          <cell r="B565" t="str">
            <v>Kingsley Kyei Baffour/Bright Andoh-Baidoo/</v>
          </cell>
          <cell r="C565" t="str">
            <v>Kingsley Kyei Baffour</v>
          </cell>
          <cell r="D565" t="str">
            <v>Bright Andoh-Baidoo</v>
          </cell>
          <cell r="E565"/>
        </row>
        <row r="566">
          <cell r="A566" t="str">
            <v>NEB FF2</v>
          </cell>
          <cell r="B566" t="str">
            <v>Ernest Dapaah//</v>
          </cell>
          <cell r="C566" t="str">
            <v>Ernest Dapaah</v>
          </cell>
          <cell r="D566"/>
          <cell r="E566"/>
        </row>
        <row r="567">
          <cell r="B567"/>
          <cell r="C567"/>
          <cell r="D567"/>
          <cell r="E567"/>
        </row>
        <row r="568">
          <cell r="A568" t="str">
            <v>ROOM NO</v>
          </cell>
          <cell r="B568" t="str">
            <v>ATTENDANTS/</v>
          </cell>
          <cell r="C568" t="str">
            <v>ATTENDANTS</v>
          </cell>
          <cell r="D568"/>
          <cell r="E568"/>
        </row>
        <row r="569">
          <cell r="A569" t="str">
            <v>LT</v>
          </cell>
          <cell r="B569" t="str">
            <v>Theresa Sarpong Peprah//</v>
          </cell>
          <cell r="C569" t="str">
            <v>Theresa Sarpong Peprah</v>
          </cell>
          <cell r="D569"/>
          <cell r="E569"/>
        </row>
        <row r="570">
          <cell r="A570" t="str">
            <v>RM A</v>
          </cell>
          <cell r="B570" t="str">
            <v>George Ansong//</v>
          </cell>
          <cell r="C570" t="str">
            <v>George Ansong</v>
          </cell>
          <cell r="D570"/>
          <cell r="E570"/>
        </row>
        <row r="571">
          <cell r="A571" t="str">
            <v>RM B</v>
          </cell>
          <cell r="B571" t="str">
            <v>Derrick Owusu Mensah//</v>
          </cell>
          <cell r="C571" t="str">
            <v>Derrick Owusu Mensah</v>
          </cell>
          <cell r="D571"/>
          <cell r="E571"/>
        </row>
        <row r="572">
          <cell r="A572" t="str">
            <v>VSLA</v>
          </cell>
          <cell r="B572" t="str">
            <v>Victoria Agyenim-Boateng/Michael Owusu/</v>
          </cell>
          <cell r="C572" t="str">
            <v>Victoria Agyenim-Boateng</v>
          </cell>
          <cell r="D572" t="str">
            <v>Michael Owusu</v>
          </cell>
          <cell r="E572"/>
        </row>
        <row r="573">
          <cell r="A573">
            <v>206</v>
          </cell>
          <cell r="B573" t="str">
            <v>Edward Kpetege//</v>
          </cell>
          <cell r="C573" t="str">
            <v>Edward Kpetege</v>
          </cell>
          <cell r="D573"/>
          <cell r="E573"/>
        </row>
        <row r="574">
          <cell r="A574">
            <v>303</v>
          </cell>
          <cell r="B574" t="str">
            <v>Linda Berko//</v>
          </cell>
          <cell r="C574" t="str">
            <v>Linda Berko</v>
          </cell>
          <cell r="D574"/>
          <cell r="E574"/>
        </row>
        <row r="575">
          <cell r="A575">
            <v>304</v>
          </cell>
          <cell r="B575" t="str">
            <v>Eric Soku//</v>
          </cell>
          <cell r="C575" t="str">
            <v>Eric Soku</v>
          </cell>
          <cell r="D575"/>
          <cell r="E575"/>
        </row>
        <row r="576">
          <cell r="A576" t="str">
            <v>N1</v>
          </cell>
          <cell r="B576" t="str">
            <v>Salamatu Salifu//</v>
          </cell>
          <cell r="C576" t="str">
            <v>Salamatu Salifu</v>
          </cell>
          <cell r="D576"/>
          <cell r="E576"/>
        </row>
        <row r="577">
          <cell r="A577" t="str">
            <v>N2</v>
          </cell>
          <cell r="B577" t="str">
            <v>Derrick Amoateng//</v>
          </cell>
          <cell r="C577" t="str">
            <v>Derrick Amoateng</v>
          </cell>
          <cell r="D577"/>
          <cell r="E577"/>
        </row>
        <row r="578">
          <cell r="A578" t="str">
            <v>PB001</v>
          </cell>
          <cell r="B578" t="str">
            <v>John Ofosu//</v>
          </cell>
          <cell r="C578" t="str">
            <v>John Ofosu</v>
          </cell>
          <cell r="D578"/>
          <cell r="E578"/>
        </row>
        <row r="579">
          <cell r="A579" t="str">
            <v>PB020</v>
          </cell>
          <cell r="B579" t="str">
            <v>Owusu Stephen Akuoku/Samuel Osei-Asibey Bonsu/</v>
          </cell>
          <cell r="C579" t="str">
            <v>Owusu Stephen Akuoku</v>
          </cell>
          <cell r="D579" t="str">
            <v>Samuel Osei-Asibey Bonsu</v>
          </cell>
          <cell r="E579"/>
        </row>
        <row r="580">
          <cell r="A580" t="str">
            <v>PB014</v>
          </cell>
          <cell r="B580" t="str">
            <v>Kofi Bentum/Gifty Edem Senyaglo/</v>
          </cell>
          <cell r="C580" t="str">
            <v>Kofi Bentum</v>
          </cell>
          <cell r="D580" t="str">
            <v>Gifty Edem Senyaglo</v>
          </cell>
          <cell r="E580"/>
        </row>
        <row r="581">
          <cell r="A581" t="str">
            <v>PB008</v>
          </cell>
          <cell r="B581" t="str">
            <v>Richmond Awotwe//</v>
          </cell>
          <cell r="C581" t="str">
            <v>Richmond Awotwe</v>
          </cell>
          <cell r="D581"/>
          <cell r="E581"/>
        </row>
        <row r="582">
          <cell r="A582" t="str">
            <v>PB201</v>
          </cell>
          <cell r="B582" t="str">
            <v>Joseph Benneth Kankam//</v>
          </cell>
          <cell r="C582" t="str">
            <v>Joseph Benneth Kankam</v>
          </cell>
          <cell r="D582"/>
          <cell r="E582"/>
        </row>
        <row r="583">
          <cell r="A583" t="str">
            <v>PB214</v>
          </cell>
          <cell r="B583" t="str">
            <v>Bernard Audinada Ampofo/Fatawu Yakubu/</v>
          </cell>
          <cell r="C583" t="str">
            <v>Bernard Audinada Ampofo</v>
          </cell>
          <cell r="D583" t="str">
            <v>Fatawu Yakubu</v>
          </cell>
          <cell r="E583"/>
        </row>
        <row r="584">
          <cell r="A584" t="str">
            <v>PB212</v>
          </cell>
          <cell r="B584" t="str">
            <v>Clement Appiah//</v>
          </cell>
          <cell r="C584" t="str">
            <v>Clement Appiah</v>
          </cell>
          <cell r="D584"/>
          <cell r="E584"/>
        </row>
        <row r="585">
          <cell r="A585" t="str">
            <v>PB208</v>
          </cell>
          <cell r="B585" t="str">
            <v>Godfred Appiah//</v>
          </cell>
          <cell r="C585" t="str">
            <v>Godfred Appiah</v>
          </cell>
          <cell r="D585"/>
          <cell r="E585"/>
        </row>
        <row r="586">
          <cell r="A586" t="str">
            <v>VCR</v>
          </cell>
          <cell r="B586" t="str">
            <v>Abigail Akos Worlanyo//</v>
          </cell>
          <cell r="C586" t="str">
            <v>Abigail Akos Worlanyo</v>
          </cell>
          <cell r="D586"/>
          <cell r="E586"/>
        </row>
        <row r="587">
          <cell r="A587" t="str">
            <v>ECR</v>
          </cell>
          <cell r="B587" t="str">
            <v>Sandra Essel//</v>
          </cell>
          <cell r="C587" t="str">
            <v>Sandra Essel</v>
          </cell>
          <cell r="D587"/>
          <cell r="E587"/>
        </row>
        <row r="588">
          <cell r="A588" t="str">
            <v>A110</v>
          </cell>
          <cell r="B588" t="str">
            <v>Kwame Kwarteng Sarpong//</v>
          </cell>
          <cell r="C588" t="str">
            <v>Kwame Kwarteng Sarpong</v>
          </cell>
          <cell r="D588"/>
          <cell r="E588"/>
        </row>
        <row r="589">
          <cell r="A589" t="str">
            <v>EA</v>
          </cell>
          <cell r="B589" t="str">
            <v>Benjamin Nana Oduro Konadu//</v>
          </cell>
          <cell r="C589" t="str">
            <v>Benjamin Nana Oduro Konadu</v>
          </cell>
          <cell r="D589"/>
          <cell r="E589"/>
        </row>
        <row r="590">
          <cell r="A590" t="str">
            <v>NAF1</v>
          </cell>
          <cell r="B590" t="str">
            <v>Loretta Owusu Ansah/Desmond Adu-Yeboah/</v>
          </cell>
          <cell r="C590" t="str">
            <v>Loretta Owusu Ansah</v>
          </cell>
          <cell r="D590" t="str">
            <v>Desmond Adu-Yeboah</v>
          </cell>
          <cell r="E590"/>
        </row>
        <row r="591">
          <cell r="A591" t="str">
            <v>NEB SF1</v>
          </cell>
          <cell r="B591" t="str">
            <v>Micheal Obbo/Getrude Opoku/Clement Dadzie</v>
          </cell>
          <cell r="C591" t="str">
            <v>Micheal Obbo</v>
          </cell>
          <cell r="D591" t="str">
            <v>Getrude Opoku</v>
          </cell>
          <cell r="E591" t="str">
            <v>Clement Dadzie</v>
          </cell>
        </row>
        <row r="592">
          <cell r="A592" t="str">
            <v>NEB GF1</v>
          </cell>
          <cell r="B592" t="str">
            <v>Peter Agetinga/Perseverance Dzikunu/Adom Ebenezer</v>
          </cell>
          <cell r="C592" t="str">
            <v>Peter Agetinga</v>
          </cell>
          <cell r="D592" t="str">
            <v>Perseverance Dzikunu</v>
          </cell>
          <cell r="E592" t="str">
            <v>Adom Ebenezer</v>
          </cell>
        </row>
        <row r="593">
          <cell r="A593" t="str">
            <v>NEB FF1</v>
          </cell>
          <cell r="B593" t="str">
            <v>Kingsley Kyei Baffour/Bright Andoh-Baidoo/</v>
          </cell>
          <cell r="C593" t="str">
            <v>Kingsley Kyei Baffour</v>
          </cell>
          <cell r="D593" t="str">
            <v>Bright Andoh-Baidoo</v>
          </cell>
          <cell r="E593"/>
        </row>
        <row r="594">
          <cell r="A594" t="str">
            <v>NEB FF2</v>
          </cell>
          <cell r="B594" t="str">
            <v>Ernest Dapaah//</v>
          </cell>
          <cell r="C594" t="str">
            <v>Ernest Dapaah</v>
          </cell>
          <cell r="D594"/>
          <cell r="E594"/>
        </row>
        <row r="595">
          <cell r="A595"/>
          <cell r="B595"/>
          <cell r="C595"/>
          <cell r="D595"/>
          <cell r="E595"/>
        </row>
        <row r="596">
          <cell r="A596" t="str">
            <v>ROOM NO</v>
          </cell>
          <cell r="B596" t="str">
            <v>ATTENDANTS/</v>
          </cell>
          <cell r="C596" t="str">
            <v>ATTENDANTS</v>
          </cell>
          <cell r="D596"/>
          <cell r="E596"/>
        </row>
        <row r="597">
          <cell r="A597" t="str">
            <v>LT</v>
          </cell>
          <cell r="B597" t="str">
            <v>Reuben Asare Bediako//</v>
          </cell>
          <cell r="C597" t="str">
            <v>Reuben Asare Bediako</v>
          </cell>
          <cell r="D597"/>
          <cell r="E597"/>
        </row>
        <row r="598">
          <cell r="A598" t="str">
            <v>RM A</v>
          </cell>
          <cell r="B598" t="str">
            <v>George Ansong//</v>
          </cell>
          <cell r="C598" t="str">
            <v>George Ansong</v>
          </cell>
          <cell r="D598"/>
          <cell r="E598"/>
        </row>
        <row r="599">
          <cell r="A599" t="str">
            <v>RM B</v>
          </cell>
          <cell r="B599" t="str">
            <v>Derrick Owusu Mensah//</v>
          </cell>
          <cell r="C599" t="str">
            <v>Derrick Owusu Mensah</v>
          </cell>
          <cell r="D599"/>
          <cell r="E599"/>
        </row>
        <row r="600">
          <cell r="A600" t="str">
            <v>VSLA</v>
          </cell>
          <cell r="B600" t="str">
            <v>Issaka Ali Sambo/Paul Dery/</v>
          </cell>
          <cell r="C600" t="str">
            <v>Issaka Ali Sambo</v>
          </cell>
          <cell r="D600" t="str">
            <v>Paul Dery</v>
          </cell>
          <cell r="E600"/>
        </row>
        <row r="601">
          <cell r="A601">
            <v>206</v>
          </cell>
          <cell r="B601" t="str">
            <v>Peter Agetinga//</v>
          </cell>
          <cell r="C601" t="str">
            <v>Peter Agetinga</v>
          </cell>
          <cell r="D601"/>
          <cell r="E601"/>
        </row>
        <row r="602">
          <cell r="A602">
            <v>303</v>
          </cell>
          <cell r="B602" t="str">
            <v>Benjamin Opoku Atuahene//</v>
          </cell>
          <cell r="C602" t="str">
            <v>Benjamin Opoku Atuahene</v>
          </cell>
          <cell r="D602"/>
          <cell r="E602"/>
        </row>
        <row r="603">
          <cell r="A603">
            <v>304</v>
          </cell>
          <cell r="B603" t="str">
            <v>Eric Soku//</v>
          </cell>
          <cell r="C603" t="str">
            <v>Eric Soku</v>
          </cell>
          <cell r="D603"/>
          <cell r="E603"/>
        </row>
        <row r="604">
          <cell r="A604" t="str">
            <v>N1</v>
          </cell>
          <cell r="B604" t="str">
            <v>Marian Bemma//</v>
          </cell>
          <cell r="C604" t="str">
            <v>Marian Bemma</v>
          </cell>
          <cell r="D604"/>
          <cell r="E604"/>
        </row>
        <row r="605">
          <cell r="A605" t="str">
            <v>N2</v>
          </cell>
          <cell r="B605" t="str">
            <v>Derrick Amoateng//</v>
          </cell>
          <cell r="C605" t="str">
            <v>Derrick Amoateng</v>
          </cell>
          <cell r="D605"/>
          <cell r="E605"/>
        </row>
        <row r="606">
          <cell r="A606" t="str">
            <v>PB001</v>
          </cell>
          <cell r="B606" t="str">
            <v>John Ofosu//</v>
          </cell>
          <cell r="C606" t="str">
            <v>John Ofosu</v>
          </cell>
          <cell r="D606"/>
          <cell r="E606"/>
        </row>
        <row r="607">
          <cell r="A607" t="str">
            <v>PB020</v>
          </cell>
          <cell r="B607" t="str">
            <v>Gifty Edem Senyaglo/Mohammed Bakang/</v>
          </cell>
          <cell r="C607" t="str">
            <v>Gifty Edem Senyaglo</v>
          </cell>
          <cell r="D607" t="str">
            <v>Mohammed Bakang</v>
          </cell>
          <cell r="E607"/>
        </row>
        <row r="608">
          <cell r="A608" t="str">
            <v>PB014</v>
          </cell>
          <cell r="B608" t="str">
            <v>Michael Owusu/Fiifi Turkson/</v>
          </cell>
          <cell r="C608" t="str">
            <v>Michael Owusu</v>
          </cell>
          <cell r="D608" t="str">
            <v>Fiifi Turkson</v>
          </cell>
          <cell r="E608"/>
        </row>
        <row r="609">
          <cell r="A609" t="str">
            <v>PB008</v>
          </cell>
          <cell r="B609" t="str">
            <v>Salamatu Salifu//</v>
          </cell>
          <cell r="C609" t="str">
            <v>Salamatu Salifu</v>
          </cell>
          <cell r="D609"/>
          <cell r="E609"/>
        </row>
        <row r="610">
          <cell r="A610" t="str">
            <v>PB201</v>
          </cell>
          <cell r="B610" t="str">
            <v>Joseph Benneth Kankam//</v>
          </cell>
          <cell r="C610" t="str">
            <v>Joseph Benneth Kankam</v>
          </cell>
          <cell r="D610"/>
          <cell r="E610"/>
        </row>
        <row r="611">
          <cell r="A611" t="str">
            <v>PB214</v>
          </cell>
          <cell r="B611" t="str">
            <v>Desmond Adu-Yeboah/Benjamin Nana Oduro Konadu/</v>
          </cell>
          <cell r="C611" t="str">
            <v>Desmond Adu-Yeboah</v>
          </cell>
          <cell r="D611" t="str">
            <v>Benjamin Nana Oduro Konadu</v>
          </cell>
          <cell r="E611"/>
        </row>
        <row r="612">
          <cell r="A612" t="str">
            <v>PB212</v>
          </cell>
          <cell r="B612" t="str">
            <v>Getrude Opoku//</v>
          </cell>
          <cell r="C612" t="str">
            <v>Getrude Opoku</v>
          </cell>
          <cell r="D612"/>
          <cell r="E612"/>
        </row>
        <row r="613">
          <cell r="A613" t="str">
            <v>PB208</v>
          </cell>
          <cell r="B613" t="str">
            <v>Godfred Appiah//</v>
          </cell>
          <cell r="C613" t="str">
            <v>Godfred Appiah</v>
          </cell>
          <cell r="D613"/>
          <cell r="E613"/>
        </row>
        <row r="614">
          <cell r="A614" t="str">
            <v>VCR</v>
          </cell>
          <cell r="B614" t="str">
            <v>Loretta Owusu Ansah//</v>
          </cell>
          <cell r="C614" t="str">
            <v>Loretta Owusu Ansah</v>
          </cell>
          <cell r="D614"/>
          <cell r="E614"/>
        </row>
        <row r="615">
          <cell r="A615" t="str">
            <v>ECR</v>
          </cell>
          <cell r="B615" t="str">
            <v>Sandra Essel//</v>
          </cell>
          <cell r="C615" t="str">
            <v>Sandra Essel</v>
          </cell>
          <cell r="D615"/>
          <cell r="E615"/>
        </row>
        <row r="616">
          <cell r="A616" t="str">
            <v>A110</v>
          </cell>
          <cell r="B616" t="str">
            <v>Theresa Sarpong Peprah//</v>
          </cell>
          <cell r="C616" t="str">
            <v>Theresa Sarpong Peprah</v>
          </cell>
          <cell r="D616"/>
          <cell r="E616"/>
        </row>
        <row r="617">
          <cell r="A617" t="str">
            <v>EA</v>
          </cell>
          <cell r="B617" t="str">
            <v>Kwadwo Afful//</v>
          </cell>
          <cell r="C617" t="str">
            <v>Kwadwo Afful</v>
          </cell>
          <cell r="D617"/>
          <cell r="E617"/>
        </row>
        <row r="618">
          <cell r="A618" t="str">
            <v>NAF1</v>
          </cell>
          <cell r="B618" t="str">
            <v>Rebecca Yamoah/Adjatu Busali/</v>
          </cell>
          <cell r="C618" t="str">
            <v>Rebecca Yamoah</v>
          </cell>
          <cell r="D618" t="str">
            <v>Adjatu Busali</v>
          </cell>
          <cell r="E618"/>
        </row>
        <row r="619">
          <cell r="A619" t="str">
            <v>NEB SF1</v>
          </cell>
          <cell r="B619" t="str">
            <v>Micheal Obbo/Bernard Annan/Robert Kofi Kyere</v>
          </cell>
          <cell r="C619" t="str">
            <v>Micheal Obbo</v>
          </cell>
          <cell r="D619" t="str">
            <v>Bernard Annan</v>
          </cell>
          <cell r="E619" t="str">
            <v>Robert Kofi Kyere</v>
          </cell>
        </row>
        <row r="620">
          <cell r="A620" t="str">
            <v>NEB GF1</v>
          </cell>
          <cell r="B620" t="str">
            <v>Rener Oppong/Perseverance Dzikunu/Victoria Agyenim-Boateng</v>
          </cell>
          <cell r="C620" t="str">
            <v>Rener Oppong</v>
          </cell>
          <cell r="D620" t="str">
            <v>Perseverance Dzikunu</v>
          </cell>
          <cell r="E620" t="str">
            <v>Victoria Agyenim-Boateng</v>
          </cell>
        </row>
        <row r="621">
          <cell r="A621" t="str">
            <v>NEB FF1</v>
          </cell>
          <cell r="B621" t="str">
            <v>Kingsley Kyei Baffour/Linda Berko/</v>
          </cell>
          <cell r="C621" t="str">
            <v>Kingsley Kyei Baffour</v>
          </cell>
          <cell r="D621" t="str">
            <v>Linda Berko</v>
          </cell>
          <cell r="E621"/>
        </row>
        <row r="622">
          <cell r="A622" t="str">
            <v>NEB FF2</v>
          </cell>
          <cell r="B622" t="str">
            <v>Ernest Dapaah//</v>
          </cell>
          <cell r="C622" t="str">
            <v>Ernest Dapaah</v>
          </cell>
          <cell r="D622"/>
          <cell r="E622"/>
        </row>
        <row r="623">
          <cell r="A623"/>
          <cell r="B623"/>
          <cell r="C623"/>
          <cell r="D623"/>
          <cell r="E623"/>
        </row>
        <row r="624">
          <cell r="A624" t="str">
            <v>ROOM NO</v>
          </cell>
          <cell r="B624" t="str">
            <v>ATTENDANTS/</v>
          </cell>
          <cell r="C624" t="str">
            <v>ATTENDANTS</v>
          </cell>
          <cell r="D624"/>
          <cell r="E624"/>
        </row>
        <row r="625">
          <cell r="A625" t="str">
            <v>LT</v>
          </cell>
          <cell r="B625" t="str">
            <v>Reuben Asare Bediako//</v>
          </cell>
          <cell r="C625" t="str">
            <v>Reuben Asare Bediako</v>
          </cell>
          <cell r="D625"/>
          <cell r="E625"/>
        </row>
        <row r="626">
          <cell r="A626" t="str">
            <v>RM A</v>
          </cell>
          <cell r="B626" t="str">
            <v>Desmond Adu-Yeboah//</v>
          </cell>
          <cell r="C626" t="str">
            <v>Desmond Adu-Yeboah</v>
          </cell>
          <cell r="D626"/>
          <cell r="E626"/>
        </row>
        <row r="627">
          <cell r="A627" t="str">
            <v>RM B</v>
          </cell>
          <cell r="B627" t="str">
            <v>Sandra Essel//</v>
          </cell>
          <cell r="C627" t="str">
            <v>Sandra Essel</v>
          </cell>
          <cell r="D627"/>
          <cell r="E627"/>
        </row>
        <row r="628">
          <cell r="A628" t="str">
            <v>VSLA</v>
          </cell>
          <cell r="B628" t="str">
            <v>Issaka Ali Sambo/Paul Dery/</v>
          </cell>
          <cell r="C628" t="str">
            <v>Issaka Ali Sambo</v>
          </cell>
          <cell r="D628" t="str">
            <v>Paul Dery</v>
          </cell>
          <cell r="E628"/>
        </row>
        <row r="629">
          <cell r="A629">
            <v>206</v>
          </cell>
          <cell r="B629" t="str">
            <v>Edward Kpetege//</v>
          </cell>
          <cell r="C629" t="str">
            <v>Edward Kpetege</v>
          </cell>
          <cell r="D629"/>
          <cell r="E629"/>
        </row>
        <row r="630">
          <cell r="A630">
            <v>303</v>
          </cell>
          <cell r="B630" t="str">
            <v>Benjamin Opoku Atuahene//</v>
          </cell>
          <cell r="C630" t="str">
            <v>Benjamin Opoku Atuahene</v>
          </cell>
          <cell r="D630"/>
          <cell r="E630"/>
        </row>
        <row r="631">
          <cell r="A631">
            <v>304</v>
          </cell>
          <cell r="B631" t="str">
            <v>Eric Soku//</v>
          </cell>
          <cell r="C631" t="str">
            <v>Eric Soku</v>
          </cell>
          <cell r="D631"/>
          <cell r="E631"/>
        </row>
        <row r="632">
          <cell r="A632" t="str">
            <v>N1</v>
          </cell>
          <cell r="B632" t="str">
            <v>Marian Bemma//</v>
          </cell>
          <cell r="C632" t="str">
            <v>Marian Bemma</v>
          </cell>
          <cell r="D632"/>
          <cell r="E632"/>
        </row>
        <row r="633">
          <cell r="A633" t="str">
            <v>N2</v>
          </cell>
          <cell r="B633" t="str">
            <v>Derrick Amoateng//</v>
          </cell>
          <cell r="C633" t="str">
            <v>Derrick Amoateng</v>
          </cell>
          <cell r="D633"/>
          <cell r="E633"/>
        </row>
        <row r="634">
          <cell r="A634" t="str">
            <v>PB001</v>
          </cell>
          <cell r="B634" t="str">
            <v>John Ofosu//</v>
          </cell>
          <cell r="C634" t="str">
            <v>John Ofosu</v>
          </cell>
          <cell r="D634"/>
          <cell r="E634"/>
        </row>
        <row r="635">
          <cell r="A635" t="str">
            <v>PB020</v>
          </cell>
          <cell r="B635" t="str">
            <v>Owusu Stephen Akuoku/Samuel Osei-Asibey Bonsu/</v>
          </cell>
          <cell r="C635" t="str">
            <v>Owusu Stephen Akuoku</v>
          </cell>
          <cell r="D635" t="str">
            <v>Samuel Osei-Asibey Bonsu</v>
          </cell>
          <cell r="E635"/>
        </row>
        <row r="636">
          <cell r="A636" t="str">
            <v>PB014</v>
          </cell>
          <cell r="B636" t="str">
            <v>Kofi Bentum/Fiifi Turkson/</v>
          </cell>
          <cell r="C636" t="str">
            <v>Kofi Bentum</v>
          </cell>
          <cell r="D636" t="str">
            <v>Fiifi Turkson</v>
          </cell>
          <cell r="E636"/>
        </row>
        <row r="637">
          <cell r="A637" t="str">
            <v>PB008</v>
          </cell>
          <cell r="B637" t="str">
            <v>Richmond Awotwe//</v>
          </cell>
          <cell r="C637" t="str">
            <v>Richmond Awotwe</v>
          </cell>
          <cell r="D637"/>
          <cell r="E637"/>
        </row>
        <row r="638">
          <cell r="A638" t="str">
            <v>PB201</v>
          </cell>
          <cell r="B638" t="str">
            <v>Joseph Benneth Kankam//</v>
          </cell>
          <cell r="C638" t="str">
            <v>Joseph Benneth Kankam</v>
          </cell>
          <cell r="D638"/>
          <cell r="E638"/>
        </row>
        <row r="639">
          <cell r="A639" t="str">
            <v>PB214</v>
          </cell>
          <cell r="B639" t="str">
            <v>Bernard Audinada Ampofo/Fatawu Yakubu/</v>
          </cell>
          <cell r="C639" t="str">
            <v>Bernard Audinada Ampofo</v>
          </cell>
          <cell r="D639" t="str">
            <v>Fatawu Yakubu</v>
          </cell>
          <cell r="E639"/>
        </row>
        <row r="640">
          <cell r="A640" t="str">
            <v>PB212</v>
          </cell>
          <cell r="B640" t="str">
            <v>Clement Appiah//</v>
          </cell>
          <cell r="C640" t="str">
            <v>Clement Appiah</v>
          </cell>
          <cell r="D640"/>
          <cell r="E640"/>
        </row>
        <row r="641">
          <cell r="A641" t="str">
            <v>PB208</v>
          </cell>
          <cell r="B641" t="str">
            <v>Godfred Appiah//</v>
          </cell>
          <cell r="C641" t="str">
            <v>Godfred Appiah</v>
          </cell>
          <cell r="D641"/>
          <cell r="E641"/>
        </row>
        <row r="642">
          <cell r="A642" t="str">
            <v>VCR</v>
          </cell>
          <cell r="B642" t="str">
            <v>Ruth Adwubi Sarfo//</v>
          </cell>
          <cell r="C642" t="str">
            <v>Ruth Adwubi Sarfo</v>
          </cell>
          <cell r="D642"/>
          <cell r="E642"/>
        </row>
        <row r="643">
          <cell r="A643" t="str">
            <v>ECR</v>
          </cell>
          <cell r="B643" t="str">
            <v>Abigail Akos Worlanyo//</v>
          </cell>
          <cell r="C643" t="str">
            <v>Abigail Akos Worlanyo</v>
          </cell>
          <cell r="D643"/>
          <cell r="E643"/>
        </row>
        <row r="644">
          <cell r="A644" t="str">
            <v>A110</v>
          </cell>
          <cell r="B644" t="str">
            <v>Kwame Kwarteng Sarpong//</v>
          </cell>
          <cell r="C644" t="str">
            <v>Kwame Kwarteng Sarpong</v>
          </cell>
          <cell r="D644"/>
          <cell r="E644"/>
        </row>
        <row r="645">
          <cell r="A645" t="str">
            <v>EA</v>
          </cell>
          <cell r="B645" t="str">
            <v>Kwadwo Afful//</v>
          </cell>
          <cell r="C645" t="str">
            <v>Kwadwo Afful</v>
          </cell>
          <cell r="D645"/>
          <cell r="E645"/>
        </row>
        <row r="646">
          <cell r="A646" t="str">
            <v>NAF1</v>
          </cell>
          <cell r="B646" t="str">
            <v>Mercy Nimako/Adjatu Busali/</v>
          </cell>
          <cell r="C646" t="str">
            <v>Mercy Nimako</v>
          </cell>
          <cell r="D646" t="str">
            <v>Adjatu Busali</v>
          </cell>
          <cell r="E646"/>
        </row>
        <row r="647">
          <cell r="A647" t="str">
            <v>NEB SF1</v>
          </cell>
          <cell r="B647" t="str">
            <v>Micheal Obbo/Bernard Annan/Robert Kofi Kyere</v>
          </cell>
          <cell r="C647" t="str">
            <v>Micheal Obbo</v>
          </cell>
          <cell r="D647" t="str">
            <v>Bernard Annan</v>
          </cell>
          <cell r="E647" t="str">
            <v>Robert Kofi Kyere</v>
          </cell>
        </row>
        <row r="648">
          <cell r="A648" t="str">
            <v>NEB GF1</v>
          </cell>
          <cell r="B648" t="str">
            <v>Theresa Sarpong Peprah/Perseverance Dzikunu/Adom Ebenezer</v>
          </cell>
          <cell r="C648" t="str">
            <v>Theresa Sarpong Peprah</v>
          </cell>
          <cell r="D648" t="str">
            <v>Perseverance Dzikunu</v>
          </cell>
          <cell r="E648" t="str">
            <v>Adom Ebenezer</v>
          </cell>
        </row>
        <row r="649">
          <cell r="A649" t="str">
            <v>NEB FF1</v>
          </cell>
          <cell r="B649" t="str">
            <v>Kingsley Kyei Baffour/Clement Dadzie/</v>
          </cell>
          <cell r="C649" t="str">
            <v>Kingsley Kyei Baffour</v>
          </cell>
          <cell r="D649" t="str">
            <v>Clement Dadzie</v>
          </cell>
          <cell r="E649"/>
        </row>
        <row r="650">
          <cell r="A650" t="str">
            <v>NEB FF2</v>
          </cell>
          <cell r="B650" t="str">
            <v>Ernest Dapaah//</v>
          </cell>
          <cell r="C650" t="str">
            <v>Ernest Dapaah</v>
          </cell>
          <cell r="D650"/>
          <cell r="E650"/>
        </row>
        <row r="651">
          <cell r="A651"/>
          <cell r="B651"/>
          <cell r="C651"/>
          <cell r="D651"/>
          <cell r="E651"/>
        </row>
        <row r="652">
          <cell r="A652" t="str">
            <v>ROOM NO</v>
          </cell>
          <cell r="B652" t="str">
            <v>ATTENDANTS/</v>
          </cell>
          <cell r="C652" t="str">
            <v>ATTENDANTS</v>
          </cell>
          <cell r="D652"/>
          <cell r="E652"/>
        </row>
        <row r="653">
          <cell r="A653" t="str">
            <v>LT</v>
          </cell>
          <cell r="B653" t="str">
            <v>Reuben Asare Bediako//</v>
          </cell>
          <cell r="C653" t="str">
            <v>Reuben Asare Bediako</v>
          </cell>
          <cell r="D653"/>
          <cell r="E653"/>
        </row>
        <row r="654">
          <cell r="A654" t="str">
            <v>RM A</v>
          </cell>
          <cell r="B654" t="str">
            <v>George Ansong//</v>
          </cell>
          <cell r="C654" t="str">
            <v>George Ansong</v>
          </cell>
          <cell r="D654"/>
          <cell r="E654"/>
        </row>
        <row r="655">
          <cell r="A655" t="str">
            <v>RM B</v>
          </cell>
          <cell r="B655" t="str">
            <v>Gifty Edem Senyaglo//</v>
          </cell>
          <cell r="C655" t="str">
            <v>Gifty Edem Senyaglo</v>
          </cell>
          <cell r="D655"/>
          <cell r="E655"/>
        </row>
        <row r="656">
          <cell r="A656" t="str">
            <v>VSLA</v>
          </cell>
          <cell r="B656" t="str">
            <v>Issaka Ali Sambo/Paul Dery/</v>
          </cell>
          <cell r="C656" t="str">
            <v>Issaka Ali Sambo</v>
          </cell>
          <cell r="D656" t="str">
            <v>Paul Dery</v>
          </cell>
          <cell r="E656"/>
        </row>
        <row r="657">
          <cell r="A657">
            <v>206</v>
          </cell>
          <cell r="B657" t="str">
            <v>Edward Kpetege//</v>
          </cell>
          <cell r="C657" t="str">
            <v>Edward Kpetege</v>
          </cell>
          <cell r="D657"/>
          <cell r="E657"/>
        </row>
        <row r="658">
          <cell r="A658">
            <v>303</v>
          </cell>
          <cell r="B658" t="str">
            <v>Benjamin Opoku Atuahene//</v>
          </cell>
          <cell r="C658" t="str">
            <v>Benjamin Opoku Atuahene</v>
          </cell>
          <cell r="D658"/>
          <cell r="E658"/>
        </row>
        <row r="659">
          <cell r="A659">
            <v>304</v>
          </cell>
          <cell r="B659" t="str">
            <v>Eric Soku//</v>
          </cell>
          <cell r="C659" t="str">
            <v>Eric Soku</v>
          </cell>
          <cell r="D659"/>
          <cell r="E659"/>
        </row>
        <row r="660">
          <cell r="A660" t="str">
            <v>N1</v>
          </cell>
          <cell r="B660" t="str">
            <v>Marian Bemma//</v>
          </cell>
          <cell r="C660" t="str">
            <v>Marian Bemma</v>
          </cell>
          <cell r="D660"/>
          <cell r="E660"/>
        </row>
        <row r="661">
          <cell r="A661" t="str">
            <v>N2</v>
          </cell>
          <cell r="B661" t="str">
            <v>Benjamin Nana Oduro Konadu//</v>
          </cell>
          <cell r="C661" t="str">
            <v>Benjamin Nana Oduro Konadu</v>
          </cell>
          <cell r="D661"/>
          <cell r="E661"/>
        </row>
        <row r="662">
          <cell r="A662" t="str">
            <v>PB001</v>
          </cell>
          <cell r="B662" t="str">
            <v>John Ofosu//</v>
          </cell>
          <cell r="C662" t="str">
            <v>John Ofosu</v>
          </cell>
          <cell r="D662"/>
          <cell r="E662"/>
        </row>
        <row r="663">
          <cell r="A663" t="str">
            <v>PB020</v>
          </cell>
          <cell r="B663" t="str">
            <v>Owusu Stephen Akuoku/Samuel Osei-Asibey Bonsu/</v>
          </cell>
          <cell r="C663" t="str">
            <v>Owusu Stephen Akuoku</v>
          </cell>
          <cell r="D663" t="str">
            <v>Samuel Osei-Asibey Bonsu</v>
          </cell>
          <cell r="E663"/>
        </row>
        <row r="664">
          <cell r="A664" t="str">
            <v>PB014</v>
          </cell>
          <cell r="B664" t="str">
            <v>Kofi Bentum/Fiifi Turkson/</v>
          </cell>
          <cell r="C664" t="str">
            <v>Kofi Bentum</v>
          </cell>
          <cell r="D664" t="str">
            <v>Fiifi Turkson</v>
          </cell>
          <cell r="E664"/>
        </row>
        <row r="665">
          <cell r="A665" t="str">
            <v>PB008</v>
          </cell>
          <cell r="B665" t="str">
            <v>Richmond Awotwe//</v>
          </cell>
          <cell r="C665" t="str">
            <v>Richmond Awotwe</v>
          </cell>
          <cell r="D665"/>
          <cell r="E665"/>
        </row>
        <row r="666">
          <cell r="A666" t="str">
            <v>PB201</v>
          </cell>
          <cell r="B666" t="str">
            <v>0//</v>
          </cell>
          <cell r="C666">
            <v>0</v>
          </cell>
          <cell r="D666"/>
          <cell r="E666"/>
        </row>
        <row r="667">
          <cell r="A667" t="str">
            <v>PB214</v>
          </cell>
          <cell r="B667" t="str">
            <v>Bernard Audinada Ampofo/Fatawu Yakubu/</v>
          </cell>
          <cell r="C667" t="str">
            <v>Bernard Audinada Ampofo</v>
          </cell>
          <cell r="D667" t="str">
            <v>Fatawu Yakubu</v>
          </cell>
          <cell r="E667"/>
        </row>
        <row r="668">
          <cell r="A668" t="str">
            <v>PB212</v>
          </cell>
          <cell r="B668" t="str">
            <v>Clement Appiah//</v>
          </cell>
          <cell r="C668" t="str">
            <v>Clement Appiah</v>
          </cell>
          <cell r="D668"/>
          <cell r="E668"/>
        </row>
        <row r="669">
          <cell r="A669" t="str">
            <v>PB208</v>
          </cell>
          <cell r="B669" t="str">
            <v>Godfred Appiah//</v>
          </cell>
          <cell r="C669" t="str">
            <v>Godfred Appiah</v>
          </cell>
          <cell r="D669"/>
          <cell r="E669"/>
        </row>
        <row r="670">
          <cell r="A670" t="str">
            <v>VCR</v>
          </cell>
          <cell r="B670" t="str">
            <v>Ruth Adwubi Sarfo//</v>
          </cell>
          <cell r="C670" t="str">
            <v>Ruth Adwubi Sarfo</v>
          </cell>
          <cell r="D670"/>
          <cell r="E670"/>
        </row>
        <row r="671">
          <cell r="A671" t="str">
            <v>ECR</v>
          </cell>
          <cell r="B671" t="str">
            <v>Rebecca Yamoah//</v>
          </cell>
          <cell r="C671" t="str">
            <v>Rebecca Yamoah</v>
          </cell>
          <cell r="D671"/>
          <cell r="E671"/>
        </row>
        <row r="672">
          <cell r="A672" t="str">
            <v>A110</v>
          </cell>
          <cell r="B672" t="str">
            <v>Salamatu Salifu//</v>
          </cell>
          <cell r="C672" t="str">
            <v>Salamatu Salifu</v>
          </cell>
          <cell r="D672"/>
          <cell r="E672"/>
        </row>
        <row r="673">
          <cell r="A673" t="str">
            <v>EA</v>
          </cell>
          <cell r="B673" t="str">
            <v>Kwadwo Afful//</v>
          </cell>
          <cell r="C673" t="str">
            <v>Kwadwo Afful</v>
          </cell>
          <cell r="D673"/>
          <cell r="E673"/>
        </row>
        <row r="674">
          <cell r="A674" t="str">
            <v>NAF1</v>
          </cell>
          <cell r="B674" t="str">
            <v>Mohammed Bakang/Adjatu Busali/</v>
          </cell>
          <cell r="C674" t="str">
            <v>Mohammed Bakang</v>
          </cell>
          <cell r="D674" t="str">
            <v>Adjatu Busali</v>
          </cell>
          <cell r="E674"/>
        </row>
        <row r="675">
          <cell r="A675" t="str">
            <v>NEB SF1</v>
          </cell>
          <cell r="B675" t="str">
            <v>Mercy Nimako/Bernard Annan/Robert Kofi Kyere</v>
          </cell>
          <cell r="C675" t="str">
            <v>Mercy Nimako</v>
          </cell>
          <cell r="D675" t="str">
            <v>Bernard Annan</v>
          </cell>
          <cell r="E675" t="str">
            <v>Robert Kofi Kyere</v>
          </cell>
        </row>
        <row r="676">
          <cell r="A676" t="str">
            <v>NEB GF1</v>
          </cell>
          <cell r="B676" t="str">
            <v>Victoria Agyenim-Boateng/Sandra Essel/Adom Ebenezer</v>
          </cell>
          <cell r="C676" t="str">
            <v>Victoria Agyenim-Boateng</v>
          </cell>
          <cell r="D676" t="str">
            <v>Sandra Essel</v>
          </cell>
          <cell r="E676" t="str">
            <v>Adom Ebenezer</v>
          </cell>
        </row>
        <row r="677">
          <cell r="A677" t="str">
            <v>NEB FF1</v>
          </cell>
          <cell r="B677" t="str">
            <v>Kingsley Kyei Baffour/Bright Andoh-Baidoo/</v>
          </cell>
          <cell r="C677" t="str">
            <v>Kingsley Kyei Baffour</v>
          </cell>
          <cell r="D677" t="str">
            <v>Bright Andoh-Baidoo</v>
          </cell>
          <cell r="E677"/>
        </row>
        <row r="678">
          <cell r="A678" t="str">
            <v>NEB FF2</v>
          </cell>
          <cell r="B678" t="str">
            <v>Abigail Akos Worlanyo//</v>
          </cell>
          <cell r="C678" t="str">
            <v>Abigail Akos Worlanyo</v>
          </cell>
          <cell r="D678"/>
          <cell r="E678"/>
        </row>
        <row r="679">
          <cell r="A679"/>
          <cell r="B679"/>
          <cell r="C679"/>
          <cell r="D679"/>
          <cell r="E679"/>
        </row>
        <row r="680">
          <cell r="A680" t="str">
            <v>ROOM NO</v>
          </cell>
          <cell r="B680" t="str">
            <v>ATTENDANTS/</v>
          </cell>
          <cell r="C680" t="str">
            <v>ATTENDANTS</v>
          </cell>
          <cell r="D680"/>
          <cell r="E680"/>
        </row>
        <row r="681">
          <cell r="A681" t="str">
            <v>LT</v>
          </cell>
          <cell r="B681" t="str">
            <v>Mohammed Bakang//</v>
          </cell>
          <cell r="C681" t="str">
            <v>Mohammed Bakang</v>
          </cell>
          <cell r="D681"/>
          <cell r="E681"/>
        </row>
        <row r="682">
          <cell r="A682" t="str">
            <v>RM A</v>
          </cell>
          <cell r="B682" t="str">
            <v>Mercy Nimako//</v>
          </cell>
          <cell r="C682" t="str">
            <v>Mercy Nimako</v>
          </cell>
          <cell r="D682"/>
          <cell r="E682"/>
        </row>
        <row r="683">
          <cell r="A683" t="str">
            <v>RM B</v>
          </cell>
          <cell r="B683" t="str">
            <v>Derrick Owusu Mensah//</v>
          </cell>
          <cell r="C683" t="str">
            <v>Derrick Owusu Mensah</v>
          </cell>
          <cell r="D683"/>
          <cell r="E683"/>
        </row>
        <row r="684">
          <cell r="A684" t="str">
            <v>VSLA</v>
          </cell>
          <cell r="B684" t="str">
            <v>Issaka Ali Sambo/Paul Dery/</v>
          </cell>
          <cell r="C684" t="str">
            <v>Issaka Ali Sambo</v>
          </cell>
          <cell r="D684" t="str">
            <v>Paul Dery</v>
          </cell>
          <cell r="E684"/>
        </row>
        <row r="685">
          <cell r="A685">
            <v>206</v>
          </cell>
          <cell r="B685" t="str">
            <v>Edward Kpetege//</v>
          </cell>
          <cell r="C685" t="str">
            <v>Edward Kpetege</v>
          </cell>
          <cell r="D685"/>
          <cell r="E685"/>
        </row>
        <row r="686">
          <cell r="A686">
            <v>303</v>
          </cell>
          <cell r="B686" t="str">
            <v>Benjamin Opoku Atuahene//</v>
          </cell>
          <cell r="C686" t="str">
            <v>Benjamin Opoku Atuahene</v>
          </cell>
          <cell r="D686"/>
          <cell r="E686"/>
        </row>
        <row r="687">
          <cell r="A687">
            <v>304</v>
          </cell>
          <cell r="B687" t="str">
            <v>Eric Soku//</v>
          </cell>
          <cell r="C687" t="str">
            <v>Eric Soku</v>
          </cell>
          <cell r="D687"/>
          <cell r="E687"/>
        </row>
        <row r="688">
          <cell r="A688" t="str">
            <v>N1</v>
          </cell>
          <cell r="B688" t="str">
            <v>Marian Bemma//</v>
          </cell>
          <cell r="C688" t="str">
            <v>Marian Bemma</v>
          </cell>
          <cell r="D688"/>
          <cell r="E688"/>
        </row>
        <row r="689">
          <cell r="A689" t="str">
            <v>N2</v>
          </cell>
          <cell r="B689" t="str">
            <v>Derrick Amoateng//</v>
          </cell>
          <cell r="C689" t="str">
            <v>Derrick Amoateng</v>
          </cell>
          <cell r="D689"/>
          <cell r="E689"/>
        </row>
        <row r="690">
          <cell r="A690" t="str">
            <v>PB001</v>
          </cell>
          <cell r="B690" t="str">
            <v>John Ofosu//</v>
          </cell>
          <cell r="C690" t="str">
            <v>John Ofosu</v>
          </cell>
          <cell r="D690"/>
          <cell r="E690"/>
        </row>
        <row r="691">
          <cell r="A691" t="str">
            <v>PB020</v>
          </cell>
          <cell r="B691" t="str">
            <v>Michael Owusu/Samuel Osei-Asibey Bonsu/</v>
          </cell>
          <cell r="C691" t="str">
            <v>Michael Owusu</v>
          </cell>
          <cell r="D691" t="str">
            <v>Samuel Osei-Asibey Bonsu</v>
          </cell>
          <cell r="E691"/>
        </row>
        <row r="692">
          <cell r="A692" t="str">
            <v>PB014</v>
          </cell>
          <cell r="B692" t="str">
            <v>Kofi Bentum/Linda Berko/</v>
          </cell>
          <cell r="C692" t="str">
            <v>Kofi Bentum</v>
          </cell>
          <cell r="D692" t="str">
            <v>Linda Berko</v>
          </cell>
          <cell r="E692"/>
        </row>
        <row r="693">
          <cell r="A693" t="str">
            <v>PB008</v>
          </cell>
          <cell r="B693" t="str">
            <v>Richmond Awotwe//</v>
          </cell>
          <cell r="C693" t="str">
            <v>Richmond Awotwe</v>
          </cell>
          <cell r="D693"/>
          <cell r="E693"/>
        </row>
        <row r="694">
          <cell r="A694" t="str">
            <v>PB201</v>
          </cell>
          <cell r="B694" t="str">
            <v>Evans Korletey//</v>
          </cell>
          <cell r="C694" t="str">
            <v>Evans Korletey</v>
          </cell>
          <cell r="D694"/>
          <cell r="E694"/>
        </row>
        <row r="695">
          <cell r="A695" t="str">
            <v>PB214</v>
          </cell>
          <cell r="B695" t="str">
            <v>Desmond Adu-Yeboah/Fatawu Yakubu/</v>
          </cell>
          <cell r="C695" t="str">
            <v>Desmond Adu-Yeboah</v>
          </cell>
          <cell r="D695" t="str">
            <v>Fatawu Yakubu</v>
          </cell>
          <cell r="E695"/>
        </row>
        <row r="696">
          <cell r="A696" t="str">
            <v>PB212</v>
          </cell>
          <cell r="B696" t="str">
            <v>Clement Appiah//</v>
          </cell>
          <cell r="C696" t="str">
            <v>Clement Appiah</v>
          </cell>
          <cell r="D696"/>
          <cell r="E696"/>
        </row>
        <row r="697">
          <cell r="A697" t="str">
            <v>PB208</v>
          </cell>
          <cell r="B697" t="str">
            <v>Godfred Appiah//</v>
          </cell>
          <cell r="C697" t="str">
            <v>Godfred Appiah</v>
          </cell>
          <cell r="D697"/>
          <cell r="E697"/>
        </row>
        <row r="698">
          <cell r="A698" t="str">
            <v>VCR</v>
          </cell>
          <cell r="B698" t="str">
            <v>Ruth Adwubi Sarfo//</v>
          </cell>
          <cell r="C698" t="str">
            <v>Ruth Adwubi Sarfo</v>
          </cell>
          <cell r="D698"/>
          <cell r="E698"/>
        </row>
        <row r="699">
          <cell r="A699" t="str">
            <v>ECR</v>
          </cell>
          <cell r="B699" t="str">
            <v>Sandra Essel//</v>
          </cell>
          <cell r="C699" t="str">
            <v>Sandra Essel</v>
          </cell>
          <cell r="D699"/>
          <cell r="E699"/>
        </row>
        <row r="700">
          <cell r="A700" t="str">
            <v>A110</v>
          </cell>
          <cell r="B700" t="str">
            <v>Gifty Edem Senyaglo//</v>
          </cell>
          <cell r="C700" t="str">
            <v>Gifty Edem Senyaglo</v>
          </cell>
          <cell r="D700"/>
          <cell r="E700"/>
        </row>
        <row r="701">
          <cell r="A701" t="str">
            <v>EA</v>
          </cell>
          <cell r="B701" t="str">
            <v>Kwadwo Afful//</v>
          </cell>
          <cell r="C701" t="str">
            <v>Kwadwo Afful</v>
          </cell>
          <cell r="D701"/>
          <cell r="E701"/>
        </row>
        <row r="702">
          <cell r="A702" t="str">
            <v>NAF1</v>
          </cell>
          <cell r="B702" t="str">
            <v>Loretta Owusu Ansah/Adjatu Busali/</v>
          </cell>
          <cell r="C702" t="str">
            <v>Loretta Owusu Ansah</v>
          </cell>
          <cell r="D702" t="str">
            <v>Adjatu Busali</v>
          </cell>
          <cell r="E702"/>
        </row>
        <row r="703">
          <cell r="A703" t="str">
            <v>NEB SF1</v>
          </cell>
          <cell r="B703" t="str">
            <v>Micheal Obbo/Bernard Annan/Robert Kofi Kyere</v>
          </cell>
          <cell r="C703" t="str">
            <v>Micheal Obbo</v>
          </cell>
          <cell r="D703" t="str">
            <v>Bernard Annan</v>
          </cell>
          <cell r="E703" t="str">
            <v>Robert Kofi Kyere</v>
          </cell>
        </row>
        <row r="704">
          <cell r="A704" t="str">
            <v>NEB GF1</v>
          </cell>
          <cell r="B704" t="str">
            <v>Clement Dadzie/Perseverance Dzikunu/Adom Ebenezer</v>
          </cell>
          <cell r="C704" t="str">
            <v>Clement Dadzie</v>
          </cell>
          <cell r="D704" t="str">
            <v>Perseverance Dzikunu</v>
          </cell>
          <cell r="E704" t="str">
            <v>Adom Ebenezer</v>
          </cell>
        </row>
        <row r="705">
          <cell r="A705" t="str">
            <v>NEB FF1</v>
          </cell>
          <cell r="B705" t="str">
            <v>Kingsley Kyei Baffour/Bright Andoh-Baidoo/</v>
          </cell>
          <cell r="C705" t="str">
            <v>Kingsley Kyei Baffour</v>
          </cell>
          <cell r="D705" t="str">
            <v>Bright Andoh-Baidoo</v>
          </cell>
          <cell r="E705"/>
        </row>
        <row r="706">
          <cell r="A706" t="str">
            <v>NEB FF2</v>
          </cell>
          <cell r="B706" t="str">
            <v>Ernest Dapaah//</v>
          </cell>
          <cell r="C706" t="str">
            <v>Ernest Dapaah</v>
          </cell>
          <cell r="D706"/>
          <cell r="E706"/>
        </row>
        <row r="707">
          <cell r="A707"/>
          <cell r="B707" t="str">
            <v>/</v>
          </cell>
          <cell r="C707"/>
          <cell r="D707"/>
          <cell r="E707"/>
        </row>
        <row r="708">
          <cell r="A708"/>
          <cell r="B708" t="str">
            <v>/</v>
          </cell>
          <cell r="C708"/>
          <cell r="D708"/>
          <cell r="E708"/>
        </row>
        <row r="709">
          <cell r="A709" t="str">
            <v>ROOM NO</v>
          </cell>
          <cell r="B709" t="str">
            <v>ATTENDANTS/</v>
          </cell>
          <cell r="C709" t="str">
            <v>ATTENDANTS</v>
          </cell>
          <cell r="D709"/>
          <cell r="E709"/>
        </row>
        <row r="710">
          <cell r="A710" t="str">
            <v>LT</v>
          </cell>
          <cell r="B710" t="str">
            <v>Reuben Asare Bediako//</v>
          </cell>
          <cell r="C710" t="str">
            <v>Reuben Asare Bediako</v>
          </cell>
          <cell r="D710"/>
          <cell r="E710"/>
        </row>
        <row r="711">
          <cell r="A711" t="str">
            <v>RM A</v>
          </cell>
          <cell r="B711" t="str">
            <v>George Ansong//</v>
          </cell>
          <cell r="C711" t="str">
            <v>George Ansong</v>
          </cell>
          <cell r="D711"/>
          <cell r="E711"/>
        </row>
        <row r="712">
          <cell r="A712" t="str">
            <v>RM B</v>
          </cell>
          <cell r="B712" t="str">
            <v>Derrick Owusu Mensah//</v>
          </cell>
          <cell r="C712" t="str">
            <v>Derrick Owusu Mensah</v>
          </cell>
          <cell r="D712"/>
          <cell r="E712"/>
        </row>
        <row r="713">
          <cell r="A713" t="str">
            <v>VSLA</v>
          </cell>
          <cell r="B713" t="str">
            <v>Abigail Akos Worlanyo/Paul Dery/</v>
          </cell>
          <cell r="C713" t="str">
            <v>Abigail Akos Worlanyo</v>
          </cell>
          <cell r="D713" t="str">
            <v>Paul Dery</v>
          </cell>
          <cell r="E713"/>
        </row>
        <row r="714">
          <cell r="A714">
            <v>206</v>
          </cell>
          <cell r="B714" t="str">
            <v>Edward Kpetege//</v>
          </cell>
          <cell r="C714" t="str">
            <v>Edward Kpetege</v>
          </cell>
          <cell r="D714"/>
          <cell r="E714"/>
        </row>
        <row r="715">
          <cell r="A715">
            <v>303</v>
          </cell>
          <cell r="B715" t="str">
            <v>Benjamin Opoku Atuahene//</v>
          </cell>
          <cell r="C715" t="str">
            <v>Benjamin Opoku Atuahene</v>
          </cell>
          <cell r="D715"/>
          <cell r="E715"/>
        </row>
        <row r="716">
          <cell r="A716">
            <v>304</v>
          </cell>
          <cell r="B716" t="str">
            <v>Eric Soku//</v>
          </cell>
          <cell r="C716" t="str">
            <v>Eric Soku</v>
          </cell>
          <cell r="D716"/>
          <cell r="E716"/>
        </row>
        <row r="717">
          <cell r="A717" t="str">
            <v>N1</v>
          </cell>
          <cell r="B717" t="str">
            <v>Marian Bemma//</v>
          </cell>
          <cell r="C717" t="str">
            <v>Marian Bemma</v>
          </cell>
          <cell r="D717"/>
          <cell r="E717"/>
        </row>
        <row r="718">
          <cell r="A718" t="str">
            <v>N2</v>
          </cell>
          <cell r="B718" t="str">
            <v>Derrick Amoateng//</v>
          </cell>
          <cell r="C718" t="str">
            <v>Derrick Amoateng</v>
          </cell>
          <cell r="D718"/>
          <cell r="E718"/>
        </row>
        <row r="719">
          <cell r="A719" t="str">
            <v>PB001</v>
          </cell>
          <cell r="B719" t="str">
            <v>John Ofosu//</v>
          </cell>
          <cell r="C719" t="str">
            <v>John Ofosu</v>
          </cell>
          <cell r="D719"/>
          <cell r="E719"/>
        </row>
        <row r="720">
          <cell r="A720" t="str">
            <v>PB020</v>
          </cell>
          <cell r="B720" t="str">
            <v>Evans Korletey/Michael Owusu/</v>
          </cell>
          <cell r="C720" t="str">
            <v>Evans Korletey</v>
          </cell>
          <cell r="D720" t="str">
            <v>Michael Owusu</v>
          </cell>
          <cell r="E720"/>
        </row>
        <row r="721">
          <cell r="A721" t="str">
            <v>PB014</v>
          </cell>
          <cell r="B721" t="str">
            <v>Rener Oppong/Fiifi Turkson/</v>
          </cell>
          <cell r="C721" t="str">
            <v>Rener Oppong</v>
          </cell>
          <cell r="D721" t="str">
            <v>Fiifi Turkson</v>
          </cell>
          <cell r="E721"/>
        </row>
        <row r="722">
          <cell r="A722" t="str">
            <v>PB008</v>
          </cell>
          <cell r="B722" t="str">
            <v>Rebecca Yamoah//</v>
          </cell>
          <cell r="C722" t="str">
            <v>Rebecca Yamoah</v>
          </cell>
          <cell r="D722"/>
          <cell r="E722"/>
        </row>
        <row r="723">
          <cell r="A723" t="str">
            <v>PB201</v>
          </cell>
          <cell r="B723" t="str">
            <v>Sandra Essel//</v>
          </cell>
          <cell r="C723" t="str">
            <v>Sandra Essel</v>
          </cell>
          <cell r="D723"/>
          <cell r="E723"/>
        </row>
        <row r="724">
          <cell r="A724" t="str">
            <v>PB214</v>
          </cell>
          <cell r="B724" t="str">
            <v>Bernard Audinada Ampofo/Fatawu Yakubu/</v>
          </cell>
          <cell r="C724" t="str">
            <v>Bernard Audinada Ampofo</v>
          </cell>
          <cell r="D724" t="str">
            <v>Fatawu Yakubu</v>
          </cell>
          <cell r="E724"/>
        </row>
        <row r="725">
          <cell r="A725" t="str">
            <v>PB212</v>
          </cell>
          <cell r="B725" t="str">
            <v>Clement Appiah//</v>
          </cell>
          <cell r="C725" t="str">
            <v>Clement Appiah</v>
          </cell>
          <cell r="D725"/>
          <cell r="E725"/>
        </row>
        <row r="726">
          <cell r="A726" t="str">
            <v>PB208</v>
          </cell>
          <cell r="B726" t="str">
            <v>Theresa Sarpong Peprah//</v>
          </cell>
          <cell r="C726" t="str">
            <v>Theresa Sarpong Peprah</v>
          </cell>
          <cell r="D726"/>
          <cell r="E726"/>
        </row>
        <row r="727">
          <cell r="A727" t="str">
            <v>VCR</v>
          </cell>
          <cell r="B727" t="str">
            <v>Ruth Adwubi Sarfo//</v>
          </cell>
          <cell r="C727" t="str">
            <v>Ruth Adwubi Sarfo</v>
          </cell>
          <cell r="D727"/>
          <cell r="E727"/>
        </row>
        <row r="728">
          <cell r="A728" t="str">
            <v>ECR</v>
          </cell>
          <cell r="B728" t="str">
            <v>Clement Dadzie//</v>
          </cell>
          <cell r="C728" t="str">
            <v>Clement Dadzie</v>
          </cell>
          <cell r="D728"/>
          <cell r="E728"/>
        </row>
        <row r="729">
          <cell r="A729" t="str">
            <v>A110</v>
          </cell>
          <cell r="B729" t="str">
            <v>Kwame Kwarteng Sarpong//</v>
          </cell>
          <cell r="C729" t="str">
            <v>Kwame Kwarteng Sarpong</v>
          </cell>
          <cell r="D729"/>
          <cell r="E729"/>
        </row>
        <row r="730">
          <cell r="A730" t="str">
            <v>EA</v>
          </cell>
          <cell r="B730" t="str">
            <v>Kwadwo Afful//</v>
          </cell>
          <cell r="C730" t="str">
            <v>Kwadwo Afful</v>
          </cell>
          <cell r="D730"/>
          <cell r="E730"/>
        </row>
        <row r="731">
          <cell r="A731" t="str">
            <v>NAF1</v>
          </cell>
          <cell r="B731" t="str">
            <v>Loretta Owusu Ansah/Adjatu Busali/</v>
          </cell>
          <cell r="C731" t="str">
            <v>Loretta Owusu Ansah</v>
          </cell>
          <cell r="D731" t="str">
            <v>Adjatu Busali</v>
          </cell>
          <cell r="E731"/>
        </row>
        <row r="732">
          <cell r="A732" t="str">
            <v>NEB SF1</v>
          </cell>
          <cell r="B732" t="str">
            <v>Micheal Obbo/Bernard Annan/Robert Kofi Kyere</v>
          </cell>
          <cell r="C732" t="str">
            <v>Micheal Obbo</v>
          </cell>
          <cell r="D732" t="str">
            <v>Bernard Annan</v>
          </cell>
          <cell r="E732" t="str">
            <v>Robert Kofi Kyere</v>
          </cell>
        </row>
        <row r="733">
          <cell r="A733" t="str">
            <v>NEB GF1</v>
          </cell>
          <cell r="B733" t="str">
            <v>Rener Oppong/Perseverance Dzikunu/Adom Ebenezer</v>
          </cell>
          <cell r="C733" t="str">
            <v>Rener Oppong</v>
          </cell>
          <cell r="D733" t="str">
            <v>Perseverance Dzikunu</v>
          </cell>
          <cell r="E733" t="str">
            <v>Adom Ebenezer</v>
          </cell>
        </row>
        <row r="734">
          <cell r="A734" t="str">
            <v>NEB FF1</v>
          </cell>
          <cell r="B734" t="str">
            <v>Kingsley Kyei Baffour/Bright Andoh-Baidoo/</v>
          </cell>
          <cell r="C734" t="str">
            <v>Kingsley Kyei Baffour</v>
          </cell>
          <cell r="D734" t="str">
            <v>Bright Andoh-Baidoo</v>
          </cell>
          <cell r="E734"/>
        </row>
        <row r="735">
          <cell r="A735" t="str">
            <v>NEB FF2</v>
          </cell>
          <cell r="B735" t="str">
            <v>Ernest Dapaah//</v>
          </cell>
          <cell r="C735" t="str">
            <v>Ernest Dapaah</v>
          </cell>
          <cell r="D735"/>
          <cell r="E735"/>
        </row>
        <row r="736">
          <cell r="B736" t="str">
            <v>/</v>
          </cell>
          <cell r="C736"/>
          <cell r="D736"/>
          <cell r="E736"/>
        </row>
        <row r="737">
          <cell r="A737" t="str">
            <v>ROOM NO</v>
          </cell>
          <cell r="B737" t="str">
            <v>ATTENDANTS/</v>
          </cell>
          <cell r="C737" t="str">
            <v>ATTENDANTS</v>
          </cell>
          <cell r="D737"/>
          <cell r="E737"/>
        </row>
        <row r="738">
          <cell r="A738" t="str">
            <v>LT</v>
          </cell>
          <cell r="B738" t="str">
            <v>Theresa Sarpong Peprah//</v>
          </cell>
          <cell r="C738" t="str">
            <v>Theresa Sarpong Peprah</v>
          </cell>
          <cell r="D738"/>
          <cell r="E738"/>
        </row>
        <row r="739">
          <cell r="A739" t="str">
            <v>RM A</v>
          </cell>
          <cell r="B739" t="str">
            <v>George Ansong//</v>
          </cell>
          <cell r="C739" t="str">
            <v>George Ansong</v>
          </cell>
          <cell r="D739"/>
          <cell r="E739"/>
        </row>
        <row r="740">
          <cell r="A740" t="str">
            <v>RM B</v>
          </cell>
          <cell r="B740" t="str">
            <v>Derrick Owusu Mensah//</v>
          </cell>
          <cell r="C740" t="str">
            <v>Derrick Owusu Mensah</v>
          </cell>
          <cell r="D740"/>
          <cell r="E740"/>
        </row>
        <row r="741">
          <cell r="A741" t="str">
            <v>VSLA</v>
          </cell>
          <cell r="B741" t="str">
            <v>Victoria Agyenim-Boateng/Michael Owusu/</v>
          </cell>
          <cell r="C741" t="str">
            <v>Victoria Agyenim-Boateng</v>
          </cell>
          <cell r="D741" t="str">
            <v>Michael Owusu</v>
          </cell>
          <cell r="E741"/>
        </row>
        <row r="742">
          <cell r="A742">
            <v>206</v>
          </cell>
          <cell r="B742" t="str">
            <v>Edward Kpetege//</v>
          </cell>
          <cell r="C742" t="str">
            <v>Edward Kpetege</v>
          </cell>
          <cell r="D742"/>
          <cell r="E742"/>
        </row>
        <row r="743">
          <cell r="A743">
            <v>303</v>
          </cell>
          <cell r="B743" t="str">
            <v>Linda Berko//</v>
          </cell>
          <cell r="C743" t="str">
            <v>Linda Berko</v>
          </cell>
          <cell r="D743"/>
          <cell r="E743"/>
        </row>
        <row r="744">
          <cell r="A744">
            <v>304</v>
          </cell>
          <cell r="B744" t="str">
            <v>Eric Soku//</v>
          </cell>
          <cell r="C744" t="str">
            <v>Eric Soku</v>
          </cell>
          <cell r="D744"/>
          <cell r="E744"/>
        </row>
        <row r="745">
          <cell r="A745" t="str">
            <v>N1</v>
          </cell>
          <cell r="B745" t="str">
            <v>Salamatu Salifu//</v>
          </cell>
          <cell r="C745" t="str">
            <v>Salamatu Salifu</v>
          </cell>
          <cell r="D745"/>
          <cell r="E745"/>
        </row>
        <row r="746">
          <cell r="A746" t="str">
            <v>N2</v>
          </cell>
          <cell r="B746" t="str">
            <v>Derrick Amoateng//</v>
          </cell>
          <cell r="C746" t="str">
            <v>Derrick Amoateng</v>
          </cell>
          <cell r="D746"/>
          <cell r="E746"/>
        </row>
        <row r="747">
          <cell r="A747" t="str">
            <v>PB001</v>
          </cell>
          <cell r="B747" t="str">
            <v>John Ofosu//</v>
          </cell>
          <cell r="C747" t="str">
            <v>John Ofosu</v>
          </cell>
          <cell r="D747"/>
          <cell r="E747"/>
        </row>
        <row r="748">
          <cell r="A748" t="str">
            <v>PB020</v>
          </cell>
          <cell r="B748" t="str">
            <v>Owusu Stephen Akuoku/Samuel Osei-Asibey Bonsu/</v>
          </cell>
          <cell r="C748" t="str">
            <v>Owusu Stephen Akuoku</v>
          </cell>
          <cell r="D748" t="str">
            <v>Samuel Osei-Asibey Bonsu</v>
          </cell>
          <cell r="E748"/>
        </row>
        <row r="749">
          <cell r="A749" t="str">
            <v>PB014</v>
          </cell>
          <cell r="B749" t="str">
            <v>Kofi Bentum/Gifty Edem Senyaglo/</v>
          </cell>
          <cell r="C749" t="str">
            <v>Kofi Bentum</v>
          </cell>
          <cell r="D749" t="str">
            <v>Gifty Edem Senyaglo</v>
          </cell>
          <cell r="E749"/>
        </row>
        <row r="750">
          <cell r="A750" t="str">
            <v>PB008</v>
          </cell>
          <cell r="B750" t="str">
            <v>Richmond Awotwe//</v>
          </cell>
          <cell r="C750" t="str">
            <v>Richmond Awotwe</v>
          </cell>
          <cell r="D750"/>
          <cell r="E750"/>
        </row>
        <row r="751">
          <cell r="A751" t="str">
            <v>PB201</v>
          </cell>
          <cell r="B751" t="str">
            <v>Joseph Benneth Kankam//</v>
          </cell>
          <cell r="C751" t="str">
            <v>Joseph Benneth Kankam</v>
          </cell>
          <cell r="D751"/>
          <cell r="E751"/>
        </row>
        <row r="752">
          <cell r="A752" t="str">
            <v>PB214</v>
          </cell>
          <cell r="B752" t="str">
            <v>Bernard Audinada Ampofo/Fatawu Yakubu/</v>
          </cell>
          <cell r="C752" t="str">
            <v>Bernard Audinada Ampofo</v>
          </cell>
          <cell r="D752" t="str">
            <v>Fatawu Yakubu</v>
          </cell>
          <cell r="E752"/>
        </row>
        <row r="753">
          <cell r="A753" t="str">
            <v>PB212</v>
          </cell>
          <cell r="B753" t="str">
            <v>Clement Appiah//</v>
          </cell>
          <cell r="C753" t="str">
            <v>Clement Appiah</v>
          </cell>
          <cell r="D753"/>
          <cell r="E753"/>
        </row>
        <row r="754">
          <cell r="A754" t="str">
            <v>PB208</v>
          </cell>
          <cell r="B754" t="str">
            <v>Godfred Appiah//</v>
          </cell>
          <cell r="C754" t="str">
            <v>Godfred Appiah</v>
          </cell>
          <cell r="D754"/>
          <cell r="E754"/>
        </row>
        <row r="755">
          <cell r="A755" t="str">
            <v>VCR</v>
          </cell>
          <cell r="B755" t="str">
            <v>Abigail Akos Worlanyo//</v>
          </cell>
          <cell r="C755" t="str">
            <v>Abigail Akos Worlanyo</v>
          </cell>
          <cell r="D755"/>
          <cell r="E755"/>
        </row>
        <row r="756">
          <cell r="A756" t="str">
            <v>ECR</v>
          </cell>
          <cell r="B756" t="str">
            <v>Sandra Essel//</v>
          </cell>
          <cell r="C756" t="str">
            <v>Sandra Essel</v>
          </cell>
          <cell r="D756"/>
          <cell r="E756"/>
        </row>
        <row r="757">
          <cell r="A757" t="str">
            <v>A110</v>
          </cell>
          <cell r="B757" t="str">
            <v>Kwame Kwarteng Sarpong//</v>
          </cell>
          <cell r="C757" t="str">
            <v>Kwame Kwarteng Sarpong</v>
          </cell>
          <cell r="D757"/>
          <cell r="E757"/>
        </row>
        <row r="758">
          <cell r="A758" t="str">
            <v>EA</v>
          </cell>
          <cell r="B758" t="str">
            <v>Benjamin Nana Oduro Konadu//</v>
          </cell>
          <cell r="C758" t="str">
            <v>Benjamin Nana Oduro Konadu</v>
          </cell>
          <cell r="D758"/>
          <cell r="E758"/>
        </row>
        <row r="759">
          <cell r="A759" t="str">
            <v>NAF1</v>
          </cell>
          <cell r="B759" t="str">
            <v>Loretta Owusu Ansah/Desmond Adu-Yeboah/</v>
          </cell>
          <cell r="C759" t="str">
            <v>Loretta Owusu Ansah</v>
          </cell>
          <cell r="D759" t="str">
            <v>Desmond Adu-Yeboah</v>
          </cell>
          <cell r="E759"/>
        </row>
        <row r="760">
          <cell r="A760" t="str">
            <v>NEB SF1</v>
          </cell>
          <cell r="B760" t="str">
            <v>Micheal Obbo/Getrude Opoku/Robert Kofi Kyere</v>
          </cell>
          <cell r="C760" t="str">
            <v>Micheal Obbo</v>
          </cell>
          <cell r="D760" t="str">
            <v>Getrude Opoku</v>
          </cell>
          <cell r="E760" t="str">
            <v>Robert Kofi Kyere</v>
          </cell>
        </row>
        <row r="761">
          <cell r="A761" t="str">
            <v>NEB GF1</v>
          </cell>
          <cell r="B761" t="str">
            <v>Peter Agetinga/Perseverance Dzikunu/Adom Ebenezer</v>
          </cell>
          <cell r="C761" t="str">
            <v>Peter Agetinga</v>
          </cell>
          <cell r="D761" t="str">
            <v>Perseverance Dzikunu</v>
          </cell>
          <cell r="E761" t="str">
            <v>Adom Ebenezer</v>
          </cell>
        </row>
        <row r="762">
          <cell r="A762" t="str">
            <v>NEB FF1</v>
          </cell>
          <cell r="B762" t="str">
            <v>Kingsley Kyei Baffour/Bright Andoh-Baidoo/</v>
          </cell>
          <cell r="C762" t="str">
            <v>Kingsley Kyei Baffour</v>
          </cell>
          <cell r="D762" t="str">
            <v>Bright Andoh-Baidoo</v>
          </cell>
          <cell r="E762"/>
        </row>
        <row r="763">
          <cell r="A763" t="str">
            <v>NEB FF2</v>
          </cell>
          <cell r="B763" t="str">
            <v>Ernest Dapaah//</v>
          </cell>
          <cell r="C763" t="str">
            <v>Ernest Dapaah</v>
          </cell>
          <cell r="D763"/>
          <cell r="E763"/>
        </row>
        <row r="764">
          <cell r="A764"/>
          <cell r="B764" t="str">
            <v>/</v>
          </cell>
          <cell r="C764"/>
          <cell r="D764"/>
          <cell r="E764"/>
        </row>
        <row r="765">
          <cell r="A765" t="str">
            <v>ROOM NO</v>
          </cell>
          <cell r="B765" t="str">
            <v>ATTENDANTS/</v>
          </cell>
          <cell r="C765" t="str">
            <v>ATTENDANTS</v>
          </cell>
          <cell r="D765"/>
          <cell r="E765"/>
        </row>
        <row r="766">
          <cell r="A766" t="str">
            <v>LT</v>
          </cell>
          <cell r="B766" t="str">
            <v>Reuben Asare Bediako//</v>
          </cell>
          <cell r="C766" t="str">
            <v>Reuben Asare Bediako</v>
          </cell>
          <cell r="D766"/>
          <cell r="E766"/>
        </row>
        <row r="767">
          <cell r="A767" t="str">
            <v>RM A</v>
          </cell>
          <cell r="B767" t="str">
            <v>Victoria Agyenim-Boateng//</v>
          </cell>
          <cell r="C767" t="str">
            <v>Victoria Agyenim-Boateng</v>
          </cell>
          <cell r="D767"/>
          <cell r="E767"/>
        </row>
        <row r="768">
          <cell r="A768" t="str">
            <v>RM B</v>
          </cell>
          <cell r="B768" t="str">
            <v>Derrick Owusu Mensah//</v>
          </cell>
          <cell r="C768" t="str">
            <v>Derrick Owusu Mensah</v>
          </cell>
          <cell r="D768"/>
          <cell r="E768"/>
        </row>
        <row r="769">
          <cell r="A769" t="str">
            <v>VSLA</v>
          </cell>
          <cell r="B769" t="str">
            <v>Issaka Ali Sambo/Paul Dery/</v>
          </cell>
          <cell r="C769" t="str">
            <v>Issaka Ali Sambo</v>
          </cell>
          <cell r="D769" t="str">
            <v>Paul Dery</v>
          </cell>
          <cell r="E769"/>
        </row>
        <row r="770">
          <cell r="A770">
            <v>206</v>
          </cell>
          <cell r="B770" t="str">
            <v>Peter Agetinga//</v>
          </cell>
          <cell r="C770" t="str">
            <v>Peter Agetinga</v>
          </cell>
          <cell r="D770"/>
          <cell r="E770"/>
        </row>
        <row r="771">
          <cell r="A771">
            <v>303</v>
          </cell>
          <cell r="B771" t="str">
            <v>Benjamin Opoku Atuahene//</v>
          </cell>
          <cell r="C771" t="str">
            <v>Benjamin Opoku Atuahene</v>
          </cell>
          <cell r="D771"/>
          <cell r="E771"/>
        </row>
        <row r="772">
          <cell r="A772">
            <v>304</v>
          </cell>
          <cell r="B772" t="str">
            <v>Eric Soku//</v>
          </cell>
          <cell r="C772" t="str">
            <v>Eric Soku</v>
          </cell>
          <cell r="D772"/>
          <cell r="E772"/>
        </row>
        <row r="773">
          <cell r="A773" t="str">
            <v>N1</v>
          </cell>
          <cell r="B773" t="str">
            <v>Marian Bemma//</v>
          </cell>
          <cell r="C773" t="str">
            <v>Marian Bemma</v>
          </cell>
          <cell r="D773"/>
          <cell r="E773"/>
        </row>
        <row r="774">
          <cell r="A774" t="str">
            <v>N2</v>
          </cell>
          <cell r="B774" t="str">
            <v>Derrick Amoateng//</v>
          </cell>
          <cell r="C774" t="str">
            <v>Derrick Amoateng</v>
          </cell>
          <cell r="D774"/>
          <cell r="E774"/>
        </row>
        <row r="775">
          <cell r="A775" t="str">
            <v>PB001</v>
          </cell>
          <cell r="B775" t="str">
            <v>John Ofosu//</v>
          </cell>
          <cell r="C775" t="str">
            <v>John Ofosu</v>
          </cell>
          <cell r="D775"/>
          <cell r="E775"/>
        </row>
        <row r="776">
          <cell r="A776" t="str">
            <v>PB020</v>
          </cell>
          <cell r="B776" t="str">
            <v>Gifty Edem Senyaglo/Mohammed Bakang/</v>
          </cell>
          <cell r="C776" t="str">
            <v>Gifty Edem Senyaglo</v>
          </cell>
          <cell r="D776" t="str">
            <v>Mohammed Bakang</v>
          </cell>
          <cell r="E776"/>
        </row>
        <row r="777">
          <cell r="A777" t="str">
            <v>PB014</v>
          </cell>
          <cell r="B777" t="str">
            <v>Michael Owusu/Fiifi Turkson/</v>
          </cell>
          <cell r="C777" t="str">
            <v>Michael Owusu</v>
          </cell>
          <cell r="D777" t="str">
            <v>Fiifi Turkson</v>
          </cell>
          <cell r="E777"/>
        </row>
        <row r="778">
          <cell r="A778" t="str">
            <v>PB008</v>
          </cell>
          <cell r="B778" t="str">
            <v>Richmond Awotwe//</v>
          </cell>
          <cell r="C778" t="str">
            <v>Richmond Awotwe</v>
          </cell>
          <cell r="D778"/>
          <cell r="E778"/>
        </row>
        <row r="779">
          <cell r="A779" t="str">
            <v>PB201</v>
          </cell>
          <cell r="B779" t="str">
            <v>Joseph Benneth Kankam//</v>
          </cell>
          <cell r="C779" t="str">
            <v>Joseph Benneth Kankam</v>
          </cell>
          <cell r="D779"/>
          <cell r="E779"/>
        </row>
        <row r="780">
          <cell r="A780" t="str">
            <v>PB214</v>
          </cell>
          <cell r="B780" t="str">
            <v>Desmond Adu-Yeboah/Benjamin Nana Oduro Konadu/</v>
          </cell>
          <cell r="C780" t="str">
            <v>Desmond Adu-Yeboah</v>
          </cell>
          <cell r="D780" t="str">
            <v>Benjamin Nana Oduro Konadu</v>
          </cell>
          <cell r="E780"/>
        </row>
        <row r="781">
          <cell r="A781" t="str">
            <v>PB212</v>
          </cell>
          <cell r="B781" t="str">
            <v>Getrude Opoku//</v>
          </cell>
          <cell r="C781" t="str">
            <v>Getrude Opoku</v>
          </cell>
          <cell r="D781"/>
          <cell r="E781"/>
        </row>
        <row r="782">
          <cell r="A782" t="str">
            <v>PB208</v>
          </cell>
          <cell r="B782" t="str">
            <v>Salamatu Salifu//</v>
          </cell>
          <cell r="C782" t="str">
            <v>Salamatu Salifu</v>
          </cell>
          <cell r="D782"/>
          <cell r="E782"/>
        </row>
        <row r="783">
          <cell r="A783" t="str">
            <v>VCR</v>
          </cell>
          <cell r="B783" t="str">
            <v>Ruth Adwubi Sarfo//</v>
          </cell>
          <cell r="C783" t="str">
            <v>Ruth Adwubi Sarfo</v>
          </cell>
          <cell r="D783"/>
          <cell r="E783"/>
        </row>
        <row r="784">
          <cell r="A784" t="str">
            <v>ECR</v>
          </cell>
          <cell r="B784" t="str">
            <v>Sandra Essel//</v>
          </cell>
          <cell r="C784" t="str">
            <v>Sandra Essel</v>
          </cell>
          <cell r="D784"/>
          <cell r="E784"/>
        </row>
        <row r="785">
          <cell r="A785" t="str">
            <v>A110</v>
          </cell>
          <cell r="B785" t="str">
            <v>Kwame Kwarteng Sarpong//</v>
          </cell>
          <cell r="C785" t="str">
            <v>Kwame Kwarteng Sarpong</v>
          </cell>
          <cell r="D785"/>
          <cell r="E785"/>
        </row>
        <row r="786">
          <cell r="A786" t="str">
            <v>EA</v>
          </cell>
          <cell r="B786" t="str">
            <v>Kwadwo Afful//</v>
          </cell>
          <cell r="C786" t="str">
            <v>Kwadwo Afful</v>
          </cell>
          <cell r="D786"/>
          <cell r="E786"/>
        </row>
        <row r="787">
          <cell r="A787" t="str">
            <v>NAF1</v>
          </cell>
          <cell r="B787" t="str">
            <v>Rebecca Yamoah/Adjatu Busali/</v>
          </cell>
          <cell r="C787" t="str">
            <v>Rebecca Yamoah</v>
          </cell>
          <cell r="D787" t="str">
            <v>Adjatu Busali</v>
          </cell>
          <cell r="E787"/>
        </row>
        <row r="788">
          <cell r="A788" t="str">
            <v>NEB SF1</v>
          </cell>
          <cell r="B788" t="str">
            <v>Theresa Sarpong Peprah/Bernard Annan/Robert Kofi Kyere</v>
          </cell>
          <cell r="C788" t="str">
            <v>Theresa Sarpong Peprah</v>
          </cell>
          <cell r="D788" t="str">
            <v>Bernard Annan</v>
          </cell>
          <cell r="E788" t="str">
            <v>Robert Kofi Kyere</v>
          </cell>
        </row>
        <row r="789">
          <cell r="A789" t="str">
            <v>NEB GF1</v>
          </cell>
          <cell r="B789" t="str">
            <v>Rener Oppong/Perseverance Dzikunu/Adom Ebenezer</v>
          </cell>
          <cell r="C789" t="str">
            <v>Rener Oppong</v>
          </cell>
          <cell r="D789" t="str">
            <v>Perseverance Dzikunu</v>
          </cell>
          <cell r="E789" t="str">
            <v>Adom Ebenezer</v>
          </cell>
        </row>
        <row r="790">
          <cell r="A790" t="str">
            <v>NEB FF1</v>
          </cell>
          <cell r="B790" t="str">
            <v>Kingsley Kyei Baffour/Linda Berko/</v>
          </cell>
          <cell r="C790" t="str">
            <v>Kingsley Kyei Baffour</v>
          </cell>
          <cell r="D790" t="str">
            <v>Linda Berko</v>
          </cell>
          <cell r="E790"/>
        </row>
        <row r="791">
          <cell r="A791" t="str">
            <v>NEB FF2</v>
          </cell>
          <cell r="B791" t="str">
            <v>Ernest Dapaah//</v>
          </cell>
          <cell r="C791" t="str">
            <v>Ernest Dapaah</v>
          </cell>
          <cell r="D791"/>
          <cell r="E791"/>
        </row>
        <row r="792">
          <cell r="A792"/>
          <cell r="B792" t="str">
            <v>/</v>
          </cell>
          <cell r="C792"/>
          <cell r="D792"/>
          <cell r="E792"/>
        </row>
        <row r="793">
          <cell r="A793" t="str">
            <v>ROOM NO</v>
          </cell>
          <cell r="B793" t="str">
            <v>ATTENDANTS/</v>
          </cell>
          <cell r="C793" t="str">
            <v>ATTENDANTS</v>
          </cell>
          <cell r="D793"/>
          <cell r="E793"/>
        </row>
        <row r="794">
          <cell r="A794" t="str">
            <v>LT</v>
          </cell>
          <cell r="B794" t="str">
            <v>Reuben Asare Bediako//</v>
          </cell>
          <cell r="C794" t="str">
            <v>Reuben Asare Bediako</v>
          </cell>
          <cell r="D794"/>
          <cell r="E794"/>
        </row>
        <row r="795">
          <cell r="A795" t="str">
            <v>RM A</v>
          </cell>
          <cell r="B795" t="str">
            <v>Sandra Essel//</v>
          </cell>
          <cell r="C795" t="str">
            <v>Sandra Essel</v>
          </cell>
          <cell r="D795"/>
          <cell r="E795"/>
        </row>
        <row r="796">
          <cell r="A796" t="str">
            <v>RM B</v>
          </cell>
          <cell r="B796" t="str">
            <v>Derrick Owusu Mensah//</v>
          </cell>
          <cell r="C796" t="str">
            <v>Derrick Owusu Mensah</v>
          </cell>
          <cell r="D796"/>
          <cell r="E796"/>
        </row>
        <row r="797">
          <cell r="A797" t="str">
            <v>VSLA</v>
          </cell>
          <cell r="B797" t="str">
            <v>Issaka Ali Sambo/Paul Dery/</v>
          </cell>
          <cell r="C797" t="str">
            <v>Issaka Ali Sambo</v>
          </cell>
          <cell r="D797" t="str">
            <v>Paul Dery</v>
          </cell>
          <cell r="E797"/>
        </row>
        <row r="798">
          <cell r="A798">
            <v>206</v>
          </cell>
          <cell r="B798" t="str">
            <v>Edward Kpetege//</v>
          </cell>
          <cell r="C798" t="str">
            <v>Edward Kpetege</v>
          </cell>
          <cell r="D798"/>
          <cell r="E798"/>
        </row>
        <row r="799">
          <cell r="A799">
            <v>303</v>
          </cell>
          <cell r="B799" t="str">
            <v>Benjamin Opoku Atuahene//</v>
          </cell>
          <cell r="C799" t="str">
            <v>Benjamin Opoku Atuahene</v>
          </cell>
          <cell r="D799"/>
          <cell r="E799"/>
        </row>
        <row r="800">
          <cell r="A800">
            <v>304</v>
          </cell>
          <cell r="B800" t="str">
            <v>Eric Soku//</v>
          </cell>
          <cell r="C800" t="str">
            <v>Eric Soku</v>
          </cell>
          <cell r="D800"/>
          <cell r="E800"/>
        </row>
        <row r="801">
          <cell r="A801" t="str">
            <v>N1</v>
          </cell>
          <cell r="B801" t="str">
            <v>Marian Bemma//</v>
          </cell>
          <cell r="C801" t="str">
            <v>Marian Bemma</v>
          </cell>
          <cell r="D801"/>
          <cell r="E801"/>
        </row>
        <row r="802">
          <cell r="A802" t="str">
            <v>N2</v>
          </cell>
          <cell r="B802" t="str">
            <v>Derrick Amoateng//</v>
          </cell>
          <cell r="C802" t="str">
            <v>Derrick Amoateng</v>
          </cell>
          <cell r="D802"/>
          <cell r="E802"/>
        </row>
        <row r="803">
          <cell r="A803" t="str">
            <v>PB001</v>
          </cell>
          <cell r="B803" t="str">
            <v>John Ofosu//</v>
          </cell>
          <cell r="C803" t="str">
            <v>John Ofosu</v>
          </cell>
          <cell r="D803"/>
          <cell r="E803"/>
        </row>
        <row r="804">
          <cell r="A804" t="str">
            <v>PB020</v>
          </cell>
          <cell r="B804" t="str">
            <v>Owusu Stephen Akuoku/Samuel Osei-Asibey Bonsu/</v>
          </cell>
          <cell r="C804" t="str">
            <v>Owusu Stephen Akuoku</v>
          </cell>
          <cell r="D804" t="str">
            <v>Samuel Osei-Asibey Bonsu</v>
          </cell>
          <cell r="E804"/>
        </row>
        <row r="805">
          <cell r="A805" t="str">
            <v>PB014</v>
          </cell>
          <cell r="B805" t="str">
            <v>Kofi Bentum/Fiifi Turkson/</v>
          </cell>
          <cell r="C805" t="str">
            <v>Kofi Bentum</v>
          </cell>
          <cell r="D805" t="str">
            <v>Fiifi Turkson</v>
          </cell>
          <cell r="E805"/>
        </row>
        <row r="806">
          <cell r="A806" t="str">
            <v>PB008</v>
          </cell>
          <cell r="B806" t="str">
            <v>Richmond Awotwe//</v>
          </cell>
          <cell r="C806" t="str">
            <v>Richmond Awotwe</v>
          </cell>
          <cell r="D806"/>
          <cell r="E806"/>
        </row>
        <row r="807">
          <cell r="A807" t="str">
            <v>PB201</v>
          </cell>
          <cell r="B807" t="str">
            <v>Joseph Benneth Kankam//</v>
          </cell>
          <cell r="C807" t="str">
            <v>Joseph Benneth Kankam</v>
          </cell>
          <cell r="D807"/>
          <cell r="E807"/>
        </row>
        <row r="808">
          <cell r="A808" t="str">
            <v>PB214</v>
          </cell>
          <cell r="B808" t="str">
            <v>Bernard Audinada Ampofo/Fatawu Yakubu/</v>
          </cell>
          <cell r="C808" t="str">
            <v>Bernard Audinada Ampofo</v>
          </cell>
          <cell r="D808" t="str">
            <v>Fatawu Yakubu</v>
          </cell>
          <cell r="E808"/>
        </row>
        <row r="809">
          <cell r="A809" t="str">
            <v>PB212</v>
          </cell>
          <cell r="B809" t="str">
            <v>Clement Appiah//</v>
          </cell>
          <cell r="C809" t="str">
            <v>Clement Appiah</v>
          </cell>
          <cell r="D809"/>
          <cell r="E809"/>
        </row>
        <row r="810">
          <cell r="A810" t="str">
            <v>PB208</v>
          </cell>
          <cell r="B810" t="str">
            <v>Godfred Appiah//</v>
          </cell>
          <cell r="C810" t="str">
            <v>Godfred Appiah</v>
          </cell>
          <cell r="D810"/>
          <cell r="E810"/>
        </row>
        <row r="811">
          <cell r="A811" t="str">
            <v>VCR</v>
          </cell>
          <cell r="B811" t="str">
            <v>Ruth Adwubi Sarfo//</v>
          </cell>
          <cell r="C811" t="str">
            <v>Ruth Adwubi Sarfo</v>
          </cell>
          <cell r="D811"/>
          <cell r="E811"/>
        </row>
        <row r="812">
          <cell r="A812" t="str">
            <v>ECR</v>
          </cell>
          <cell r="B812" t="str">
            <v>Abigail Akos Worlanyo//</v>
          </cell>
          <cell r="C812" t="str">
            <v>Abigail Akos Worlanyo</v>
          </cell>
          <cell r="D812"/>
          <cell r="E812"/>
        </row>
        <row r="813">
          <cell r="A813" t="str">
            <v>A110</v>
          </cell>
          <cell r="B813" t="str">
            <v>Kwame Kwarteng Sarpong//</v>
          </cell>
          <cell r="C813" t="str">
            <v>Kwame Kwarteng Sarpong</v>
          </cell>
          <cell r="D813"/>
          <cell r="E813"/>
        </row>
        <row r="814">
          <cell r="A814" t="str">
            <v>EA</v>
          </cell>
          <cell r="B814" t="str">
            <v>Kwadwo Afful//</v>
          </cell>
          <cell r="C814" t="str">
            <v>Kwadwo Afful</v>
          </cell>
          <cell r="D814"/>
          <cell r="E814"/>
        </row>
        <row r="815">
          <cell r="A815" t="str">
            <v>NAF1</v>
          </cell>
          <cell r="B815" t="str">
            <v>Mercy Nimako/Adjatu Busali/</v>
          </cell>
          <cell r="C815" t="str">
            <v>Mercy Nimako</v>
          </cell>
          <cell r="D815" t="str">
            <v>Adjatu Busali</v>
          </cell>
          <cell r="E815"/>
        </row>
        <row r="816">
          <cell r="A816" t="str">
            <v>NEB SF1</v>
          </cell>
          <cell r="B816" t="str">
            <v>Micheal Obbo/Bernard Annan/Robert Kofi Kyere</v>
          </cell>
          <cell r="C816" t="str">
            <v>Micheal Obbo</v>
          </cell>
          <cell r="D816" t="str">
            <v>Bernard Annan</v>
          </cell>
          <cell r="E816" t="str">
            <v>Robert Kofi Kyere</v>
          </cell>
        </row>
        <row r="817">
          <cell r="A817" t="str">
            <v>NEB GF1</v>
          </cell>
          <cell r="B817" t="str">
            <v>Victoria Agyenim-Boateng/Perseverance Dzikunu/Adom Ebenezer</v>
          </cell>
          <cell r="C817" t="str">
            <v>Victoria Agyenim-Boateng</v>
          </cell>
          <cell r="D817" t="str">
            <v>Perseverance Dzikunu</v>
          </cell>
          <cell r="E817" t="str">
            <v>Adom Ebenezer</v>
          </cell>
        </row>
        <row r="818">
          <cell r="A818" t="str">
            <v>NEB FF1</v>
          </cell>
          <cell r="B818" t="str">
            <v>Kingsley Kyei Baffour/Clement Dadzie/</v>
          </cell>
          <cell r="C818" t="str">
            <v>Kingsley Kyei Baffour</v>
          </cell>
          <cell r="D818" t="str">
            <v>Clement Dadzie</v>
          </cell>
          <cell r="E818"/>
        </row>
        <row r="819">
          <cell r="A819" t="str">
            <v>NEB FF2</v>
          </cell>
          <cell r="B819" t="str">
            <v>Ernest Dapaah//</v>
          </cell>
          <cell r="C819" t="str">
            <v>Ernest Dapaah</v>
          </cell>
          <cell r="D819"/>
          <cell r="E819"/>
        </row>
        <row r="820">
          <cell r="A820"/>
          <cell r="B820" t="str">
            <v>/</v>
          </cell>
          <cell r="C820"/>
          <cell r="D820"/>
          <cell r="E820"/>
        </row>
        <row r="821">
          <cell r="A821" t="str">
            <v>ROOM NO</v>
          </cell>
          <cell r="B821" t="str">
            <v>ATTENDANTS/</v>
          </cell>
          <cell r="C821" t="str">
            <v>ATTENDANTS</v>
          </cell>
          <cell r="D821"/>
          <cell r="E821"/>
        </row>
        <row r="822">
          <cell r="A822" t="str">
            <v>LT</v>
          </cell>
          <cell r="B822" t="str">
            <v>Reuben Asare Bediako//</v>
          </cell>
          <cell r="C822" t="str">
            <v>Reuben Asare Bediako</v>
          </cell>
          <cell r="D822"/>
          <cell r="E822"/>
        </row>
        <row r="823">
          <cell r="A823" t="str">
            <v>RM A</v>
          </cell>
          <cell r="B823" t="str">
            <v>Desmond Adu-Yeboah//</v>
          </cell>
          <cell r="C823" t="str">
            <v>Desmond Adu-Yeboah</v>
          </cell>
          <cell r="D823"/>
          <cell r="E823"/>
        </row>
        <row r="824">
          <cell r="A824" t="str">
            <v>RM B</v>
          </cell>
          <cell r="B824" t="str">
            <v>Derrick Owusu Mensah//</v>
          </cell>
          <cell r="C824" t="str">
            <v>Derrick Owusu Mensah</v>
          </cell>
          <cell r="D824"/>
          <cell r="E824"/>
        </row>
        <row r="825">
          <cell r="A825" t="str">
            <v>VSLA</v>
          </cell>
          <cell r="B825" t="str">
            <v>Issaka Ali Sambo/Paul Dery/</v>
          </cell>
          <cell r="C825" t="str">
            <v>Issaka Ali Sambo</v>
          </cell>
          <cell r="D825" t="str">
            <v>Paul Dery</v>
          </cell>
          <cell r="E825"/>
        </row>
        <row r="826">
          <cell r="A826">
            <v>206</v>
          </cell>
          <cell r="B826" t="str">
            <v>Edward Kpetege//</v>
          </cell>
          <cell r="C826" t="str">
            <v>Edward Kpetege</v>
          </cell>
          <cell r="D826"/>
          <cell r="E826"/>
        </row>
        <row r="827">
          <cell r="A827">
            <v>303</v>
          </cell>
          <cell r="B827" t="str">
            <v>Benjamin Opoku Atuahene//</v>
          </cell>
          <cell r="C827" t="str">
            <v>Benjamin Opoku Atuahene</v>
          </cell>
          <cell r="D827"/>
          <cell r="E827"/>
        </row>
        <row r="828">
          <cell r="A828">
            <v>304</v>
          </cell>
          <cell r="B828" t="str">
            <v>Benjamin Nana Oduro Konadu//</v>
          </cell>
          <cell r="C828" t="str">
            <v>Benjamin Nana Oduro Konadu</v>
          </cell>
          <cell r="D828"/>
          <cell r="E828"/>
        </row>
        <row r="829">
          <cell r="A829" t="str">
            <v>N1</v>
          </cell>
          <cell r="B829" t="str">
            <v>Marian Bemma//</v>
          </cell>
          <cell r="C829" t="str">
            <v>Marian Bemma</v>
          </cell>
          <cell r="D829"/>
          <cell r="E829"/>
        </row>
        <row r="830">
          <cell r="A830" t="str">
            <v>N2</v>
          </cell>
          <cell r="B830" t="str">
            <v>Derrick Amoateng//</v>
          </cell>
          <cell r="C830" t="str">
            <v>Derrick Amoateng</v>
          </cell>
          <cell r="D830"/>
          <cell r="E830"/>
        </row>
        <row r="831">
          <cell r="A831" t="str">
            <v>PB001</v>
          </cell>
          <cell r="B831" t="str">
            <v>John Ofosu//</v>
          </cell>
          <cell r="C831" t="str">
            <v>John Ofosu</v>
          </cell>
          <cell r="D831"/>
          <cell r="E831"/>
        </row>
        <row r="832">
          <cell r="A832" t="str">
            <v>PB020</v>
          </cell>
          <cell r="B832" t="str">
            <v>Owusu Stephen Akuoku/Samuel Osei-Asibey Bonsu/</v>
          </cell>
          <cell r="C832" t="str">
            <v>Owusu Stephen Akuoku</v>
          </cell>
          <cell r="D832" t="str">
            <v>Samuel Osei-Asibey Bonsu</v>
          </cell>
          <cell r="E832"/>
        </row>
        <row r="833">
          <cell r="A833" t="str">
            <v>PB014</v>
          </cell>
          <cell r="B833" t="str">
            <v>Kofi Bentum/Fiifi Turkson/</v>
          </cell>
          <cell r="C833" t="str">
            <v>Kofi Bentum</v>
          </cell>
          <cell r="D833" t="str">
            <v>Fiifi Turkson</v>
          </cell>
          <cell r="E833"/>
        </row>
        <row r="834">
          <cell r="A834" t="str">
            <v>PB008</v>
          </cell>
          <cell r="B834" t="str">
            <v>Richmond Awotwe//</v>
          </cell>
          <cell r="C834" t="str">
            <v>Richmond Awotwe</v>
          </cell>
          <cell r="D834"/>
          <cell r="E834"/>
        </row>
        <row r="835">
          <cell r="A835" t="str">
            <v>PB201</v>
          </cell>
          <cell r="B835" t="str">
            <v>Mercy Nimako//</v>
          </cell>
          <cell r="C835" t="str">
            <v>Mercy Nimako</v>
          </cell>
          <cell r="D835"/>
          <cell r="E835"/>
        </row>
        <row r="836">
          <cell r="A836" t="str">
            <v>PB214</v>
          </cell>
          <cell r="B836" t="str">
            <v>Bernard Audinada Ampofo/Fatawu Yakubu/</v>
          </cell>
          <cell r="C836" t="str">
            <v>Bernard Audinada Ampofo</v>
          </cell>
          <cell r="D836" t="str">
            <v>Fatawu Yakubu</v>
          </cell>
          <cell r="E836"/>
        </row>
        <row r="837">
          <cell r="A837" t="str">
            <v>PB212</v>
          </cell>
          <cell r="B837" t="str">
            <v>Clement Appiah//</v>
          </cell>
          <cell r="C837" t="str">
            <v>Clement Appiah</v>
          </cell>
          <cell r="D837"/>
          <cell r="E837"/>
        </row>
        <row r="838">
          <cell r="A838" t="str">
            <v>PB208</v>
          </cell>
          <cell r="B838" t="str">
            <v>Godfred Appiah//</v>
          </cell>
          <cell r="C838" t="str">
            <v>Godfred Appiah</v>
          </cell>
          <cell r="D838"/>
          <cell r="E838"/>
        </row>
        <row r="839">
          <cell r="A839" t="str">
            <v>VCR</v>
          </cell>
          <cell r="B839" t="str">
            <v>Ruth Adwubi Sarfo//</v>
          </cell>
          <cell r="C839" t="str">
            <v>Ruth Adwubi Sarfo</v>
          </cell>
          <cell r="D839"/>
          <cell r="E839"/>
        </row>
        <row r="840">
          <cell r="A840" t="str">
            <v>ECR</v>
          </cell>
          <cell r="B840" t="str">
            <v>Rebecca Yamoah//</v>
          </cell>
          <cell r="C840" t="str">
            <v>Rebecca Yamoah</v>
          </cell>
          <cell r="D840"/>
          <cell r="E840"/>
        </row>
        <row r="841">
          <cell r="A841" t="str">
            <v>A110</v>
          </cell>
          <cell r="B841" t="str">
            <v>Salamatu Salifu//</v>
          </cell>
          <cell r="C841" t="str">
            <v>Salamatu Salifu</v>
          </cell>
          <cell r="D841"/>
          <cell r="E841"/>
        </row>
        <row r="842">
          <cell r="A842" t="str">
            <v>EA</v>
          </cell>
          <cell r="B842" t="str">
            <v>Kwadwo Afful//</v>
          </cell>
          <cell r="C842" t="str">
            <v>Kwadwo Afful</v>
          </cell>
          <cell r="D842"/>
          <cell r="E842"/>
        </row>
        <row r="843">
          <cell r="A843" t="str">
            <v>NAF1</v>
          </cell>
          <cell r="B843" t="str">
            <v>Mohammed Bakang/Adjatu Busali/</v>
          </cell>
          <cell r="C843" t="str">
            <v>Mohammed Bakang</v>
          </cell>
          <cell r="D843" t="str">
            <v>Adjatu Busali</v>
          </cell>
          <cell r="E843"/>
        </row>
        <row r="844">
          <cell r="A844" t="str">
            <v>NEB SF1</v>
          </cell>
          <cell r="B844" t="str">
            <v>Mercy Nimako/Bernard Annan/Robert Kofi Kyere</v>
          </cell>
          <cell r="C844" t="str">
            <v>Mercy Nimako</v>
          </cell>
          <cell r="D844" t="str">
            <v>Bernard Annan</v>
          </cell>
          <cell r="E844" t="str">
            <v>Robert Kofi Kyere</v>
          </cell>
        </row>
        <row r="845">
          <cell r="A845" t="str">
            <v>NEB GF1</v>
          </cell>
          <cell r="B845" t="str">
            <v>Victoria Agyenim-Boateng/Perseverance Dzikunu/Adom Ebenezer</v>
          </cell>
          <cell r="C845" t="str">
            <v>Victoria Agyenim-Boateng</v>
          </cell>
          <cell r="D845" t="str">
            <v>Perseverance Dzikunu</v>
          </cell>
          <cell r="E845" t="str">
            <v>Adom Ebenezer</v>
          </cell>
        </row>
        <row r="846">
          <cell r="A846" t="str">
            <v>NEB FF1</v>
          </cell>
          <cell r="B846" t="str">
            <v>Kingsley Kyei Baffour/Bright Andoh-Baidoo/</v>
          </cell>
          <cell r="C846" t="str">
            <v>Kingsley Kyei Baffour</v>
          </cell>
          <cell r="D846" t="str">
            <v>Bright Andoh-Baidoo</v>
          </cell>
          <cell r="E846"/>
        </row>
        <row r="847">
          <cell r="A847" t="str">
            <v>NEB FF2</v>
          </cell>
          <cell r="B847" t="str">
            <v>Abigail Akos Worlanyo//</v>
          </cell>
          <cell r="C847" t="str">
            <v>Abigail Akos Worlanyo</v>
          </cell>
          <cell r="D847"/>
          <cell r="E847"/>
        </row>
        <row r="848">
          <cell r="A848"/>
          <cell r="B848"/>
          <cell r="C848"/>
          <cell r="D848"/>
          <cell r="E848"/>
        </row>
        <row r="849">
          <cell r="A849" t="str">
            <v>ROOM NO</v>
          </cell>
          <cell r="B849" t="str">
            <v>ATTENDANTS/</v>
          </cell>
          <cell r="C849" t="str">
            <v>ATTENDANTS</v>
          </cell>
          <cell r="D849"/>
          <cell r="E849"/>
        </row>
        <row r="850">
          <cell r="A850" t="str">
            <v>LT</v>
          </cell>
          <cell r="B850" t="str">
            <v>Mohammed Bakang//</v>
          </cell>
          <cell r="C850" t="str">
            <v>Mohammed Bakang</v>
          </cell>
          <cell r="D850"/>
          <cell r="E850"/>
        </row>
        <row r="851">
          <cell r="A851" t="str">
            <v>RM A</v>
          </cell>
          <cell r="B851" t="str">
            <v>Mercy Nimako//</v>
          </cell>
          <cell r="C851" t="str">
            <v>Mercy Nimako</v>
          </cell>
          <cell r="D851"/>
          <cell r="E851"/>
        </row>
        <row r="852">
          <cell r="A852" t="str">
            <v>RM B</v>
          </cell>
          <cell r="B852" t="str">
            <v>Derrick Owusu Mensah//</v>
          </cell>
          <cell r="C852" t="str">
            <v>Derrick Owusu Mensah</v>
          </cell>
          <cell r="D852"/>
          <cell r="E852"/>
        </row>
        <row r="853">
          <cell r="A853" t="str">
            <v>VSLA</v>
          </cell>
          <cell r="B853" t="str">
            <v>Issaka Ali Sambo/Paul Dery/</v>
          </cell>
          <cell r="C853" t="str">
            <v>Issaka Ali Sambo</v>
          </cell>
          <cell r="D853" t="str">
            <v>Paul Dery</v>
          </cell>
          <cell r="E853"/>
        </row>
        <row r="854">
          <cell r="A854">
            <v>206</v>
          </cell>
          <cell r="B854" t="str">
            <v>Edward Kpetege//</v>
          </cell>
          <cell r="C854" t="str">
            <v>Edward Kpetege</v>
          </cell>
          <cell r="D854"/>
          <cell r="E854"/>
        </row>
        <row r="855">
          <cell r="A855">
            <v>303</v>
          </cell>
          <cell r="B855" t="str">
            <v>Benjamin Opoku Atuahene//</v>
          </cell>
          <cell r="C855" t="str">
            <v>Benjamin Opoku Atuahene</v>
          </cell>
          <cell r="D855"/>
          <cell r="E855"/>
        </row>
        <row r="856">
          <cell r="A856">
            <v>304</v>
          </cell>
          <cell r="B856" t="str">
            <v>Eric Soku//</v>
          </cell>
          <cell r="C856" t="str">
            <v>Eric Soku</v>
          </cell>
          <cell r="D856"/>
          <cell r="E856"/>
        </row>
        <row r="857">
          <cell r="A857" t="str">
            <v>N1</v>
          </cell>
          <cell r="B857" t="str">
            <v>Marian Bemma//</v>
          </cell>
          <cell r="C857" t="str">
            <v>Marian Bemma</v>
          </cell>
          <cell r="D857"/>
          <cell r="E857"/>
        </row>
        <row r="858">
          <cell r="A858" t="str">
            <v>N2</v>
          </cell>
          <cell r="B858" t="str">
            <v>Derrick Amoateng//</v>
          </cell>
          <cell r="C858" t="str">
            <v>Derrick Amoateng</v>
          </cell>
          <cell r="D858"/>
          <cell r="E858"/>
        </row>
        <row r="859">
          <cell r="A859" t="str">
            <v>PB001</v>
          </cell>
          <cell r="B859" t="str">
            <v>John Ofosu//</v>
          </cell>
          <cell r="C859" t="str">
            <v>John Ofosu</v>
          </cell>
          <cell r="D859"/>
          <cell r="E859"/>
        </row>
        <row r="860">
          <cell r="A860" t="str">
            <v>PB020</v>
          </cell>
          <cell r="B860" t="str">
            <v>Michael Owusu/Samuel Osei-Asibey Bonsu/</v>
          </cell>
          <cell r="C860" t="str">
            <v>Michael Owusu</v>
          </cell>
          <cell r="D860" t="str">
            <v>Samuel Osei-Asibey Bonsu</v>
          </cell>
          <cell r="E860"/>
        </row>
        <row r="861">
          <cell r="A861" t="str">
            <v>PB014</v>
          </cell>
          <cell r="B861" t="str">
            <v>Kofi Bentum/Linda Berko/</v>
          </cell>
          <cell r="C861" t="str">
            <v>Kofi Bentum</v>
          </cell>
          <cell r="D861" t="str">
            <v>Linda Berko</v>
          </cell>
          <cell r="E861"/>
        </row>
        <row r="862">
          <cell r="A862" t="str">
            <v>PB008</v>
          </cell>
          <cell r="B862" t="str">
            <v>Richmond Awotwe//</v>
          </cell>
          <cell r="C862" t="str">
            <v>Richmond Awotwe</v>
          </cell>
          <cell r="D862"/>
          <cell r="E862"/>
        </row>
        <row r="863">
          <cell r="A863" t="str">
            <v>PB201</v>
          </cell>
          <cell r="B863" t="str">
            <v>Sandra Essel//</v>
          </cell>
          <cell r="C863" t="str">
            <v>Sandra Essel</v>
          </cell>
          <cell r="D863"/>
          <cell r="E863"/>
        </row>
        <row r="864">
          <cell r="A864" t="str">
            <v>PB214</v>
          </cell>
          <cell r="B864" t="str">
            <v>Desmond Adu-Yeboah/Fatawu Yakubu/</v>
          </cell>
          <cell r="C864" t="str">
            <v>Desmond Adu-Yeboah</v>
          </cell>
          <cell r="D864" t="str">
            <v>Fatawu Yakubu</v>
          </cell>
          <cell r="E864"/>
        </row>
        <row r="865">
          <cell r="A865" t="str">
            <v>PB212</v>
          </cell>
          <cell r="B865" t="str">
            <v>Clement Appiah//</v>
          </cell>
          <cell r="C865" t="str">
            <v>Clement Appiah</v>
          </cell>
          <cell r="D865"/>
          <cell r="E865"/>
        </row>
        <row r="866">
          <cell r="A866" t="str">
            <v>PB208</v>
          </cell>
          <cell r="B866" t="str">
            <v>Godfred Appiah//</v>
          </cell>
          <cell r="C866" t="str">
            <v>Godfred Appiah</v>
          </cell>
          <cell r="D866"/>
          <cell r="E866"/>
        </row>
        <row r="867">
          <cell r="A867" t="str">
            <v>A110</v>
          </cell>
          <cell r="B867" t="str">
            <v>Kwame Kwarteng Sarpong//</v>
          </cell>
          <cell r="C867" t="str">
            <v>Kwame Kwarteng Sarpong</v>
          </cell>
          <cell r="D867"/>
          <cell r="E867"/>
        </row>
        <row r="868">
          <cell r="A868" t="str">
            <v>EA</v>
          </cell>
          <cell r="B868" t="str">
            <v>Kwadwo Afful//</v>
          </cell>
          <cell r="C868" t="str">
            <v>Kwadwo Afful</v>
          </cell>
          <cell r="D868"/>
          <cell r="E868"/>
        </row>
        <row r="869">
          <cell r="A869" t="str">
            <v>NAF1</v>
          </cell>
          <cell r="B869" t="str">
            <v>Loretta Owusu Ansah/Adjatu Busali/</v>
          </cell>
          <cell r="C869" t="str">
            <v>Loretta Owusu Ansah</v>
          </cell>
          <cell r="D869" t="str">
            <v>Adjatu Busali</v>
          </cell>
          <cell r="E869"/>
        </row>
        <row r="870">
          <cell r="A870" t="str">
            <v>NEB SF1</v>
          </cell>
          <cell r="B870" t="str">
            <v>Micheal Obbo/Bernard Annan/Robert Kofi Kyere</v>
          </cell>
          <cell r="C870" t="str">
            <v>Micheal Obbo</v>
          </cell>
          <cell r="D870" t="str">
            <v>Bernard Annan</v>
          </cell>
          <cell r="E870" t="str">
            <v>Robert Kofi Kyere</v>
          </cell>
        </row>
        <row r="871">
          <cell r="A871" t="str">
            <v>NEB GF1</v>
          </cell>
          <cell r="B871" t="str">
            <v>Clement Dadzie/Perseverance Dzikunu/Adom Ebenezer</v>
          </cell>
          <cell r="C871" t="str">
            <v>Clement Dadzie</v>
          </cell>
          <cell r="D871" t="str">
            <v>Perseverance Dzikunu</v>
          </cell>
          <cell r="E871" t="str">
            <v>Adom Ebenezer</v>
          </cell>
        </row>
        <row r="872">
          <cell r="A872" t="str">
            <v>NEB FF1</v>
          </cell>
          <cell r="B872" t="str">
            <v>Kingsley Kyei Baffour/Evans Korletey/</v>
          </cell>
          <cell r="C872" t="str">
            <v>Kingsley Kyei Baffour</v>
          </cell>
          <cell r="D872" t="str">
            <v>Evans Korletey</v>
          </cell>
          <cell r="E872"/>
        </row>
        <row r="873">
          <cell r="A873" t="str">
            <v>NEB FF2</v>
          </cell>
          <cell r="B873" t="str">
            <v>Ernest Dapaah//</v>
          </cell>
          <cell r="C873" t="str">
            <v>Ernest Dapaah</v>
          </cell>
          <cell r="D873"/>
          <cell r="E873"/>
        </row>
        <row r="874">
          <cell r="A874"/>
          <cell r="B874"/>
          <cell r="C874"/>
          <cell r="D874"/>
          <cell r="E874"/>
        </row>
        <row r="875">
          <cell r="A875"/>
          <cell r="B875"/>
          <cell r="C875"/>
          <cell r="D875"/>
          <cell r="E875"/>
        </row>
        <row r="876">
          <cell r="A876" t="str">
            <v>ROOM NO</v>
          </cell>
          <cell r="B876" t="str">
            <v>ATTENDANTS/</v>
          </cell>
          <cell r="C876" t="str">
            <v>ATTENDANTS</v>
          </cell>
          <cell r="D876"/>
          <cell r="E876"/>
        </row>
        <row r="877">
          <cell r="A877" t="str">
            <v>LT</v>
          </cell>
          <cell r="B877" t="str">
            <v>Reuben Asare Bediako//</v>
          </cell>
          <cell r="C877" t="str">
            <v>Reuben Asare Bediako</v>
          </cell>
          <cell r="D877"/>
          <cell r="E877"/>
        </row>
        <row r="878">
          <cell r="A878" t="str">
            <v>RM A</v>
          </cell>
          <cell r="B878" t="str">
            <v>George Ansong//</v>
          </cell>
          <cell r="C878" t="str">
            <v>George Ansong</v>
          </cell>
          <cell r="D878"/>
          <cell r="E878"/>
        </row>
        <row r="879">
          <cell r="A879" t="str">
            <v>RM B</v>
          </cell>
          <cell r="B879" t="str">
            <v>Derrick Owusu Mensah//</v>
          </cell>
          <cell r="C879" t="str">
            <v>Derrick Owusu Mensah</v>
          </cell>
          <cell r="D879"/>
          <cell r="E879"/>
        </row>
        <row r="880">
          <cell r="A880" t="str">
            <v>VSLA</v>
          </cell>
          <cell r="B880" t="str">
            <v>Sandra Essel/Abigail Akos Worlanyo/</v>
          </cell>
          <cell r="C880" t="str">
            <v>Sandra Essel</v>
          </cell>
          <cell r="D880" t="str">
            <v>Abigail Akos Worlanyo</v>
          </cell>
          <cell r="E880"/>
        </row>
        <row r="881">
          <cell r="A881">
            <v>304</v>
          </cell>
          <cell r="B881" t="str">
            <v>Eric Soku//</v>
          </cell>
          <cell r="C881" t="str">
            <v>Eric Soku</v>
          </cell>
          <cell r="D881"/>
          <cell r="E881"/>
        </row>
        <row r="882">
          <cell r="A882" t="str">
            <v>N1</v>
          </cell>
          <cell r="B882" t="str">
            <v>Marian Bemma//</v>
          </cell>
          <cell r="C882" t="str">
            <v>Marian Bemma</v>
          </cell>
          <cell r="D882"/>
          <cell r="E882"/>
        </row>
        <row r="883">
          <cell r="A883" t="str">
            <v>N2</v>
          </cell>
          <cell r="B883" t="str">
            <v>Derrick Amoateng//</v>
          </cell>
          <cell r="C883" t="str">
            <v>Derrick Amoateng</v>
          </cell>
          <cell r="D883"/>
          <cell r="E883"/>
        </row>
        <row r="884">
          <cell r="A884" t="str">
            <v>PB001</v>
          </cell>
          <cell r="B884" t="str">
            <v>John Ofosu//</v>
          </cell>
          <cell r="C884" t="str">
            <v>John Ofosu</v>
          </cell>
          <cell r="D884"/>
          <cell r="E884"/>
        </row>
        <row r="885">
          <cell r="A885" t="str">
            <v>PB020</v>
          </cell>
          <cell r="B885" t="str">
            <v>Owusu Stephen Akuoku/Samuel Osei-Asibey Bonsu/</v>
          </cell>
          <cell r="C885" t="str">
            <v>Owusu Stephen Akuoku</v>
          </cell>
          <cell r="D885" t="str">
            <v>Samuel Osei-Asibey Bonsu</v>
          </cell>
          <cell r="E885"/>
        </row>
        <row r="886">
          <cell r="A886" t="str">
            <v>PB014</v>
          </cell>
          <cell r="B886" t="str">
            <v>Kofi Bentum/Fiifi Turkson/</v>
          </cell>
          <cell r="C886" t="str">
            <v>Kofi Bentum</v>
          </cell>
          <cell r="D886" t="str">
            <v>Fiifi Turkson</v>
          </cell>
          <cell r="E886"/>
        </row>
        <row r="887">
          <cell r="A887" t="str">
            <v>PB008</v>
          </cell>
          <cell r="B887" t="str">
            <v>Rebecca Yamoah//</v>
          </cell>
          <cell r="C887" t="str">
            <v>Rebecca Yamoah</v>
          </cell>
          <cell r="D887"/>
          <cell r="E887"/>
        </row>
        <row r="888">
          <cell r="A888" t="str">
            <v>PB201</v>
          </cell>
          <cell r="B888" t="str">
            <v>Joseph Benneth Kankam//</v>
          </cell>
          <cell r="C888" t="str">
            <v>Joseph Benneth Kankam</v>
          </cell>
          <cell r="D888"/>
          <cell r="E888"/>
        </row>
        <row r="889">
          <cell r="A889" t="str">
            <v>PB214</v>
          </cell>
          <cell r="B889" t="str">
            <v>Bernard Audinada Ampofo/Evans Korletey/</v>
          </cell>
          <cell r="C889" t="str">
            <v>Bernard Audinada Ampofo</v>
          </cell>
          <cell r="D889" t="str">
            <v>Evans Korletey</v>
          </cell>
          <cell r="E889"/>
        </row>
        <row r="890">
          <cell r="A890" t="str">
            <v>PB212</v>
          </cell>
          <cell r="B890" t="str">
            <v>Clement Appiah//</v>
          </cell>
          <cell r="C890" t="str">
            <v>Clement Appiah</v>
          </cell>
          <cell r="D890"/>
          <cell r="E890"/>
        </row>
        <row r="891">
          <cell r="A891" t="str">
            <v>PB208</v>
          </cell>
          <cell r="B891" t="str">
            <v>Theresa Sarpong Peprah//</v>
          </cell>
          <cell r="C891" t="str">
            <v>Theresa Sarpong Peprah</v>
          </cell>
          <cell r="D891"/>
          <cell r="E891"/>
        </row>
        <row r="892">
          <cell r="A892" t="str">
            <v>A110</v>
          </cell>
          <cell r="B892" t="str">
            <v>Kwame Kwarteng Sarpong//</v>
          </cell>
          <cell r="C892" t="str">
            <v>Kwame Kwarteng Sarpong</v>
          </cell>
          <cell r="D892"/>
          <cell r="E892"/>
        </row>
        <row r="893">
          <cell r="A893" t="str">
            <v>EA</v>
          </cell>
          <cell r="B893" t="str">
            <v>Kwadwo Afful//</v>
          </cell>
          <cell r="C893" t="str">
            <v>Kwadwo Afful</v>
          </cell>
          <cell r="D893"/>
          <cell r="E893"/>
        </row>
        <row r="894">
          <cell r="A894" t="str">
            <v>NAF1</v>
          </cell>
          <cell r="B894" t="str">
            <v>Loretta Owusu Ansah/Adjatu Busali/</v>
          </cell>
          <cell r="C894" t="str">
            <v>Loretta Owusu Ansah</v>
          </cell>
          <cell r="D894" t="str">
            <v>Adjatu Busali</v>
          </cell>
          <cell r="E894"/>
        </row>
        <row r="895">
          <cell r="A895" t="str">
            <v>NEB SF1</v>
          </cell>
          <cell r="B895" t="str">
            <v>Micheal Obbo/Bernard Annan/Robert Kofi Kyere</v>
          </cell>
          <cell r="C895" t="str">
            <v>Micheal Obbo</v>
          </cell>
          <cell r="D895" t="str">
            <v>Bernard Annan</v>
          </cell>
          <cell r="E895" t="str">
            <v>Robert Kofi Kyere</v>
          </cell>
        </row>
        <row r="896">
          <cell r="A896" t="str">
            <v>NEB GF1</v>
          </cell>
          <cell r="B896" t="str">
            <v>Rener Oppong/Perseverance Dzikunu/Adom Ebenezer</v>
          </cell>
          <cell r="C896" t="str">
            <v>Rener Oppong</v>
          </cell>
          <cell r="D896" t="str">
            <v>Perseverance Dzikunu</v>
          </cell>
          <cell r="E896" t="str">
            <v>Adom Ebenezer</v>
          </cell>
        </row>
        <row r="897">
          <cell r="A897" t="str">
            <v>NEB FF1</v>
          </cell>
          <cell r="B897" t="str">
            <v>Kingsley Kyei Baffour/Bright Andoh-Baidoo/</v>
          </cell>
          <cell r="C897" t="str">
            <v>Kingsley Kyei Baffour</v>
          </cell>
          <cell r="D897" t="str">
            <v>Bright Andoh-Baidoo</v>
          </cell>
          <cell r="E897"/>
        </row>
        <row r="898">
          <cell r="A898" t="str">
            <v>NEB FF2</v>
          </cell>
          <cell r="B898" t="str">
            <v>Ernest Dapaah//</v>
          </cell>
          <cell r="C898" t="str">
            <v>Ernest Dapaah</v>
          </cell>
          <cell r="D898"/>
          <cell r="E898"/>
        </row>
        <row r="899">
          <cell r="B899"/>
          <cell r="C899"/>
          <cell r="D899"/>
          <cell r="E899"/>
        </row>
        <row r="900">
          <cell r="A900" t="str">
            <v>ROOM NO</v>
          </cell>
          <cell r="B900" t="str">
            <v>ATTENDANTS/</v>
          </cell>
          <cell r="C900" t="str">
            <v>ATTENDANTS</v>
          </cell>
          <cell r="D900"/>
          <cell r="E900"/>
        </row>
        <row r="901">
          <cell r="A901" t="str">
            <v>LT</v>
          </cell>
          <cell r="B901" t="str">
            <v>Theresa Sarpong Peprah//</v>
          </cell>
          <cell r="C901" t="str">
            <v>Theresa Sarpong Peprah</v>
          </cell>
          <cell r="D901"/>
          <cell r="E901"/>
        </row>
        <row r="902">
          <cell r="A902" t="str">
            <v>RM A</v>
          </cell>
          <cell r="B902" t="str">
            <v>George Ansong//</v>
          </cell>
          <cell r="C902" t="str">
            <v>George Ansong</v>
          </cell>
          <cell r="D902"/>
          <cell r="E902"/>
        </row>
        <row r="903">
          <cell r="A903" t="str">
            <v>RM B</v>
          </cell>
          <cell r="B903" t="str">
            <v>Derrick Owusu Mensah//</v>
          </cell>
          <cell r="C903" t="str">
            <v>Derrick Owusu Mensah</v>
          </cell>
          <cell r="D903"/>
          <cell r="E903"/>
        </row>
        <row r="904">
          <cell r="A904" t="str">
            <v>VSLA</v>
          </cell>
          <cell r="B904" t="str">
            <v>Victoria Agyenim-Boateng/Michael Owusu/</v>
          </cell>
          <cell r="C904" t="str">
            <v>Victoria Agyenim-Boateng</v>
          </cell>
          <cell r="D904" t="str">
            <v>Michael Owusu</v>
          </cell>
          <cell r="E904"/>
        </row>
        <row r="905">
          <cell r="A905">
            <v>206</v>
          </cell>
          <cell r="B905" t="str">
            <v>Edward Kpetege//</v>
          </cell>
          <cell r="C905" t="str">
            <v>Edward Kpetege</v>
          </cell>
          <cell r="D905"/>
          <cell r="E905"/>
        </row>
        <row r="906">
          <cell r="A906">
            <v>303</v>
          </cell>
          <cell r="B906" t="str">
            <v>Linda Berko//</v>
          </cell>
          <cell r="C906" t="str">
            <v>Linda Berko</v>
          </cell>
          <cell r="D906"/>
          <cell r="E906"/>
        </row>
        <row r="907">
          <cell r="A907">
            <v>304</v>
          </cell>
          <cell r="B907" t="str">
            <v>Theresa Sarpong Peprah//</v>
          </cell>
          <cell r="C907" t="str">
            <v>Theresa Sarpong Peprah</v>
          </cell>
          <cell r="D907"/>
          <cell r="E907"/>
        </row>
        <row r="908">
          <cell r="A908" t="str">
            <v>N1</v>
          </cell>
          <cell r="B908" t="str">
            <v>Salamatu Salifu//</v>
          </cell>
          <cell r="C908" t="str">
            <v>Salamatu Salifu</v>
          </cell>
          <cell r="D908"/>
          <cell r="E908"/>
        </row>
        <row r="909">
          <cell r="A909" t="str">
            <v>N2</v>
          </cell>
          <cell r="B909" t="str">
            <v>Derrick Amoateng//</v>
          </cell>
          <cell r="C909" t="str">
            <v>Derrick Amoateng</v>
          </cell>
          <cell r="D909"/>
          <cell r="E909"/>
        </row>
        <row r="910">
          <cell r="A910" t="str">
            <v>PB001</v>
          </cell>
          <cell r="B910" t="str">
            <v>John Ofosu//</v>
          </cell>
          <cell r="C910" t="str">
            <v>John Ofosu</v>
          </cell>
          <cell r="D910"/>
          <cell r="E910"/>
        </row>
        <row r="911">
          <cell r="A911" t="str">
            <v>PB020</v>
          </cell>
          <cell r="B911" t="str">
            <v>Owusu Stephen Akuoku/Samuel Osei-Asibey Bonsu/</v>
          </cell>
          <cell r="C911" t="str">
            <v>Owusu Stephen Akuoku</v>
          </cell>
          <cell r="D911" t="str">
            <v>Samuel Osei-Asibey Bonsu</v>
          </cell>
          <cell r="E911"/>
        </row>
        <row r="912">
          <cell r="A912" t="str">
            <v>PB014</v>
          </cell>
          <cell r="B912" t="str">
            <v>Kofi Bentum/Gifty Edem Senyaglo/</v>
          </cell>
          <cell r="C912" t="str">
            <v>Kofi Bentum</v>
          </cell>
          <cell r="D912" t="str">
            <v>Gifty Edem Senyaglo</v>
          </cell>
          <cell r="E912"/>
        </row>
        <row r="913">
          <cell r="A913" t="str">
            <v>PB008</v>
          </cell>
          <cell r="B913" t="str">
            <v>Richmond Awotwe//</v>
          </cell>
          <cell r="C913" t="str">
            <v>Richmond Awotwe</v>
          </cell>
          <cell r="D913"/>
          <cell r="E913"/>
        </row>
        <row r="914">
          <cell r="A914" t="str">
            <v>PB201</v>
          </cell>
          <cell r="B914" t="str">
            <v>Joseph Benneth Kankam//</v>
          </cell>
          <cell r="C914" t="str">
            <v>Joseph Benneth Kankam</v>
          </cell>
          <cell r="D914"/>
          <cell r="E914"/>
        </row>
        <row r="915">
          <cell r="A915" t="str">
            <v>PB214</v>
          </cell>
          <cell r="B915" t="str">
            <v>Bernard Audinada Ampofo/Fatawu Yakubu/</v>
          </cell>
          <cell r="C915" t="str">
            <v>Bernard Audinada Ampofo</v>
          </cell>
          <cell r="D915" t="str">
            <v>Fatawu Yakubu</v>
          </cell>
          <cell r="E915"/>
        </row>
        <row r="916">
          <cell r="A916" t="str">
            <v>PB212</v>
          </cell>
          <cell r="B916" t="str">
            <v>Clement Appiah//</v>
          </cell>
          <cell r="C916" t="str">
            <v>Clement Appiah</v>
          </cell>
          <cell r="D916"/>
          <cell r="E916"/>
        </row>
        <row r="917">
          <cell r="A917" t="str">
            <v>PB208</v>
          </cell>
          <cell r="B917" t="str">
            <v>Godfred Appiah//</v>
          </cell>
          <cell r="C917" t="str">
            <v>Godfred Appiah</v>
          </cell>
          <cell r="D917"/>
          <cell r="E917"/>
        </row>
        <row r="918">
          <cell r="A918" t="str">
            <v>VCR</v>
          </cell>
          <cell r="B918" t="str">
            <v>Abigail Akos Worlanyo//</v>
          </cell>
          <cell r="C918" t="str">
            <v>Abigail Akos Worlanyo</v>
          </cell>
          <cell r="D918"/>
          <cell r="E918"/>
        </row>
        <row r="919">
          <cell r="A919" t="str">
            <v>ECR</v>
          </cell>
          <cell r="B919" t="str">
            <v>Sandra Essel//</v>
          </cell>
          <cell r="C919" t="str">
            <v>Sandra Essel</v>
          </cell>
          <cell r="D919"/>
          <cell r="E919"/>
        </row>
        <row r="920">
          <cell r="A920" t="str">
            <v>A110</v>
          </cell>
          <cell r="B920" t="str">
            <v>Kwame Kwarteng Sarpong//</v>
          </cell>
          <cell r="C920" t="str">
            <v>Kwame Kwarteng Sarpong</v>
          </cell>
          <cell r="D920"/>
          <cell r="E920"/>
        </row>
        <row r="921">
          <cell r="A921" t="str">
            <v>EA</v>
          </cell>
          <cell r="B921" t="str">
            <v>Benjamin Nana Oduro Konadu//</v>
          </cell>
          <cell r="C921" t="str">
            <v>Benjamin Nana Oduro Konadu</v>
          </cell>
          <cell r="D921"/>
          <cell r="E921"/>
        </row>
        <row r="922">
          <cell r="A922" t="str">
            <v>NAF1</v>
          </cell>
          <cell r="B922" t="str">
            <v>Loretta Owusu Ansah/Desmond Adu-Yeboah/</v>
          </cell>
          <cell r="C922" t="str">
            <v>Loretta Owusu Ansah</v>
          </cell>
          <cell r="D922" t="str">
            <v>Desmond Adu-Yeboah</v>
          </cell>
          <cell r="E922"/>
        </row>
        <row r="923">
          <cell r="A923" t="str">
            <v>NEB SF1</v>
          </cell>
          <cell r="B923" t="str">
            <v>Micheal Obbo/Getrude Opoku/Robert Kofi Kyere</v>
          </cell>
          <cell r="C923" t="str">
            <v>Micheal Obbo</v>
          </cell>
          <cell r="D923" t="str">
            <v>Getrude Opoku</v>
          </cell>
          <cell r="E923" t="str">
            <v>Robert Kofi Kyere</v>
          </cell>
        </row>
        <row r="924">
          <cell r="A924" t="str">
            <v>NEB GF1</v>
          </cell>
          <cell r="B924" t="str">
            <v>Peter Agetinga/Perseverance Dzikunu/Adom Ebenezer</v>
          </cell>
          <cell r="C924" t="str">
            <v>Peter Agetinga</v>
          </cell>
          <cell r="D924" t="str">
            <v>Perseverance Dzikunu</v>
          </cell>
          <cell r="E924" t="str">
            <v>Adom Ebenezer</v>
          </cell>
        </row>
        <row r="925">
          <cell r="A925" t="str">
            <v>NEB FF1</v>
          </cell>
          <cell r="B925" t="str">
            <v>Kingsley Kyei Baffour/Bright Andoh-Baidoo/</v>
          </cell>
          <cell r="C925" t="str">
            <v>Kingsley Kyei Baffour</v>
          </cell>
          <cell r="D925" t="str">
            <v>Bright Andoh-Baidoo</v>
          </cell>
          <cell r="E925"/>
        </row>
        <row r="926">
          <cell r="A926" t="str">
            <v>NEB FF2</v>
          </cell>
          <cell r="B926" t="str">
            <v>Ernest Dapaah//</v>
          </cell>
          <cell r="C926" t="str">
            <v>Ernest Dapaah</v>
          </cell>
          <cell r="D926"/>
          <cell r="E926"/>
        </row>
        <row r="927">
          <cell r="A927"/>
          <cell r="B927"/>
          <cell r="C927"/>
          <cell r="D927"/>
          <cell r="E927"/>
        </row>
        <row r="928">
          <cell r="A928" t="str">
            <v>ROOM NO</v>
          </cell>
          <cell r="B928" t="str">
            <v>ATTENDANTS/</v>
          </cell>
          <cell r="C928" t="str">
            <v>ATTENDANTS</v>
          </cell>
          <cell r="D928"/>
          <cell r="E928"/>
        </row>
        <row r="929">
          <cell r="A929" t="str">
            <v>LT</v>
          </cell>
          <cell r="B929" t="str">
            <v>Reuben Asare Bediako//</v>
          </cell>
          <cell r="C929" t="str">
            <v>Reuben Asare Bediako</v>
          </cell>
          <cell r="D929"/>
          <cell r="E929"/>
        </row>
        <row r="930">
          <cell r="A930" t="str">
            <v>RM A</v>
          </cell>
          <cell r="B930" t="str">
            <v>George Ansong//</v>
          </cell>
          <cell r="C930" t="str">
            <v>George Ansong</v>
          </cell>
          <cell r="D930"/>
          <cell r="E930"/>
        </row>
        <row r="931">
          <cell r="A931" t="str">
            <v>RM B</v>
          </cell>
          <cell r="B931" t="str">
            <v>Derrick Owusu Mensah//</v>
          </cell>
          <cell r="C931" t="str">
            <v>Derrick Owusu Mensah</v>
          </cell>
          <cell r="D931"/>
          <cell r="E931"/>
        </row>
        <row r="932">
          <cell r="A932" t="str">
            <v>VSLA</v>
          </cell>
          <cell r="B932" t="str">
            <v>Issaka Ali Sambo/Paul Dery/</v>
          </cell>
          <cell r="C932" t="str">
            <v>Issaka Ali Sambo</v>
          </cell>
          <cell r="D932" t="str">
            <v>Paul Dery</v>
          </cell>
          <cell r="E932"/>
        </row>
        <row r="933">
          <cell r="A933">
            <v>206</v>
          </cell>
          <cell r="B933" t="str">
            <v>Peter Agetinga//</v>
          </cell>
          <cell r="C933" t="str">
            <v>Peter Agetinga</v>
          </cell>
          <cell r="D933"/>
          <cell r="E933"/>
        </row>
        <row r="934">
          <cell r="A934">
            <v>303</v>
          </cell>
          <cell r="B934" t="str">
            <v>Benjamin Opoku Atuahene//</v>
          </cell>
          <cell r="C934" t="str">
            <v>Benjamin Opoku Atuahene</v>
          </cell>
          <cell r="D934"/>
          <cell r="E934"/>
        </row>
        <row r="935">
          <cell r="A935">
            <v>304</v>
          </cell>
          <cell r="B935" t="str">
            <v>Eric Soku//</v>
          </cell>
          <cell r="C935" t="str">
            <v>Eric Soku</v>
          </cell>
          <cell r="D935"/>
          <cell r="E935"/>
        </row>
        <row r="936">
          <cell r="A936" t="str">
            <v>N1</v>
          </cell>
          <cell r="B936" t="str">
            <v>Marian Bemma//</v>
          </cell>
          <cell r="C936" t="str">
            <v>Marian Bemma</v>
          </cell>
          <cell r="D936"/>
          <cell r="E936"/>
        </row>
        <row r="937">
          <cell r="A937" t="str">
            <v>N2</v>
          </cell>
          <cell r="B937" t="str">
            <v>Derrick Amoateng//</v>
          </cell>
          <cell r="C937" t="str">
            <v>Derrick Amoateng</v>
          </cell>
          <cell r="D937"/>
          <cell r="E937"/>
        </row>
        <row r="938">
          <cell r="A938" t="str">
            <v>PB001</v>
          </cell>
          <cell r="B938" t="str">
            <v>John Ofosu//</v>
          </cell>
          <cell r="C938" t="str">
            <v>John Ofosu</v>
          </cell>
          <cell r="D938"/>
          <cell r="E938"/>
        </row>
        <row r="939">
          <cell r="A939" t="str">
            <v>PB020</v>
          </cell>
          <cell r="B939" t="str">
            <v>Gifty Edem Senyaglo/Mohammed Bakang/</v>
          </cell>
          <cell r="C939" t="str">
            <v>Gifty Edem Senyaglo</v>
          </cell>
          <cell r="D939" t="str">
            <v>Mohammed Bakang</v>
          </cell>
          <cell r="E939"/>
        </row>
        <row r="940">
          <cell r="A940" t="str">
            <v>PB014</v>
          </cell>
          <cell r="B940" t="str">
            <v>Michael Owusu/Fiifi Turkson/</v>
          </cell>
          <cell r="C940" t="str">
            <v>Michael Owusu</v>
          </cell>
          <cell r="D940" t="str">
            <v>Fiifi Turkson</v>
          </cell>
          <cell r="E940"/>
        </row>
        <row r="941">
          <cell r="A941" t="str">
            <v>PB008</v>
          </cell>
          <cell r="B941" t="str">
            <v>Richmond Awotwe//</v>
          </cell>
          <cell r="C941" t="str">
            <v>Richmond Awotwe</v>
          </cell>
          <cell r="D941"/>
          <cell r="E941"/>
        </row>
        <row r="942">
          <cell r="A942" t="str">
            <v>PB201</v>
          </cell>
          <cell r="B942" t="str">
            <v>Joseph Benneth Kankam//</v>
          </cell>
          <cell r="C942" t="str">
            <v>Joseph Benneth Kankam</v>
          </cell>
          <cell r="D942"/>
          <cell r="E942"/>
        </row>
        <row r="943">
          <cell r="A943" t="str">
            <v>PB214</v>
          </cell>
          <cell r="B943" t="str">
            <v>Desmond Adu-Yeboah/Benjamin Nana Oduro Konadu/</v>
          </cell>
          <cell r="C943" t="str">
            <v>Desmond Adu-Yeboah</v>
          </cell>
          <cell r="D943" t="str">
            <v>Benjamin Nana Oduro Konadu</v>
          </cell>
          <cell r="E943"/>
        </row>
        <row r="944">
          <cell r="A944" t="str">
            <v>PB212</v>
          </cell>
          <cell r="B944" t="str">
            <v>Getrude Opoku//</v>
          </cell>
          <cell r="C944" t="str">
            <v>Getrude Opoku</v>
          </cell>
          <cell r="D944"/>
          <cell r="E944"/>
        </row>
        <row r="945">
          <cell r="A945" t="str">
            <v>VCR</v>
          </cell>
          <cell r="B945" t="str">
            <v>Ruth Adwubi Sarfo//</v>
          </cell>
          <cell r="C945" t="str">
            <v>Ruth Adwubi Sarfo</v>
          </cell>
          <cell r="D945"/>
          <cell r="E945"/>
        </row>
        <row r="946">
          <cell r="A946" t="str">
            <v>ECR</v>
          </cell>
          <cell r="B946" t="str">
            <v>Sandra Essel//</v>
          </cell>
          <cell r="C946" t="str">
            <v>Sandra Essel</v>
          </cell>
          <cell r="D946"/>
          <cell r="E946"/>
        </row>
        <row r="947">
          <cell r="A947" t="str">
            <v>A110</v>
          </cell>
          <cell r="B947" t="str">
            <v>Kwame Kwarteng Sarpong//</v>
          </cell>
          <cell r="C947" t="str">
            <v>Kwame Kwarteng Sarpong</v>
          </cell>
          <cell r="D947"/>
          <cell r="E947"/>
        </row>
        <row r="948">
          <cell r="A948" t="str">
            <v>EA</v>
          </cell>
          <cell r="B948" t="str">
            <v>Kwadwo Afful//</v>
          </cell>
          <cell r="C948" t="str">
            <v>Kwadwo Afful</v>
          </cell>
          <cell r="D948"/>
          <cell r="E948"/>
        </row>
        <row r="949">
          <cell r="A949" t="str">
            <v>NAF1</v>
          </cell>
          <cell r="B949" t="str">
            <v>Rebecca Yamoah/Adjatu Busali/</v>
          </cell>
          <cell r="C949" t="str">
            <v>Rebecca Yamoah</v>
          </cell>
          <cell r="D949" t="str">
            <v>Adjatu Busali</v>
          </cell>
          <cell r="E949"/>
        </row>
        <row r="950">
          <cell r="A950" t="str">
            <v>NEB SF1</v>
          </cell>
          <cell r="B950" t="str">
            <v>Micheal Obbo/Bernard Annan/Victoria Agyenim-Boateng</v>
          </cell>
          <cell r="C950" t="str">
            <v>Micheal Obbo</v>
          </cell>
          <cell r="D950" t="str">
            <v>Bernard Annan</v>
          </cell>
          <cell r="E950" t="str">
            <v>Victoria Agyenim-Boateng</v>
          </cell>
        </row>
        <row r="951">
          <cell r="A951" t="str">
            <v>NEB GF1</v>
          </cell>
          <cell r="B951" t="str">
            <v>Rener Oppong/Perseverance Dzikunu/Adom Ebenezer</v>
          </cell>
          <cell r="C951" t="str">
            <v>Rener Oppong</v>
          </cell>
          <cell r="D951" t="str">
            <v>Perseverance Dzikunu</v>
          </cell>
          <cell r="E951" t="str">
            <v>Adom Ebenezer</v>
          </cell>
        </row>
        <row r="952">
          <cell r="A952" t="str">
            <v>NEB FF1</v>
          </cell>
          <cell r="B952" t="str">
            <v>Kingsley Kyei Baffour/Linda Berko/</v>
          </cell>
          <cell r="C952" t="str">
            <v>Kingsley Kyei Baffour</v>
          </cell>
          <cell r="D952" t="str">
            <v>Linda Berko</v>
          </cell>
          <cell r="E952"/>
        </row>
        <row r="953">
          <cell r="A953" t="str">
            <v>NEB FF2</v>
          </cell>
          <cell r="B953" t="str">
            <v>Ernest Dapaah//</v>
          </cell>
          <cell r="C953" t="str">
            <v>Ernest Dapaah</v>
          </cell>
          <cell r="D953"/>
          <cell r="E953"/>
        </row>
        <row r="954">
          <cell r="A954"/>
          <cell r="B954" t="str">
            <v>/</v>
          </cell>
          <cell r="C954"/>
          <cell r="D954"/>
          <cell r="E954"/>
        </row>
        <row r="955">
          <cell r="A955" t="str">
            <v>ROOM NO</v>
          </cell>
          <cell r="B955" t="str">
            <v>ATTENDANTS/</v>
          </cell>
          <cell r="C955" t="str">
            <v>ATTENDANTS</v>
          </cell>
          <cell r="D955"/>
          <cell r="E955"/>
        </row>
        <row r="956">
          <cell r="A956" t="str">
            <v>LT</v>
          </cell>
          <cell r="B956" t="str">
            <v>Reuben Asare Bediako//</v>
          </cell>
          <cell r="C956" t="str">
            <v>Reuben Asare Bediako</v>
          </cell>
          <cell r="D956"/>
          <cell r="E956"/>
        </row>
        <row r="957">
          <cell r="A957" t="str">
            <v>RM A</v>
          </cell>
          <cell r="B957" t="str">
            <v>George Ansong//</v>
          </cell>
          <cell r="C957" t="str">
            <v>George Ansong</v>
          </cell>
          <cell r="D957"/>
          <cell r="E957"/>
        </row>
        <row r="958">
          <cell r="A958" t="str">
            <v>RM B</v>
          </cell>
          <cell r="B958" t="str">
            <v>Derrick Owusu Mensah//</v>
          </cell>
          <cell r="C958" t="str">
            <v>Derrick Owusu Mensah</v>
          </cell>
          <cell r="D958"/>
          <cell r="E958"/>
        </row>
        <row r="959">
          <cell r="A959" t="str">
            <v>VSLA</v>
          </cell>
          <cell r="B959" t="str">
            <v>Issaka Ali Sambo/Paul Dery/</v>
          </cell>
          <cell r="C959" t="str">
            <v>Issaka Ali Sambo</v>
          </cell>
          <cell r="D959" t="str">
            <v>Paul Dery</v>
          </cell>
          <cell r="E959"/>
        </row>
        <row r="960">
          <cell r="A960">
            <v>206</v>
          </cell>
          <cell r="B960" t="str">
            <v>Edward Kpetege//</v>
          </cell>
          <cell r="C960" t="str">
            <v>Edward Kpetege</v>
          </cell>
          <cell r="D960"/>
          <cell r="E960"/>
        </row>
        <row r="961">
          <cell r="A961">
            <v>303</v>
          </cell>
          <cell r="B961" t="str">
            <v>Benjamin Opoku Atuahene//</v>
          </cell>
          <cell r="C961" t="str">
            <v>Benjamin Opoku Atuahene</v>
          </cell>
          <cell r="D961"/>
          <cell r="E961"/>
        </row>
        <row r="962">
          <cell r="A962">
            <v>304</v>
          </cell>
          <cell r="B962" t="str">
            <v>Eric Soku//</v>
          </cell>
          <cell r="C962" t="str">
            <v>Eric Soku</v>
          </cell>
          <cell r="D962"/>
          <cell r="E962"/>
        </row>
        <row r="963">
          <cell r="A963" t="str">
            <v>N1</v>
          </cell>
          <cell r="B963" t="str">
            <v>Marian Bemma//</v>
          </cell>
          <cell r="C963" t="str">
            <v>Marian Bemma</v>
          </cell>
          <cell r="D963"/>
          <cell r="E963"/>
        </row>
        <row r="964">
          <cell r="A964" t="str">
            <v>N2</v>
          </cell>
          <cell r="B964" t="str">
            <v>Derrick Amoateng//</v>
          </cell>
          <cell r="C964" t="str">
            <v>Derrick Amoateng</v>
          </cell>
          <cell r="D964"/>
          <cell r="E964"/>
        </row>
        <row r="965">
          <cell r="A965" t="str">
            <v>PB001</v>
          </cell>
          <cell r="B965" t="str">
            <v>Sandra Essel//</v>
          </cell>
          <cell r="C965" t="str">
            <v>Sandra Essel</v>
          </cell>
          <cell r="D965"/>
          <cell r="E965"/>
        </row>
        <row r="966">
          <cell r="A966" t="str">
            <v>PB020</v>
          </cell>
          <cell r="B966" t="str">
            <v>Owusu Stephen Akuoku/Samuel Osei-Asibey Bonsu/</v>
          </cell>
          <cell r="C966" t="str">
            <v>Owusu Stephen Akuoku</v>
          </cell>
          <cell r="D966" t="str">
            <v>Samuel Osei-Asibey Bonsu</v>
          </cell>
          <cell r="E966"/>
        </row>
        <row r="967">
          <cell r="A967" t="str">
            <v>PB014</v>
          </cell>
          <cell r="B967" t="str">
            <v>Kofi Bentum/Fiifi Turkson/</v>
          </cell>
          <cell r="C967" t="str">
            <v>Kofi Bentum</v>
          </cell>
          <cell r="D967" t="str">
            <v>Fiifi Turkson</v>
          </cell>
          <cell r="E967"/>
        </row>
        <row r="968">
          <cell r="A968" t="str">
            <v>PB008</v>
          </cell>
          <cell r="B968" t="str">
            <v>Richmond Awotwe//</v>
          </cell>
          <cell r="C968" t="str">
            <v>Richmond Awotwe</v>
          </cell>
          <cell r="D968"/>
          <cell r="E968"/>
        </row>
        <row r="969">
          <cell r="A969" t="str">
            <v>PB201</v>
          </cell>
          <cell r="B969" t="str">
            <v>Joseph Benneth Kankam//</v>
          </cell>
          <cell r="C969" t="str">
            <v>Joseph Benneth Kankam</v>
          </cell>
          <cell r="D969"/>
          <cell r="E969"/>
        </row>
        <row r="970">
          <cell r="A970" t="str">
            <v>PB214</v>
          </cell>
          <cell r="B970" t="str">
            <v>Bernard Audinada Ampofo/Fatawu Yakubu/</v>
          </cell>
          <cell r="C970" t="str">
            <v>Bernard Audinada Ampofo</v>
          </cell>
          <cell r="D970" t="str">
            <v>Fatawu Yakubu</v>
          </cell>
          <cell r="E970"/>
        </row>
        <row r="971">
          <cell r="A971" t="str">
            <v>PB212</v>
          </cell>
          <cell r="B971" t="str">
            <v>Clement Appiah//</v>
          </cell>
          <cell r="C971" t="str">
            <v>Clement Appiah</v>
          </cell>
          <cell r="D971"/>
          <cell r="E971"/>
        </row>
        <row r="972">
          <cell r="A972" t="str">
            <v>PB208</v>
          </cell>
          <cell r="B972" t="str">
            <v>Godfred Appiah//</v>
          </cell>
          <cell r="C972" t="str">
            <v>Godfred Appiah</v>
          </cell>
          <cell r="D972"/>
          <cell r="E972"/>
        </row>
        <row r="973">
          <cell r="A973" t="str">
            <v>VCR</v>
          </cell>
          <cell r="B973" t="str">
            <v>Ruth Adwubi Sarfo//</v>
          </cell>
          <cell r="C973" t="str">
            <v>Ruth Adwubi Sarfo</v>
          </cell>
          <cell r="D973"/>
          <cell r="E973"/>
        </row>
        <row r="974">
          <cell r="A974" t="str">
            <v>ECR</v>
          </cell>
          <cell r="B974" t="str">
            <v>Abigail Akos Worlanyo//</v>
          </cell>
          <cell r="C974" t="str">
            <v>Abigail Akos Worlanyo</v>
          </cell>
          <cell r="D974"/>
          <cell r="E974"/>
        </row>
        <row r="975">
          <cell r="A975" t="str">
            <v>A110</v>
          </cell>
          <cell r="B975" t="str">
            <v>Kwame Kwarteng Sarpong//</v>
          </cell>
          <cell r="C975" t="str">
            <v>Kwame Kwarteng Sarpong</v>
          </cell>
          <cell r="D975"/>
          <cell r="E975"/>
        </row>
        <row r="976">
          <cell r="A976" t="str">
            <v>EA</v>
          </cell>
          <cell r="B976" t="str">
            <v>Kwadwo Afful//</v>
          </cell>
          <cell r="C976" t="str">
            <v>Kwadwo Afful</v>
          </cell>
          <cell r="D976"/>
          <cell r="E976"/>
        </row>
        <row r="977">
          <cell r="A977" t="str">
            <v>NAF1</v>
          </cell>
          <cell r="B977" t="str">
            <v>Mercy Nimako/Adjatu Busali/</v>
          </cell>
          <cell r="C977" t="str">
            <v>Mercy Nimako</v>
          </cell>
          <cell r="D977" t="str">
            <v>Adjatu Busali</v>
          </cell>
          <cell r="E977"/>
        </row>
        <row r="978">
          <cell r="A978" t="str">
            <v>NEB SF1</v>
          </cell>
          <cell r="B978" t="str">
            <v>Micheal Obbo/Bernard Annan/Robert Kofi Kyere</v>
          </cell>
          <cell r="C978" t="str">
            <v>Micheal Obbo</v>
          </cell>
          <cell r="D978" t="str">
            <v>Bernard Annan</v>
          </cell>
          <cell r="E978" t="str">
            <v>Robert Kofi Kyere</v>
          </cell>
        </row>
        <row r="979">
          <cell r="A979" t="str">
            <v>NEB GF1</v>
          </cell>
          <cell r="B979" t="str">
            <v>Evans Korletey/Perseverance Dzikunu/Adom Ebenezer</v>
          </cell>
          <cell r="C979" t="str">
            <v>Evans Korletey</v>
          </cell>
          <cell r="D979" t="str">
            <v>Perseverance Dzikunu</v>
          </cell>
          <cell r="E979" t="str">
            <v>Adom Ebenezer</v>
          </cell>
        </row>
        <row r="980">
          <cell r="A980" t="str">
            <v>NEB FF1</v>
          </cell>
          <cell r="B980" t="str">
            <v>Kingsley Kyei Baffour/Victoria Agyenim-Boateng/</v>
          </cell>
          <cell r="C980" t="str">
            <v>Kingsley Kyei Baffour</v>
          </cell>
          <cell r="D980" t="str">
            <v>Victoria Agyenim-Boateng</v>
          </cell>
          <cell r="E980"/>
        </row>
        <row r="981">
          <cell r="A981" t="str">
            <v>NEB FF2</v>
          </cell>
          <cell r="B981" t="str">
            <v>Ernest Dapaah//</v>
          </cell>
          <cell r="C981" t="str">
            <v>Ernest Dapaah</v>
          </cell>
          <cell r="D981"/>
          <cell r="E981"/>
        </row>
        <row r="982">
          <cell r="A982"/>
          <cell r="B982" t="str">
            <v>/</v>
          </cell>
          <cell r="C982"/>
          <cell r="D982"/>
          <cell r="E982"/>
        </row>
        <row r="983">
          <cell r="A983" t="str">
            <v>ROOM NO</v>
          </cell>
          <cell r="B983" t="str">
            <v>ATTENDANTS/</v>
          </cell>
          <cell r="C983" t="str">
            <v>ATTENDANTS</v>
          </cell>
          <cell r="D983"/>
          <cell r="E983"/>
        </row>
        <row r="984">
          <cell r="A984" t="str">
            <v>LT</v>
          </cell>
          <cell r="B984" t="str">
            <v>Reuben Asare Bediako//</v>
          </cell>
          <cell r="C984" t="str">
            <v>Reuben Asare Bediako</v>
          </cell>
          <cell r="D984"/>
          <cell r="E984"/>
        </row>
        <row r="985">
          <cell r="A985" t="str">
            <v>RM A</v>
          </cell>
          <cell r="B985" t="str">
            <v>George Ansong//</v>
          </cell>
          <cell r="C985" t="str">
            <v>George Ansong</v>
          </cell>
          <cell r="D985"/>
          <cell r="E985"/>
        </row>
        <row r="986">
          <cell r="A986" t="str">
            <v>RM B</v>
          </cell>
          <cell r="B986" t="str">
            <v>Derrick Owusu Mensah//</v>
          </cell>
          <cell r="C986" t="str">
            <v>Derrick Owusu Mensah</v>
          </cell>
          <cell r="D986"/>
          <cell r="E986"/>
        </row>
        <row r="987">
          <cell r="A987" t="str">
            <v>VSLA</v>
          </cell>
          <cell r="B987" t="str">
            <v>Issaka Ali Sambo/Paul Dery/</v>
          </cell>
          <cell r="C987" t="str">
            <v>Issaka Ali Sambo</v>
          </cell>
          <cell r="D987" t="str">
            <v>Paul Dery</v>
          </cell>
          <cell r="E987"/>
        </row>
        <row r="988">
          <cell r="A988">
            <v>206</v>
          </cell>
          <cell r="B988" t="str">
            <v>Edward Kpetege//</v>
          </cell>
          <cell r="C988" t="str">
            <v>Edward Kpetege</v>
          </cell>
          <cell r="D988"/>
          <cell r="E988"/>
        </row>
        <row r="989">
          <cell r="A989">
            <v>303</v>
          </cell>
          <cell r="B989" t="str">
            <v>Benjamin Opoku Atuahene//</v>
          </cell>
          <cell r="C989" t="str">
            <v>Benjamin Opoku Atuahene</v>
          </cell>
          <cell r="D989"/>
          <cell r="E989"/>
        </row>
        <row r="990">
          <cell r="A990">
            <v>304</v>
          </cell>
          <cell r="B990" t="str">
            <v>Linda Berko//</v>
          </cell>
          <cell r="C990" t="str">
            <v>Linda Berko</v>
          </cell>
          <cell r="D990"/>
          <cell r="E990"/>
        </row>
        <row r="991">
          <cell r="A991" t="str">
            <v>N1</v>
          </cell>
          <cell r="B991" t="str">
            <v>Marian Bemma//</v>
          </cell>
          <cell r="C991" t="str">
            <v>Marian Bemma</v>
          </cell>
          <cell r="D991"/>
          <cell r="E991"/>
        </row>
        <row r="992">
          <cell r="A992" t="str">
            <v>N2</v>
          </cell>
          <cell r="B992" t="str">
            <v>Derrick Amoateng//</v>
          </cell>
          <cell r="C992" t="str">
            <v>Derrick Amoateng</v>
          </cell>
          <cell r="D992"/>
          <cell r="E992"/>
        </row>
        <row r="993">
          <cell r="A993" t="str">
            <v>PB001</v>
          </cell>
          <cell r="B993" t="str">
            <v>John Ofosu//</v>
          </cell>
          <cell r="C993" t="str">
            <v>John Ofosu</v>
          </cell>
          <cell r="D993"/>
          <cell r="E993"/>
        </row>
        <row r="994">
          <cell r="A994" t="str">
            <v>PB020</v>
          </cell>
          <cell r="B994" t="str">
            <v>Owusu Stephen Akuoku/Samuel Osei-Asibey Bonsu/</v>
          </cell>
          <cell r="C994" t="str">
            <v>Owusu Stephen Akuoku</v>
          </cell>
          <cell r="D994" t="str">
            <v>Samuel Osei-Asibey Bonsu</v>
          </cell>
          <cell r="E994"/>
        </row>
        <row r="995">
          <cell r="A995" t="str">
            <v>PB014</v>
          </cell>
          <cell r="B995" t="str">
            <v>Kofi Bentum/Fiifi Turkson/</v>
          </cell>
          <cell r="C995" t="str">
            <v>Kofi Bentum</v>
          </cell>
          <cell r="D995" t="str">
            <v>Fiifi Turkson</v>
          </cell>
          <cell r="E995"/>
        </row>
        <row r="996">
          <cell r="A996" t="str">
            <v>PB008</v>
          </cell>
          <cell r="B996" t="str">
            <v>Richmond Awotwe//</v>
          </cell>
          <cell r="C996" t="str">
            <v>Richmond Awotwe</v>
          </cell>
          <cell r="D996"/>
          <cell r="E996"/>
        </row>
        <row r="997">
          <cell r="A997" t="str">
            <v>PB201</v>
          </cell>
          <cell r="B997" t="str">
            <v>Mercy Nimako//</v>
          </cell>
          <cell r="C997" t="str">
            <v>Mercy Nimako</v>
          </cell>
          <cell r="D997"/>
          <cell r="E997"/>
        </row>
        <row r="998">
          <cell r="A998" t="str">
            <v>PB214</v>
          </cell>
          <cell r="B998" t="str">
            <v>Bernard Audinada Ampofo/Fatawu Yakubu/</v>
          </cell>
          <cell r="C998" t="str">
            <v>Bernard Audinada Ampofo</v>
          </cell>
          <cell r="D998" t="str">
            <v>Fatawu Yakubu</v>
          </cell>
          <cell r="E998"/>
        </row>
        <row r="999">
          <cell r="A999" t="str">
            <v>PB212</v>
          </cell>
          <cell r="B999" t="str">
            <v>Clement Appiah//</v>
          </cell>
          <cell r="C999" t="str">
            <v>Clement Appiah</v>
          </cell>
          <cell r="D999"/>
          <cell r="E999"/>
        </row>
        <row r="1000">
          <cell r="A1000" t="str">
            <v>PB208</v>
          </cell>
          <cell r="B1000" t="str">
            <v>Godfred Appiah//</v>
          </cell>
          <cell r="C1000" t="str">
            <v>Godfred Appiah</v>
          </cell>
          <cell r="D1000"/>
          <cell r="E1000"/>
        </row>
        <row r="1001">
          <cell r="A1001" t="str">
            <v>A110</v>
          </cell>
          <cell r="B1001" t="str">
            <v>Kwame Kwarteng Sarpong//</v>
          </cell>
          <cell r="C1001" t="str">
            <v>Kwame Kwarteng Sarpong</v>
          </cell>
          <cell r="D1001"/>
          <cell r="E1001"/>
        </row>
        <row r="1002">
          <cell r="A1002" t="str">
            <v>EA</v>
          </cell>
          <cell r="B1002" t="str">
            <v>Kwadwo Afful//</v>
          </cell>
          <cell r="C1002" t="str">
            <v>Kwadwo Afful</v>
          </cell>
          <cell r="D1002"/>
          <cell r="E1002"/>
        </row>
        <row r="1003">
          <cell r="A1003" t="str">
            <v>NAF1</v>
          </cell>
          <cell r="B1003" t="str">
            <v>Mohammed Bakang/Adjatu Busali/</v>
          </cell>
          <cell r="C1003" t="str">
            <v>Mohammed Bakang</v>
          </cell>
          <cell r="D1003" t="str">
            <v>Adjatu Busali</v>
          </cell>
          <cell r="E1003"/>
        </row>
        <row r="1004">
          <cell r="A1004" t="str">
            <v>NEB SF1</v>
          </cell>
          <cell r="B1004" t="str">
            <v>Mercy Nimako/Bernard Annan/Robert Kofi Kyere</v>
          </cell>
          <cell r="C1004" t="str">
            <v>Mercy Nimako</v>
          </cell>
          <cell r="D1004" t="str">
            <v>Bernard Annan</v>
          </cell>
          <cell r="E1004" t="str">
            <v>Robert Kofi Kyere</v>
          </cell>
        </row>
        <row r="1005">
          <cell r="A1005" t="str">
            <v>NEB GF1</v>
          </cell>
          <cell r="B1005" t="str">
            <v>Evans Korletey/Perseverance Dzikunu/Adom Ebenezer</v>
          </cell>
          <cell r="C1005" t="str">
            <v>Evans Korletey</v>
          </cell>
          <cell r="D1005" t="str">
            <v>Perseverance Dzikunu</v>
          </cell>
          <cell r="E1005" t="str">
            <v>Adom Ebenezer</v>
          </cell>
        </row>
        <row r="1006">
          <cell r="A1006" t="str">
            <v>NEB FF1</v>
          </cell>
          <cell r="B1006" t="str">
            <v>Kingsley Kyei Baffour/Bright Andoh-Baidoo/</v>
          </cell>
          <cell r="C1006" t="str">
            <v>Kingsley Kyei Baffour</v>
          </cell>
          <cell r="D1006" t="str">
            <v>Bright Andoh-Baidoo</v>
          </cell>
          <cell r="E1006"/>
        </row>
        <row r="1007">
          <cell r="A1007" t="str">
            <v>NEB FF2</v>
          </cell>
          <cell r="B1007" t="str">
            <v>Abigail Akos Worlanyo//</v>
          </cell>
          <cell r="C1007" t="str">
            <v>Abigail Akos Worlanyo</v>
          </cell>
          <cell r="D1007"/>
          <cell r="E1007"/>
        </row>
        <row r="1008">
          <cell r="A1008"/>
          <cell r="B1008"/>
          <cell r="C1008"/>
          <cell r="D1008"/>
          <cell r="E1008"/>
        </row>
        <row r="1009">
          <cell r="A1009" t="str">
            <v>ROOM NO</v>
          </cell>
          <cell r="B1009" t="str">
            <v>ATTENDANTS/</v>
          </cell>
          <cell r="C1009" t="str">
            <v>ATTENDANTS</v>
          </cell>
          <cell r="D1009"/>
          <cell r="E1009"/>
        </row>
        <row r="1010">
          <cell r="A1010" t="str">
            <v>LT</v>
          </cell>
          <cell r="B1010" t="str">
            <v>Mohammed Bakang//</v>
          </cell>
          <cell r="C1010" t="str">
            <v>Mohammed Bakang</v>
          </cell>
          <cell r="D1010"/>
          <cell r="E1010"/>
        </row>
        <row r="1011">
          <cell r="A1011" t="str">
            <v>RM A</v>
          </cell>
          <cell r="B1011" t="str">
            <v>Mercy Nimako//</v>
          </cell>
          <cell r="C1011" t="str">
            <v>Mercy Nimako</v>
          </cell>
          <cell r="D1011"/>
          <cell r="E1011"/>
        </row>
        <row r="1012">
          <cell r="A1012" t="str">
            <v>RM B</v>
          </cell>
          <cell r="B1012" t="str">
            <v>Derrick Owusu Mensah//</v>
          </cell>
          <cell r="C1012" t="str">
            <v>Derrick Owusu Mensah</v>
          </cell>
          <cell r="D1012"/>
          <cell r="E1012"/>
        </row>
        <row r="1013">
          <cell r="A1013" t="str">
            <v>VSLA</v>
          </cell>
          <cell r="B1013" t="str">
            <v>Issaka Ali Sambo/Paul Dery/</v>
          </cell>
          <cell r="C1013" t="str">
            <v>Issaka Ali Sambo</v>
          </cell>
          <cell r="D1013" t="str">
            <v>Paul Dery</v>
          </cell>
          <cell r="E1013"/>
        </row>
        <row r="1014">
          <cell r="A1014">
            <v>206</v>
          </cell>
          <cell r="B1014" t="str">
            <v>Edward Kpetege//</v>
          </cell>
          <cell r="C1014" t="str">
            <v>Edward Kpetege</v>
          </cell>
          <cell r="D1014"/>
          <cell r="E1014"/>
        </row>
        <row r="1015">
          <cell r="A1015">
            <v>303</v>
          </cell>
          <cell r="B1015" t="str">
            <v>Benjamin Opoku Atuahene//</v>
          </cell>
          <cell r="C1015" t="str">
            <v>Benjamin Opoku Atuahene</v>
          </cell>
          <cell r="D1015"/>
          <cell r="E1015"/>
        </row>
        <row r="1016">
          <cell r="A1016">
            <v>304</v>
          </cell>
          <cell r="B1016" t="str">
            <v>Eric Soku//</v>
          </cell>
          <cell r="C1016" t="str">
            <v>Eric Soku</v>
          </cell>
          <cell r="D1016"/>
          <cell r="E1016"/>
        </row>
        <row r="1017">
          <cell r="A1017" t="str">
            <v>N1</v>
          </cell>
          <cell r="B1017" t="str">
            <v>Marian Bemma//</v>
          </cell>
          <cell r="C1017" t="str">
            <v>Marian Bemma</v>
          </cell>
          <cell r="D1017"/>
          <cell r="E1017"/>
        </row>
        <row r="1018">
          <cell r="A1018" t="str">
            <v>N2</v>
          </cell>
          <cell r="B1018" t="str">
            <v>Derrick Amoateng//</v>
          </cell>
          <cell r="C1018" t="str">
            <v>Derrick Amoateng</v>
          </cell>
          <cell r="D1018"/>
          <cell r="E1018"/>
        </row>
        <row r="1019">
          <cell r="A1019" t="str">
            <v>PB001</v>
          </cell>
          <cell r="B1019" t="str">
            <v>John Ofosu//</v>
          </cell>
          <cell r="C1019" t="str">
            <v>John Ofosu</v>
          </cell>
          <cell r="D1019"/>
          <cell r="E1019"/>
        </row>
        <row r="1020">
          <cell r="A1020" t="str">
            <v>PB020</v>
          </cell>
          <cell r="B1020" t="str">
            <v>Owusu Stephen Akuoku/Samuel Osei-Asibey Bonsu/</v>
          </cell>
          <cell r="C1020" t="str">
            <v>Owusu Stephen Akuoku</v>
          </cell>
          <cell r="D1020" t="str">
            <v>Samuel Osei-Asibey Bonsu</v>
          </cell>
          <cell r="E1020"/>
        </row>
        <row r="1021">
          <cell r="A1021" t="str">
            <v>PB014</v>
          </cell>
          <cell r="B1021" t="str">
            <v>Kofi Bentum/Fiifi Turkson/</v>
          </cell>
          <cell r="C1021" t="str">
            <v>Kofi Bentum</v>
          </cell>
          <cell r="D1021" t="str">
            <v>Fiifi Turkson</v>
          </cell>
          <cell r="E1021"/>
        </row>
        <row r="1022">
          <cell r="A1022" t="str">
            <v>PB008</v>
          </cell>
          <cell r="B1022" t="str">
            <v>Richmond Awotwe//</v>
          </cell>
          <cell r="C1022" t="str">
            <v>Richmond Awotwe</v>
          </cell>
          <cell r="D1022"/>
          <cell r="E1022"/>
        </row>
        <row r="1023">
          <cell r="A1023" t="str">
            <v>PB201</v>
          </cell>
          <cell r="B1023" t="str">
            <v>Joseph Benneth Kankam//</v>
          </cell>
          <cell r="C1023" t="str">
            <v>Joseph Benneth Kankam</v>
          </cell>
          <cell r="D1023"/>
          <cell r="E1023"/>
        </row>
        <row r="1024">
          <cell r="A1024" t="str">
            <v>PB214</v>
          </cell>
          <cell r="B1024" t="str">
            <v>Bernard Audinada Ampofo/Fatawu Yakubu/</v>
          </cell>
          <cell r="C1024" t="str">
            <v>Bernard Audinada Ampofo</v>
          </cell>
          <cell r="D1024" t="str">
            <v>Fatawu Yakubu</v>
          </cell>
          <cell r="E1024"/>
        </row>
        <row r="1025">
          <cell r="A1025" t="str">
            <v>PB212</v>
          </cell>
          <cell r="B1025" t="str">
            <v>Evans Korletey//</v>
          </cell>
          <cell r="C1025" t="str">
            <v>Evans Korletey</v>
          </cell>
          <cell r="D1025"/>
          <cell r="E1025"/>
        </row>
        <row r="1026">
          <cell r="A1026" t="str">
            <v>PB208</v>
          </cell>
          <cell r="B1026" t="str">
            <v>Godfred Appiah//</v>
          </cell>
          <cell r="C1026" t="str">
            <v>Godfred Appiah</v>
          </cell>
          <cell r="D1026"/>
          <cell r="E1026"/>
        </row>
        <row r="1027">
          <cell r="A1027" t="str">
            <v>VCR</v>
          </cell>
          <cell r="B1027" t="str">
            <v>Ruth Adwubi Sarfo//</v>
          </cell>
          <cell r="C1027" t="str">
            <v>Ruth Adwubi Sarfo</v>
          </cell>
          <cell r="D1027"/>
          <cell r="E1027"/>
        </row>
        <row r="1028">
          <cell r="A1028" t="str">
            <v>ECR</v>
          </cell>
          <cell r="B1028" t="str">
            <v>Sandra Essel//</v>
          </cell>
          <cell r="C1028" t="str">
            <v>Sandra Essel</v>
          </cell>
          <cell r="D1028"/>
          <cell r="E1028"/>
        </row>
        <row r="1029">
          <cell r="A1029" t="str">
            <v>A110</v>
          </cell>
          <cell r="B1029" t="str">
            <v>Kwame Kwarteng Sarpong//</v>
          </cell>
          <cell r="C1029" t="str">
            <v>Kwame Kwarteng Sarpong</v>
          </cell>
          <cell r="D1029"/>
          <cell r="E1029"/>
        </row>
        <row r="1030">
          <cell r="A1030" t="str">
            <v>EA</v>
          </cell>
          <cell r="B1030" t="str">
            <v>Kwadwo Afful//</v>
          </cell>
          <cell r="C1030" t="str">
            <v>Kwadwo Afful</v>
          </cell>
          <cell r="D1030"/>
          <cell r="E1030"/>
        </row>
        <row r="1031">
          <cell r="A1031" t="str">
            <v>NAF1</v>
          </cell>
          <cell r="B1031" t="str">
            <v>Loretta Owusu Ansah/Adjatu Busali/</v>
          </cell>
          <cell r="C1031" t="str">
            <v>Loretta Owusu Ansah</v>
          </cell>
          <cell r="D1031" t="str">
            <v>Adjatu Busali</v>
          </cell>
          <cell r="E1031"/>
        </row>
        <row r="1032">
          <cell r="A1032" t="str">
            <v>NEB SF1</v>
          </cell>
          <cell r="B1032" t="str">
            <v>Micheal Obbo/Bernard Annan/Robert Kofi Kyere</v>
          </cell>
          <cell r="C1032" t="str">
            <v>Micheal Obbo</v>
          </cell>
          <cell r="D1032" t="str">
            <v>Bernard Annan</v>
          </cell>
          <cell r="E1032" t="str">
            <v>Robert Kofi Kyere</v>
          </cell>
        </row>
        <row r="1033">
          <cell r="A1033" t="str">
            <v>NEB GF1</v>
          </cell>
          <cell r="B1033" t="str">
            <v>Clement Dadzie/Perseverance Dzikunu/Adom Ebenezer</v>
          </cell>
          <cell r="C1033" t="str">
            <v>Clement Dadzie</v>
          </cell>
          <cell r="D1033" t="str">
            <v>Perseverance Dzikunu</v>
          </cell>
          <cell r="E1033" t="str">
            <v>Adom Ebenezer</v>
          </cell>
        </row>
        <row r="1034">
          <cell r="A1034" t="str">
            <v>NEB FF1</v>
          </cell>
          <cell r="B1034" t="str">
            <v>Kingsley Kyei Baffour/Bright Andoh-Baidoo/</v>
          </cell>
          <cell r="C1034" t="str">
            <v>Kingsley Kyei Baffour</v>
          </cell>
          <cell r="D1034" t="str">
            <v>Bright Andoh-Baidoo</v>
          </cell>
          <cell r="E1034"/>
        </row>
        <row r="1035">
          <cell r="A1035" t="str">
            <v>NEB FF2</v>
          </cell>
          <cell r="B1035" t="str">
            <v>Ernest Dapaah//</v>
          </cell>
          <cell r="C1035" t="str">
            <v>Ernest Dapaah</v>
          </cell>
          <cell r="D1035"/>
          <cell r="E1035"/>
        </row>
        <row r="1036">
          <cell r="A1036"/>
          <cell r="B1036"/>
          <cell r="C1036"/>
          <cell r="D1036"/>
          <cell r="E1036"/>
        </row>
        <row r="1037">
          <cell r="A1037"/>
          <cell r="B1037"/>
          <cell r="C1037"/>
          <cell r="D1037"/>
          <cell r="E1037"/>
        </row>
        <row r="1038">
          <cell r="A1038" t="str">
            <v>ROOM NO</v>
          </cell>
          <cell r="B1038" t="str">
            <v>ATTENDANTS/</v>
          </cell>
          <cell r="C1038" t="str">
            <v>ATTENDANTS</v>
          </cell>
          <cell r="D1038"/>
          <cell r="E1038"/>
        </row>
        <row r="1039">
          <cell r="A1039" t="str">
            <v>LT</v>
          </cell>
          <cell r="B1039" t="str">
            <v>Reuben Asare Bediako//</v>
          </cell>
          <cell r="C1039" t="str">
            <v>Reuben Asare Bediako</v>
          </cell>
          <cell r="D1039"/>
          <cell r="E1039"/>
        </row>
        <row r="1040">
          <cell r="A1040" t="str">
            <v>RM A</v>
          </cell>
          <cell r="B1040" t="str">
            <v>George Ansong//</v>
          </cell>
          <cell r="C1040" t="str">
            <v>George Ansong</v>
          </cell>
          <cell r="D1040"/>
          <cell r="E1040"/>
        </row>
        <row r="1041">
          <cell r="A1041" t="str">
            <v>RM B</v>
          </cell>
          <cell r="B1041" t="str">
            <v>Derrick Owusu Mensah//</v>
          </cell>
          <cell r="C1041" t="str">
            <v>Derrick Owusu Mensah</v>
          </cell>
          <cell r="D1041"/>
          <cell r="E1041"/>
        </row>
        <row r="1042">
          <cell r="A1042" t="str">
            <v>VSLA</v>
          </cell>
          <cell r="B1042" t="str">
            <v>Sandra Essel/Paul Dery/</v>
          </cell>
          <cell r="C1042" t="str">
            <v>Sandra Essel</v>
          </cell>
          <cell r="D1042" t="str">
            <v>Paul Dery</v>
          </cell>
          <cell r="E1042"/>
        </row>
        <row r="1043">
          <cell r="A1043">
            <v>206</v>
          </cell>
          <cell r="B1043" t="str">
            <v>Edward Kpetege//</v>
          </cell>
          <cell r="C1043" t="str">
            <v>Edward Kpetege</v>
          </cell>
          <cell r="D1043"/>
          <cell r="E1043"/>
        </row>
        <row r="1044">
          <cell r="A1044">
            <v>303</v>
          </cell>
          <cell r="B1044" t="str">
            <v>Benjamin Opoku Atuahene//</v>
          </cell>
          <cell r="C1044" t="str">
            <v>Benjamin Opoku Atuahene</v>
          </cell>
          <cell r="D1044"/>
          <cell r="E1044"/>
        </row>
        <row r="1045">
          <cell r="A1045">
            <v>304</v>
          </cell>
          <cell r="B1045" t="str">
            <v>Eric Soku//</v>
          </cell>
          <cell r="C1045" t="str">
            <v>Eric Soku</v>
          </cell>
          <cell r="D1045"/>
          <cell r="E1045"/>
        </row>
        <row r="1046">
          <cell r="A1046" t="str">
            <v>N1</v>
          </cell>
          <cell r="B1046" t="str">
            <v>Victoria Agyenim-Boateng//</v>
          </cell>
          <cell r="C1046" t="str">
            <v>Victoria Agyenim-Boateng</v>
          </cell>
          <cell r="D1046"/>
          <cell r="E1046"/>
        </row>
        <row r="1047">
          <cell r="A1047" t="str">
            <v>N2</v>
          </cell>
          <cell r="B1047" t="str">
            <v>Derrick Amoateng//</v>
          </cell>
          <cell r="C1047" t="str">
            <v>Derrick Amoateng</v>
          </cell>
          <cell r="D1047"/>
          <cell r="E1047"/>
        </row>
        <row r="1048">
          <cell r="A1048" t="str">
            <v>PB001</v>
          </cell>
          <cell r="B1048" t="str">
            <v>John Ofosu//</v>
          </cell>
          <cell r="C1048" t="str">
            <v>John Ofosu</v>
          </cell>
          <cell r="D1048"/>
          <cell r="E1048"/>
        </row>
        <row r="1049">
          <cell r="A1049" t="str">
            <v>PB020</v>
          </cell>
          <cell r="B1049" t="str">
            <v>Owusu Stephen Akuoku/Michael Owusu/</v>
          </cell>
          <cell r="C1049" t="str">
            <v>Owusu Stephen Akuoku</v>
          </cell>
          <cell r="D1049" t="str">
            <v>Michael Owusu</v>
          </cell>
          <cell r="E1049"/>
        </row>
        <row r="1050">
          <cell r="A1050" t="str">
            <v>PB014</v>
          </cell>
          <cell r="B1050" t="str">
            <v>Rener Oppong/Fiifi Turkson/</v>
          </cell>
          <cell r="C1050" t="str">
            <v>Rener Oppong</v>
          </cell>
          <cell r="D1050" t="str">
            <v>Fiifi Turkson</v>
          </cell>
          <cell r="E1050"/>
        </row>
        <row r="1051">
          <cell r="A1051" t="str">
            <v>PB008</v>
          </cell>
          <cell r="B1051" t="str">
            <v>Rebecca Yamoah//</v>
          </cell>
          <cell r="C1051" t="str">
            <v>Rebecca Yamoah</v>
          </cell>
          <cell r="D1051"/>
          <cell r="E1051"/>
        </row>
        <row r="1052">
          <cell r="A1052" t="str">
            <v>PB201</v>
          </cell>
          <cell r="B1052" t="str">
            <v>Joseph Benneth Kankam//</v>
          </cell>
          <cell r="C1052" t="str">
            <v>Joseph Benneth Kankam</v>
          </cell>
          <cell r="D1052"/>
          <cell r="E1052"/>
        </row>
        <row r="1053">
          <cell r="A1053" t="str">
            <v>PB214</v>
          </cell>
          <cell r="B1053" t="str">
            <v>Bernard Audinada Ampofo/Fatawu Yakubu/</v>
          </cell>
          <cell r="C1053" t="str">
            <v>Bernard Audinada Ampofo</v>
          </cell>
          <cell r="D1053" t="str">
            <v>Fatawu Yakubu</v>
          </cell>
          <cell r="E1053"/>
        </row>
        <row r="1054">
          <cell r="A1054" t="str">
            <v>PB212</v>
          </cell>
          <cell r="B1054" t="str">
            <v>Clement Appiah//</v>
          </cell>
          <cell r="C1054" t="str">
            <v>Clement Appiah</v>
          </cell>
          <cell r="D1054"/>
          <cell r="E1054"/>
        </row>
        <row r="1055">
          <cell r="A1055" t="str">
            <v>PB208</v>
          </cell>
          <cell r="B1055" t="str">
            <v>Godfred Appiah//</v>
          </cell>
          <cell r="C1055" t="str">
            <v>Godfred Appiah</v>
          </cell>
          <cell r="D1055"/>
          <cell r="E1055"/>
        </row>
        <row r="1056">
          <cell r="A1056" t="str">
            <v>VCR</v>
          </cell>
          <cell r="B1056" t="str">
            <v>Ruth Adwubi Sarfo//</v>
          </cell>
          <cell r="C1056" t="str">
            <v>Ruth Adwubi Sarfo</v>
          </cell>
          <cell r="D1056"/>
          <cell r="E1056"/>
        </row>
        <row r="1057">
          <cell r="A1057" t="str">
            <v>ECR</v>
          </cell>
          <cell r="B1057" t="str">
            <v>Clement Dadzie//</v>
          </cell>
          <cell r="C1057" t="str">
            <v>Clement Dadzie</v>
          </cell>
          <cell r="D1057"/>
          <cell r="E1057"/>
        </row>
        <row r="1058">
          <cell r="A1058" t="str">
            <v>A110</v>
          </cell>
          <cell r="B1058" t="str">
            <v>Kwame Kwarteng Sarpong//</v>
          </cell>
          <cell r="C1058" t="str">
            <v>Kwame Kwarteng Sarpong</v>
          </cell>
          <cell r="D1058"/>
          <cell r="E1058"/>
        </row>
        <row r="1059">
          <cell r="A1059" t="str">
            <v>EA</v>
          </cell>
          <cell r="B1059" t="str">
            <v>Kwadwo Afful//</v>
          </cell>
          <cell r="C1059" t="str">
            <v>Kwadwo Afful</v>
          </cell>
          <cell r="D1059"/>
          <cell r="E1059"/>
        </row>
        <row r="1060">
          <cell r="A1060" t="str">
            <v>NAF1</v>
          </cell>
          <cell r="B1060" t="str">
            <v>Loretta Owusu Ansah/Adjatu Busali/</v>
          </cell>
          <cell r="C1060" t="str">
            <v>Loretta Owusu Ansah</v>
          </cell>
          <cell r="D1060" t="str">
            <v>Adjatu Busali</v>
          </cell>
          <cell r="E1060"/>
        </row>
        <row r="1061">
          <cell r="A1061" t="str">
            <v>NEB SF1</v>
          </cell>
          <cell r="B1061" t="str">
            <v>Micheal Obbo/Bernard Annan/Robert Kofi Kyere</v>
          </cell>
          <cell r="C1061" t="str">
            <v>Micheal Obbo</v>
          </cell>
          <cell r="D1061" t="str">
            <v>Bernard Annan</v>
          </cell>
          <cell r="E1061" t="str">
            <v>Robert Kofi Kyere</v>
          </cell>
        </row>
        <row r="1062">
          <cell r="A1062" t="str">
            <v>NEB GF1</v>
          </cell>
          <cell r="B1062" t="str">
            <v>Rener Oppong/Perseverance Dzikunu/Adom Ebenezer</v>
          </cell>
          <cell r="C1062" t="str">
            <v>Rener Oppong</v>
          </cell>
          <cell r="D1062" t="str">
            <v>Perseverance Dzikunu</v>
          </cell>
          <cell r="E1062" t="str">
            <v>Adom Ebenezer</v>
          </cell>
        </row>
        <row r="1063">
          <cell r="A1063" t="str">
            <v>NEB FF1</v>
          </cell>
          <cell r="B1063" t="str">
            <v>Kingsley Kyei Baffour/Bright Andoh-Baidoo/</v>
          </cell>
          <cell r="C1063" t="str">
            <v>Kingsley Kyei Baffour</v>
          </cell>
          <cell r="D1063" t="str">
            <v>Bright Andoh-Baidoo</v>
          </cell>
          <cell r="E1063"/>
        </row>
        <row r="1064">
          <cell r="A1064" t="str">
            <v>NEB FF2</v>
          </cell>
          <cell r="B1064" t="str">
            <v>Evans Korletey//</v>
          </cell>
          <cell r="C1064" t="str">
            <v>Evans Korletey</v>
          </cell>
          <cell r="D1064"/>
          <cell r="E1064"/>
        </row>
        <row r="1065">
          <cell r="B1065"/>
          <cell r="C1065"/>
          <cell r="D1065"/>
          <cell r="E1065"/>
        </row>
        <row r="1066">
          <cell r="A1066" t="str">
            <v>ROOM NO</v>
          </cell>
          <cell r="B1066" t="str">
            <v>ATTENDANTS/</v>
          </cell>
          <cell r="C1066" t="str">
            <v>ATTENDANTS</v>
          </cell>
          <cell r="D1066"/>
          <cell r="E1066"/>
        </row>
        <row r="1067">
          <cell r="A1067" t="str">
            <v>LT</v>
          </cell>
          <cell r="B1067" t="str">
            <v>Theresa Sarpong Peprah//</v>
          </cell>
          <cell r="C1067" t="str">
            <v>Theresa Sarpong Peprah</v>
          </cell>
          <cell r="D1067"/>
          <cell r="E1067"/>
        </row>
        <row r="1068">
          <cell r="A1068" t="str">
            <v>RM A</v>
          </cell>
          <cell r="B1068" t="str">
            <v>George Ansong//</v>
          </cell>
          <cell r="C1068" t="str">
            <v>George Ansong</v>
          </cell>
          <cell r="D1068"/>
          <cell r="E1068"/>
        </row>
        <row r="1069">
          <cell r="A1069" t="str">
            <v>RM B</v>
          </cell>
          <cell r="B1069" t="str">
            <v>Derrick Owusu Mensah//</v>
          </cell>
          <cell r="C1069" t="str">
            <v>Derrick Owusu Mensah</v>
          </cell>
          <cell r="D1069"/>
          <cell r="E1069"/>
        </row>
        <row r="1070">
          <cell r="A1070" t="str">
            <v>VSLA</v>
          </cell>
          <cell r="B1070" t="str">
            <v>Victoria Agyenim-Boateng/Michael Owusu/</v>
          </cell>
          <cell r="C1070" t="str">
            <v>Victoria Agyenim-Boateng</v>
          </cell>
          <cell r="D1070" t="str">
            <v>Michael Owusu</v>
          </cell>
          <cell r="E1070"/>
        </row>
        <row r="1071">
          <cell r="A1071">
            <v>206</v>
          </cell>
          <cell r="B1071" t="str">
            <v>Edward Kpetege//</v>
          </cell>
          <cell r="C1071" t="str">
            <v>Edward Kpetege</v>
          </cell>
          <cell r="D1071"/>
          <cell r="E1071"/>
        </row>
        <row r="1072">
          <cell r="A1072">
            <v>303</v>
          </cell>
          <cell r="B1072" t="str">
            <v>Linda Berko//</v>
          </cell>
          <cell r="C1072" t="str">
            <v>Linda Berko</v>
          </cell>
          <cell r="D1072"/>
          <cell r="E1072"/>
        </row>
        <row r="1073">
          <cell r="A1073">
            <v>304</v>
          </cell>
          <cell r="B1073" t="str">
            <v>Eric Soku//</v>
          </cell>
          <cell r="C1073" t="str">
            <v>Eric Soku</v>
          </cell>
          <cell r="D1073"/>
          <cell r="E1073"/>
        </row>
        <row r="1074">
          <cell r="A1074" t="str">
            <v>N1</v>
          </cell>
          <cell r="B1074" t="str">
            <v>Salamatu Salifu//</v>
          </cell>
          <cell r="C1074" t="str">
            <v>Salamatu Salifu</v>
          </cell>
          <cell r="D1074"/>
          <cell r="E1074"/>
        </row>
        <row r="1075">
          <cell r="A1075" t="str">
            <v>N2</v>
          </cell>
          <cell r="B1075" t="str">
            <v>Derrick Amoateng//</v>
          </cell>
          <cell r="C1075" t="str">
            <v>Derrick Amoateng</v>
          </cell>
          <cell r="D1075"/>
          <cell r="E1075"/>
        </row>
        <row r="1076">
          <cell r="A1076" t="str">
            <v>PB001</v>
          </cell>
          <cell r="B1076" t="str">
            <v>John Ofosu//</v>
          </cell>
          <cell r="C1076" t="str">
            <v>John Ofosu</v>
          </cell>
          <cell r="D1076"/>
          <cell r="E1076"/>
        </row>
        <row r="1077">
          <cell r="A1077" t="str">
            <v>PB020</v>
          </cell>
          <cell r="B1077" t="str">
            <v>Owusu Stephen Akuoku/Samuel Osei-Asibey Bonsu/</v>
          </cell>
          <cell r="C1077" t="str">
            <v>Owusu Stephen Akuoku</v>
          </cell>
          <cell r="D1077" t="str">
            <v>Samuel Osei-Asibey Bonsu</v>
          </cell>
          <cell r="E1077"/>
        </row>
        <row r="1078">
          <cell r="A1078" t="str">
            <v>PB014</v>
          </cell>
          <cell r="B1078" t="str">
            <v>Kofi Bentum/Gifty Edem Senyaglo/</v>
          </cell>
          <cell r="C1078" t="str">
            <v>Kofi Bentum</v>
          </cell>
          <cell r="D1078" t="str">
            <v>Gifty Edem Senyaglo</v>
          </cell>
          <cell r="E1078"/>
        </row>
        <row r="1079">
          <cell r="A1079" t="str">
            <v>PB008</v>
          </cell>
          <cell r="B1079" t="str">
            <v>Richmond Awotwe//</v>
          </cell>
          <cell r="C1079" t="str">
            <v>Richmond Awotwe</v>
          </cell>
          <cell r="D1079"/>
          <cell r="E1079"/>
        </row>
        <row r="1080">
          <cell r="A1080" t="str">
            <v>PB201</v>
          </cell>
          <cell r="B1080" t="str">
            <v>Joseph Benneth Kankam//</v>
          </cell>
          <cell r="C1080" t="str">
            <v>Joseph Benneth Kankam</v>
          </cell>
          <cell r="D1080"/>
          <cell r="E1080"/>
        </row>
        <row r="1081">
          <cell r="A1081" t="str">
            <v>PB214</v>
          </cell>
          <cell r="B1081" t="str">
            <v>Bernard Audinada Ampofo/Fatawu Yakubu/</v>
          </cell>
          <cell r="C1081" t="str">
            <v>Bernard Audinada Ampofo</v>
          </cell>
          <cell r="D1081" t="str">
            <v>Fatawu Yakubu</v>
          </cell>
          <cell r="E1081"/>
        </row>
        <row r="1082">
          <cell r="A1082" t="str">
            <v>PB212</v>
          </cell>
          <cell r="B1082" t="str">
            <v>Clement Appiah//</v>
          </cell>
          <cell r="C1082" t="str">
            <v>Clement Appiah</v>
          </cell>
          <cell r="D1082"/>
          <cell r="E1082"/>
        </row>
        <row r="1083">
          <cell r="A1083" t="str">
            <v>PB208</v>
          </cell>
          <cell r="B1083" t="str">
            <v>Godfred Appiah//</v>
          </cell>
          <cell r="C1083" t="str">
            <v>Godfred Appiah</v>
          </cell>
          <cell r="D1083"/>
          <cell r="E1083"/>
        </row>
        <row r="1084">
          <cell r="A1084" t="str">
            <v>VCR</v>
          </cell>
          <cell r="B1084" t="str">
            <v>Abigail Akos Worlanyo//</v>
          </cell>
          <cell r="C1084" t="str">
            <v>Abigail Akos Worlanyo</v>
          </cell>
          <cell r="D1084"/>
          <cell r="E1084"/>
        </row>
        <row r="1085">
          <cell r="A1085" t="str">
            <v>A110</v>
          </cell>
          <cell r="B1085" t="str">
            <v>Kwame Kwarteng Sarpong//</v>
          </cell>
          <cell r="C1085" t="str">
            <v>Kwame Kwarteng Sarpong</v>
          </cell>
          <cell r="D1085"/>
          <cell r="E1085"/>
        </row>
        <row r="1086">
          <cell r="A1086" t="str">
            <v>EA</v>
          </cell>
          <cell r="B1086" t="str">
            <v>Benjamin Nana Oduro Konadu//</v>
          </cell>
          <cell r="C1086" t="str">
            <v>Benjamin Nana Oduro Konadu</v>
          </cell>
          <cell r="D1086"/>
          <cell r="E1086"/>
        </row>
        <row r="1087">
          <cell r="A1087" t="str">
            <v>NAF1</v>
          </cell>
          <cell r="B1087" t="str">
            <v>Loretta Owusu Ansah/Desmond Adu-Yeboah/</v>
          </cell>
          <cell r="C1087" t="str">
            <v>Loretta Owusu Ansah</v>
          </cell>
          <cell r="D1087" t="str">
            <v>Desmond Adu-Yeboah</v>
          </cell>
          <cell r="E1087"/>
        </row>
        <row r="1088">
          <cell r="A1088" t="str">
            <v>NEB SF1</v>
          </cell>
          <cell r="B1088" t="str">
            <v>Micheal Obbo/Getrude Opoku/Robert Kofi Kyere</v>
          </cell>
          <cell r="C1088" t="str">
            <v>Micheal Obbo</v>
          </cell>
          <cell r="D1088" t="str">
            <v>Getrude Opoku</v>
          </cell>
          <cell r="E1088" t="str">
            <v>Robert Kofi Kyere</v>
          </cell>
        </row>
        <row r="1089">
          <cell r="A1089" t="str">
            <v>NEB GF1</v>
          </cell>
          <cell r="B1089" t="str">
            <v>Peter Agetinga/Perseverance Dzikunu/Adom Ebenezer</v>
          </cell>
          <cell r="C1089" t="str">
            <v>Peter Agetinga</v>
          </cell>
          <cell r="D1089" t="str">
            <v>Perseverance Dzikunu</v>
          </cell>
          <cell r="E1089" t="str">
            <v>Adom Ebenezer</v>
          </cell>
        </row>
        <row r="1090">
          <cell r="A1090" t="str">
            <v>NEB FF1</v>
          </cell>
          <cell r="B1090" t="str">
            <v>Kingsley Kyei Baffour/Bright Andoh-Baidoo/</v>
          </cell>
          <cell r="C1090" t="str">
            <v>Kingsley Kyei Baffour</v>
          </cell>
          <cell r="D1090" t="str">
            <v>Bright Andoh-Baidoo</v>
          </cell>
          <cell r="E1090"/>
        </row>
        <row r="1091">
          <cell r="A1091" t="str">
            <v>NEB FF2</v>
          </cell>
          <cell r="B1091" t="str">
            <v>Ernest Dapaah//</v>
          </cell>
          <cell r="C1091" t="str">
            <v>Ernest Dapaah</v>
          </cell>
          <cell r="D1091"/>
          <cell r="E1091"/>
        </row>
        <row r="1092">
          <cell r="A1092"/>
          <cell r="B1092"/>
          <cell r="C1092"/>
          <cell r="D1092"/>
          <cell r="E1092"/>
        </row>
        <row r="1093">
          <cell r="A1093" t="str">
            <v>ROOM NO</v>
          </cell>
          <cell r="B1093" t="str">
            <v>ATTENDANTS/</v>
          </cell>
          <cell r="C1093" t="str">
            <v>ATTENDANTS</v>
          </cell>
          <cell r="D1093"/>
          <cell r="E1093"/>
        </row>
        <row r="1094">
          <cell r="A1094" t="str">
            <v>LT</v>
          </cell>
          <cell r="B1094" t="str">
            <v>Reuben Asare Bediako//</v>
          </cell>
          <cell r="C1094" t="str">
            <v>Reuben Asare Bediako</v>
          </cell>
          <cell r="D1094"/>
          <cell r="E1094"/>
        </row>
        <row r="1095">
          <cell r="A1095" t="str">
            <v>RM A</v>
          </cell>
          <cell r="B1095" t="str">
            <v>George Ansong//</v>
          </cell>
          <cell r="C1095" t="str">
            <v>George Ansong</v>
          </cell>
          <cell r="D1095"/>
          <cell r="E1095"/>
        </row>
        <row r="1096">
          <cell r="A1096" t="str">
            <v>RM B</v>
          </cell>
          <cell r="B1096" t="str">
            <v>Derrick Owusu Mensah//</v>
          </cell>
          <cell r="C1096" t="str">
            <v>Derrick Owusu Mensah</v>
          </cell>
          <cell r="D1096"/>
          <cell r="E1096"/>
        </row>
        <row r="1097">
          <cell r="A1097" t="str">
            <v>VSLA</v>
          </cell>
          <cell r="B1097" t="str">
            <v>Issaka Ali Sambo/Paul Dery/</v>
          </cell>
          <cell r="C1097" t="str">
            <v>Issaka Ali Sambo</v>
          </cell>
          <cell r="D1097" t="str">
            <v>Paul Dery</v>
          </cell>
          <cell r="E1097"/>
        </row>
        <row r="1098">
          <cell r="A1098">
            <v>206</v>
          </cell>
          <cell r="B1098" t="str">
            <v>Peter Agetinga//</v>
          </cell>
          <cell r="C1098" t="str">
            <v>Peter Agetinga</v>
          </cell>
          <cell r="D1098"/>
          <cell r="E1098"/>
        </row>
        <row r="1099">
          <cell r="A1099">
            <v>303</v>
          </cell>
          <cell r="B1099" t="str">
            <v>Benjamin Opoku Atuahene//</v>
          </cell>
          <cell r="C1099" t="str">
            <v>Benjamin Opoku Atuahene</v>
          </cell>
          <cell r="D1099"/>
          <cell r="E1099"/>
        </row>
        <row r="1100">
          <cell r="A1100">
            <v>304</v>
          </cell>
          <cell r="B1100" t="str">
            <v>Eric Soku//</v>
          </cell>
          <cell r="C1100" t="str">
            <v>Eric Soku</v>
          </cell>
          <cell r="D1100"/>
          <cell r="E1100"/>
        </row>
        <row r="1101">
          <cell r="A1101" t="str">
            <v>N1</v>
          </cell>
          <cell r="B1101" t="str">
            <v>Marian Bemma//</v>
          </cell>
          <cell r="C1101" t="str">
            <v>Marian Bemma</v>
          </cell>
          <cell r="D1101"/>
          <cell r="E1101"/>
        </row>
        <row r="1102">
          <cell r="A1102" t="str">
            <v>N2</v>
          </cell>
          <cell r="B1102" t="str">
            <v>Theresa Sarpong Peprah//</v>
          </cell>
          <cell r="C1102" t="str">
            <v>Theresa Sarpong Peprah</v>
          </cell>
          <cell r="D1102"/>
          <cell r="E1102"/>
        </row>
        <row r="1103">
          <cell r="A1103" t="str">
            <v>PB001</v>
          </cell>
          <cell r="B1103" t="str">
            <v>John Ofosu//</v>
          </cell>
          <cell r="C1103" t="str">
            <v>John Ofosu</v>
          </cell>
          <cell r="D1103"/>
          <cell r="E1103"/>
        </row>
        <row r="1104">
          <cell r="A1104" t="str">
            <v>PB020</v>
          </cell>
          <cell r="B1104" t="str">
            <v>Gifty Edem Senyaglo/Mohammed Bakang/</v>
          </cell>
          <cell r="C1104" t="str">
            <v>Gifty Edem Senyaglo</v>
          </cell>
          <cell r="D1104" t="str">
            <v>Mohammed Bakang</v>
          </cell>
          <cell r="E1104"/>
        </row>
        <row r="1105">
          <cell r="A1105" t="str">
            <v>PB014</v>
          </cell>
          <cell r="B1105" t="str">
            <v>Michael Owusu/Fiifi Turkson/</v>
          </cell>
          <cell r="C1105" t="str">
            <v>Michael Owusu</v>
          </cell>
          <cell r="D1105" t="str">
            <v>Fiifi Turkson</v>
          </cell>
          <cell r="E1105"/>
        </row>
        <row r="1106">
          <cell r="A1106" t="str">
            <v>PB008</v>
          </cell>
          <cell r="B1106" t="str">
            <v>Richmond Awotwe//</v>
          </cell>
          <cell r="C1106" t="str">
            <v>Richmond Awotwe</v>
          </cell>
          <cell r="D1106"/>
          <cell r="E1106"/>
        </row>
        <row r="1107">
          <cell r="A1107" t="str">
            <v>PB201</v>
          </cell>
          <cell r="B1107" t="str">
            <v>Joseph Benneth Kankam//</v>
          </cell>
          <cell r="C1107" t="str">
            <v>Joseph Benneth Kankam</v>
          </cell>
          <cell r="D1107"/>
          <cell r="E1107"/>
        </row>
        <row r="1108">
          <cell r="A1108" t="str">
            <v>PB214</v>
          </cell>
          <cell r="B1108" t="str">
            <v>Desmond Adu-Yeboah/Benjamin Nana Oduro Konadu/</v>
          </cell>
          <cell r="C1108" t="str">
            <v>Desmond Adu-Yeboah</v>
          </cell>
          <cell r="D1108" t="str">
            <v>Benjamin Nana Oduro Konadu</v>
          </cell>
          <cell r="E1108"/>
        </row>
        <row r="1109">
          <cell r="A1109" t="str">
            <v>PB212</v>
          </cell>
          <cell r="B1109" t="str">
            <v>Getrude Opoku//</v>
          </cell>
          <cell r="C1109" t="str">
            <v>Getrude Opoku</v>
          </cell>
          <cell r="D1109"/>
          <cell r="E1109"/>
        </row>
        <row r="1110">
          <cell r="A1110" t="str">
            <v>PB208</v>
          </cell>
          <cell r="B1110" t="str">
            <v>Godfred Appiah//</v>
          </cell>
          <cell r="C1110" t="str">
            <v>Godfred Appiah</v>
          </cell>
          <cell r="D1110"/>
          <cell r="E1110"/>
        </row>
        <row r="1111">
          <cell r="A1111" t="str">
            <v>VCR</v>
          </cell>
          <cell r="B1111" t="str">
            <v>Ruth Adwubi Sarfo//</v>
          </cell>
          <cell r="C1111" t="str">
            <v>Ruth Adwubi Sarfo</v>
          </cell>
          <cell r="D1111"/>
          <cell r="E1111"/>
        </row>
        <row r="1112">
          <cell r="A1112" t="str">
            <v>ECR</v>
          </cell>
          <cell r="B1112" t="str">
            <v>Sandra Essel//</v>
          </cell>
          <cell r="C1112" t="str">
            <v>Sandra Essel</v>
          </cell>
          <cell r="D1112"/>
          <cell r="E1112"/>
        </row>
        <row r="1113">
          <cell r="A1113" t="str">
            <v>A110</v>
          </cell>
          <cell r="B1113" t="str">
            <v>Salamatu Salifu//</v>
          </cell>
          <cell r="C1113" t="str">
            <v>Salamatu Salifu</v>
          </cell>
          <cell r="D1113"/>
          <cell r="E1113"/>
        </row>
        <row r="1114">
          <cell r="A1114" t="str">
            <v>EA</v>
          </cell>
          <cell r="B1114" t="str">
            <v>Kwadwo Afful//</v>
          </cell>
          <cell r="C1114" t="str">
            <v>Kwadwo Afful</v>
          </cell>
          <cell r="D1114"/>
          <cell r="E1114"/>
        </row>
        <row r="1115">
          <cell r="A1115" t="str">
            <v>NAF1</v>
          </cell>
          <cell r="B1115" t="str">
            <v>Rebecca Yamoah/Adjatu Busali/</v>
          </cell>
          <cell r="C1115" t="str">
            <v>Rebecca Yamoah</v>
          </cell>
          <cell r="D1115" t="str">
            <v>Adjatu Busali</v>
          </cell>
          <cell r="E1115"/>
        </row>
        <row r="1116">
          <cell r="A1116" t="str">
            <v>NEB SF1</v>
          </cell>
          <cell r="B1116" t="str">
            <v>Micheal Obbo/Bernard Annan/Robert Kofi Kyere</v>
          </cell>
          <cell r="C1116" t="str">
            <v>Micheal Obbo</v>
          </cell>
          <cell r="D1116" t="str">
            <v>Bernard Annan</v>
          </cell>
          <cell r="E1116" t="str">
            <v>Robert Kofi Kyere</v>
          </cell>
        </row>
        <row r="1117">
          <cell r="A1117" t="str">
            <v>NEB GF1</v>
          </cell>
          <cell r="B1117" t="str">
            <v>Rener Oppong/Perseverance Dzikunu/Adom Ebenezer</v>
          </cell>
          <cell r="C1117" t="str">
            <v>Rener Oppong</v>
          </cell>
          <cell r="D1117" t="str">
            <v>Perseverance Dzikunu</v>
          </cell>
          <cell r="E1117" t="str">
            <v>Adom Ebenezer</v>
          </cell>
        </row>
        <row r="1118">
          <cell r="A1118" t="str">
            <v>NEB FF1</v>
          </cell>
          <cell r="B1118" t="str">
            <v>Victoria Agyenim-Boateng/Linda Berko/</v>
          </cell>
          <cell r="C1118" t="str">
            <v>Victoria Agyenim-Boateng</v>
          </cell>
          <cell r="D1118" t="str">
            <v>Linda Berko</v>
          </cell>
          <cell r="E1118"/>
        </row>
        <row r="1119">
          <cell r="A1119" t="str">
            <v>NEB FF2</v>
          </cell>
          <cell r="B1119" t="str">
            <v>Ernest Dapaah//</v>
          </cell>
          <cell r="C1119" t="str">
            <v>Ernest Dapaah</v>
          </cell>
          <cell r="D1119"/>
          <cell r="E1119"/>
        </row>
        <row r="1120">
          <cell r="A1120"/>
          <cell r="B1120" t="str">
            <v>/</v>
          </cell>
          <cell r="C1120"/>
          <cell r="D1120"/>
          <cell r="E1120"/>
        </row>
        <row r="1121">
          <cell r="A1121" t="str">
            <v>ROOM NO</v>
          </cell>
          <cell r="B1121" t="str">
            <v>ATTENDANTS/</v>
          </cell>
          <cell r="C1121" t="str">
            <v>ATTENDANTS</v>
          </cell>
          <cell r="D1121"/>
          <cell r="E1121"/>
        </row>
        <row r="1122">
          <cell r="A1122" t="str">
            <v>LT</v>
          </cell>
          <cell r="B1122" t="str">
            <v>Reuben Asare Bediako//</v>
          </cell>
          <cell r="C1122" t="str">
            <v>Reuben Asare Bediako</v>
          </cell>
          <cell r="D1122"/>
          <cell r="E1122"/>
        </row>
        <row r="1123">
          <cell r="A1123" t="str">
            <v>RM A</v>
          </cell>
          <cell r="B1123" t="str">
            <v>George Ansong//</v>
          </cell>
          <cell r="C1123" t="str">
            <v>George Ansong</v>
          </cell>
          <cell r="D1123"/>
          <cell r="E1123"/>
        </row>
        <row r="1124">
          <cell r="A1124" t="str">
            <v>RM B</v>
          </cell>
          <cell r="B1124" t="str">
            <v>Derrick Owusu Mensah//</v>
          </cell>
          <cell r="C1124" t="str">
            <v>Derrick Owusu Mensah</v>
          </cell>
          <cell r="D1124"/>
          <cell r="E1124"/>
        </row>
        <row r="1125">
          <cell r="A1125" t="str">
            <v>VSLA</v>
          </cell>
          <cell r="B1125" t="str">
            <v>Issaka Ali Sambo/Paul Dery/</v>
          </cell>
          <cell r="C1125" t="str">
            <v>Issaka Ali Sambo</v>
          </cell>
          <cell r="D1125" t="str">
            <v>Paul Dery</v>
          </cell>
          <cell r="E1125"/>
        </row>
        <row r="1126">
          <cell r="A1126">
            <v>206</v>
          </cell>
          <cell r="B1126" t="str">
            <v>Edward Kpetege//</v>
          </cell>
          <cell r="C1126" t="str">
            <v>Edward Kpetege</v>
          </cell>
          <cell r="D1126"/>
          <cell r="E1126"/>
        </row>
        <row r="1127">
          <cell r="A1127">
            <v>303</v>
          </cell>
          <cell r="B1127" t="str">
            <v>Benjamin Opoku Atuahene//</v>
          </cell>
          <cell r="C1127" t="str">
            <v>Benjamin Opoku Atuahene</v>
          </cell>
          <cell r="D1127"/>
          <cell r="E1127"/>
        </row>
        <row r="1128">
          <cell r="A1128">
            <v>304</v>
          </cell>
          <cell r="B1128" t="str">
            <v>Eric Soku//</v>
          </cell>
          <cell r="C1128" t="str">
            <v>Eric Soku</v>
          </cell>
          <cell r="D1128"/>
          <cell r="E1128"/>
        </row>
        <row r="1129">
          <cell r="A1129" t="str">
            <v>N1</v>
          </cell>
          <cell r="B1129" t="str">
            <v>Marian Bemma//</v>
          </cell>
          <cell r="C1129" t="str">
            <v>Marian Bemma</v>
          </cell>
          <cell r="D1129"/>
          <cell r="E1129"/>
        </row>
        <row r="1130">
          <cell r="A1130" t="str">
            <v>N2</v>
          </cell>
          <cell r="B1130" t="str">
            <v>Derrick Amoateng//</v>
          </cell>
          <cell r="C1130" t="str">
            <v>Derrick Amoateng</v>
          </cell>
          <cell r="D1130"/>
          <cell r="E1130"/>
        </row>
        <row r="1131">
          <cell r="A1131" t="str">
            <v>PB001</v>
          </cell>
          <cell r="B1131" t="str">
            <v>John Ofosu//</v>
          </cell>
          <cell r="C1131" t="str">
            <v>John Ofosu</v>
          </cell>
          <cell r="D1131"/>
          <cell r="E1131"/>
        </row>
        <row r="1132">
          <cell r="A1132" t="str">
            <v>PB020</v>
          </cell>
          <cell r="B1132" t="str">
            <v>Owusu Stephen Akuoku/Samuel Osei-Asibey Bonsu/</v>
          </cell>
          <cell r="C1132" t="str">
            <v>Owusu Stephen Akuoku</v>
          </cell>
          <cell r="D1132" t="str">
            <v>Samuel Osei-Asibey Bonsu</v>
          </cell>
          <cell r="E1132"/>
        </row>
        <row r="1133">
          <cell r="A1133" t="str">
            <v>PB014</v>
          </cell>
          <cell r="B1133" t="str">
            <v>Kofi Bentum/Fiifi Turkson/</v>
          </cell>
          <cell r="C1133" t="str">
            <v>Kofi Bentum</v>
          </cell>
          <cell r="D1133" t="str">
            <v>Fiifi Turkson</v>
          </cell>
          <cell r="E1133"/>
        </row>
        <row r="1134">
          <cell r="A1134" t="str">
            <v>PB008</v>
          </cell>
          <cell r="B1134" t="str">
            <v>Richmond Awotwe//</v>
          </cell>
          <cell r="C1134" t="str">
            <v>Richmond Awotwe</v>
          </cell>
          <cell r="D1134"/>
          <cell r="E1134"/>
        </row>
        <row r="1135">
          <cell r="A1135" t="str">
            <v>PB201</v>
          </cell>
          <cell r="B1135" t="str">
            <v>Joseph Benneth Kankam//</v>
          </cell>
          <cell r="C1135" t="str">
            <v>Joseph Benneth Kankam</v>
          </cell>
          <cell r="D1135"/>
          <cell r="E1135"/>
        </row>
        <row r="1136">
          <cell r="A1136" t="str">
            <v>PB214</v>
          </cell>
          <cell r="B1136" t="str">
            <v>Bernard Audinada Ampofo/Fatawu Yakubu/</v>
          </cell>
          <cell r="C1136" t="str">
            <v>Bernard Audinada Ampofo</v>
          </cell>
          <cell r="D1136" t="str">
            <v>Fatawu Yakubu</v>
          </cell>
          <cell r="E1136"/>
        </row>
        <row r="1137">
          <cell r="A1137" t="str">
            <v>PB212</v>
          </cell>
          <cell r="B1137" t="str">
            <v>Clement Appiah//</v>
          </cell>
          <cell r="C1137" t="str">
            <v>Clement Appiah</v>
          </cell>
          <cell r="D1137"/>
          <cell r="E1137"/>
        </row>
        <row r="1138">
          <cell r="A1138" t="str">
            <v>PB208</v>
          </cell>
          <cell r="B1138" t="str">
            <v>Godfred Appiah//</v>
          </cell>
          <cell r="C1138" t="str">
            <v>Godfred Appiah</v>
          </cell>
          <cell r="D1138"/>
          <cell r="E1138"/>
        </row>
        <row r="1139">
          <cell r="A1139" t="str">
            <v>VCR</v>
          </cell>
          <cell r="B1139" t="str">
            <v>Ruth Adwubi Sarfo//</v>
          </cell>
          <cell r="C1139" t="str">
            <v>Ruth Adwubi Sarfo</v>
          </cell>
          <cell r="D1139"/>
          <cell r="E1139"/>
        </row>
        <row r="1140">
          <cell r="A1140" t="str">
            <v>ECR</v>
          </cell>
          <cell r="B1140" t="str">
            <v>Abigail Akos Worlanyo//</v>
          </cell>
          <cell r="C1140" t="str">
            <v>Abigail Akos Worlanyo</v>
          </cell>
          <cell r="D1140"/>
          <cell r="E1140"/>
        </row>
        <row r="1141">
          <cell r="A1141" t="str">
            <v>A110</v>
          </cell>
          <cell r="B1141" t="str">
            <v>Kwame Kwarteng Sarpong//</v>
          </cell>
          <cell r="C1141" t="str">
            <v>Kwame Kwarteng Sarpong</v>
          </cell>
          <cell r="D1141"/>
          <cell r="E1141"/>
        </row>
        <row r="1142">
          <cell r="A1142" t="str">
            <v>EA</v>
          </cell>
          <cell r="B1142" t="str">
            <v>Kwadwo Afful//</v>
          </cell>
          <cell r="C1142" t="str">
            <v>Kwadwo Afful</v>
          </cell>
          <cell r="D1142"/>
          <cell r="E1142"/>
        </row>
        <row r="1143">
          <cell r="A1143" t="str">
            <v>NAF1</v>
          </cell>
          <cell r="B1143" t="str">
            <v>Mercy Nimako/Adjatu Busali/</v>
          </cell>
          <cell r="C1143" t="str">
            <v>Mercy Nimako</v>
          </cell>
          <cell r="D1143" t="str">
            <v>Adjatu Busali</v>
          </cell>
          <cell r="E1143"/>
        </row>
        <row r="1144">
          <cell r="A1144" t="str">
            <v>NEB SF1</v>
          </cell>
          <cell r="B1144" t="str">
            <v>Micheal Obbo/Bernard Annan/Robert Kofi Kyere</v>
          </cell>
          <cell r="C1144" t="str">
            <v>Micheal Obbo</v>
          </cell>
          <cell r="D1144" t="str">
            <v>Bernard Annan</v>
          </cell>
          <cell r="E1144" t="str">
            <v>Robert Kofi Kyere</v>
          </cell>
        </row>
        <row r="1145">
          <cell r="A1145" t="str">
            <v>NEB GF1</v>
          </cell>
          <cell r="B1145" t="str">
            <v>Evans Korletey/Perseverance Dzikunu/Adom Ebenezer</v>
          </cell>
          <cell r="C1145" t="str">
            <v>Evans Korletey</v>
          </cell>
          <cell r="D1145" t="str">
            <v>Perseverance Dzikunu</v>
          </cell>
          <cell r="E1145" t="str">
            <v>Adom Ebenezer</v>
          </cell>
        </row>
        <row r="1146">
          <cell r="A1146" t="str">
            <v>NEB FF1</v>
          </cell>
          <cell r="B1146" t="str">
            <v>Sandra Essel/Bright Andoh-Baidoo/</v>
          </cell>
          <cell r="C1146" t="str">
            <v>Sandra Essel</v>
          </cell>
          <cell r="D1146" t="str">
            <v>Bright Andoh-Baidoo</v>
          </cell>
          <cell r="E1146"/>
        </row>
        <row r="1147">
          <cell r="A1147" t="str">
            <v>NEB FF2</v>
          </cell>
          <cell r="B1147" t="str">
            <v>Ernest Dapaah//</v>
          </cell>
          <cell r="C1147" t="str">
            <v>Ernest Dapaah</v>
          </cell>
          <cell r="D1147"/>
          <cell r="E1147"/>
        </row>
        <row r="1148">
          <cell r="A1148"/>
          <cell r="B1148"/>
          <cell r="C1148"/>
          <cell r="D1148"/>
          <cell r="E1148"/>
        </row>
        <row r="1149">
          <cell r="A1149" t="str">
            <v>ROOM NO</v>
          </cell>
          <cell r="B1149" t="str">
            <v>ATTENDANTS/</v>
          </cell>
          <cell r="C1149" t="str">
            <v>ATTENDANTS</v>
          </cell>
          <cell r="D1149"/>
          <cell r="E1149"/>
        </row>
        <row r="1150">
          <cell r="A1150" t="str">
            <v>LT</v>
          </cell>
          <cell r="B1150" t="str">
            <v>Reuben Asare Bediako//</v>
          </cell>
          <cell r="C1150" t="str">
            <v>Reuben Asare Bediako</v>
          </cell>
          <cell r="D1150"/>
          <cell r="E1150"/>
        </row>
        <row r="1151">
          <cell r="A1151" t="str">
            <v>RM A</v>
          </cell>
          <cell r="B1151" t="str">
            <v>George Ansong//</v>
          </cell>
          <cell r="C1151" t="str">
            <v>George Ansong</v>
          </cell>
          <cell r="D1151"/>
          <cell r="E1151"/>
        </row>
        <row r="1152">
          <cell r="A1152" t="str">
            <v>RM B</v>
          </cell>
          <cell r="B1152" t="str">
            <v>Derrick Owusu Mensah//</v>
          </cell>
          <cell r="C1152" t="str">
            <v>Derrick Owusu Mensah</v>
          </cell>
          <cell r="D1152"/>
          <cell r="E1152"/>
        </row>
        <row r="1153">
          <cell r="A1153" t="str">
            <v>VSLA</v>
          </cell>
          <cell r="B1153" t="str">
            <v>Issaka Ali Sambo/Paul Dery/</v>
          </cell>
          <cell r="C1153" t="str">
            <v>Issaka Ali Sambo</v>
          </cell>
          <cell r="D1153" t="str">
            <v>Paul Dery</v>
          </cell>
          <cell r="E1153"/>
        </row>
        <row r="1154">
          <cell r="A1154">
            <v>206</v>
          </cell>
          <cell r="B1154" t="str">
            <v>Edward Kpetege//</v>
          </cell>
          <cell r="C1154" t="str">
            <v>Edward Kpetege</v>
          </cell>
          <cell r="D1154"/>
          <cell r="E1154"/>
        </row>
        <row r="1155">
          <cell r="A1155">
            <v>303</v>
          </cell>
          <cell r="B1155" t="str">
            <v>Benjamin Opoku Atuahene//</v>
          </cell>
          <cell r="C1155" t="str">
            <v>Benjamin Opoku Atuahene</v>
          </cell>
          <cell r="D1155"/>
          <cell r="E1155"/>
        </row>
        <row r="1156">
          <cell r="A1156">
            <v>304</v>
          </cell>
          <cell r="B1156" t="str">
            <v>Linda Berko//</v>
          </cell>
          <cell r="C1156" t="str">
            <v>Linda Berko</v>
          </cell>
          <cell r="D1156"/>
          <cell r="E1156"/>
        </row>
        <row r="1157">
          <cell r="A1157" t="str">
            <v>N1</v>
          </cell>
          <cell r="B1157" t="str">
            <v>Marian Bemma//</v>
          </cell>
          <cell r="C1157" t="str">
            <v>Marian Bemma</v>
          </cell>
          <cell r="D1157"/>
          <cell r="E1157"/>
        </row>
        <row r="1158">
          <cell r="A1158" t="str">
            <v>N2</v>
          </cell>
          <cell r="B1158" t="str">
            <v>Derrick Amoateng//</v>
          </cell>
          <cell r="C1158" t="str">
            <v>Derrick Amoateng</v>
          </cell>
          <cell r="D1158"/>
          <cell r="E1158"/>
        </row>
        <row r="1159">
          <cell r="A1159" t="str">
            <v>PB001</v>
          </cell>
          <cell r="B1159" t="str">
            <v>Peter Agetinga//</v>
          </cell>
          <cell r="C1159" t="str">
            <v>Peter Agetinga</v>
          </cell>
          <cell r="D1159"/>
          <cell r="E1159"/>
        </row>
        <row r="1160">
          <cell r="A1160" t="str">
            <v>PB020</v>
          </cell>
          <cell r="B1160" t="str">
            <v>Owusu Stephen Akuoku/Samuel Osei-Asibey Bonsu/</v>
          </cell>
          <cell r="C1160" t="str">
            <v>Owusu Stephen Akuoku</v>
          </cell>
          <cell r="D1160" t="str">
            <v>Samuel Osei-Asibey Bonsu</v>
          </cell>
          <cell r="E1160"/>
        </row>
        <row r="1161">
          <cell r="A1161" t="str">
            <v>PB014</v>
          </cell>
          <cell r="B1161" t="str">
            <v>Kofi Bentum/Fiifi Turkson/</v>
          </cell>
          <cell r="C1161" t="str">
            <v>Kofi Bentum</v>
          </cell>
          <cell r="D1161" t="str">
            <v>Fiifi Turkson</v>
          </cell>
          <cell r="E1161"/>
        </row>
        <row r="1162">
          <cell r="A1162" t="str">
            <v>PB008</v>
          </cell>
          <cell r="B1162" t="str">
            <v>Richmond Awotwe//</v>
          </cell>
          <cell r="C1162" t="str">
            <v>Richmond Awotwe</v>
          </cell>
          <cell r="D1162"/>
          <cell r="E1162"/>
        </row>
        <row r="1163">
          <cell r="A1163" t="str">
            <v>PB201</v>
          </cell>
          <cell r="B1163" t="str">
            <v>Mercy Nimako//</v>
          </cell>
          <cell r="C1163" t="str">
            <v>Mercy Nimako</v>
          </cell>
          <cell r="D1163"/>
          <cell r="E1163"/>
        </row>
        <row r="1164">
          <cell r="A1164" t="str">
            <v>PB214</v>
          </cell>
          <cell r="B1164" t="str">
            <v>Bernard Audinada Ampofo/Fatawu Yakubu/</v>
          </cell>
          <cell r="C1164" t="str">
            <v>Bernard Audinada Ampofo</v>
          </cell>
          <cell r="D1164" t="str">
            <v>Fatawu Yakubu</v>
          </cell>
          <cell r="E1164"/>
        </row>
        <row r="1165">
          <cell r="A1165" t="str">
            <v>PB212</v>
          </cell>
          <cell r="B1165" t="str">
            <v>Clement Appiah//</v>
          </cell>
          <cell r="C1165" t="str">
            <v>Clement Appiah</v>
          </cell>
          <cell r="D1165"/>
          <cell r="E1165"/>
        </row>
        <row r="1166">
          <cell r="A1166" t="str">
            <v>PB208</v>
          </cell>
          <cell r="B1166" t="str">
            <v>Godfred Appiah//</v>
          </cell>
          <cell r="C1166" t="str">
            <v>Godfred Appiah</v>
          </cell>
          <cell r="D1166"/>
          <cell r="E1166"/>
        </row>
        <row r="1167">
          <cell r="A1167" t="str">
            <v>VCR</v>
          </cell>
          <cell r="B1167" t="str">
            <v>Ruth Adwubi Sarfo//</v>
          </cell>
          <cell r="C1167" t="str">
            <v>Ruth Adwubi Sarfo</v>
          </cell>
          <cell r="D1167"/>
          <cell r="E1167"/>
        </row>
        <row r="1168">
          <cell r="A1168" t="str">
            <v>ECR</v>
          </cell>
          <cell r="B1168" t="str">
            <v>Rebecca Yamoah//</v>
          </cell>
          <cell r="C1168" t="str">
            <v>Rebecca Yamoah</v>
          </cell>
          <cell r="D1168"/>
          <cell r="E1168"/>
        </row>
        <row r="1169">
          <cell r="A1169" t="str">
            <v>A110</v>
          </cell>
          <cell r="B1169" t="str">
            <v>Kwame Kwarteng Sarpong//</v>
          </cell>
          <cell r="C1169" t="str">
            <v>Kwame Kwarteng Sarpong</v>
          </cell>
          <cell r="D1169"/>
          <cell r="E1169"/>
        </row>
        <row r="1170">
          <cell r="A1170" t="str">
            <v>EA</v>
          </cell>
          <cell r="B1170" t="str">
            <v>Kwadwo Afful//</v>
          </cell>
          <cell r="C1170" t="str">
            <v>Kwadwo Afful</v>
          </cell>
          <cell r="D1170"/>
          <cell r="E1170"/>
        </row>
        <row r="1171">
          <cell r="A1171" t="str">
            <v>NAF1</v>
          </cell>
          <cell r="B1171" t="str">
            <v>Mohammed Bakang/Adjatu Busali/</v>
          </cell>
          <cell r="C1171" t="str">
            <v>Mohammed Bakang</v>
          </cell>
          <cell r="D1171" t="str">
            <v>Adjatu Busali</v>
          </cell>
          <cell r="E1171"/>
        </row>
        <row r="1172">
          <cell r="A1172" t="str">
            <v>NEB SF1</v>
          </cell>
          <cell r="B1172" t="str">
            <v>Micheal Obbo/Bernard Annan/Robert Kofi Kyere</v>
          </cell>
          <cell r="C1172" t="str">
            <v>Micheal Obbo</v>
          </cell>
          <cell r="D1172" t="str">
            <v>Bernard Annan</v>
          </cell>
          <cell r="E1172" t="str">
            <v>Robert Kofi Kyere</v>
          </cell>
        </row>
        <row r="1173">
          <cell r="A1173" t="str">
            <v>NEB GF1</v>
          </cell>
          <cell r="B1173" t="str">
            <v>Evans Korletey/Perseverance Dzikunu/Adom Ebenezer</v>
          </cell>
          <cell r="C1173" t="str">
            <v>Evans Korletey</v>
          </cell>
          <cell r="D1173" t="str">
            <v>Perseverance Dzikunu</v>
          </cell>
          <cell r="E1173" t="str">
            <v>Adom Ebenezer</v>
          </cell>
        </row>
        <row r="1174">
          <cell r="A1174" t="str">
            <v>NEB FF1</v>
          </cell>
          <cell r="B1174" t="str">
            <v>Kingsley Kyei Baffour/Bright Andoh-Baidoo/</v>
          </cell>
          <cell r="C1174" t="str">
            <v>Kingsley Kyei Baffour</v>
          </cell>
          <cell r="D1174" t="str">
            <v>Bright Andoh-Baidoo</v>
          </cell>
          <cell r="E1174"/>
        </row>
        <row r="1175">
          <cell r="A1175" t="str">
            <v>NEB FF2</v>
          </cell>
          <cell r="B1175" t="str">
            <v>Abigail Akos Worlanyo//</v>
          </cell>
          <cell r="C1175" t="str">
            <v>Abigail Akos Worlanyo</v>
          </cell>
          <cell r="D1175"/>
          <cell r="E1175"/>
        </row>
        <row r="1176">
          <cell r="A1176"/>
          <cell r="B1176"/>
          <cell r="C1176"/>
          <cell r="D1176"/>
          <cell r="E1176"/>
        </row>
        <row r="1177">
          <cell r="A1177"/>
          <cell r="B1177"/>
          <cell r="C1177"/>
          <cell r="D1177"/>
          <cell r="E1177"/>
        </row>
        <row r="1178">
          <cell r="A1178"/>
          <cell r="B1178"/>
          <cell r="C1178"/>
          <cell r="D1178"/>
          <cell r="E1178"/>
        </row>
        <row r="1179">
          <cell r="A1179"/>
          <cell r="B1179"/>
          <cell r="C1179"/>
          <cell r="D1179"/>
          <cell r="E1179"/>
        </row>
        <row r="1180">
          <cell r="A1180"/>
          <cell r="B1180"/>
          <cell r="C1180"/>
          <cell r="D1180"/>
          <cell r="E1180"/>
        </row>
        <row r="1181">
          <cell r="A1181"/>
          <cell r="B1181"/>
          <cell r="C1181"/>
          <cell r="D1181"/>
          <cell r="E1181"/>
        </row>
        <row r="1182">
          <cell r="A1182"/>
          <cell r="B1182"/>
          <cell r="C1182"/>
          <cell r="D1182"/>
          <cell r="E1182"/>
        </row>
        <row r="1183">
          <cell r="A1183"/>
          <cell r="B1183"/>
          <cell r="C1183"/>
          <cell r="D1183"/>
          <cell r="E1183"/>
        </row>
        <row r="1184">
          <cell r="A1184"/>
          <cell r="B1184"/>
          <cell r="C1184"/>
          <cell r="D1184"/>
          <cell r="E1184"/>
        </row>
        <row r="1185">
          <cell r="A1185"/>
          <cell r="B1185"/>
          <cell r="C1185"/>
          <cell r="D1185"/>
          <cell r="E1185"/>
        </row>
        <row r="1186">
          <cell r="A1186"/>
          <cell r="B1186"/>
          <cell r="C1186"/>
          <cell r="D1186"/>
          <cell r="E1186"/>
        </row>
        <row r="1187">
          <cell r="A1187"/>
          <cell r="B1187"/>
          <cell r="C1187"/>
          <cell r="D1187"/>
          <cell r="E1187"/>
        </row>
        <row r="1188">
          <cell r="A1188"/>
          <cell r="B1188"/>
          <cell r="C1188"/>
          <cell r="D1188"/>
          <cell r="E1188"/>
        </row>
        <row r="1189">
          <cell r="A1189"/>
          <cell r="B1189"/>
          <cell r="C1189"/>
          <cell r="D1189"/>
          <cell r="E1189"/>
        </row>
        <row r="1190">
          <cell r="A1190"/>
          <cell r="B1190"/>
          <cell r="C1190"/>
          <cell r="D1190"/>
          <cell r="E1190"/>
        </row>
        <row r="1191">
          <cell r="A1191"/>
          <cell r="B1191"/>
          <cell r="C1191"/>
          <cell r="D1191"/>
          <cell r="E1191"/>
        </row>
        <row r="1192">
          <cell r="A1192"/>
          <cell r="B1192"/>
          <cell r="C1192"/>
          <cell r="D1192"/>
          <cell r="E1192"/>
        </row>
        <row r="1193">
          <cell r="A1193"/>
          <cell r="B1193"/>
          <cell r="C1193"/>
          <cell r="D1193"/>
          <cell r="E1193"/>
        </row>
        <row r="1194">
          <cell r="A1194"/>
          <cell r="B1194"/>
          <cell r="C1194"/>
          <cell r="D1194"/>
          <cell r="E1194"/>
        </row>
        <row r="1195">
          <cell r="A1195"/>
          <cell r="B1195"/>
          <cell r="C1195"/>
          <cell r="D1195"/>
          <cell r="E1195"/>
        </row>
        <row r="1196">
          <cell r="A1196"/>
          <cell r="B1196"/>
          <cell r="C1196"/>
          <cell r="D1196"/>
          <cell r="E1196"/>
        </row>
        <row r="1197">
          <cell r="A1197"/>
          <cell r="B1197"/>
          <cell r="C1197"/>
          <cell r="D1197"/>
          <cell r="E1197"/>
        </row>
        <row r="1198">
          <cell r="A1198"/>
          <cell r="B1198"/>
          <cell r="C1198"/>
          <cell r="D1198"/>
          <cell r="E1198"/>
        </row>
        <row r="1199">
          <cell r="A1199"/>
          <cell r="B1199"/>
          <cell r="C1199"/>
          <cell r="D1199"/>
          <cell r="E1199"/>
        </row>
        <row r="1200">
          <cell r="A1200"/>
          <cell r="B1200"/>
          <cell r="C1200"/>
          <cell r="D1200"/>
          <cell r="E1200"/>
        </row>
        <row r="1201">
          <cell r="A1201"/>
          <cell r="B1201"/>
          <cell r="C1201"/>
          <cell r="D1201"/>
          <cell r="E1201"/>
        </row>
        <row r="1202">
          <cell r="A1202"/>
          <cell r="B1202"/>
          <cell r="C1202"/>
          <cell r="D1202"/>
          <cell r="E1202"/>
        </row>
        <row r="1203">
          <cell r="A1203"/>
          <cell r="B1203"/>
          <cell r="C1203"/>
          <cell r="D1203"/>
          <cell r="E1203"/>
        </row>
        <row r="1204">
          <cell r="A1204"/>
          <cell r="B1204"/>
          <cell r="C1204"/>
          <cell r="D1204"/>
          <cell r="E1204"/>
        </row>
        <row r="1205">
          <cell r="A1205"/>
          <cell r="B1205"/>
          <cell r="C1205"/>
          <cell r="D1205"/>
          <cell r="E1205"/>
        </row>
        <row r="1206">
          <cell r="A1206"/>
          <cell r="B1206"/>
          <cell r="C1206"/>
          <cell r="D1206"/>
          <cell r="E1206"/>
        </row>
        <row r="1207">
          <cell r="A1207"/>
          <cell r="B1207"/>
          <cell r="C1207"/>
          <cell r="D1207"/>
          <cell r="E1207"/>
        </row>
        <row r="1208">
          <cell r="A1208"/>
          <cell r="B1208"/>
          <cell r="C1208"/>
          <cell r="D1208"/>
          <cell r="E1208"/>
        </row>
        <row r="1209">
          <cell r="A1209"/>
          <cell r="B1209"/>
          <cell r="C1209"/>
          <cell r="D1209"/>
          <cell r="E1209"/>
        </row>
        <row r="1210">
          <cell r="A1210"/>
          <cell r="B1210"/>
          <cell r="C1210"/>
          <cell r="D1210"/>
          <cell r="E1210"/>
        </row>
        <row r="1211">
          <cell r="A1211"/>
          <cell r="B1211"/>
          <cell r="C1211"/>
          <cell r="D1211"/>
          <cell r="E1211"/>
        </row>
        <row r="1212">
          <cell r="A1212"/>
          <cell r="B1212"/>
          <cell r="C1212"/>
          <cell r="D1212"/>
          <cell r="E1212"/>
        </row>
        <row r="1213">
          <cell r="A1213"/>
          <cell r="B1213"/>
          <cell r="C1213"/>
          <cell r="D1213"/>
          <cell r="E1213"/>
        </row>
        <row r="1214">
          <cell r="A1214"/>
          <cell r="B1214"/>
          <cell r="C1214"/>
          <cell r="D1214"/>
          <cell r="E1214"/>
        </row>
        <row r="1215">
          <cell r="A1215"/>
          <cell r="B1215"/>
          <cell r="C1215"/>
          <cell r="D1215"/>
          <cell r="E1215"/>
        </row>
        <row r="1216">
          <cell r="A1216"/>
          <cell r="B1216"/>
          <cell r="C1216"/>
          <cell r="D1216"/>
          <cell r="E1216"/>
        </row>
        <row r="1217">
          <cell r="A1217"/>
          <cell r="B1217"/>
          <cell r="C1217"/>
          <cell r="D1217"/>
          <cell r="E1217"/>
        </row>
        <row r="1218">
          <cell r="A1218"/>
          <cell r="B1218"/>
          <cell r="C1218"/>
          <cell r="D1218"/>
          <cell r="E1218"/>
        </row>
        <row r="1219">
          <cell r="A1219"/>
          <cell r="B1219"/>
          <cell r="C1219"/>
          <cell r="D1219"/>
          <cell r="E1219"/>
        </row>
        <row r="1220">
          <cell r="A1220"/>
          <cell r="B1220"/>
          <cell r="C1220"/>
          <cell r="D1220"/>
          <cell r="E1220"/>
        </row>
        <row r="1221">
          <cell r="A1221"/>
          <cell r="B1221"/>
          <cell r="C1221"/>
          <cell r="D1221"/>
          <cell r="E1221"/>
        </row>
        <row r="1222">
          <cell r="A1222"/>
          <cell r="B1222"/>
          <cell r="C1222"/>
          <cell r="D1222"/>
          <cell r="E1222"/>
        </row>
        <row r="1223">
          <cell r="A1223"/>
          <cell r="B1223"/>
          <cell r="C1223"/>
          <cell r="D1223"/>
          <cell r="E1223"/>
        </row>
        <row r="1224">
          <cell r="A1224"/>
          <cell r="B1224"/>
          <cell r="C1224"/>
          <cell r="D1224"/>
          <cell r="E1224"/>
        </row>
        <row r="1225">
          <cell r="A1225"/>
          <cell r="B1225"/>
          <cell r="C1225"/>
          <cell r="D1225"/>
          <cell r="E1225"/>
        </row>
        <row r="1226">
          <cell r="A1226"/>
          <cell r="B1226"/>
          <cell r="C1226"/>
          <cell r="D1226"/>
          <cell r="E1226"/>
        </row>
        <row r="1227">
          <cell r="A1227"/>
          <cell r="B1227"/>
          <cell r="C1227"/>
          <cell r="D1227"/>
          <cell r="E1227"/>
        </row>
        <row r="1228">
          <cell r="A1228"/>
          <cell r="B1228"/>
          <cell r="C1228"/>
          <cell r="D1228"/>
          <cell r="E1228"/>
        </row>
        <row r="1229">
          <cell r="A1229"/>
          <cell r="B1229"/>
          <cell r="C1229"/>
          <cell r="D1229"/>
          <cell r="E1229"/>
        </row>
        <row r="1230">
          <cell r="A1230"/>
          <cell r="B1230"/>
          <cell r="C1230"/>
          <cell r="D1230"/>
          <cell r="E1230"/>
        </row>
        <row r="1231">
          <cell r="A1231"/>
          <cell r="B1231"/>
          <cell r="C1231"/>
          <cell r="D1231"/>
          <cell r="E1231"/>
        </row>
        <row r="1232">
          <cell r="A1232"/>
          <cell r="B1232"/>
          <cell r="C1232"/>
          <cell r="D1232"/>
          <cell r="E1232"/>
        </row>
        <row r="1233">
          <cell r="A1233"/>
          <cell r="B1233"/>
          <cell r="C1233"/>
          <cell r="D1233"/>
          <cell r="E1233"/>
        </row>
        <row r="1234">
          <cell r="A1234"/>
          <cell r="B1234"/>
          <cell r="C1234"/>
          <cell r="D1234"/>
          <cell r="E1234"/>
        </row>
        <row r="1235">
          <cell r="A1235"/>
          <cell r="B1235"/>
          <cell r="C1235"/>
          <cell r="D1235"/>
          <cell r="E1235"/>
        </row>
        <row r="1236">
          <cell r="A1236"/>
          <cell r="B1236"/>
          <cell r="C1236"/>
          <cell r="D1236"/>
          <cell r="E1236"/>
        </row>
        <row r="1237">
          <cell r="A1237"/>
          <cell r="B1237"/>
          <cell r="C1237"/>
          <cell r="D1237"/>
          <cell r="E1237"/>
        </row>
        <row r="1238">
          <cell r="A1238"/>
          <cell r="B1238"/>
          <cell r="C1238"/>
          <cell r="D1238"/>
          <cell r="E1238"/>
        </row>
        <row r="1239">
          <cell r="A1239"/>
          <cell r="B1239"/>
          <cell r="C1239"/>
          <cell r="D1239"/>
          <cell r="E1239"/>
        </row>
        <row r="1240">
          <cell r="A1240"/>
          <cell r="B1240"/>
          <cell r="C1240"/>
          <cell r="D1240"/>
          <cell r="E1240"/>
        </row>
        <row r="1241">
          <cell r="A1241"/>
          <cell r="B1241"/>
          <cell r="C1241"/>
          <cell r="D1241"/>
          <cell r="E1241"/>
        </row>
        <row r="1242">
          <cell r="A1242"/>
          <cell r="B1242"/>
          <cell r="C1242"/>
          <cell r="D1242"/>
          <cell r="E1242"/>
        </row>
        <row r="1243">
          <cell r="A1243"/>
          <cell r="B1243"/>
          <cell r="C1243"/>
          <cell r="D1243"/>
          <cell r="E1243"/>
        </row>
        <row r="1244">
          <cell r="A1244"/>
          <cell r="B1244"/>
          <cell r="C1244"/>
          <cell r="D1244"/>
          <cell r="E1244"/>
        </row>
        <row r="1245">
          <cell r="A1245"/>
          <cell r="B1245"/>
          <cell r="C1245"/>
          <cell r="D1245"/>
          <cell r="E1245"/>
        </row>
        <row r="1246">
          <cell r="A1246"/>
          <cell r="B1246"/>
          <cell r="C1246"/>
          <cell r="D1246"/>
          <cell r="E1246"/>
        </row>
        <row r="1247">
          <cell r="A1247"/>
          <cell r="B1247"/>
          <cell r="C1247"/>
          <cell r="D1247"/>
          <cell r="E1247"/>
        </row>
        <row r="1248">
          <cell r="A1248"/>
          <cell r="B1248"/>
          <cell r="C1248"/>
          <cell r="D1248"/>
          <cell r="E1248"/>
        </row>
        <row r="1249">
          <cell r="A1249"/>
          <cell r="B1249"/>
          <cell r="C1249"/>
          <cell r="D1249"/>
          <cell r="E1249"/>
        </row>
        <row r="1250">
          <cell r="A1250"/>
          <cell r="B1250"/>
          <cell r="C1250"/>
          <cell r="D1250"/>
          <cell r="E1250"/>
        </row>
        <row r="1251">
          <cell r="A1251"/>
          <cell r="B1251"/>
          <cell r="C1251"/>
          <cell r="D1251"/>
          <cell r="E1251"/>
        </row>
        <row r="1252">
          <cell r="A1252"/>
          <cell r="B1252"/>
          <cell r="C1252"/>
          <cell r="D1252"/>
          <cell r="E1252"/>
        </row>
        <row r="1253">
          <cell r="A1253"/>
          <cell r="B1253"/>
          <cell r="C1253"/>
          <cell r="D1253"/>
          <cell r="E1253"/>
        </row>
        <row r="1254">
          <cell r="A1254"/>
          <cell r="B1254"/>
          <cell r="C1254"/>
          <cell r="D1254"/>
          <cell r="E1254"/>
        </row>
        <row r="1255">
          <cell r="A1255"/>
          <cell r="B1255"/>
          <cell r="C1255"/>
          <cell r="D1255"/>
          <cell r="E1255"/>
        </row>
        <row r="1256">
          <cell r="A1256"/>
          <cell r="B1256"/>
          <cell r="C1256"/>
          <cell r="D1256"/>
          <cell r="E1256"/>
        </row>
        <row r="1257">
          <cell r="A1257"/>
          <cell r="B1257"/>
          <cell r="C1257"/>
          <cell r="D1257"/>
          <cell r="E1257"/>
        </row>
        <row r="1258">
          <cell r="A1258"/>
          <cell r="B1258"/>
          <cell r="C1258"/>
          <cell r="D1258"/>
          <cell r="E1258"/>
        </row>
        <row r="1259">
          <cell r="A1259"/>
          <cell r="B1259"/>
          <cell r="C1259"/>
          <cell r="D1259"/>
          <cell r="E1259"/>
        </row>
        <row r="1260">
          <cell r="A1260"/>
          <cell r="B1260"/>
          <cell r="C1260"/>
          <cell r="D1260"/>
          <cell r="E1260"/>
        </row>
        <row r="1261">
          <cell r="A1261"/>
          <cell r="B1261"/>
          <cell r="C1261"/>
          <cell r="D1261"/>
          <cell r="E1261"/>
        </row>
        <row r="1262">
          <cell r="A1262"/>
          <cell r="B1262"/>
          <cell r="C1262"/>
          <cell r="D1262"/>
          <cell r="E1262"/>
        </row>
        <row r="1263">
          <cell r="A1263"/>
          <cell r="B1263"/>
          <cell r="C1263"/>
          <cell r="D1263"/>
          <cell r="E1263"/>
        </row>
        <row r="1264">
          <cell r="A1264"/>
          <cell r="B1264"/>
          <cell r="C1264"/>
          <cell r="D1264"/>
          <cell r="E1264"/>
        </row>
        <row r="1265">
          <cell r="A1265"/>
          <cell r="B1265"/>
          <cell r="C1265"/>
          <cell r="D1265"/>
          <cell r="E1265"/>
        </row>
        <row r="1266">
          <cell r="A1266"/>
          <cell r="B1266"/>
          <cell r="C1266"/>
          <cell r="D1266"/>
          <cell r="E1266"/>
        </row>
        <row r="1267">
          <cell r="A1267"/>
          <cell r="B1267"/>
          <cell r="C1267"/>
          <cell r="D1267"/>
          <cell r="E1267"/>
        </row>
        <row r="1268">
          <cell r="A1268"/>
          <cell r="B1268"/>
          <cell r="C1268"/>
          <cell r="D1268"/>
          <cell r="E1268"/>
        </row>
        <row r="1269">
          <cell r="A1269"/>
          <cell r="B1269"/>
          <cell r="C1269"/>
          <cell r="D1269"/>
          <cell r="E1269"/>
        </row>
        <row r="1270">
          <cell r="A1270"/>
          <cell r="B1270"/>
          <cell r="C1270"/>
          <cell r="D1270"/>
          <cell r="E1270"/>
        </row>
        <row r="1271">
          <cell r="A1271"/>
          <cell r="B1271"/>
          <cell r="C1271"/>
          <cell r="D1271"/>
          <cell r="E1271"/>
        </row>
        <row r="1272">
          <cell r="A1272"/>
          <cell r="B1272"/>
          <cell r="C1272"/>
          <cell r="D1272"/>
          <cell r="E1272"/>
        </row>
        <row r="1273">
          <cell r="A1273"/>
          <cell r="B1273"/>
          <cell r="C1273"/>
          <cell r="D1273"/>
          <cell r="E1273"/>
        </row>
        <row r="1274">
          <cell r="A1274"/>
          <cell r="B1274"/>
          <cell r="C1274"/>
          <cell r="D1274"/>
          <cell r="E1274"/>
        </row>
        <row r="1275">
          <cell r="A1275"/>
          <cell r="B1275"/>
          <cell r="C1275"/>
          <cell r="D1275"/>
          <cell r="E1275"/>
        </row>
        <row r="1276">
          <cell r="A1276"/>
          <cell r="B1276"/>
          <cell r="C1276"/>
          <cell r="D1276"/>
          <cell r="E1276"/>
        </row>
        <row r="1277">
          <cell r="A1277"/>
          <cell r="B1277"/>
          <cell r="C1277"/>
          <cell r="D1277"/>
          <cell r="E1277"/>
        </row>
        <row r="1278">
          <cell r="A1278"/>
          <cell r="B1278"/>
          <cell r="C1278"/>
          <cell r="D1278"/>
          <cell r="E1278"/>
        </row>
        <row r="1279">
          <cell r="A1279"/>
          <cell r="B1279"/>
          <cell r="C1279"/>
          <cell r="D1279"/>
          <cell r="E1279"/>
        </row>
        <row r="1280">
          <cell r="A1280"/>
          <cell r="B1280"/>
          <cell r="C1280"/>
          <cell r="D1280"/>
          <cell r="E1280"/>
        </row>
        <row r="1281">
          <cell r="A1281"/>
          <cell r="B1281"/>
          <cell r="C1281"/>
          <cell r="D1281"/>
          <cell r="E1281"/>
        </row>
        <row r="1282">
          <cell r="A1282"/>
          <cell r="B1282"/>
          <cell r="C1282"/>
          <cell r="D1282"/>
          <cell r="E1282"/>
        </row>
        <row r="1283">
          <cell r="A1283"/>
          <cell r="B1283"/>
          <cell r="C1283"/>
          <cell r="D1283"/>
          <cell r="E1283"/>
        </row>
        <row r="1284">
          <cell r="A1284"/>
          <cell r="B1284"/>
          <cell r="C1284"/>
          <cell r="D1284"/>
          <cell r="E1284"/>
        </row>
        <row r="1285">
          <cell r="A1285"/>
          <cell r="B1285"/>
          <cell r="C1285"/>
          <cell r="D1285"/>
          <cell r="E1285"/>
        </row>
        <row r="1286">
          <cell r="A1286"/>
          <cell r="B1286"/>
          <cell r="C1286"/>
          <cell r="D1286"/>
          <cell r="E1286"/>
        </row>
        <row r="1287">
          <cell r="A1287"/>
          <cell r="B1287"/>
          <cell r="C1287"/>
          <cell r="D1287"/>
          <cell r="E1287"/>
        </row>
        <row r="1288">
          <cell r="A1288"/>
          <cell r="B1288"/>
          <cell r="C1288"/>
          <cell r="D1288"/>
          <cell r="E1288"/>
        </row>
        <row r="1289">
          <cell r="A1289"/>
          <cell r="B1289"/>
          <cell r="C1289"/>
          <cell r="D1289"/>
          <cell r="E1289"/>
        </row>
        <row r="1290">
          <cell r="A1290"/>
          <cell r="B1290"/>
          <cell r="C1290"/>
          <cell r="D1290"/>
          <cell r="E1290"/>
        </row>
        <row r="1291">
          <cell r="A1291"/>
          <cell r="B1291"/>
          <cell r="C1291"/>
          <cell r="D1291"/>
          <cell r="E1291"/>
        </row>
        <row r="1292">
          <cell r="A1292"/>
          <cell r="B1292"/>
          <cell r="C1292"/>
          <cell r="D1292"/>
          <cell r="E1292"/>
        </row>
        <row r="1293">
          <cell r="A1293"/>
          <cell r="B1293"/>
          <cell r="C1293"/>
          <cell r="D1293"/>
          <cell r="E1293"/>
        </row>
        <row r="1294">
          <cell r="A1294"/>
          <cell r="B1294"/>
          <cell r="C1294"/>
          <cell r="D1294"/>
          <cell r="E1294"/>
        </row>
        <row r="1295">
          <cell r="A1295"/>
          <cell r="B1295"/>
          <cell r="C1295"/>
          <cell r="D1295"/>
          <cell r="E1295"/>
        </row>
        <row r="1297">
          <cell r="A1297"/>
          <cell r="B1297"/>
          <cell r="C1297"/>
          <cell r="D1297"/>
          <cell r="E1297"/>
        </row>
        <row r="1298">
          <cell r="A1298"/>
          <cell r="B1298"/>
          <cell r="C1298"/>
          <cell r="D1298"/>
          <cell r="E1298"/>
        </row>
        <row r="1299">
          <cell r="A1299"/>
          <cell r="B1299"/>
          <cell r="C1299"/>
          <cell r="D1299"/>
          <cell r="E1299"/>
        </row>
        <row r="1300">
          <cell r="A1300"/>
          <cell r="B1300"/>
          <cell r="C1300"/>
          <cell r="D1300"/>
          <cell r="E1300"/>
        </row>
        <row r="1301">
          <cell r="A1301"/>
          <cell r="B1301"/>
          <cell r="C1301"/>
          <cell r="D1301"/>
          <cell r="E1301"/>
        </row>
        <row r="1302">
          <cell r="A1302"/>
          <cell r="B1302"/>
          <cell r="C1302"/>
          <cell r="D1302"/>
          <cell r="E1302"/>
        </row>
        <row r="1303">
          <cell r="A1303"/>
          <cell r="B1303"/>
          <cell r="C1303"/>
          <cell r="D1303"/>
          <cell r="E1303"/>
        </row>
        <row r="1304">
          <cell r="A1304"/>
          <cell r="B1304"/>
          <cell r="C1304"/>
          <cell r="D1304"/>
          <cell r="E1304"/>
        </row>
        <row r="1305">
          <cell r="A1305"/>
          <cell r="B1305"/>
          <cell r="C1305"/>
          <cell r="D1305"/>
          <cell r="E1305"/>
        </row>
        <row r="1306">
          <cell r="A1306"/>
          <cell r="B1306"/>
          <cell r="C1306"/>
          <cell r="D1306"/>
          <cell r="E1306"/>
        </row>
        <row r="1307">
          <cell r="A1307"/>
          <cell r="B1307"/>
          <cell r="C1307"/>
          <cell r="D1307"/>
          <cell r="E1307"/>
        </row>
        <row r="1308">
          <cell r="A1308"/>
          <cell r="B1308"/>
          <cell r="C1308"/>
          <cell r="D1308"/>
          <cell r="E1308"/>
        </row>
        <row r="1309">
          <cell r="A1309"/>
          <cell r="B1309"/>
          <cell r="C1309"/>
          <cell r="D1309"/>
          <cell r="E1309"/>
        </row>
        <row r="1310">
          <cell r="A1310"/>
          <cell r="B1310"/>
          <cell r="C1310"/>
          <cell r="D1310"/>
          <cell r="E1310"/>
        </row>
        <row r="1311">
          <cell r="A1311"/>
          <cell r="B1311"/>
          <cell r="C1311"/>
          <cell r="D1311"/>
          <cell r="E1311"/>
        </row>
        <row r="1312">
          <cell r="A1312"/>
          <cell r="B1312"/>
          <cell r="C1312"/>
          <cell r="D1312"/>
          <cell r="E1312"/>
        </row>
        <row r="1313">
          <cell r="A1313"/>
          <cell r="B1313"/>
          <cell r="C1313"/>
          <cell r="D1313"/>
          <cell r="E1313"/>
        </row>
        <row r="1314">
          <cell r="A1314"/>
          <cell r="B1314"/>
          <cell r="C1314"/>
          <cell r="D1314"/>
          <cell r="E1314"/>
        </row>
        <row r="1315">
          <cell r="A1315"/>
          <cell r="B1315"/>
          <cell r="C1315"/>
          <cell r="D1315"/>
          <cell r="E1315"/>
        </row>
        <row r="1316">
          <cell r="A1316"/>
          <cell r="B1316"/>
          <cell r="C1316"/>
          <cell r="D1316"/>
          <cell r="E1316"/>
        </row>
        <row r="1317">
          <cell r="A1317"/>
          <cell r="B1317"/>
          <cell r="C1317"/>
          <cell r="D1317"/>
          <cell r="E1317"/>
        </row>
        <row r="1318">
          <cell r="A1318"/>
          <cell r="B1318"/>
          <cell r="C1318"/>
          <cell r="D1318"/>
          <cell r="E1318"/>
        </row>
        <row r="1319">
          <cell r="A1319"/>
          <cell r="B1319"/>
          <cell r="C1319"/>
          <cell r="D1319"/>
          <cell r="E1319"/>
        </row>
        <row r="1320">
          <cell r="A1320"/>
          <cell r="B1320"/>
          <cell r="C1320"/>
          <cell r="D1320"/>
          <cell r="E1320"/>
        </row>
        <row r="1321">
          <cell r="A1321"/>
          <cell r="B1321"/>
          <cell r="C1321"/>
          <cell r="D1321"/>
          <cell r="E1321"/>
        </row>
        <row r="1322">
          <cell r="A1322"/>
          <cell r="B1322"/>
          <cell r="C1322"/>
          <cell r="D1322"/>
          <cell r="E1322"/>
        </row>
        <row r="1323">
          <cell r="A1323"/>
          <cell r="B1323"/>
          <cell r="C1323"/>
          <cell r="D1323"/>
          <cell r="E1323"/>
        </row>
        <row r="1324">
          <cell r="A1324"/>
          <cell r="B1324"/>
          <cell r="C1324"/>
          <cell r="D1324"/>
          <cell r="E1324"/>
        </row>
        <row r="1325">
          <cell r="A1325"/>
          <cell r="B1325"/>
          <cell r="C1325"/>
          <cell r="D1325"/>
          <cell r="E1325"/>
        </row>
        <row r="1326">
          <cell r="A1326"/>
          <cell r="B1326"/>
          <cell r="C1326"/>
          <cell r="D1326"/>
          <cell r="E1326"/>
        </row>
        <row r="1327">
          <cell r="A1327"/>
          <cell r="B1327"/>
          <cell r="C1327"/>
          <cell r="D1327"/>
          <cell r="E1327"/>
        </row>
        <row r="1328">
          <cell r="A1328"/>
          <cell r="B1328"/>
          <cell r="C1328"/>
          <cell r="D1328"/>
          <cell r="E1328"/>
        </row>
        <row r="1329">
          <cell r="A1329"/>
          <cell r="B1329"/>
          <cell r="C1329"/>
          <cell r="D1329"/>
          <cell r="E1329"/>
        </row>
        <row r="1330">
          <cell r="A1330"/>
          <cell r="B1330"/>
          <cell r="C1330"/>
          <cell r="D1330"/>
          <cell r="E1330"/>
        </row>
        <row r="1331">
          <cell r="A1331"/>
          <cell r="B1331"/>
          <cell r="C1331"/>
          <cell r="D1331"/>
          <cell r="E1331"/>
        </row>
        <row r="1332">
          <cell r="A1332"/>
          <cell r="B1332"/>
          <cell r="C1332"/>
          <cell r="D1332"/>
          <cell r="E1332"/>
        </row>
        <row r="1333">
          <cell r="A1333"/>
          <cell r="B1333"/>
          <cell r="C1333"/>
          <cell r="D1333"/>
          <cell r="E1333"/>
        </row>
        <row r="1334">
          <cell r="A1334"/>
          <cell r="B1334"/>
          <cell r="C1334"/>
          <cell r="D1334"/>
          <cell r="E1334"/>
        </row>
        <row r="1335">
          <cell r="A1335"/>
          <cell r="B1335"/>
          <cell r="C1335"/>
          <cell r="D1335"/>
          <cell r="E1335"/>
        </row>
        <row r="1336">
          <cell r="A1336"/>
          <cell r="B1336"/>
          <cell r="C1336"/>
          <cell r="D1336"/>
          <cell r="E1336"/>
        </row>
        <row r="1337">
          <cell r="A1337"/>
          <cell r="B1337"/>
          <cell r="C1337"/>
          <cell r="D1337"/>
          <cell r="E1337"/>
        </row>
        <row r="1338">
          <cell r="A1338"/>
          <cell r="B1338"/>
          <cell r="C1338"/>
          <cell r="D1338"/>
          <cell r="E1338"/>
        </row>
        <row r="1339">
          <cell r="A1339"/>
          <cell r="B1339"/>
          <cell r="C1339"/>
          <cell r="D1339"/>
          <cell r="E1339"/>
        </row>
        <row r="1340">
          <cell r="A1340"/>
          <cell r="B1340"/>
          <cell r="C1340"/>
          <cell r="D1340"/>
          <cell r="E1340"/>
        </row>
        <row r="1341">
          <cell r="A1341"/>
          <cell r="B1341"/>
          <cell r="C1341"/>
          <cell r="D1341"/>
          <cell r="E1341"/>
        </row>
        <row r="1342">
          <cell r="A1342"/>
          <cell r="B1342"/>
          <cell r="C1342"/>
          <cell r="D1342"/>
          <cell r="E1342"/>
        </row>
        <row r="1343">
          <cell r="A1343"/>
          <cell r="B1343"/>
          <cell r="C1343"/>
          <cell r="D1343"/>
          <cell r="E1343"/>
        </row>
        <row r="1344">
          <cell r="A1344"/>
          <cell r="B1344"/>
          <cell r="C1344"/>
          <cell r="D1344"/>
          <cell r="E1344"/>
        </row>
        <row r="1345">
          <cell r="A1345"/>
          <cell r="B1345"/>
          <cell r="C1345"/>
          <cell r="D1345"/>
          <cell r="E1345"/>
        </row>
        <row r="1346">
          <cell r="A1346"/>
          <cell r="B1346"/>
          <cell r="C1346"/>
          <cell r="D1346"/>
          <cell r="E1346"/>
        </row>
        <row r="1347">
          <cell r="A1347"/>
          <cell r="B1347"/>
          <cell r="C1347"/>
          <cell r="D1347"/>
          <cell r="E1347"/>
        </row>
        <row r="1348">
          <cell r="A1348"/>
          <cell r="B1348"/>
          <cell r="C1348"/>
          <cell r="D1348"/>
          <cell r="E1348"/>
        </row>
        <row r="1349">
          <cell r="A1349"/>
          <cell r="B1349"/>
          <cell r="C1349"/>
          <cell r="D1349"/>
          <cell r="E1349"/>
        </row>
        <row r="1350">
          <cell r="A1350"/>
          <cell r="B1350"/>
          <cell r="C1350"/>
          <cell r="D1350"/>
          <cell r="E1350"/>
        </row>
        <row r="1351">
          <cell r="A1351"/>
          <cell r="B1351"/>
          <cell r="C1351"/>
          <cell r="D1351"/>
          <cell r="E1351"/>
        </row>
        <row r="1352">
          <cell r="A1352"/>
          <cell r="B1352"/>
          <cell r="C1352"/>
          <cell r="D1352"/>
          <cell r="E1352"/>
        </row>
        <row r="1353">
          <cell r="A1353"/>
          <cell r="B1353"/>
          <cell r="C1353"/>
          <cell r="D1353"/>
          <cell r="E1353"/>
        </row>
        <row r="1354">
          <cell r="A1354"/>
          <cell r="B1354"/>
          <cell r="C1354"/>
          <cell r="D1354"/>
          <cell r="E1354"/>
        </row>
        <row r="1355">
          <cell r="A1355"/>
          <cell r="B1355"/>
          <cell r="C1355"/>
          <cell r="D1355"/>
          <cell r="E1355"/>
        </row>
        <row r="1356">
          <cell r="A1356"/>
          <cell r="B1356"/>
          <cell r="C1356"/>
          <cell r="D1356"/>
          <cell r="E1356"/>
        </row>
        <row r="1357">
          <cell r="A1357"/>
          <cell r="B1357"/>
          <cell r="C1357"/>
          <cell r="D1357"/>
          <cell r="E1357"/>
        </row>
        <row r="1358">
          <cell r="A1358"/>
          <cell r="B1358"/>
          <cell r="C1358"/>
          <cell r="D1358"/>
          <cell r="E1358"/>
        </row>
        <row r="1359">
          <cell r="A1359"/>
          <cell r="B1359"/>
          <cell r="C1359"/>
          <cell r="D1359"/>
          <cell r="E1359"/>
        </row>
        <row r="1360">
          <cell r="A1360"/>
          <cell r="B1360"/>
          <cell r="C1360"/>
          <cell r="D1360"/>
          <cell r="E1360"/>
        </row>
        <row r="1361">
          <cell r="A1361"/>
          <cell r="B1361"/>
          <cell r="C1361"/>
          <cell r="D1361"/>
          <cell r="E1361"/>
        </row>
        <row r="1362">
          <cell r="A1362"/>
          <cell r="B1362"/>
          <cell r="C1362"/>
          <cell r="D1362"/>
          <cell r="E1362"/>
        </row>
        <row r="1363">
          <cell r="A1363"/>
          <cell r="B1363"/>
          <cell r="C1363"/>
          <cell r="D1363"/>
          <cell r="E1363"/>
        </row>
        <row r="1364">
          <cell r="A1364"/>
          <cell r="B1364"/>
          <cell r="C1364"/>
          <cell r="D1364"/>
          <cell r="E1364"/>
        </row>
        <row r="1365">
          <cell r="A1365"/>
          <cell r="B1365"/>
          <cell r="C1365"/>
          <cell r="D1365"/>
          <cell r="E1365"/>
        </row>
        <row r="1366">
          <cell r="A1366"/>
          <cell r="B1366"/>
          <cell r="C1366"/>
          <cell r="D1366"/>
          <cell r="E1366"/>
        </row>
        <row r="1367">
          <cell r="A1367"/>
          <cell r="B1367"/>
          <cell r="C1367"/>
          <cell r="D1367"/>
          <cell r="E1367"/>
        </row>
        <row r="1368">
          <cell r="A1368"/>
          <cell r="B1368"/>
          <cell r="C1368"/>
          <cell r="D1368"/>
          <cell r="E1368"/>
        </row>
        <row r="1369">
          <cell r="A1369"/>
          <cell r="B1369"/>
          <cell r="C1369"/>
          <cell r="D1369"/>
          <cell r="E1369"/>
        </row>
        <row r="1370">
          <cell r="A1370"/>
          <cell r="B1370"/>
          <cell r="C1370"/>
          <cell r="D1370"/>
          <cell r="E1370"/>
        </row>
        <row r="1371">
          <cell r="A1371"/>
          <cell r="B1371"/>
          <cell r="C1371"/>
          <cell r="D1371"/>
          <cell r="E1371"/>
        </row>
        <row r="1372">
          <cell r="A1372"/>
          <cell r="B1372"/>
          <cell r="C1372"/>
          <cell r="D1372"/>
          <cell r="E1372"/>
        </row>
        <row r="1373">
          <cell r="A1373"/>
          <cell r="B1373"/>
          <cell r="C1373"/>
          <cell r="D1373"/>
          <cell r="E1373"/>
        </row>
        <row r="1374">
          <cell r="A1374"/>
          <cell r="B1374"/>
          <cell r="C1374"/>
          <cell r="D1374"/>
          <cell r="E1374"/>
        </row>
        <row r="1375">
          <cell r="A1375"/>
          <cell r="B1375"/>
          <cell r="C1375"/>
          <cell r="D1375"/>
          <cell r="E1375"/>
        </row>
        <row r="1376">
          <cell r="A1376"/>
          <cell r="B1376"/>
          <cell r="C1376"/>
          <cell r="D1376"/>
          <cell r="E1376"/>
        </row>
        <row r="1377">
          <cell r="A1377"/>
          <cell r="B1377"/>
          <cell r="C1377"/>
          <cell r="D1377"/>
          <cell r="E1377"/>
        </row>
        <row r="1378">
          <cell r="A1378"/>
          <cell r="B1378"/>
          <cell r="C1378"/>
          <cell r="D1378"/>
          <cell r="E1378"/>
        </row>
        <row r="1379">
          <cell r="A1379"/>
          <cell r="B1379"/>
          <cell r="C1379"/>
          <cell r="D1379"/>
          <cell r="E1379"/>
        </row>
        <row r="1380">
          <cell r="A1380"/>
          <cell r="B1380"/>
          <cell r="C1380"/>
          <cell r="D1380"/>
          <cell r="E1380"/>
        </row>
        <row r="1381">
          <cell r="A1381"/>
          <cell r="B1381"/>
          <cell r="C1381"/>
          <cell r="D1381"/>
          <cell r="E1381"/>
        </row>
        <row r="1382">
          <cell r="A1382"/>
          <cell r="B1382"/>
          <cell r="C1382"/>
          <cell r="D1382"/>
          <cell r="E1382"/>
        </row>
        <row r="1383">
          <cell r="A1383"/>
          <cell r="B1383"/>
          <cell r="C1383"/>
          <cell r="D1383"/>
          <cell r="E1383"/>
        </row>
        <row r="1384">
          <cell r="A1384"/>
          <cell r="B1384"/>
          <cell r="C1384"/>
          <cell r="D1384"/>
          <cell r="E1384"/>
        </row>
        <row r="1385">
          <cell r="A1385"/>
          <cell r="B1385"/>
          <cell r="C1385"/>
          <cell r="D1385"/>
          <cell r="E1385"/>
        </row>
        <row r="1386">
          <cell r="A1386"/>
          <cell r="B1386"/>
          <cell r="C1386"/>
          <cell r="D1386"/>
          <cell r="E1386"/>
        </row>
        <row r="1388">
          <cell r="A1388"/>
          <cell r="B1388"/>
          <cell r="C1388"/>
          <cell r="D1388"/>
          <cell r="E1388"/>
        </row>
        <row r="1389">
          <cell r="A1389"/>
          <cell r="B1389"/>
          <cell r="C1389"/>
          <cell r="D1389"/>
          <cell r="E1389"/>
        </row>
        <row r="1390">
          <cell r="A1390"/>
          <cell r="B1390"/>
          <cell r="C1390"/>
          <cell r="D1390"/>
          <cell r="E1390"/>
        </row>
        <row r="1391">
          <cell r="A1391"/>
          <cell r="B1391"/>
          <cell r="C1391"/>
          <cell r="D1391"/>
          <cell r="E1391"/>
        </row>
        <row r="1392">
          <cell r="A1392"/>
          <cell r="B1392"/>
          <cell r="C1392"/>
          <cell r="D1392"/>
          <cell r="E1392"/>
        </row>
        <row r="1393">
          <cell r="A1393"/>
          <cell r="B1393"/>
          <cell r="C1393"/>
          <cell r="D1393"/>
          <cell r="E1393"/>
        </row>
        <row r="1394">
          <cell r="A1394"/>
          <cell r="B1394"/>
          <cell r="C1394"/>
          <cell r="D1394"/>
          <cell r="E1394"/>
        </row>
        <row r="1395">
          <cell r="A1395"/>
          <cell r="B1395"/>
          <cell r="C1395"/>
          <cell r="D1395"/>
          <cell r="E1395"/>
        </row>
        <row r="1396">
          <cell r="A1396"/>
          <cell r="B1396"/>
          <cell r="C1396"/>
          <cell r="D1396"/>
          <cell r="E1396"/>
        </row>
        <row r="1397">
          <cell r="A1397"/>
          <cell r="B1397"/>
          <cell r="C1397"/>
          <cell r="D1397"/>
          <cell r="E1397"/>
        </row>
        <row r="1398">
          <cell r="A1398"/>
          <cell r="B1398"/>
          <cell r="C1398"/>
          <cell r="D1398"/>
          <cell r="E1398"/>
        </row>
        <row r="1399">
          <cell r="A1399"/>
          <cell r="B1399"/>
          <cell r="C1399"/>
          <cell r="D1399"/>
          <cell r="E1399"/>
        </row>
        <row r="1400">
          <cell r="A1400"/>
          <cell r="B1400"/>
          <cell r="C1400"/>
          <cell r="D1400"/>
          <cell r="E1400"/>
        </row>
        <row r="1401">
          <cell r="A1401"/>
          <cell r="B1401"/>
          <cell r="C1401"/>
          <cell r="D1401"/>
          <cell r="E1401"/>
        </row>
        <row r="1402">
          <cell r="A1402"/>
          <cell r="B1402"/>
          <cell r="C1402"/>
          <cell r="D1402"/>
          <cell r="E1402"/>
        </row>
        <row r="1403">
          <cell r="A1403"/>
          <cell r="B1403"/>
          <cell r="C1403"/>
          <cell r="D1403"/>
          <cell r="E1403"/>
        </row>
        <row r="1404">
          <cell r="A1404"/>
          <cell r="B1404"/>
          <cell r="C1404"/>
          <cell r="D1404"/>
          <cell r="E1404"/>
        </row>
        <row r="1405">
          <cell r="A1405"/>
          <cell r="B1405"/>
          <cell r="C1405"/>
          <cell r="D1405"/>
          <cell r="E1405"/>
        </row>
        <row r="1406">
          <cell r="A1406"/>
          <cell r="B1406"/>
          <cell r="C1406"/>
          <cell r="D1406"/>
          <cell r="E1406"/>
        </row>
        <row r="1407">
          <cell r="A1407"/>
          <cell r="B1407"/>
          <cell r="C1407"/>
          <cell r="D1407"/>
          <cell r="E1407"/>
        </row>
        <row r="1408">
          <cell r="A1408"/>
          <cell r="B1408"/>
          <cell r="C1408"/>
          <cell r="D1408"/>
          <cell r="E1408"/>
        </row>
        <row r="1409">
          <cell r="A1409"/>
          <cell r="B1409"/>
          <cell r="C1409"/>
          <cell r="D1409"/>
          <cell r="E1409"/>
        </row>
        <row r="1410">
          <cell r="A1410"/>
          <cell r="B1410"/>
          <cell r="C1410"/>
          <cell r="D1410"/>
          <cell r="E1410"/>
        </row>
        <row r="1411">
          <cell r="A1411"/>
          <cell r="B1411"/>
          <cell r="C1411"/>
          <cell r="D1411"/>
          <cell r="E1411"/>
        </row>
        <row r="1412">
          <cell r="A1412"/>
          <cell r="B1412"/>
          <cell r="C1412"/>
          <cell r="D1412"/>
          <cell r="E1412"/>
        </row>
        <row r="1413">
          <cell r="A1413"/>
          <cell r="B1413"/>
          <cell r="C1413"/>
          <cell r="D1413"/>
          <cell r="E1413"/>
        </row>
        <row r="1414">
          <cell r="A1414"/>
          <cell r="B1414"/>
          <cell r="C1414"/>
          <cell r="D1414"/>
          <cell r="E1414"/>
        </row>
        <row r="1415">
          <cell r="A1415"/>
          <cell r="B1415"/>
          <cell r="C1415"/>
          <cell r="D1415"/>
          <cell r="E1415"/>
        </row>
        <row r="1416">
          <cell r="A1416"/>
          <cell r="B1416"/>
          <cell r="C1416"/>
          <cell r="D1416"/>
          <cell r="E1416"/>
        </row>
        <row r="1417">
          <cell r="A1417"/>
          <cell r="B1417"/>
          <cell r="C1417"/>
          <cell r="D1417"/>
          <cell r="E1417"/>
        </row>
        <row r="1418">
          <cell r="A1418"/>
          <cell r="B1418"/>
          <cell r="C1418"/>
          <cell r="D1418"/>
          <cell r="E1418"/>
        </row>
        <row r="1419">
          <cell r="A1419"/>
          <cell r="B1419"/>
          <cell r="C1419"/>
          <cell r="D1419"/>
          <cell r="E1419"/>
        </row>
        <row r="1420">
          <cell r="A1420"/>
          <cell r="B1420"/>
          <cell r="C1420"/>
          <cell r="D1420"/>
          <cell r="E1420"/>
        </row>
        <row r="1421">
          <cell r="A1421"/>
          <cell r="B1421"/>
          <cell r="C1421"/>
          <cell r="D1421"/>
          <cell r="E1421"/>
        </row>
        <row r="1422">
          <cell r="A1422"/>
          <cell r="B1422"/>
          <cell r="C1422"/>
          <cell r="D1422"/>
          <cell r="E1422"/>
        </row>
        <row r="1423">
          <cell r="A1423"/>
          <cell r="B1423"/>
          <cell r="C1423"/>
          <cell r="D1423"/>
          <cell r="E1423"/>
        </row>
        <row r="1424">
          <cell r="A1424"/>
          <cell r="B1424"/>
          <cell r="C1424"/>
          <cell r="D1424"/>
          <cell r="E1424"/>
        </row>
        <row r="1425">
          <cell r="A1425"/>
          <cell r="B1425"/>
          <cell r="C1425"/>
          <cell r="D1425"/>
          <cell r="E1425"/>
        </row>
        <row r="1426">
          <cell r="A1426"/>
          <cell r="B1426"/>
          <cell r="C1426"/>
          <cell r="D1426"/>
          <cell r="E1426"/>
        </row>
        <row r="1427">
          <cell r="A1427"/>
          <cell r="B1427"/>
          <cell r="C1427"/>
          <cell r="D1427"/>
          <cell r="E1427"/>
        </row>
        <row r="1428">
          <cell r="A1428"/>
          <cell r="B1428"/>
          <cell r="C1428"/>
          <cell r="D1428"/>
          <cell r="E1428"/>
        </row>
        <row r="1429">
          <cell r="A1429"/>
          <cell r="B1429"/>
          <cell r="C1429"/>
          <cell r="D1429"/>
          <cell r="E1429"/>
        </row>
        <row r="1430">
          <cell r="A1430"/>
          <cell r="B1430"/>
          <cell r="C1430"/>
          <cell r="D1430"/>
          <cell r="E1430"/>
        </row>
        <row r="1431">
          <cell r="A1431"/>
          <cell r="B1431"/>
          <cell r="C1431"/>
          <cell r="D1431"/>
          <cell r="E1431"/>
        </row>
        <row r="1432">
          <cell r="A1432"/>
          <cell r="B1432"/>
          <cell r="C1432"/>
          <cell r="D1432"/>
          <cell r="E1432"/>
        </row>
        <row r="1433">
          <cell r="A1433"/>
          <cell r="B1433"/>
          <cell r="C1433"/>
          <cell r="D1433"/>
          <cell r="E1433"/>
        </row>
        <row r="1434">
          <cell r="A1434"/>
          <cell r="B1434"/>
          <cell r="C1434"/>
          <cell r="D1434"/>
          <cell r="E1434"/>
        </row>
        <row r="1435">
          <cell r="A1435"/>
          <cell r="B1435"/>
          <cell r="C1435"/>
          <cell r="D1435"/>
          <cell r="E1435"/>
        </row>
        <row r="1436">
          <cell r="A1436"/>
          <cell r="B1436"/>
          <cell r="C1436"/>
          <cell r="D1436"/>
          <cell r="E1436"/>
        </row>
        <row r="1437">
          <cell r="A1437"/>
          <cell r="B1437"/>
          <cell r="C1437"/>
          <cell r="D1437"/>
          <cell r="E1437"/>
        </row>
        <row r="1438">
          <cell r="A1438"/>
          <cell r="B1438"/>
          <cell r="C1438"/>
          <cell r="D1438"/>
          <cell r="E1438"/>
        </row>
        <row r="1439">
          <cell r="A1439"/>
          <cell r="B1439"/>
          <cell r="C1439"/>
          <cell r="D1439"/>
          <cell r="E1439"/>
        </row>
        <row r="1440">
          <cell r="A1440"/>
          <cell r="B1440"/>
          <cell r="C1440"/>
          <cell r="D1440"/>
          <cell r="E1440"/>
        </row>
        <row r="1441">
          <cell r="A1441"/>
          <cell r="B1441"/>
          <cell r="C1441"/>
          <cell r="D1441"/>
          <cell r="E1441"/>
        </row>
        <row r="1442">
          <cell r="A1442"/>
          <cell r="B1442"/>
          <cell r="C1442"/>
          <cell r="D1442"/>
          <cell r="E1442"/>
        </row>
        <row r="1443">
          <cell r="A1443"/>
          <cell r="B1443"/>
          <cell r="C1443"/>
          <cell r="D1443"/>
          <cell r="E1443"/>
        </row>
        <row r="1444">
          <cell r="A1444"/>
          <cell r="B1444"/>
          <cell r="C1444"/>
          <cell r="D1444"/>
          <cell r="E1444"/>
        </row>
        <row r="1445">
          <cell r="A1445"/>
          <cell r="B1445"/>
          <cell r="C1445"/>
          <cell r="D1445"/>
          <cell r="E1445"/>
        </row>
        <row r="1446">
          <cell r="A1446"/>
          <cell r="B1446"/>
          <cell r="C1446"/>
          <cell r="D1446"/>
          <cell r="E1446"/>
        </row>
        <row r="1447">
          <cell r="A1447"/>
          <cell r="B1447"/>
          <cell r="C1447"/>
          <cell r="D1447"/>
          <cell r="E1447"/>
        </row>
        <row r="1448">
          <cell r="A1448"/>
          <cell r="B1448"/>
          <cell r="C1448"/>
          <cell r="D1448"/>
          <cell r="E1448"/>
        </row>
        <row r="1449">
          <cell r="A1449"/>
          <cell r="B1449"/>
          <cell r="C1449"/>
          <cell r="D1449"/>
          <cell r="E1449"/>
        </row>
        <row r="1450">
          <cell r="A1450"/>
          <cell r="B1450"/>
          <cell r="C1450"/>
          <cell r="D1450"/>
          <cell r="E1450"/>
        </row>
        <row r="1451">
          <cell r="A1451"/>
          <cell r="B1451"/>
          <cell r="C1451"/>
          <cell r="D1451"/>
          <cell r="E1451"/>
        </row>
        <row r="1452">
          <cell r="A1452"/>
          <cell r="B1452"/>
          <cell r="C1452"/>
          <cell r="D1452"/>
          <cell r="E1452"/>
        </row>
        <row r="1453">
          <cell r="A1453"/>
          <cell r="B1453"/>
          <cell r="C1453"/>
          <cell r="D1453"/>
          <cell r="E1453"/>
        </row>
        <row r="1454">
          <cell r="A1454"/>
          <cell r="B1454"/>
          <cell r="C1454"/>
          <cell r="D1454"/>
          <cell r="E1454"/>
        </row>
        <row r="1455">
          <cell r="A1455"/>
          <cell r="B1455"/>
          <cell r="C1455"/>
          <cell r="D1455"/>
          <cell r="E1455"/>
        </row>
        <row r="1456">
          <cell r="A1456"/>
          <cell r="B1456"/>
          <cell r="C1456"/>
          <cell r="D1456"/>
          <cell r="E1456"/>
        </row>
        <row r="1457">
          <cell r="A1457"/>
          <cell r="B1457"/>
          <cell r="C1457"/>
          <cell r="D1457"/>
          <cell r="E1457"/>
        </row>
        <row r="1458">
          <cell r="A1458"/>
          <cell r="B1458"/>
          <cell r="C1458"/>
          <cell r="D1458"/>
          <cell r="E1458"/>
        </row>
        <row r="1459">
          <cell r="A1459"/>
          <cell r="B1459"/>
          <cell r="C1459"/>
          <cell r="D1459"/>
          <cell r="E1459"/>
        </row>
        <row r="1460">
          <cell r="A1460"/>
          <cell r="B1460"/>
          <cell r="C1460"/>
          <cell r="D1460"/>
          <cell r="E1460"/>
        </row>
        <row r="1461">
          <cell r="A1461"/>
          <cell r="B1461"/>
          <cell r="C1461"/>
          <cell r="D1461"/>
          <cell r="E1461"/>
        </row>
        <row r="1462">
          <cell r="A1462"/>
          <cell r="B1462"/>
          <cell r="C1462"/>
          <cell r="D1462"/>
          <cell r="E1462"/>
        </row>
        <row r="1463">
          <cell r="A1463"/>
          <cell r="B1463"/>
          <cell r="C1463"/>
          <cell r="D1463"/>
          <cell r="E1463"/>
        </row>
        <row r="1464">
          <cell r="A1464"/>
          <cell r="B1464"/>
          <cell r="C1464"/>
          <cell r="D1464"/>
          <cell r="E1464"/>
        </row>
        <row r="1465">
          <cell r="A1465"/>
          <cell r="B1465"/>
          <cell r="C1465"/>
          <cell r="D1465"/>
          <cell r="E1465"/>
        </row>
        <row r="1466">
          <cell r="A1466"/>
          <cell r="B1466"/>
          <cell r="C1466"/>
          <cell r="D1466"/>
          <cell r="E1466"/>
        </row>
        <row r="1467">
          <cell r="A1467"/>
          <cell r="B1467"/>
          <cell r="C1467"/>
          <cell r="D1467"/>
          <cell r="E1467"/>
        </row>
        <row r="1468">
          <cell r="A1468"/>
          <cell r="B1468"/>
          <cell r="C1468"/>
          <cell r="D1468"/>
          <cell r="E1468"/>
        </row>
        <row r="1469">
          <cell r="A1469"/>
          <cell r="B1469"/>
          <cell r="C1469"/>
          <cell r="D1469"/>
          <cell r="E1469"/>
        </row>
        <row r="1470">
          <cell r="A1470"/>
          <cell r="B1470"/>
          <cell r="C1470"/>
          <cell r="D1470"/>
          <cell r="E1470"/>
        </row>
        <row r="1471">
          <cell r="A1471"/>
          <cell r="B1471"/>
          <cell r="C1471"/>
          <cell r="D1471"/>
          <cell r="E1471"/>
        </row>
        <row r="1472">
          <cell r="A1472"/>
          <cell r="B1472"/>
          <cell r="C1472"/>
          <cell r="D1472"/>
          <cell r="E1472"/>
        </row>
        <row r="1473">
          <cell r="A1473"/>
          <cell r="B1473"/>
          <cell r="C1473"/>
          <cell r="D1473"/>
          <cell r="E1473"/>
        </row>
        <row r="1474">
          <cell r="A1474"/>
          <cell r="B1474"/>
          <cell r="C1474"/>
          <cell r="D1474"/>
          <cell r="E1474"/>
        </row>
        <row r="1475">
          <cell r="A1475"/>
          <cell r="B1475"/>
          <cell r="C1475"/>
          <cell r="D1475"/>
          <cell r="E1475"/>
        </row>
        <row r="1476">
          <cell r="A1476"/>
          <cell r="B1476"/>
          <cell r="C1476"/>
          <cell r="D1476"/>
          <cell r="E1476"/>
        </row>
        <row r="1477">
          <cell r="A1477"/>
          <cell r="B1477"/>
          <cell r="C1477"/>
          <cell r="D1477"/>
          <cell r="E1477"/>
        </row>
        <row r="1479">
          <cell r="A1479"/>
          <cell r="B1479"/>
          <cell r="C1479"/>
          <cell r="D1479"/>
          <cell r="E1479"/>
        </row>
      </sheetData>
      <sheetData sheetId="2">
        <row r="2">
          <cell r="A2" t="str">
            <v>A110</v>
          </cell>
          <cell r="B2" t="str">
            <v>William Amponsah / Daniel Oduro Boatey Nuamah</v>
          </cell>
        </row>
        <row r="3">
          <cell r="A3" t="str">
            <v>VCR</v>
          </cell>
          <cell r="B3" t="str">
            <v>Blestmond Afrifa Brako</v>
          </cell>
        </row>
        <row r="4">
          <cell r="A4" t="str">
            <v>ECR</v>
          </cell>
          <cell r="B4" t="str">
            <v>Andrew Selasi Agbemenu</v>
          </cell>
        </row>
        <row r="5">
          <cell r="A5" t="str">
            <v>EA</v>
          </cell>
          <cell r="B5" t="str">
            <v>C. K. K. Sekyere / Peter Oppong Tawiah</v>
          </cell>
        </row>
        <row r="6">
          <cell r="A6" t="str">
            <v>NAF1</v>
          </cell>
          <cell r="B6" t="str">
            <v>Bright Akowuah / Felix Jojo Fianko Ayeh</v>
          </cell>
        </row>
        <row r="7">
          <cell r="A7" t="str">
            <v>NEB GF1</v>
          </cell>
          <cell r="B7" t="str">
            <v>Anthony A. Agyemang / Eric Amoah Asante / Eric Kwame Anokye Asare</v>
          </cell>
        </row>
        <row r="8">
          <cell r="A8" t="str">
            <v>NEB FF1</v>
          </cell>
          <cell r="B8" t="str">
            <v>Kingsford Sarkodie Obeng Kwakye / Daniel Akwei Addo / David Oppong</v>
          </cell>
        </row>
        <row r="9">
          <cell r="A9" t="str">
            <v>NEB FF2</v>
          </cell>
          <cell r="B9" t="str">
            <v>Kwame Agyemang Prempeh Agyekum / Eugene Appiah-Effah</v>
          </cell>
        </row>
        <row r="10">
          <cell r="A10" t="str">
            <v>NEB SF1</v>
          </cell>
          <cell r="B10" t="str">
            <v>Benjamin Kommey / Dorothy Araba Yakoba Agyapong / Jonathan Arthur Quaye-Ballard / Jones Owusu Twumasi</v>
          </cell>
        </row>
        <row r="11">
          <cell r="A11" t="str">
            <v>PB008</v>
          </cell>
          <cell r="B11" t="str">
            <v>Faisal Wahib Adam / Prince Ebenezer Adjei</v>
          </cell>
        </row>
        <row r="12">
          <cell r="A12" t="str">
            <v>PB001</v>
          </cell>
          <cell r="B12" t="str">
            <v>Martinson Addo Nartey / Benjamin Afotey</v>
          </cell>
        </row>
        <row r="13">
          <cell r="A13" t="str">
            <v>PB020</v>
          </cell>
          <cell r="B13" t="str">
            <v>Vincent Kofi Abaka Acquaah / Matthew Coffie Wilson</v>
          </cell>
        </row>
        <row r="14">
          <cell r="A14" t="str">
            <v>PB014</v>
          </cell>
          <cell r="B14" t="str">
            <v>Prince Odame / Martin Kesse</v>
          </cell>
        </row>
        <row r="15">
          <cell r="A15" t="str">
            <v>PB214</v>
          </cell>
          <cell r="B15" t="str">
            <v>Godfred Boahen /  Nancy Anataba Kyorku Dzikunu-Bansah</v>
          </cell>
        </row>
        <row r="16">
          <cell r="A16" t="str">
            <v>PB208</v>
          </cell>
          <cell r="B16" t="str">
            <v>Evans Amponsah / Albert Kwame Kwaw</v>
          </cell>
        </row>
        <row r="17">
          <cell r="A17" t="str">
            <v>PB212</v>
          </cell>
          <cell r="B17" t="str">
            <v xml:space="preserve">Samuel Osah </v>
          </cell>
        </row>
        <row r="18">
          <cell r="A18" t="str">
            <v>PB201</v>
          </cell>
          <cell r="B18" t="str">
            <v>Sefakor Dogbe / Y. A. Sokama-Neuyam</v>
          </cell>
        </row>
        <row r="19">
          <cell r="A19">
            <v>303</v>
          </cell>
          <cell r="B19" t="str">
            <v>Jonathan Atuquaye Quaye / Eliel Keelson</v>
          </cell>
        </row>
        <row r="20">
          <cell r="A20">
            <v>304</v>
          </cell>
          <cell r="B20" t="str">
            <v>Bernard Konadu Amoah</v>
          </cell>
        </row>
        <row r="21">
          <cell r="A21">
            <v>206</v>
          </cell>
          <cell r="B21" t="str">
            <v>Emmanuel Appiah-Adjei</v>
          </cell>
        </row>
        <row r="22">
          <cell r="A22" t="str">
            <v>RM A</v>
          </cell>
          <cell r="B22" t="str">
            <v>Prosper Akaba</v>
          </cell>
        </row>
        <row r="23">
          <cell r="A23" t="str">
            <v>RM B</v>
          </cell>
          <cell r="B23" t="str">
            <v>Casper Adenutsi</v>
          </cell>
        </row>
        <row r="24">
          <cell r="A24" t="str">
            <v>VSLA</v>
          </cell>
          <cell r="B24" t="str">
            <v>Kenneth Adomako Tutu / Joshua Ampofo</v>
          </cell>
        </row>
        <row r="25">
          <cell r="A25" t="str">
            <v>LT</v>
          </cell>
          <cell r="B25" t="str">
            <v>Prince Yaw Andoh</v>
          </cell>
        </row>
        <row r="26">
          <cell r="A26" t="str">
            <v>N1</v>
          </cell>
          <cell r="B26" t="str">
            <v>James Dzisi Gadze</v>
          </cell>
        </row>
        <row r="27">
          <cell r="A27" t="str">
            <v>N2</v>
          </cell>
          <cell r="B27" t="str">
            <v>Samuel Boahen</v>
          </cell>
        </row>
        <row r="29">
          <cell r="A29" t="str">
            <v>A110</v>
          </cell>
          <cell r="B29" t="str">
            <v>William Amponsah / Francisca Adoma Acheampong</v>
          </cell>
        </row>
        <row r="30">
          <cell r="A30" t="str">
            <v>ECR</v>
          </cell>
          <cell r="B30" t="str">
            <v>Andrew Selasi Agbemenu</v>
          </cell>
        </row>
        <row r="31">
          <cell r="A31" t="str">
            <v>VCR</v>
          </cell>
          <cell r="B31" t="str">
            <v>Gordon Foli</v>
          </cell>
        </row>
        <row r="32">
          <cell r="A32" t="str">
            <v>NAF1</v>
          </cell>
          <cell r="B32" t="str">
            <v>Bright Akowuah / Mary Mensah</v>
          </cell>
        </row>
        <row r="33">
          <cell r="A33" t="str">
            <v>EA</v>
          </cell>
          <cell r="B33" t="str">
            <v xml:space="preserve"> Nancy Anataba Kyorku Dzikunu-Bansah/ Ebenezer Mensah</v>
          </cell>
        </row>
        <row r="34">
          <cell r="A34" t="str">
            <v>NEB GF1</v>
          </cell>
          <cell r="B34" t="str">
            <v>Alfred Alan Duker / F. K. A. Nyarko / Geophrey Kwame Anornu</v>
          </cell>
        </row>
        <row r="35">
          <cell r="A35" t="str">
            <v>NEB FF1</v>
          </cell>
          <cell r="B35" t="str">
            <v>Kingsford Sarkodie Obeng Kwakye / Emmanuel Kwesi Arthur / Godfrey Chiri Amedjoe</v>
          </cell>
        </row>
        <row r="36">
          <cell r="A36" t="str">
            <v>NEB FF2</v>
          </cell>
          <cell r="B36" t="str">
            <v>Francis Boafo Effah / Yaw Adubofour Tuffour</v>
          </cell>
        </row>
        <row r="37">
          <cell r="A37" t="str">
            <v>NEB SF1</v>
          </cell>
          <cell r="B37" t="str">
            <v xml:space="preserve"> Gabriel Takyi / Charles Gyamfi / Kofi Owura Amoabeng / Simon Kafui Yawo Gawu</v>
          </cell>
        </row>
        <row r="38">
          <cell r="A38" t="str">
            <v>PB001</v>
          </cell>
          <cell r="B38" t="str">
            <v>Benjamin Afotey / Jack Osei Banahene</v>
          </cell>
        </row>
        <row r="39">
          <cell r="A39" t="str">
            <v>PB020</v>
          </cell>
          <cell r="B39" t="str">
            <v>Samuel Erzuah / Yesuenyeagbe Fiagbe</v>
          </cell>
        </row>
        <row r="40">
          <cell r="A40" t="str">
            <v>PB014</v>
          </cell>
          <cell r="B40" t="str">
            <v>Peter Oppong Tawiah/ Samuel Kwofie</v>
          </cell>
        </row>
        <row r="41">
          <cell r="A41" t="str">
            <v>PB008</v>
          </cell>
          <cell r="B41" t="str">
            <v>Ayuba Bene Adam / Emmanuel Offei Akrofi</v>
          </cell>
        </row>
        <row r="42">
          <cell r="A42" t="str">
            <v>PB201</v>
          </cell>
          <cell r="B42" t="str">
            <v>Cosmas Yaw Asante / Bukari Ali</v>
          </cell>
        </row>
        <row r="43">
          <cell r="A43" t="str">
            <v>PB214</v>
          </cell>
          <cell r="B43" t="str">
            <v>Felix Jojo Fianko Ayeh / Martina Francisca Baidoo</v>
          </cell>
        </row>
        <row r="44">
          <cell r="A44" t="str">
            <v>PB212</v>
          </cell>
          <cell r="B44" t="str">
            <v>S. H. M. Aikins</v>
          </cell>
        </row>
        <row r="45">
          <cell r="A45" t="str">
            <v>PB208</v>
          </cell>
          <cell r="B45" t="str">
            <v>Forkuo Eric Kwabena / Bennetta Koomson</v>
          </cell>
        </row>
        <row r="46">
          <cell r="A46">
            <v>303</v>
          </cell>
          <cell r="B46" t="str">
            <v>Nicholas Prah / Kwame Sarkodie</v>
          </cell>
        </row>
        <row r="47">
          <cell r="A47">
            <v>304</v>
          </cell>
          <cell r="B47" t="str">
            <v>Asiedu Nana Yaw</v>
          </cell>
        </row>
        <row r="48">
          <cell r="A48" t="str">
            <v>RM A</v>
          </cell>
          <cell r="B48" t="str">
            <v>Andrew Cudzo Amenuvor</v>
          </cell>
        </row>
        <row r="49">
          <cell r="A49" t="str">
            <v>RM B</v>
          </cell>
          <cell r="B49" t="str">
            <v>Evans Amponsah</v>
          </cell>
        </row>
        <row r="50">
          <cell r="A50">
            <v>206</v>
          </cell>
          <cell r="B50" t="str">
            <v>Augustus Ababio Donkor</v>
          </cell>
        </row>
        <row r="51">
          <cell r="A51" t="str">
            <v>LT</v>
          </cell>
          <cell r="B51" t="str">
            <v>Albert Amatey Adjaottor</v>
          </cell>
        </row>
        <row r="52">
          <cell r="A52" t="str">
            <v>VSLA</v>
          </cell>
          <cell r="B52" t="str">
            <v>Charles Adrah / Emmanuel Ampoma Affum</v>
          </cell>
        </row>
        <row r="53">
          <cell r="A53" t="str">
            <v>N1</v>
          </cell>
          <cell r="B53" t="str">
            <v>Theresa-Samuelle Maame Atwemaa Adjaidoo</v>
          </cell>
        </row>
        <row r="55">
          <cell r="A55" t="str">
            <v>A110</v>
          </cell>
          <cell r="B55" t="str">
            <v>William Amponsah / Gordon Foli</v>
          </cell>
        </row>
        <row r="56">
          <cell r="A56" t="str">
            <v>ECR</v>
          </cell>
          <cell r="B56" t="str">
            <v>Andrew Selasi Agbemenu</v>
          </cell>
        </row>
        <row r="57">
          <cell r="A57" t="str">
            <v>VCR</v>
          </cell>
          <cell r="B57" t="str">
            <v>Godfrey Chiri Amedjoe</v>
          </cell>
        </row>
        <row r="58">
          <cell r="A58" t="str">
            <v>NAF1</v>
          </cell>
          <cell r="B58" t="str">
            <v>Bright Akowuah / Emmanuel Kwesi Arthur</v>
          </cell>
        </row>
        <row r="59">
          <cell r="A59" t="str">
            <v>EA</v>
          </cell>
          <cell r="B59" t="str">
            <v>Efiba Vidda Senkyire Kwarteng / Albert Asare</v>
          </cell>
        </row>
        <row r="60">
          <cell r="A60" t="str">
            <v>NEB GF1</v>
          </cell>
          <cell r="B60" t="str">
            <v>Joseph Aveyire / Emmanuel Obuobi Kwame Addo / Akwasi Afrifa Acheampong</v>
          </cell>
        </row>
        <row r="61">
          <cell r="A61" t="str">
            <v>NEB FF1</v>
          </cell>
          <cell r="B61" t="str">
            <v>Kingsford Sarkodie Obeng Kwakye / Mary Mensah / Francisca Adoma Acheampong</v>
          </cell>
        </row>
        <row r="62">
          <cell r="A62" t="str">
            <v>NEB FF2</v>
          </cell>
          <cell r="B62" t="str">
            <v>Henry Nunoo-Mensah / Andrew Cudzo Amenuvor</v>
          </cell>
        </row>
        <row r="63">
          <cell r="A63" t="str">
            <v>NEB SF1</v>
          </cell>
          <cell r="B63" t="str">
            <v>F. K. A. Nyarko / Benjamin Kommey / Jonathan Atuquaye Quaye / James Okae</v>
          </cell>
        </row>
        <row r="64">
          <cell r="A64" t="str">
            <v>PB001</v>
          </cell>
          <cell r="B64" t="str">
            <v>Isaac Dadzie / John Wise Divine Ayer</v>
          </cell>
        </row>
        <row r="65">
          <cell r="A65" t="str">
            <v>PB020</v>
          </cell>
          <cell r="B65" t="str">
            <v>Benjamin Afotey / Francis Kofi Forson</v>
          </cell>
        </row>
        <row r="66">
          <cell r="A66" t="str">
            <v>PB014</v>
          </cell>
          <cell r="B66" t="str">
            <v>M. Appiah Brempong / Anthony Arko-Adjei</v>
          </cell>
        </row>
        <row r="67">
          <cell r="A67" t="str">
            <v>PB201</v>
          </cell>
          <cell r="B67" t="str">
            <v>Eric Kwame Anokye Asare / Daniel Oduro Boatey Nuamah</v>
          </cell>
        </row>
        <row r="68">
          <cell r="A68" t="str">
            <v>PB214</v>
          </cell>
          <cell r="B68" t="str">
            <v>Albert Kwame Kwaw / Daniel Akwei Addo</v>
          </cell>
        </row>
        <row r="69">
          <cell r="A69" t="str">
            <v>PB212</v>
          </cell>
          <cell r="B69" t="str">
            <v>Jones Owusu Twumasi</v>
          </cell>
        </row>
        <row r="70">
          <cell r="A70" t="str">
            <v>PB208</v>
          </cell>
          <cell r="B70" t="str">
            <v>Stephen Adjei / Godfred Boahen</v>
          </cell>
        </row>
        <row r="71">
          <cell r="A71">
            <v>303</v>
          </cell>
          <cell r="B71" t="str">
            <v>Jack Osei Banahene / Jude Bonsu</v>
          </cell>
        </row>
        <row r="72">
          <cell r="A72">
            <v>304</v>
          </cell>
          <cell r="B72" t="str">
            <v>Kofi Owura Amoabeng</v>
          </cell>
        </row>
        <row r="73">
          <cell r="A73" t="str">
            <v>RM A</v>
          </cell>
          <cell r="B73" t="str">
            <v>Ayuba Bene Adam</v>
          </cell>
        </row>
        <row r="74">
          <cell r="A74" t="str">
            <v>RM B</v>
          </cell>
          <cell r="B74" t="str">
            <v>Faisal Wahib Adam</v>
          </cell>
        </row>
        <row r="75">
          <cell r="A75">
            <v>206</v>
          </cell>
          <cell r="B75" t="str">
            <v>Sefakor Dogbe</v>
          </cell>
        </row>
        <row r="76">
          <cell r="A76" t="str">
            <v>PB008</v>
          </cell>
          <cell r="B76" t="str">
            <v>Nancy Anataba Kyorku Dzikunu-Bansah  /   Samuel Boahen</v>
          </cell>
        </row>
        <row r="77">
          <cell r="A77" t="str">
            <v>LT</v>
          </cell>
          <cell r="B77" t="str">
            <v>Martinson Addo Nartey</v>
          </cell>
        </row>
        <row r="78">
          <cell r="A78" t="str">
            <v>VSLA</v>
          </cell>
          <cell r="B78" t="str">
            <v xml:space="preserve">Theresa-Samuelle Maame Atwemaa Adjaidoo / Prince Ebenezer Adjei </v>
          </cell>
        </row>
        <row r="79">
          <cell r="A79" t="str">
            <v>N1</v>
          </cell>
          <cell r="B79" t="str">
            <v>Eric Amoah Asante</v>
          </cell>
        </row>
        <row r="80">
          <cell r="A80" t="str">
            <v>N2</v>
          </cell>
          <cell r="B80" t="str">
            <v>Samuel Osah</v>
          </cell>
        </row>
        <row r="82">
          <cell r="A82" t="str">
            <v>A110</v>
          </cell>
          <cell r="B82" t="str">
            <v>William Amponsah / Godfrey Chiri Amedjoe</v>
          </cell>
        </row>
        <row r="83">
          <cell r="A83" t="str">
            <v>ECR</v>
          </cell>
          <cell r="B83" t="str">
            <v>Andrew Selasi Agbemenu</v>
          </cell>
        </row>
        <row r="84">
          <cell r="A84" t="str">
            <v>VCR</v>
          </cell>
          <cell r="B84" t="str">
            <v>Gordon Foli</v>
          </cell>
        </row>
        <row r="85">
          <cell r="A85" t="str">
            <v>NAF1</v>
          </cell>
          <cell r="B85" t="str">
            <v>Bright Akowuah / Francisca Adoma Acheampong</v>
          </cell>
        </row>
        <row r="86">
          <cell r="A86" t="str">
            <v>EA</v>
          </cell>
          <cell r="B86" t="str">
            <v>Charles Adrah/ Matthew Coffie Wilson</v>
          </cell>
        </row>
        <row r="87">
          <cell r="A87" t="str">
            <v>NEB GF1</v>
          </cell>
          <cell r="B87" t="str">
            <v>Henry Nunoo-Mensah / David Oppong / Anthony A. Agyemang</v>
          </cell>
        </row>
        <row r="88">
          <cell r="A88" t="str">
            <v>NEB FF1</v>
          </cell>
          <cell r="B88" t="str">
            <v>Kingsford Sarkodie Obeng Kwakye / Casper Adenutsi / S. H. M. Aikins</v>
          </cell>
        </row>
        <row r="89">
          <cell r="A89" t="str">
            <v>NEB FF2</v>
          </cell>
          <cell r="B89" t="str">
            <v>C. K. K. Sekyere / Augustus Ababio Donkor</v>
          </cell>
        </row>
        <row r="90">
          <cell r="A90" t="str">
            <v>NEB SF1</v>
          </cell>
          <cell r="B90" t="str">
            <v>Eliel Keelson / Vincent Kofi Abaka Acquaah / Eugene Appiah-Effah / Forkuo Eric Kwabena</v>
          </cell>
        </row>
        <row r="91">
          <cell r="A91" t="str">
            <v>PB001</v>
          </cell>
          <cell r="B91" t="str">
            <v>Samuel Erzuah /Francis Kofi Forson</v>
          </cell>
        </row>
        <row r="92">
          <cell r="A92" t="str">
            <v>PB020</v>
          </cell>
          <cell r="B92" t="str">
            <v>Efiba Vidda Senkyire Kwarteng / Ebenezer Mensah</v>
          </cell>
        </row>
        <row r="93">
          <cell r="A93" t="str">
            <v>PB008</v>
          </cell>
          <cell r="B93" t="str">
            <v>Nicholas Prah / James Dzisi Gadze</v>
          </cell>
        </row>
        <row r="94">
          <cell r="A94" t="str">
            <v>PB201</v>
          </cell>
          <cell r="B94" t="str">
            <v>K. O.-B Obour Agyekum / Martina Francisca Baidoo</v>
          </cell>
        </row>
        <row r="95">
          <cell r="A95" t="str">
            <v>PB214</v>
          </cell>
          <cell r="B95" t="str">
            <v>M. Appiah Brempong / Alfred Alan Duker</v>
          </cell>
        </row>
        <row r="96">
          <cell r="A96" t="str">
            <v>PB212</v>
          </cell>
          <cell r="B96" t="str">
            <v>Cosmas Yaw Asante</v>
          </cell>
        </row>
        <row r="97">
          <cell r="A97">
            <v>303</v>
          </cell>
          <cell r="B97" t="str">
            <v>Martin Kesse / Prince Ebenezer Adjei</v>
          </cell>
        </row>
        <row r="98">
          <cell r="A98">
            <v>304</v>
          </cell>
          <cell r="B98" t="str">
            <v>James Okae</v>
          </cell>
        </row>
        <row r="99">
          <cell r="A99" t="str">
            <v>RM A</v>
          </cell>
          <cell r="B99" t="str">
            <v>Anthony Arko-Adjei</v>
          </cell>
        </row>
        <row r="100">
          <cell r="A100" t="str">
            <v>RM B</v>
          </cell>
          <cell r="B100" t="str">
            <v>Bennetta Koomson</v>
          </cell>
        </row>
        <row r="101">
          <cell r="A101">
            <v>206</v>
          </cell>
          <cell r="B101" t="str">
            <v>Akwasi Afrifa Acheampong</v>
          </cell>
        </row>
        <row r="102">
          <cell r="A102" t="str">
            <v>LT</v>
          </cell>
          <cell r="B102" t="str">
            <v>Kwame Agyemang Prempeh Agyekum</v>
          </cell>
        </row>
        <row r="103">
          <cell r="A103" t="str">
            <v>PB014</v>
          </cell>
          <cell r="B103" t="str">
            <v xml:space="preserve">Felix Jojo Fianko Ayeh  /   Prosper Akaba  </v>
          </cell>
        </row>
        <row r="104">
          <cell r="A104" t="str">
            <v>VSLA</v>
          </cell>
          <cell r="B104" t="str">
            <v>Prince Odame / Emmanuel Ampoma Affum</v>
          </cell>
        </row>
        <row r="105">
          <cell r="A105" t="str">
            <v>N1</v>
          </cell>
          <cell r="B105" t="str">
            <v>Geophrey Kwame Anornu</v>
          </cell>
        </row>
        <row r="106">
          <cell r="A106" t="str">
            <v>N2</v>
          </cell>
          <cell r="B106" t="str">
            <v>Blestmond Afrifa Brako</v>
          </cell>
        </row>
        <row r="108">
          <cell r="A108" t="str">
            <v>A110</v>
          </cell>
          <cell r="B108" t="str">
            <v>William Amponsah / Jude Bonsu</v>
          </cell>
        </row>
        <row r="109">
          <cell r="A109" t="str">
            <v>ECR</v>
          </cell>
          <cell r="B109" t="str">
            <v>Bernard Konadu Amoah</v>
          </cell>
        </row>
        <row r="110">
          <cell r="A110" t="str">
            <v>VCR</v>
          </cell>
          <cell r="B110" t="str">
            <v>Kenneth Adomako Tutu</v>
          </cell>
        </row>
        <row r="111">
          <cell r="A111" t="str">
            <v>NAF1</v>
          </cell>
          <cell r="B111" t="str">
            <v>Bright Akowuah / Charles Gyamfi</v>
          </cell>
        </row>
        <row r="112">
          <cell r="A112" t="str">
            <v>EA</v>
          </cell>
          <cell r="B112" t="str">
            <v>Emmanuel Obuobi Kwame Addo / Prosper Akaba</v>
          </cell>
        </row>
        <row r="113">
          <cell r="A113" t="str">
            <v>NEB GF1</v>
          </cell>
          <cell r="B113" t="str">
            <v>Yesuenyeagbe Fiagbe / Dorothy Araba Yakoba Agyapong / Isaac Dadzie</v>
          </cell>
        </row>
        <row r="114">
          <cell r="A114" t="str">
            <v>NEB FF1</v>
          </cell>
          <cell r="B114" t="str">
            <v>Kingsford Sarkodie Obeng Kwakye / Albert Asare / Nancy Anataba Kyorku Dzikunu-Bansah</v>
          </cell>
        </row>
        <row r="115">
          <cell r="A115" t="str">
            <v>NEB FF2</v>
          </cell>
          <cell r="B115" t="str">
            <v>Kwame Sarkodie / Emmanuel Offei Akrofi</v>
          </cell>
        </row>
        <row r="116">
          <cell r="A116" t="str">
            <v>NEB SF1</v>
          </cell>
          <cell r="B116" t="str">
            <v>Joseph Aveyire / Benjamin Kommey / Andrew Cudzo Amenuvor / Jonathan Atuquaye Quaye</v>
          </cell>
        </row>
        <row r="117">
          <cell r="A117" t="str">
            <v>PB001</v>
          </cell>
          <cell r="B117" t="str">
            <v>Bukari Ali / Albert Amatey Adjaottor</v>
          </cell>
        </row>
        <row r="118">
          <cell r="A118" t="str">
            <v>PB020</v>
          </cell>
          <cell r="B118" t="str">
            <v>Evans Amponsah / Gabriel Takyi</v>
          </cell>
        </row>
        <row r="119">
          <cell r="A119" t="str">
            <v>PB014</v>
          </cell>
          <cell r="B119" t="str">
            <v>Benjamin Afotey / John Wise Divine Ayer</v>
          </cell>
        </row>
        <row r="120">
          <cell r="A120" t="str">
            <v>PB008</v>
          </cell>
          <cell r="B120" t="str">
            <v>Daniel Kwegyir / Peter Oppong Tawiah</v>
          </cell>
        </row>
        <row r="121">
          <cell r="A121" t="str">
            <v>PB201</v>
          </cell>
          <cell r="B121" t="str">
            <v>Eric Kwame Anokye Asare / F. K. A. Nyarko</v>
          </cell>
        </row>
        <row r="122">
          <cell r="A122" t="str">
            <v>PB214</v>
          </cell>
          <cell r="B122" t="str">
            <v>James Okae / Francis Boafo Effah</v>
          </cell>
        </row>
        <row r="123">
          <cell r="A123" t="str">
            <v>PB212</v>
          </cell>
          <cell r="B123" t="str">
            <v>Daniel Oduro Boatey Nuamah</v>
          </cell>
        </row>
        <row r="124">
          <cell r="A124" t="str">
            <v>PB208</v>
          </cell>
          <cell r="B124" t="str">
            <v>Daniel Akwei Addo / Albert Kwame Kwaw</v>
          </cell>
        </row>
        <row r="125">
          <cell r="A125">
            <v>303</v>
          </cell>
          <cell r="B125" t="str">
            <v>Prince Yaw Andoh / Stephen Adjei</v>
          </cell>
        </row>
        <row r="126">
          <cell r="A126" t="str">
            <v>RM A</v>
          </cell>
          <cell r="B126" t="str">
            <v>Jonathan Arthur Quaye-Ballard</v>
          </cell>
        </row>
        <row r="127">
          <cell r="A127" t="str">
            <v>RM B</v>
          </cell>
          <cell r="B127" t="str">
            <v>David Oppong</v>
          </cell>
        </row>
        <row r="128">
          <cell r="A128">
            <v>206</v>
          </cell>
          <cell r="B128" t="str">
            <v>Emmanuel Appiah-Adjei</v>
          </cell>
        </row>
        <row r="129">
          <cell r="A129" t="str">
            <v>LT</v>
          </cell>
          <cell r="B129" t="str">
            <v>Y. A. Sokama-Neuyam</v>
          </cell>
        </row>
        <row r="130">
          <cell r="A130" t="str">
            <v>VSLA</v>
          </cell>
          <cell r="B130" t="str">
            <v>Samuel Kwofie / Faisal Wahib Adam</v>
          </cell>
        </row>
        <row r="131">
          <cell r="A131" t="str">
            <v>N1</v>
          </cell>
          <cell r="B131" t="str">
            <v>Godfred Boahen</v>
          </cell>
        </row>
        <row r="132">
          <cell r="A132" t="str">
            <v>N2</v>
          </cell>
          <cell r="B132" t="str">
            <v>Kofi Owura Amoabeng</v>
          </cell>
        </row>
        <row r="134">
          <cell r="A134" t="str">
            <v>A110</v>
          </cell>
          <cell r="B134" t="str">
            <v>William Amponsah / Eric Amoah Asante</v>
          </cell>
        </row>
        <row r="135">
          <cell r="A135" t="str">
            <v>NAF1</v>
          </cell>
          <cell r="B135" t="str">
            <v>Bright Akowuah / Henry Nunoo-Mensah</v>
          </cell>
        </row>
        <row r="136">
          <cell r="A136" t="str">
            <v>NEB FF1</v>
          </cell>
          <cell r="B136" t="str">
            <v xml:space="preserve">Kingsford Sarkodie Obeng Kwakye / K. O.-B Obour Agyekum / Nicholas Prah </v>
          </cell>
        </row>
        <row r="137">
          <cell r="A137" t="str">
            <v>NEB FF2</v>
          </cell>
          <cell r="B137" t="str">
            <v>Casper Adenutsi / Eliel Keelson</v>
          </cell>
        </row>
        <row r="138">
          <cell r="A138" t="str">
            <v>NEB SF1</v>
          </cell>
          <cell r="B138" t="str">
            <v>Daniel Kwegyir / Kwame Agyemang Prempeh Agyekum / Samuel Boahen/ Nancy Anataba Kyorku Dzikunu-Bansah</v>
          </cell>
        </row>
        <row r="139">
          <cell r="A139" t="str">
            <v>PB001</v>
          </cell>
          <cell r="B139" t="str">
            <v>Benjamin Afotey / Samuel Osah</v>
          </cell>
        </row>
        <row r="140">
          <cell r="A140" t="str">
            <v>PB020</v>
          </cell>
          <cell r="B140" t="str">
            <v>Jack Osei Banahene / Kwame Sarkodie</v>
          </cell>
        </row>
        <row r="141">
          <cell r="A141" t="str">
            <v>PB014</v>
          </cell>
          <cell r="B141" t="str">
            <v>Peter Oppong Tawiah / Theresa-Samuelle Maame Atwemaa Adjaidoo</v>
          </cell>
        </row>
        <row r="142">
          <cell r="A142" t="str">
            <v>PB008</v>
          </cell>
          <cell r="B142" t="str">
            <v xml:space="preserve">Samuel Erzuah / Evans Amponsah </v>
          </cell>
        </row>
        <row r="143">
          <cell r="A143" t="str">
            <v>PB201</v>
          </cell>
          <cell r="B143" t="str">
            <v>James Dzisi Gadze / Martinson Addo Nartey</v>
          </cell>
        </row>
        <row r="144">
          <cell r="A144" t="str">
            <v>PB214</v>
          </cell>
          <cell r="B144" t="str">
            <v>Emmanuel Ampoma Affum / Charles Gyamfi</v>
          </cell>
        </row>
        <row r="145">
          <cell r="A145" t="str">
            <v>PB212</v>
          </cell>
          <cell r="B145" t="str">
            <v xml:space="preserve">Efiba Vidda Senkyire Kwarteng </v>
          </cell>
        </row>
        <row r="146">
          <cell r="A146" t="str">
            <v>PB208</v>
          </cell>
          <cell r="B146" t="str">
            <v>Kenneth Adomako Tutu / Efiba Vidda Senkyire Kwarteng</v>
          </cell>
        </row>
        <row r="147">
          <cell r="A147">
            <v>303</v>
          </cell>
          <cell r="B147" t="str">
            <v>Eugene Appiah-Effah /  Jones Owusu Twumasi</v>
          </cell>
        </row>
        <row r="148">
          <cell r="A148">
            <v>304</v>
          </cell>
          <cell r="B148" t="str">
            <v>Charles Adrah</v>
          </cell>
        </row>
        <row r="149">
          <cell r="A149" t="str">
            <v>RM A</v>
          </cell>
          <cell r="B149" t="str">
            <v>Anthony Arko-Adjei</v>
          </cell>
        </row>
        <row r="150">
          <cell r="A150" t="str">
            <v>RM B</v>
          </cell>
          <cell r="B150" t="str">
            <v>Anthony A. Agyemang</v>
          </cell>
        </row>
        <row r="151">
          <cell r="A151" t="str">
            <v>VSLA</v>
          </cell>
          <cell r="B151" t="str">
            <v>Blestmond Afrifa Brako / Prince Odame</v>
          </cell>
        </row>
        <row r="152">
          <cell r="A152">
            <v>206</v>
          </cell>
          <cell r="B152" t="str">
            <v>Martina Francisca Baidoo</v>
          </cell>
        </row>
        <row r="153">
          <cell r="A153" t="str">
            <v>LT</v>
          </cell>
          <cell r="B153" t="str">
            <v>Bernard Konadu Amoah</v>
          </cell>
        </row>
        <row r="154">
          <cell r="A154" t="str">
            <v>ECR</v>
          </cell>
          <cell r="B154" t="str">
            <v xml:space="preserve">Sefakor Dogbe  </v>
          </cell>
        </row>
        <row r="155">
          <cell r="A155" t="str">
            <v>EA</v>
          </cell>
          <cell r="B155" t="str">
            <v xml:space="preserve">C. K. K. Sekyere  / Matthew Coffie Wilson  </v>
          </cell>
        </row>
        <row r="156">
          <cell r="A156" t="str">
            <v>N1</v>
          </cell>
          <cell r="B156" t="str">
            <v>Akwasi Afrifa Acheampong</v>
          </cell>
        </row>
        <row r="157">
          <cell r="A157" t="str">
            <v>N2</v>
          </cell>
          <cell r="B157" t="str">
            <v>Augustus Ababio Donkor</v>
          </cell>
        </row>
        <row r="158">
          <cell r="A158"/>
          <cell r="B158"/>
        </row>
        <row r="159">
          <cell r="A159" t="str">
            <v>A110</v>
          </cell>
          <cell r="B159" t="str">
            <v>William Amponsah / Martin Kesse</v>
          </cell>
        </row>
        <row r="160">
          <cell r="A160" t="str">
            <v>ECR</v>
          </cell>
          <cell r="B160" t="str">
            <v>Andrew Selasi Agbemenu</v>
          </cell>
        </row>
        <row r="161">
          <cell r="A161" t="str">
            <v>VCR</v>
          </cell>
          <cell r="B161" t="str">
            <v>Bennetta Koomson</v>
          </cell>
        </row>
        <row r="162">
          <cell r="A162" t="str">
            <v>EA</v>
          </cell>
          <cell r="B162" t="str">
            <v>David Oppong / Vincent Kofi Abaka Acquaah</v>
          </cell>
        </row>
        <row r="163">
          <cell r="A163" t="str">
            <v>NEB GF1</v>
          </cell>
          <cell r="B163" t="str">
            <v>Peter Oppong Tawiah / Eric Kwame Anokye Asare / Sefakor Dogbe</v>
          </cell>
        </row>
        <row r="164">
          <cell r="A164" t="str">
            <v>NEB FF1</v>
          </cell>
          <cell r="B164" t="str">
            <v>Kingsford Sarkodie Obeng Kwakye / Prince Ebenezer Adjei / Ayuba Bene Adam</v>
          </cell>
        </row>
        <row r="165">
          <cell r="A165" t="str">
            <v>NEB FF2</v>
          </cell>
          <cell r="B165" t="str">
            <v>F. K. A. Nyarko / Jonathan Atuquaye Quaye</v>
          </cell>
        </row>
        <row r="166">
          <cell r="A166" t="str">
            <v>NEB SF1</v>
          </cell>
          <cell r="B166" t="str">
            <v>Benjamin Kommey / Andrew Cudzo Amenuvor / Joshua Ampofo / Stephen Adjei</v>
          </cell>
        </row>
        <row r="167">
          <cell r="A167" t="str">
            <v>PB001</v>
          </cell>
          <cell r="B167" t="str">
            <v>Felix Jojo Fianko Ayeh / C. K. K. Sekyere</v>
          </cell>
        </row>
        <row r="168">
          <cell r="A168" t="str">
            <v>PB020</v>
          </cell>
          <cell r="B168" t="str">
            <v>Benjamin Afotey / Matthew Coffie Wilson</v>
          </cell>
        </row>
        <row r="169">
          <cell r="A169" t="str">
            <v>PB014</v>
          </cell>
          <cell r="B169" t="str">
            <v>Jude Bonsu / Charles Adrah</v>
          </cell>
        </row>
        <row r="170">
          <cell r="A170" t="str">
            <v>PB008</v>
          </cell>
          <cell r="B170" t="str">
            <v>Dorothy Araba Yakoba Agyapong / M. Appiah Brempong</v>
          </cell>
        </row>
        <row r="171">
          <cell r="A171" t="str">
            <v>PB201</v>
          </cell>
          <cell r="B171" t="str">
            <v>Daniel Akwei Addo / Albert Kwame Kwaw</v>
          </cell>
        </row>
        <row r="172">
          <cell r="A172" t="str">
            <v>PB214</v>
          </cell>
          <cell r="B172" t="str">
            <v>Daniel Oduro Boatey Nuamah / Faisal Wahib Adam</v>
          </cell>
        </row>
        <row r="173">
          <cell r="A173" t="str">
            <v>PB212</v>
          </cell>
          <cell r="B173" t="str">
            <v>Samuel Boahen</v>
          </cell>
        </row>
        <row r="174">
          <cell r="A174">
            <v>303</v>
          </cell>
          <cell r="B174" t="str">
            <v>Prosper Akaba / Godfred Boahen</v>
          </cell>
        </row>
        <row r="175">
          <cell r="A175">
            <v>304</v>
          </cell>
          <cell r="B175" t="str">
            <v>Yesuenyeagbe Fiagbe</v>
          </cell>
        </row>
        <row r="176">
          <cell r="A176" t="str">
            <v>RM A</v>
          </cell>
          <cell r="B176" t="str">
            <v>Jack Osei Banahene</v>
          </cell>
        </row>
        <row r="177">
          <cell r="A177" t="str">
            <v>RM B</v>
          </cell>
          <cell r="B177" t="str">
            <v>Henry Nunoo-Mensah</v>
          </cell>
        </row>
        <row r="178">
          <cell r="A178">
            <v>206</v>
          </cell>
          <cell r="B178" t="str">
            <v>Kofi Owura Amoabeng</v>
          </cell>
        </row>
        <row r="179">
          <cell r="A179" t="str">
            <v>LT</v>
          </cell>
          <cell r="B179" t="str">
            <v>Theresa-Samuelle Maame Atwemaa Adjaidoo</v>
          </cell>
        </row>
        <row r="180">
          <cell r="A180" t="str">
            <v>VSLA</v>
          </cell>
          <cell r="B180" t="str">
            <v>James Dzisi Gadze / Eric Amoah Asante</v>
          </cell>
        </row>
        <row r="181">
          <cell r="A181" t="str">
            <v>N1</v>
          </cell>
          <cell r="B181" t="str">
            <v>Efiba Vidda Senkyire Kwarteng</v>
          </cell>
        </row>
        <row r="182">
          <cell r="A182" t="str">
            <v>N2</v>
          </cell>
          <cell r="B182" t="str">
            <v>Samuel Osah</v>
          </cell>
        </row>
        <row r="183">
          <cell r="A183"/>
          <cell r="B183"/>
        </row>
        <row r="184">
          <cell r="A184" t="str">
            <v>A110</v>
          </cell>
          <cell r="B184" t="str">
            <v>William Amponsah / Mary Mensah</v>
          </cell>
        </row>
        <row r="185">
          <cell r="A185" t="str">
            <v>ECR</v>
          </cell>
          <cell r="B185" t="str">
            <v>Andrew Selasi Agbemenu</v>
          </cell>
        </row>
        <row r="186">
          <cell r="A186" t="str">
            <v>VCR</v>
          </cell>
          <cell r="B186" t="str">
            <v>Emmanuel Kwesi Arthur</v>
          </cell>
        </row>
        <row r="187">
          <cell r="A187" t="str">
            <v>NAF1</v>
          </cell>
          <cell r="B187" t="str">
            <v>Bright Akowuah / Godfrey Chiri Amedjoe</v>
          </cell>
        </row>
        <row r="188">
          <cell r="A188" t="str">
            <v>EA</v>
          </cell>
          <cell r="B188" t="str">
            <v>Ebenezer Mensah / Bukari Ali</v>
          </cell>
        </row>
        <row r="189">
          <cell r="A189" t="str">
            <v>NEB GF1</v>
          </cell>
          <cell r="B189" t="str">
            <v>John Wise Divine Ayer / Simon Kafui Yawo Gawu / Joseph Aveyire</v>
          </cell>
        </row>
        <row r="190">
          <cell r="A190" t="str">
            <v>NEB FF1</v>
          </cell>
          <cell r="B190" t="str">
            <v>Kingsford Sarkodie Obeng Kwakye / Martinson Addo Nartey / Francisca Adoma Acheampong</v>
          </cell>
        </row>
        <row r="191">
          <cell r="A191" t="str">
            <v>NEB FF2</v>
          </cell>
          <cell r="B191" t="str">
            <v>Gabriel Takyi / Sefakor Dogbe</v>
          </cell>
        </row>
        <row r="192">
          <cell r="A192" t="str">
            <v>NEB SF1</v>
          </cell>
          <cell r="B192" t="str">
            <v>Yaw Adubofour Tuffour / Francis Kofi Forson / Jones Owusu Twumasi / Gordon Foli</v>
          </cell>
        </row>
        <row r="193">
          <cell r="A193" t="str">
            <v>PB001</v>
          </cell>
          <cell r="B193" t="str">
            <v>Casper Adenutsi / S. H. M. Aikins</v>
          </cell>
        </row>
        <row r="194">
          <cell r="A194" t="str">
            <v>PB020</v>
          </cell>
          <cell r="B194" t="str">
            <v>Emmanuel Obuobi Kwame Addo / Albert Amatey Adjaottor</v>
          </cell>
        </row>
        <row r="195">
          <cell r="A195" t="str">
            <v>PB014</v>
          </cell>
          <cell r="B195" t="str">
            <v>Benjamin Afotey / Cosmas Yaw Asante</v>
          </cell>
        </row>
        <row r="196">
          <cell r="A196" t="str">
            <v>PB008</v>
          </cell>
          <cell r="B196" t="str">
            <v xml:space="preserve">Geophrey Kwame Anornu / Alfred Alan Duker </v>
          </cell>
        </row>
        <row r="197">
          <cell r="A197" t="str">
            <v>PB201</v>
          </cell>
          <cell r="B197" t="str">
            <v xml:space="preserve">Samuel Erzuah / Emmanuel Offei Akrofi </v>
          </cell>
        </row>
        <row r="198">
          <cell r="A198" t="str">
            <v>PB214</v>
          </cell>
          <cell r="B198" t="str">
            <v>James Okae / Benjamin Kommey</v>
          </cell>
        </row>
        <row r="199">
          <cell r="A199" t="str">
            <v>PB212</v>
          </cell>
          <cell r="B199" t="str">
            <v>Jonathan Atuquaye Quaye</v>
          </cell>
        </row>
        <row r="200">
          <cell r="A200" t="str">
            <v>PB208</v>
          </cell>
          <cell r="B200" t="str">
            <v>F. K. A. Nyarko / Andrew Cudzo Amenuvor</v>
          </cell>
        </row>
        <row r="201">
          <cell r="A201">
            <v>303</v>
          </cell>
          <cell r="B201" t="str">
            <v>Eric Kwame Anokye Asare / Anthony A. Agyemang</v>
          </cell>
        </row>
        <row r="202">
          <cell r="A202">
            <v>304</v>
          </cell>
          <cell r="B202" t="str">
            <v>Isaac Dadzie</v>
          </cell>
        </row>
        <row r="203">
          <cell r="A203" t="str">
            <v>RM A</v>
          </cell>
          <cell r="B203" t="str">
            <v>Charles Gyamfi</v>
          </cell>
        </row>
        <row r="204">
          <cell r="A204" t="str">
            <v>RM B</v>
          </cell>
          <cell r="B204" t="str">
            <v>Kenneth Adomako Tutu</v>
          </cell>
        </row>
        <row r="205">
          <cell r="A205">
            <v>206</v>
          </cell>
          <cell r="B205" t="str">
            <v>Dorothy Araba Yakoba Agyapong</v>
          </cell>
        </row>
        <row r="206">
          <cell r="A206" t="str">
            <v>LT</v>
          </cell>
          <cell r="B206" t="str">
            <v>Ayuba Bene Adam</v>
          </cell>
        </row>
        <row r="207">
          <cell r="A207" t="str">
            <v>VSLA</v>
          </cell>
          <cell r="B207" t="str">
            <v>Emmanuel Ampoma Affum / Daniel Kwegyir</v>
          </cell>
        </row>
        <row r="208">
          <cell r="A208" t="str">
            <v>N1</v>
          </cell>
          <cell r="B208" t="str">
            <v>Evans Amponsah</v>
          </cell>
        </row>
        <row r="209">
          <cell r="A209" t="str">
            <v>N2</v>
          </cell>
          <cell r="B209" t="str">
            <v>Akwasi Afrifa Acheampong</v>
          </cell>
        </row>
        <row r="210">
          <cell r="A210"/>
          <cell r="B210"/>
        </row>
        <row r="211">
          <cell r="A211" t="str">
            <v>A110</v>
          </cell>
          <cell r="B211" t="str">
            <v>William Amponsah / Mary Mensah</v>
          </cell>
        </row>
        <row r="212">
          <cell r="A212" t="str">
            <v>ECR</v>
          </cell>
          <cell r="B212" t="str">
            <v>Andrew Selasi Agbemenu</v>
          </cell>
        </row>
        <row r="213">
          <cell r="A213" t="str">
            <v>VCR</v>
          </cell>
          <cell r="B213" t="str">
            <v>Emmanuel Kwesi Arthur</v>
          </cell>
        </row>
        <row r="214">
          <cell r="A214" t="str">
            <v>NAF1</v>
          </cell>
          <cell r="B214" t="str">
            <v>Bright Akowuah / Gordon Foli</v>
          </cell>
        </row>
        <row r="215">
          <cell r="A215" t="str">
            <v>EA</v>
          </cell>
          <cell r="B215" t="str">
            <v>Yesuenyeagbe Fiagbe / Gabriel Takyi</v>
          </cell>
        </row>
        <row r="216">
          <cell r="A216" t="str">
            <v>NEB GF1</v>
          </cell>
          <cell r="B216" t="str">
            <v>Kwame Sarkodie / Kwame Agyemang Prempeh Agyekum / Bukari Ali</v>
          </cell>
        </row>
        <row r="217">
          <cell r="A217" t="str">
            <v>NEB FF1</v>
          </cell>
          <cell r="B217" t="str">
            <v>Kingsford Sarkodie Obeng Kwakye / Godfrey Chiri Amedjoe / Francisca Adoma Acheampong</v>
          </cell>
        </row>
        <row r="218">
          <cell r="A218" t="str">
            <v>NEB FF2</v>
          </cell>
          <cell r="B218" t="str">
            <v>Nicholas Prah / Nancy Anataba Kyorku Dzikunu-Bansah</v>
          </cell>
        </row>
        <row r="219">
          <cell r="A219" t="str">
            <v>NEB SF1</v>
          </cell>
          <cell r="B219" t="str">
            <v>Eugene Appiah-Effah / Bernard Konadu Amoah /Simon Kafui Yawo Gawu  / Matthew Coffie Wilson</v>
          </cell>
        </row>
        <row r="220">
          <cell r="A220" t="str">
            <v>PB001</v>
          </cell>
          <cell r="B220" t="str">
            <v>Cosmas Yaw Asante / Francis Kofi Forson</v>
          </cell>
        </row>
        <row r="221">
          <cell r="A221" t="str">
            <v>PB020</v>
          </cell>
          <cell r="B221" t="str">
            <v>C. K. K. Sekyere / Augustus Ababio Donkor</v>
          </cell>
        </row>
        <row r="222">
          <cell r="A222" t="str">
            <v>PB014</v>
          </cell>
          <cell r="B222" t="str">
            <v>Daniel Kwegyir / Albert Amatey Adjaottor</v>
          </cell>
        </row>
        <row r="223">
          <cell r="A223" t="str">
            <v>PB008</v>
          </cell>
          <cell r="B223" t="str">
            <v>Benjamin Afotey / Alfred Alan Duker</v>
          </cell>
        </row>
        <row r="224">
          <cell r="A224" t="str">
            <v>PB201</v>
          </cell>
          <cell r="B224" t="str">
            <v>John Wise Divine Ayer / Joseph Aveyire</v>
          </cell>
        </row>
        <row r="225">
          <cell r="A225" t="str">
            <v>PB214</v>
          </cell>
          <cell r="B225" t="str">
            <v>Albert Asare / S. H. M. Aikins</v>
          </cell>
        </row>
        <row r="226">
          <cell r="A226" t="str">
            <v>PB212</v>
          </cell>
          <cell r="B226" t="str">
            <v>Ebenezer Mensah</v>
          </cell>
        </row>
        <row r="227">
          <cell r="A227" t="str">
            <v>PB208</v>
          </cell>
          <cell r="B227" t="str">
            <v>David Oppong / Peter Oppong Tawiah</v>
          </cell>
        </row>
        <row r="228">
          <cell r="A228">
            <v>303</v>
          </cell>
          <cell r="B228" t="str">
            <v>Martin Kesse / M. Appiah Brempong</v>
          </cell>
        </row>
        <row r="229">
          <cell r="A229">
            <v>304</v>
          </cell>
          <cell r="B229" t="str">
            <v>Prosper Akaba</v>
          </cell>
        </row>
        <row r="230">
          <cell r="A230" t="str">
            <v>RM A</v>
          </cell>
          <cell r="B230" t="str">
            <v>Felix Jojo Fianko Ayeh</v>
          </cell>
        </row>
        <row r="231">
          <cell r="A231" t="str">
            <v>RM B</v>
          </cell>
          <cell r="B231" t="str">
            <v>Bennetta Koomson</v>
          </cell>
        </row>
        <row r="232">
          <cell r="A232">
            <v>206</v>
          </cell>
          <cell r="B232" t="str">
            <v>Eliel Keelson</v>
          </cell>
        </row>
        <row r="233">
          <cell r="A233" t="str">
            <v>LT</v>
          </cell>
          <cell r="B233" t="str">
            <v>Isaac Dadzie</v>
          </cell>
        </row>
        <row r="234">
          <cell r="A234" t="str">
            <v>VSLA</v>
          </cell>
          <cell r="B234" t="str">
            <v>Emmanuel Offei Akrofi / Jude Bonsu</v>
          </cell>
        </row>
        <row r="235">
          <cell r="A235" t="str">
            <v>N1</v>
          </cell>
          <cell r="B235" t="str">
            <v>Prince Ebenezer Adjei</v>
          </cell>
        </row>
        <row r="236">
          <cell r="A236" t="str">
            <v>N2</v>
          </cell>
          <cell r="B236" t="str">
            <v>Vincent Kofi Abaka Acquaah</v>
          </cell>
        </row>
        <row r="237">
          <cell r="A237"/>
          <cell r="B237"/>
        </row>
        <row r="238">
          <cell r="A238" t="str">
            <v>A110</v>
          </cell>
          <cell r="B238" t="str">
            <v>William Amponsah / Godfrey Chiri Amedjoe</v>
          </cell>
        </row>
        <row r="239">
          <cell r="A239" t="str">
            <v>ECR</v>
          </cell>
          <cell r="B239" t="str">
            <v>Andrew Selasi Agbemenu</v>
          </cell>
        </row>
        <row r="240">
          <cell r="A240" t="str">
            <v>VCR</v>
          </cell>
          <cell r="B240" t="str">
            <v>Samuel Osah</v>
          </cell>
        </row>
        <row r="241">
          <cell r="A241" t="str">
            <v>NAF1</v>
          </cell>
          <cell r="B241" t="str">
            <v>Bright Akowuah / Francisca Adoma Acheampong</v>
          </cell>
        </row>
        <row r="242">
          <cell r="A242" t="str">
            <v>EA</v>
          </cell>
          <cell r="B242" t="str">
            <v>David Oppong / Samuel Kwofie</v>
          </cell>
        </row>
        <row r="243">
          <cell r="A243" t="str">
            <v>NEB GF1</v>
          </cell>
          <cell r="B243" t="str">
            <v>Eric Amoah Asante / Prince Yaw Andoh /  Martina Francisca Baidoo</v>
          </cell>
        </row>
        <row r="244">
          <cell r="A244" t="str">
            <v>NEB FF1</v>
          </cell>
          <cell r="B244" t="str">
            <v>Kingsford Sarkodie Obeng Kwakye / Anthony Arko-Adjei / Samuel Erzuah</v>
          </cell>
        </row>
        <row r="245">
          <cell r="A245" t="str">
            <v>NEB FF2</v>
          </cell>
          <cell r="B245" t="str">
            <v>Jonathan Arthur Quaye-Ballard / Francis Boafo Effah</v>
          </cell>
        </row>
        <row r="246">
          <cell r="A246" t="str">
            <v>NEB SF1</v>
          </cell>
          <cell r="B246" t="str">
            <v>Eric Kwame Anokye Asare / Andrew Cudzo Amenuvor / James Okae / Jonathan Atuquaye Quaye</v>
          </cell>
        </row>
        <row r="247">
          <cell r="A247" t="str">
            <v>PB001</v>
          </cell>
          <cell r="B247" t="str">
            <v>Benjamin Afotey / Emmanuel Obuobi Kwame Addo</v>
          </cell>
        </row>
        <row r="248">
          <cell r="A248" t="str">
            <v>PB020</v>
          </cell>
          <cell r="B248" t="str">
            <v>Geophrey Kwame Anornu / Y. A. Sokama-Neuyam</v>
          </cell>
        </row>
        <row r="249">
          <cell r="A249" t="str">
            <v>PB014</v>
          </cell>
          <cell r="B249" t="str">
            <v>Sefakor Dogbe / Daniel Akwei Addo</v>
          </cell>
        </row>
        <row r="250">
          <cell r="A250" t="str">
            <v>PB008</v>
          </cell>
          <cell r="B250" t="str">
            <v>Daniel Oduro Boatey Nuamah / Stephen Adjei</v>
          </cell>
        </row>
        <row r="251">
          <cell r="A251" t="str">
            <v>PB201</v>
          </cell>
          <cell r="B251" t="str">
            <v>F. K. A. Nyarko / Benjamin Kommey</v>
          </cell>
        </row>
        <row r="252">
          <cell r="A252" t="str">
            <v>PB214</v>
          </cell>
          <cell r="B252" t="str">
            <v>Gordon Foli / Godfred Boahen</v>
          </cell>
        </row>
        <row r="253">
          <cell r="A253" t="str">
            <v>PB212</v>
          </cell>
          <cell r="B253" t="str">
            <v>Faisal Wahib Adam</v>
          </cell>
        </row>
        <row r="254">
          <cell r="A254" t="str">
            <v>PB208</v>
          </cell>
          <cell r="B254" t="str">
            <v>Martinson Addo Nartey / Emmanuel Appiah-Adjei</v>
          </cell>
        </row>
        <row r="255">
          <cell r="A255">
            <v>303</v>
          </cell>
          <cell r="B255" t="str">
            <v>Henry Nunoo-Mensah / Prince Odame</v>
          </cell>
        </row>
        <row r="256">
          <cell r="A256">
            <v>304</v>
          </cell>
          <cell r="B256" t="str">
            <v>Albert Kwame Kwaw</v>
          </cell>
        </row>
        <row r="257">
          <cell r="A257" t="str">
            <v>RM A</v>
          </cell>
          <cell r="B257" t="str">
            <v>Jones Owusu Twumasi</v>
          </cell>
        </row>
        <row r="258">
          <cell r="A258" t="str">
            <v>RM B</v>
          </cell>
          <cell r="B258" t="str">
            <v>Jack Osei Banahene</v>
          </cell>
        </row>
        <row r="259">
          <cell r="A259">
            <v>206</v>
          </cell>
          <cell r="B259" t="str">
            <v>Kofi Owura Amoabeng</v>
          </cell>
        </row>
        <row r="260">
          <cell r="A260" t="str">
            <v>LT</v>
          </cell>
          <cell r="B260" t="str">
            <v>Theresa-Samuelle Maame Atwemaa Adjaidoo</v>
          </cell>
        </row>
        <row r="261">
          <cell r="A261" t="str">
            <v>VSLA</v>
          </cell>
          <cell r="B261" t="str">
            <v>Casper Adenutsi / Blestmond Afrifa Brako</v>
          </cell>
        </row>
        <row r="262">
          <cell r="A262" t="str">
            <v>N1</v>
          </cell>
          <cell r="B262" t="str">
            <v>K. O.-B Obour Agyekum</v>
          </cell>
        </row>
        <row r="263">
          <cell r="A263" t="str">
            <v>N2</v>
          </cell>
          <cell r="B263" t="str">
            <v>Charles Adrah</v>
          </cell>
        </row>
        <row r="264">
          <cell r="A264"/>
        </row>
        <row r="265">
          <cell r="A265" t="str">
            <v>N2</v>
          </cell>
          <cell r="B265" t="str">
            <v>Cosmas Yaw Asante</v>
          </cell>
        </row>
        <row r="266">
          <cell r="A266" t="str">
            <v>N1</v>
          </cell>
          <cell r="B266" t="str">
            <v>Evans Amponsah</v>
          </cell>
        </row>
        <row r="267">
          <cell r="A267" t="str">
            <v>A110</v>
          </cell>
          <cell r="B267" t="str">
            <v>William Amponsah / Efiba Vidda Senkyire Kwarteng</v>
          </cell>
        </row>
        <row r="268">
          <cell r="A268" t="str">
            <v>ECR</v>
          </cell>
          <cell r="B268" t="str">
            <v>Samuel Boahen</v>
          </cell>
        </row>
        <row r="269">
          <cell r="A269" t="str">
            <v>VCR</v>
          </cell>
          <cell r="B269" t="str">
            <v>Bukari Ali</v>
          </cell>
        </row>
        <row r="270">
          <cell r="A270" t="str">
            <v>NAF1</v>
          </cell>
          <cell r="B270" t="str">
            <v>Bright Akowuah / Nicholas Prah</v>
          </cell>
        </row>
        <row r="271">
          <cell r="A271" t="str">
            <v>EA</v>
          </cell>
          <cell r="B271" t="str">
            <v>Anthony A. Agyemang / Martina Francisca Baidoo</v>
          </cell>
        </row>
        <row r="272">
          <cell r="A272" t="str">
            <v>NEB GF1</v>
          </cell>
          <cell r="B272" t="str">
            <v>David Oppong / Ayuba Bene Adam / Isaac Dadzie</v>
          </cell>
        </row>
        <row r="273">
          <cell r="A273" t="str">
            <v>NEB FF1</v>
          </cell>
          <cell r="B273" t="str">
            <v>Kingsford Sarkodie Obeng Kwakye / Geophrey Kwame Anornu / Gabriel Takyi</v>
          </cell>
        </row>
        <row r="274">
          <cell r="A274" t="str">
            <v>NEB FF2</v>
          </cell>
          <cell r="B274" t="str">
            <v>Kwame Agyemang Prempeh Agyekum / Bernard Konadu Amoah</v>
          </cell>
        </row>
        <row r="275">
          <cell r="A275" t="str">
            <v>NEB SF1</v>
          </cell>
          <cell r="B275" t="str">
            <v>Prince Odame / James Dzisi Gadze / Yesuenyeagbe Fiagbe / Akwasi Afrifa Acheampong</v>
          </cell>
        </row>
        <row r="276">
          <cell r="A276" t="str">
            <v>PB001</v>
          </cell>
          <cell r="B276" t="str">
            <v>Eliel Keelson / Francis Kofi Forson</v>
          </cell>
        </row>
        <row r="277">
          <cell r="A277" t="str">
            <v>PB020</v>
          </cell>
          <cell r="B277" t="str">
            <v>Benjamin Afotey / Augustus Ababio Donkor</v>
          </cell>
        </row>
        <row r="278">
          <cell r="A278" t="str">
            <v>PB014</v>
          </cell>
          <cell r="B278" t="str">
            <v>Alfred Alan Duker / C. K. K. Sekyere</v>
          </cell>
        </row>
        <row r="279">
          <cell r="A279" t="str">
            <v>PB008</v>
          </cell>
          <cell r="B279" t="str">
            <v>Matthew Coffie Wilson / Eugene Appiah-Effah</v>
          </cell>
        </row>
        <row r="280">
          <cell r="A280" t="str">
            <v>PB201</v>
          </cell>
          <cell r="B280" t="str">
            <v>Emmanuel Ampoma Affum / Anthony Arko-Adjei</v>
          </cell>
        </row>
        <row r="281">
          <cell r="A281" t="str">
            <v>PB214</v>
          </cell>
          <cell r="B281" t="str">
            <v>Simon Kafui Yawo Gawu / Kenneth Adomako Tutu</v>
          </cell>
        </row>
        <row r="282">
          <cell r="A282" t="str">
            <v>PB212</v>
          </cell>
          <cell r="B282" t="str">
            <v>Emmanuel Obuobi Kwame Addo</v>
          </cell>
        </row>
        <row r="283">
          <cell r="A283" t="str">
            <v>PB208</v>
          </cell>
          <cell r="B283" t="str">
            <v>K. O.-B Obour Agyekum / M. Appiah Brempong</v>
          </cell>
        </row>
        <row r="284">
          <cell r="A284">
            <v>303</v>
          </cell>
          <cell r="B284" t="str">
            <v>Prosper Akaba / S. H. M. Aikins</v>
          </cell>
        </row>
        <row r="285">
          <cell r="A285">
            <v>304</v>
          </cell>
          <cell r="B285" t="str">
            <v>Dorothy Araba Yakoba Agyapong</v>
          </cell>
        </row>
        <row r="286">
          <cell r="A286" t="str">
            <v>RM A</v>
          </cell>
          <cell r="B286" t="str">
            <v>Albert Asare</v>
          </cell>
        </row>
        <row r="287">
          <cell r="A287" t="str">
            <v>RM B</v>
          </cell>
          <cell r="B287" t="str">
            <v>Albert Amatey Adjaottor</v>
          </cell>
        </row>
        <row r="288">
          <cell r="A288">
            <v>206</v>
          </cell>
          <cell r="B288" t="str">
            <v>John Wise Divine Ayer</v>
          </cell>
        </row>
        <row r="289">
          <cell r="A289" t="str">
            <v>LT</v>
          </cell>
          <cell r="B289" t="str">
            <v>Peter Oppong Tawiah</v>
          </cell>
        </row>
        <row r="290">
          <cell r="A290" t="str">
            <v>VSLA</v>
          </cell>
          <cell r="B290" t="str">
            <v>Bennetta Koomson / Kwame Sarkodie</v>
          </cell>
        </row>
        <row r="291">
          <cell r="A291" t="str">
            <v>A110</v>
          </cell>
          <cell r="B291" t="str">
            <v>Prince Odame / William Amponsah</v>
          </cell>
        </row>
        <row r="292">
          <cell r="A292"/>
          <cell r="B292"/>
        </row>
        <row r="293">
          <cell r="A293" t="str">
            <v>ECR</v>
          </cell>
          <cell r="B293" t="str">
            <v xml:space="preserve">Martina Francisca Baidoo  </v>
          </cell>
        </row>
        <row r="294">
          <cell r="A294" t="str">
            <v>VCR</v>
          </cell>
          <cell r="B294" t="str">
            <v xml:space="preserve">Akwasi Afrifa Acheampong  </v>
          </cell>
        </row>
        <row r="295">
          <cell r="A295" t="str">
            <v>NAF1</v>
          </cell>
          <cell r="B295" t="str">
            <v xml:space="preserve">Francis Boafo Effah / Dorothy Araba Yakoba Agyapong  </v>
          </cell>
        </row>
        <row r="296">
          <cell r="A296" t="str">
            <v>EA</v>
          </cell>
          <cell r="B296" t="str">
            <v>James Dzisi Gadze  /  Henry Nunoo-Mensah</v>
          </cell>
        </row>
        <row r="297">
          <cell r="A297" t="str">
            <v>NEB FF1</v>
          </cell>
          <cell r="B297" t="str">
            <v>Kingsford Sarkodie Obeng Kwakye / Martin Kesse / Charles Gyamfi</v>
          </cell>
        </row>
        <row r="298">
          <cell r="A298" t="str">
            <v>NEB FF2</v>
          </cell>
          <cell r="B298" t="str">
            <v>James Okae / F. K. A. Nyarko</v>
          </cell>
        </row>
        <row r="299">
          <cell r="A299" t="str">
            <v>NEB GF1</v>
          </cell>
          <cell r="B299" t="str">
            <v>Kenneth Adomako Tutu / Eugene Appiah-Effah /  Samuel Osah</v>
          </cell>
        </row>
        <row r="300">
          <cell r="A300" t="str">
            <v>NEB SF1</v>
          </cell>
          <cell r="B300" t="str">
            <v>Jonathan Atuquaye Quaye / Andrew Cudzo Amenuvor / Benjamin Kommey / Faisal Wahib Adam</v>
          </cell>
        </row>
        <row r="301">
          <cell r="A301" t="str">
            <v>PB001</v>
          </cell>
          <cell r="B301" t="str">
            <v>Nancy Anataba Kyorku Dzikunu-Bansah / Vincent Kofi Abaka Acquaah</v>
          </cell>
        </row>
        <row r="302">
          <cell r="A302" t="str">
            <v>PB020</v>
          </cell>
          <cell r="B302" t="str">
            <v>Blestmond Afrifa Brako / Sefakor Dogbe</v>
          </cell>
        </row>
        <row r="303">
          <cell r="A303" t="str">
            <v>PB014</v>
          </cell>
          <cell r="B303" t="str">
            <v>Benjamin Afotey / Efiba Vidda Senkyire Kwarteng</v>
          </cell>
        </row>
        <row r="304">
          <cell r="A304" t="str">
            <v>PB008</v>
          </cell>
          <cell r="B304" t="str">
            <v>Prince Ebenezer Adjei / Daniel Oduro Boatey Nuamah</v>
          </cell>
        </row>
        <row r="305">
          <cell r="A305" t="str">
            <v>PB201</v>
          </cell>
          <cell r="B305" t="str">
            <v>Jack Osei Banahene /  Eliel Keelson</v>
          </cell>
        </row>
        <row r="306">
          <cell r="A306" t="str">
            <v>PB214</v>
          </cell>
          <cell r="B306" t="str">
            <v>Jack Osei Banahene / Samuel Boahen</v>
          </cell>
        </row>
        <row r="307">
          <cell r="A307" t="str">
            <v>PB212</v>
          </cell>
          <cell r="B307" t="str">
            <v>Godfred Boahen</v>
          </cell>
        </row>
        <row r="308">
          <cell r="A308" t="str">
            <v>PB208</v>
          </cell>
          <cell r="B308" t="str">
            <v>Eric Amoah Asante / Evans Amponsah</v>
          </cell>
        </row>
        <row r="309">
          <cell r="A309">
            <v>303</v>
          </cell>
          <cell r="B309" t="str">
            <v xml:space="preserve">Charles Adrah / William Amponsah </v>
          </cell>
        </row>
        <row r="310">
          <cell r="A310">
            <v>304</v>
          </cell>
          <cell r="B310" t="str">
            <v>Daniel Akwei Addo</v>
          </cell>
        </row>
        <row r="311">
          <cell r="A311">
            <v>206</v>
          </cell>
          <cell r="B311" t="str">
            <v>K. O.-B Obour Agyekum</v>
          </cell>
        </row>
        <row r="312">
          <cell r="A312" t="str">
            <v>A110</v>
          </cell>
          <cell r="B312" t="str">
            <v>Prince Odame / Efiba Vidda Senkyire Kwarteng</v>
          </cell>
        </row>
        <row r="313">
          <cell r="A313" t="str">
            <v>ECR</v>
          </cell>
          <cell r="B313" t="str">
            <v xml:space="preserve">Martina Francisca Baidoo  </v>
          </cell>
        </row>
        <row r="314">
          <cell r="A314" t="str">
            <v>VCR</v>
          </cell>
          <cell r="B314" t="str">
            <v xml:space="preserve">Akwasi Afrifa Acheampong  </v>
          </cell>
        </row>
        <row r="315">
          <cell r="A315" t="str">
            <v>NAF1</v>
          </cell>
          <cell r="B315" t="str">
            <v xml:space="preserve">Francis Boafo Effah / Dorothy Araba Yakoba Agyapong  </v>
          </cell>
        </row>
        <row r="316">
          <cell r="A316" t="str">
            <v>EA</v>
          </cell>
          <cell r="B316" t="str">
            <v xml:space="preserve">James Dzisi Gadze  / Eliel Keelson  </v>
          </cell>
        </row>
        <row r="317">
          <cell r="A317" t="str">
            <v>RM A</v>
          </cell>
          <cell r="B317" t="str">
            <v>Theresa-Samuelle Maame Atwemaa Adjaidoo</v>
          </cell>
        </row>
        <row r="318">
          <cell r="A318" t="str">
            <v>RM B</v>
          </cell>
          <cell r="B318" t="str">
            <v>Jones Owusu Twumasi</v>
          </cell>
        </row>
        <row r="319">
          <cell r="A319" t="str">
            <v>LT</v>
          </cell>
          <cell r="B319" t="str">
            <v>Casper Adenutsi</v>
          </cell>
        </row>
        <row r="320">
          <cell r="A320" t="str">
            <v>VSLA</v>
          </cell>
          <cell r="B320" t="str">
            <v>Sefakor Dogbe / Peter Oppong Tawiah</v>
          </cell>
        </row>
        <row r="321">
          <cell r="A321" t="str">
            <v>N1</v>
          </cell>
          <cell r="B321" t="str">
            <v>Samuel Erzuah</v>
          </cell>
        </row>
        <row r="322">
          <cell r="A322" t="str">
            <v>N2</v>
          </cell>
          <cell r="B322" t="str">
            <v>Kofi Owura Amoabeng</v>
          </cell>
        </row>
        <row r="323">
          <cell r="A323"/>
          <cell r="B323"/>
        </row>
        <row r="324">
          <cell r="A324"/>
          <cell r="B324"/>
        </row>
        <row r="325">
          <cell r="A325" t="str">
            <v>A110</v>
          </cell>
          <cell r="B325" t="str">
            <v>William Amponsah / Patrick Boakye</v>
          </cell>
        </row>
        <row r="326">
          <cell r="A326" t="str">
            <v>ECR</v>
          </cell>
          <cell r="B326" t="str">
            <v>Andrew Selasi Agbemenu</v>
          </cell>
        </row>
        <row r="327">
          <cell r="A327" t="str">
            <v>VCR</v>
          </cell>
          <cell r="B327" t="str">
            <v>Martinson Addo Nartey</v>
          </cell>
        </row>
        <row r="328">
          <cell r="A328" t="str">
            <v>NAF1</v>
          </cell>
          <cell r="B328" t="str">
            <v>Bright Akowuah / Daniel Oduro Boatey Nuamah</v>
          </cell>
        </row>
        <row r="329">
          <cell r="A329" t="str">
            <v>EA</v>
          </cell>
          <cell r="B329" t="str">
            <v>Kwame Agyemang Prempeh Agyekum / Yesuenyeagbe Fiagbe</v>
          </cell>
        </row>
        <row r="330">
          <cell r="A330" t="str">
            <v>NEB GF1</v>
          </cell>
          <cell r="B330" t="str">
            <v>Kenneth Adomako Tutu / Eugene Appiah-Effah / Peter Oppong Tawiah</v>
          </cell>
        </row>
        <row r="331">
          <cell r="A331" t="str">
            <v>NEB FF1</v>
          </cell>
          <cell r="B331" t="str">
            <v>Kingsford Sarkodie Obeng Kwakye / Daniel Akwei Addo / Albert Kwame Kwaw</v>
          </cell>
        </row>
        <row r="332">
          <cell r="A332" t="str">
            <v>NEB FF2</v>
          </cell>
          <cell r="B332" t="str">
            <v>Anthony Arko-Adjei / Godfrey Chiri Amedjoe</v>
          </cell>
        </row>
        <row r="333">
          <cell r="A333" t="str">
            <v>NEB SF1</v>
          </cell>
          <cell r="B333" t="str">
            <v>Augustus Ababio Donkor / Dorothy Araba Yakoba Agyapong / Charles Gyamfi / Bennetta Koomson</v>
          </cell>
        </row>
        <row r="334">
          <cell r="A334" t="str">
            <v>PB001</v>
          </cell>
          <cell r="B334" t="str">
            <v>Stephen Adjei / M. Appiah Brempong</v>
          </cell>
        </row>
        <row r="335">
          <cell r="A335" t="str">
            <v>PB020</v>
          </cell>
          <cell r="B335" t="str">
            <v>Ayuba Bene Adam / Nancy Anataba Kyorku Dzikunu-Bansah</v>
          </cell>
        </row>
        <row r="336">
          <cell r="A336" t="str">
            <v>PB014</v>
          </cell>
          <cell r="B336" t="str">
            <v>Emmanuel Ampoma Affum / Matthew Coffie Wilson</v>
          </cell>
        </row>
        <row r="337">
          <cell r="A337" t="str">
            <v>PB008</v>
          </cell>
          <cell r="B337" t="str">
            <v>Benjamin Afotey / Albert Asare</v>
          </cell>
        </row>
        <row r="338">
          <cell r="A338" t="str">
            <v>PB201</v>
          </cell>
          <cell r="B338" t="str">
            <v>Nicholas Prah / Anthony A. Agyemang</v>
          </cell>
        </row>
        <row r="339">
          <cell r="A339" t="str">
            <v>PB214</v>
          </cell>
          <cell r="B339" t="str">
            <v>David Oppong / Prince Odame</v>
          </cell>
        </row>
        <row r="340">
          <cell r="A340" t="str">
            <v>PB212</v>
          </cell>
          <cell r="B340" t="str">
            <v>Vincent Kofi Abaka Acquaah</v>
          </cell>
        </row>
        <row r="341">
          <cell r="A341" t="str">
            <v>PB208</v>
          </cell>
          <cell r="B341" t="str">
            <v>Akwasi Afrifa Acheampong / Martina Francisca Baidoo</v>
          </cell>
        </row>
        <row r="342">
          <cell r="A342">
            <v>303</v>
          </cell>
          <cell r="B342" t="str">
            <v>Evans Amponsah / James Dzisi Gadze</v>
          </cell>
        </row>
        <row r="343">
          <cell r="A343">
            <v>304</v>
          </cell>
          <cell r="B343" t="str">
            <v>Bernard Konadu Amoah</v>
          </cell>
        </row>
        <row r="344">
          <cell r="A344" t="str">
            <v>RM A</v>
          </cell>
          <cell r="B344" t="str">
            <v>K. O.-B Obour Agyekum</v>
          </cell>
        </row>
        <row r="345">
          <cell r="A345" t="str">
            <v>RM B</v>
          </cell>
          <cell r="B345" t="str">
            <v>Felix Jojo Fianko Ayeh</v>
          </cell>
        </row>
        <row r="346">
          <cell r="A346">
            <v>206</v>
          </cell>
          <cell r="B346" t="str">
            <v>C. K. K. Sekyere</v>
          </cell>
        </row>
        <row r="347">
          <cell r="A347" t="str">
            <v>LT</v>
          </cell>
          <cell r="B347" t="str">
            <v>Kwame Sarkodie</v>
          </cell>
        </row>
        <row r="348">
          <cell r="A348" t="str">
            <v>VSLA</v>
          </cell>
          <cell r="B348" t="str">
            <v>Prosper Akaba / Martin Kesse</v>
          </cell>
        </row>
        <row r="349">
          <cell r="A349" t="str">
            <v>N1</v>
          </cell>
          <cell r="B349" t="str">
            <v>Prince Ebenezer Adjei</v>
          </cell>
        </row>
        <row r="350">
          <cell r="A350" t="str">
            <v>N2</v>
          </cell>
          <cell r="B350" t="str">
            <v>James Okae</v>
          </cell>
        </row>
        <row r="351">
          <cell r="A351"/>
          <cell r="B351"/>
        </row>
        <row r="352">
          <cell r="A352" t="str">
            <v>A110</v>
          </cell>
          <cell r="B352" t="str">
            <v>William Amponsah /  S. H. M. Aikins</v>
          </cell>
        </row>
        <row r="353">
          <cell r="A353" t="str">
            <v>ECR</v>
          </cell>
          <cell r="B353" t="str">
            <v>Andrew Selasi Agbemenu</v>
          </cell>
        </row>
        <row r="354">
          <cell r="A354" t="str">
            <v>VCR</v>
          </cell>
          <cell r="B354" t="str">
            <v>Emmanuel Kwesi Arthur</v>
          </cell>
        </row>
        <row r="355">
          <cell r="A355" t="str">
            <v>NAF1</v>
          </cell>
          <cell r="B355" t="str">
            <v>Bright Akowuah / Mary Mensah</v>
          </cell>
        </row>
        <row r="356">
          <cell r="A356" t="str">
            <v>EA</v>
          </cell>
          <cell r="B356" t="str">
            <v xml:space="preserve">Gabriel Takyi / Benjamin Afotey </v>
          </cell>
        </row>
        <row r="357">
          <cell r="A357" t="str">
            <v>NEB GF1</v>
          </cell>
          <cell r="B357" t="str">
            <v>John Wise Divine Ayer / Bukari Ali / Patrick Boakye</v>
          </cell>
        </row>
        <row r="358">
          <cell r="A358" t="str">
            <v>NEB FF1</v>
          </cell>
          <cell r="B358" t="str">
            <v>Kingsford Sarkodie Obeng Kwakye / Godfrey Chiri Amedjoe / Gordon Foli</v>
          </cell>
        </row>
        <row r="359">
          <cell r="A359" t="str">
            <v>NEB FF2</v>
          </cell>
          <cell r="B359" t="str">
            <v>Cosmas Yaw Asante / Albert Amatey Adjaottor</v>
          </cell>
        </row>
        <row r="360">
          <cell r="A360" t="str">
            <v>NEB SF1</v>
          </cell>
          <cell r="B360" t="str">
            <v>Eliel Keelson / Isaac Dadzie / Simon Kafui Yawo Gawu / Andrew Cudzo Amenuvor</v>
          </cell>
        </row>
        <row r="361">
          <cell r="A361" t="str">
            <v>PB001</v>
          </cell>
          <cell r="B361" t="str">
            <v>Francis Kofi Forson/ Francisca Adoma Acheampong</v>
          </cell>
        </row>
        <row r="362">
          <cell r="A362" t="str">
            <v>PB020</v>
          </cell>
          <cell r="B362" t="str">
            <v>Joseph Aveyire / Emmanuel Offei Akrofi</v>
          </cell>
        </row>
        <row r="363">
          <cell r="A363" t="str">
            <v>PB014</v>
          </cell>
          <cell r="B363" t="str">
            <v>Ebenezer Mensah / Emmanuel Appiah-Adjei</v>
          </cell>
        </row>
        <row r="364">
          <cell r="A364" t="str">
            <v>PB008</v>
          </cell>
          <cell r="B364" t="str">
            <v>Geophrey Kwame Anornu / Emmanuel Obuobi Kwame Addo</v>
          </cell>
        </row>
        <row r="365">
          <cell r="A365" t="str">
            <v>PB201</v>
          </cell>
          <cell r="B365" t="str">
            <v>Jonathan Atuquaye Quaye / F. K. A. Nyarko</v>
          </cell>
        </row>
        <row r="366">
          <cell r="A366" t="str">
            <v>PB214</v>
          </cell>
          <cell r="B366" t="str">
            <v>Benjamin Kommey / Forkuo Eric Kwabena</v>
          </cell>
        </row>
        <row r="367">
          <cell r="A367" t="str">
            <v>PB212</v>
          </cell>
          <cell r="B367" t="str">
            <v>Eric Kwame Anokye Asare</v>
          </cell>
        </row>
        <row r="368">
          <cell r="A368" t="str">
            <v>PB208</v>
          </cell>
          <cell r="B368" t="str">
            <v>Prince Yaw Andoh / Jonathan Arthur Quaye-Ballard</v>
          </cell>
        </row>
        <row r="369">
          <cell r="A369">
            <v>303</v>
          </cell>
          <cell r="B369" t="str">
            <v xml:space="preserve"> James Okae / Samuel Kwofie</v>
          </cell>
        </row>
        <row r="370">
          <cell r="A370">
            <v>304</v>
          </cell>
          <cell r="B370" t="str">
            <v>Alfred Alan Duker</v>
          </cell>
        </row>
        <row r="371">
          <cell r="A371" t="str">
            <v>RM A</v>
          </cell>
          <cell r="B371" t="str">
            <v>Yaw Adubofour Tuffour</v>
          </cell>
        </row>
        <row r="372">
          <cell r="A372" t="str">
            <v>RM B</v>
          </cell>
          <cell r="B372" t="str">
            <v>Francis Boafo Effah</v>
          </cell>
        </row>
        <row r="373">
          <cell r="A373">
            <v>206</v>
          </cell>
          <cell r="B373" t="str">
            <v xml:space="preserve">Casper Adenutsi </v>
          </cell>
        </row>
        <row r="374">
          <cell r="A374" t="str">
            <v>LT</v>
          </cell>
          <cell r="B374" t="str">
            <v>Samuel Boahen</v>
          </cell>
        </row>
        <row r="375">
          <cell r="A375" t="str">
            <v>VSLA</v>
          </cell>
          <cell r="B375" t="str">
            <v>Y. A. Sokama-Neuyam / Efiba Vidda Senkyire Kwarteng</v>
          </cell>
        </row>
        <row r="376">
          <cell r="A376" t="str">
            <v>N1</v>
          </cell>
          <cell r="B376" t="str">
            <v>Eric Amoah Asante</v>
          </cell>
        </row>
        <row r="377">
          <cell r="A377" t="str">
            <v>N2</v>
          </cell>
          <cell r="B377" t="str">
            <v>Charles Adrah</v>
          </cell>
        </row>
        <row r="378">
          <cell r="A378"/>
          <cell r="B378"/>
        </row>
        <row r="379">
          <cell r="A379" t="str">
            <v>A110</v>
          </cell>
          <cell r="B379" t="str">
            <v>William Amponsah / Jones Owusu Twumasi</v>
          </cell>
        </row>
        <row r="380">
          <cell r="A380" t="str">
            <v>ECR</v>
          </cell>
          <cell r="B380" t="str">
            <v>Kofi Owura Amoabeng</v>
          </cell>
        </row>
        <row r="381">
          <cell r="A381" t="str">
            <v>VCR</v>
          </cell>
          <cell r="B381" t="str">
            <v>Mary Mensah</v>
          </cell>
        </row>
        <row r="382">
          <cell r="A382" t="str">
            <v>NAF1</v>
          </cell>
          <cell r="B382" t="str">
            <v>Bright Akowuah / Blestmond Afrifa Brako</v>
          </cell>
        </row>
        <row r="383">
          <cell r="A383" t="str">
            <v>EA</v>
          </cell>
          <cell r="B383" t="str">
            <v>Andrew Selasi Agbemenu / Samuel Osah</v>
          </cell>
        </row>
        <row r="384">
          <cell r="A384" t="str">
            <v>NEB GF1</v>
          </cell>
          <cell r="B384" t="str">
            <v xml:space="preserve"> Ebenezer Mensah / Henry Nunoo-Mensah / Emmanuel Kwesi Arthur </v>
          </cell>
        </row>
        <row r="385">
          <cell r="A385" t="str">
            <v>NEB FF1</v>
          </cell>
          <cell r="B385" t="str">
            <v>Kingsford Sarkodie Obeng Kwakye / Gordon Foli / Henry Nunoo-Mensah</v>
          </cell>
        </row>
        <row r="386">
          <cell r="A386" t="str">
            <v>NEB FF2</v>
          </cell>
          <cell r="B386" t="str">
            <v>Sefakor Dogbe / Daniel Kwegyir</v>
          </cell>
        </row>
        <row r="387">
          <cell r="A387" t="str">
            <v>NEB SF1</v>
          </cell>
          <cell r="B387" t="str">
            <v>Albert Kwame Kwaw / Stephen Adjei / Daniel Oduro Boatey Nuamah / Jones Owusu Twumasi</v>
          </cell>
        </row>
        <row r="388">
          <cell r="A388" t="str">
            <v>PB001</v>
          </cell>
          <cell r="B388" t="str">
            <v>Emmanuel Offei Akrofi / Joseph Aveyire</v>
          </cell>
        </row>
        <row r="389">
          <cell r="A389" t="str">
            <v>PB020</v>
          </cell>
          <cell r="B389" t="str">
            <v>Benjamin Afotey / Faisal Wahib Adam</v>
          </cell>
        </row>
        <row r="390">
          <cell r="A390" t="str">
            <v>PB014</v>
          </cell>
          <cell r="B390" t="str">
            <v>Yesuenyeagbe Fiagbe / Godfred Boahen</v>
          </cell>
        </row>
        <row r="391">
          <cell r="A391" t="str">
            <v>PB008</v>
          </cell>
          <cell r="B391" t="str">
            <v xml:space="preserve">Samuel Erzuah / John Wise Divine Ayer </v>
          </cell>
        </row>
        <row r="392">
          <cell r="A392" t="str">
            <v>PB201</v>
          </cell>
          <cell r="B392" t="str">
            <v>F. K. A. Nyarko / Jude Bonsu</v>
          </cell>
        </row>
        <row r="393">
          <cell r="A393" t="str">
            <v>PB214</v>
          </cell>
          <cell r="B393" t="str">
            <v>Andrew Cudzo Amenuvor / Jonathan Atuquaye Quaye</v>
          </cell>
        </row>
        <row r="394">
          <cell r="A394" t="str">
            <v>PB212</v>
          </cell>
          <cell r="B394" t="str">
            <v>Eric Kwame Anokye Asare</v>
          </cell>
        </row>
        <row r="395">
          <cell r="A395" t="str">
            <v>PB208</v>
          </cell>
          <cell r="B395" t="str">
            <v>Benjamin Kommey / Jack Osei Banahene</v>
          </cell>
        </row>
        <row r="396">
          <cell r="A396">
            <v>303</v>
          </cell>
          <cell r="B396" t="str">
            <v>Prosper Akaba / Dorothy Araba Yakoba Agyapong</v>
          </cell>
        </row>
        <row r="397">
          <cell r="A397">
            <v>304</v>
          </cell>
          <cell r="B397" t="str">
            <v>Theresa-Samuelle Maame Atwemaa Adjaidoo</v>
          </cell>
        </row>
        <row r="398">
          <cell r="A398" t="str">
            <v>RM A</v>
          </cell>
          <cell r="B398" t="str">
            <v>Kwame Sarkodie</v>
          </cell>
        </row>
        <row r="399">
          <cell r="A399" t="str">
            <v>RM B</v>
          </cell>
          <cell r="B399" t="str">
            <v>Martinson Addo Nartey</v>
          </cell>
        </row>
        <row r="400">
          <cell r="A400">
            <v>206</v>
          </cell>
          <cell r="B400" t="str">
            <v>Albert Asare</v>
          </cell>
        </row>
        <row r="401">
          <cell r="A401" t="str">
            <v>LT</v>
          </cell>
          <cell r="B401" t="str">
            <v>Augustus Ababio Donkor</v>
          </cell>
        </row>
        <row r="402">
          <cell r="A402" t="str">
            <v>VSLA</v>
          </cell>
          <cell r="B402" t="str">
            <v>Kenneth Adomako Tutu / Alfred Alan Duker</v>
          </cell>
        </row>
        <row r="403">
          <cell r="A403" t="str">
            <v>N1</v>
          </cell>
          <cell r="B403" t="str">
            <v>Martina Francisca Baidoo</v>
          </cell>
        </row>
        <row r="404">
          <cell r="A404" t="str">
            <v>N2</v>
          </cell>
          <cell r="B404" t="str">
            <v>Matthew Coffie Wilson</v>
          </cell>
        </row>
        <row r="405">
          <cell r="A405"/>
          <cell r="B405"/>
        </row>
        <row r="406">
          <cell r="A406" t="str">
            <v>A110</v>
          </cell>
          <cell r="B406" t="str">
            <v>William Amponsah / Gordon Foli</v>
          </cell>
        </row>
        <row r="407">
          <cell r="A407" t="str">
            <v>ECR</v>
          </cell>
          <cell r="B407" t="str">
            <v>Andrew Selasi Agbemenu</v>
          </cell>
        </row>
        <row r="408">
          <cell r="A408" t="str">
            <v>VCR</v>
          </cell>
          <cell r="B408" t="str">
            <v>Godfrey Chiri Amedjoe</v>
          </cell>
        </row>
        <row r="409">
          <cell r="A409" t="str">
            <v>NAF1</v>
          </cell>
          <cell r="B409" t="str">
            <v>Bright Akowuah / Francisca Adoma Acheampong</v>
          </cell>
        </row>
        <row r="410">
          <cell r="A410" t="str">
            <v>EA</v>
          </cell>
          <cell r="B410" t="str">
            <v>Gabriel Takyi / James Dzisi Gadze</v>
          </cell>
        </row>
        <row r="411">
          <cell r="A411" t="str">
            <v>NEB GF1</v>
          </cell>
          <cell r="B411" t="str">
            <v>Daniel Kwegyir / Bernard Konadu Amoah / Felix Jojo Fianko Ayeh</v>
          </cell>
        </row>
        <row r="412">
          <cell r="A412" t="str">
            <v>NEB FF1</v>
          </cell>
          <cell r="B412" t="str">
            <v>Kingsford Sarkodie Obeng Kwakye / Prince Odame / Emmanuel Obuobi Kwame Addo</v>
          </cell>
        </row>
        <row r="413">
          <cell r="A413" t="str">
            <v>NEB FF2</v>
          </cell>
          <cell r="B413" t="str">
            <v>Emmanuel Offei Akrofi / Akwasi Afrifa Acheampong</v>
          </cell>
        </row>
        <row r="414">
          <cell r="A414" t="str">
            <v>NEB SF1</v>
          </cell>
          <cell r="B414" t="str">
            <v>M. Appiah Brempong / C. K. K. Sekyere / Anthony A. Agyemang / Isaac Dadzie</v>
          </cell>
        </row>
        <row r="415">
          <cell r="A415" t="str">
            <v>PB001</v>
          </cell>
          <cell r="B415" t="str">
            <v>Bukari Ali/Francis Kofi Forson</v>
          </cell>
        </row>
        <row r="416">
          <cell r="A416" t="str">
            <v>PB020</v>
          </cell>
          <cell r="B416" t="str">
            <v>Cosmas Yaw Asante / Eliel Keelson</v>
          </cell>
        </row>
        <row r="417">
          <cell r="A417" t="str">
            <v>PB014</v>
          </cell>
          <cell r="B417" t="str">
            <v>Martin Kesse / S. H. M. Aikins</v>
          </cell>
        </row>
        <row r="418">
          <cell r="A418" t="str">
            <v>PB008</v>
          </cell>
          <cell r="B418" t="str">
            <v>Anthony Arko-Adjei / Nicholas Prah</v>
          </cell>
        </row>
        <row r="419">
          <cell r="A419" t="str">
            <v>PB201</v>
          </cell>
          <cell r="B419" t="str">
            <v>Joseph Aveyire / Eugene Appiah-Effah</v>
          </cell>
        </row>
        <row r="420">
          <cell r="A420" t="str">
            <v>PB214</v>
          </cell>
          <cell r="B420" t="str">
            <v>Prince Ebenezer Adjei / Ebenezer Mensah</v>
          </cell>
        </row>
        <row r="421">
          <cell r="A421" t="str">
            <v>PB212</v>
          </cell>
          <cell r="B421" t="str">
            <v>Peter Oppong Tawiah</v>
          </cell>
        </row>
        <row r="422">
          <cell r="A422" t="str">
            <v>PB208</v>
          </cell>
          <cell r="B422" t="str">
            <v>Kwame Agyemang Prempeh Agyekum / Nancy Anataba Kyorku Dzikunu-Bansah</v>
          </cell>
        </row>
        <row r="423">
          <cell r="A423">
            <v>303</v>
          </cell>
          <cell r="B423" t="str">
            <v>Ayuba Bene Adam / Blestmond Afrifa Brako</v>
          </cell>
        </row>
        <row r="424">
          <cell r="A424">
            <v>304</v>
          </cell>
          <cell r="B424" t="str">
            <v>Vincent Kofi Abaka Acquaah</v>
          </cell>
        </row>
        <row r="425">
          <cell r="A425" t="str">
            <v>RM A</v>
          </cell>
          <cell r="B425" t="str">
            <v>Geophrey Kwame Anornu</v>
          </cell>
        </row>
        <row r="426">
          <cell r="A426" t="str">
            <v>RM B</v>
          </cell>
          <cell r="B426" t="str">
            <v>Emmanuel Ampoma Affum</v>
          </cell>
        </row>
        <row r="427">
          <cell r="A427">
            <v>206</v>
          </cell>
          <cell r="B427" t="str">
            <v>Bennetta Koomson</v>
          </cell>
        </row>
        <row r="428">
          <cell r="A428" t="str">
            <v>LT</v>
          </cell>
          <cell r="B428" t="str">
            <v>Evans Amponsah</v>
          </cell>
        </row>
        <row r="429">
          <cell r="A429" t="str">
            <v>VSLA</v>
          </cell>
          <cell r="B429" t="str">
            <v>Simon Kafui Yawo Gawu /David Oppong</v>
          </cell>
        </row>
        <row r="430">
          <cell r="A430" t="str">
            <v>N1</v>
          </cell>
          <cell r="B430" t="str">
            <v>Albert Amatey Adjaottor</v>
          </cell>
        </row>
        <row r="431">
          <cell r="A431" t="str">
            <v>N2</v>
          </cell>
          <cell r="B431" t="str">
            <v>Jude Bonsu</v>
          </cell>
        </row>
        <row r="432">
          <cell r="A432"/>
          <cell r="B432"/>
        </row>
        <row r="433">
          <cell r="A433" t="str">
            <v>A110</v>
          </cell>
          <cell r="B433" t="str">
            <v>William Amponsah / Martinson Addo Nartey</v>
          </cell>
        </row>
        <row r="434">
          <cell r="A434" t="str">
            <v>ECR</v>
          </cell>
          <cell r="B434" t="str">
            <v>Faisal Wahib Adam</v>
          </cell>
        </row>
        <row r="435">
          <cell r="A435" t="str">
            <v>VCR</v>
          </cell>
          <cell r="B435" t="str">
            <v>Samuel Erzuah</v>
          </cell>
        </row>
        <row r="436">
          <cell r="A436" t="str">
            <v>NAF1</v>
          </cell>
          <cell r="B436" t="str">
            <v>Bright Akowuah / Sefakor Dogbe</v>
          </cell>
        </row>
        <row r="437">
          <cell r="A437" t="str">
            <v>EA</v>
          </cell>
          <cell r="B437" t="str">
            <v>Godfred Boahen / Charles Gyamfi</v>
          </cell>
        </row>
        <row r="438">
          <cell r="A438" t="str">
            <v>NEB GF1</v>
          </cell>
          <cell r="B438" t="str">
            <v>Samuel Boahen / Albert Kwame Kwaw / Daniel Oduro Boatey Nuamah</v>
          </cell>
        </row>
        <row r="439">
          <cell r="A439" t="str">
            <v>NEB FF1</v>
          </cell>
          <cell r="B439" t="str">
            <v xml:space="preserve">Kingsford Sarkodie Obeng Kwakye / Casper Adenutsi / Nicholas Prah </v>
          </cell>
        </row>
        <row r="440">
          <cell r="A440" t="str">
            <v>NEB FF2</v>
          </cell>
          <cell r="B440" t="str">
            <v>Daniel Akwei Addo / Sefakor Dogbe</v>
          </cell>
        </row>
        <row r="441">
          <cell r="A441" t="str">
            <v>NEB SF1</v>
          </cell>
          <cell r="B441" t="str">
            <v>Benjamin Kommey / F. K. A. Nyarko / Andrew Cudzo Amenuvor / James Okae</v>
          </cell>
        </row>
        <row r="442">
          <cell r="A442" t="str">
            <v>PB001</v>
          </cell>
          <cell r="B442" t="str">
            <v xml:space="preserve"> Geophrey Kwame Anornu/ Theresa-Samuelle Maame Atwemaa Adjaidoo</v>
          </cell>
        </row>
        <row r="443">
          <cell r="A443" t="str">
            <v>PB020</v>
          </cell>
          <cell r="B443" t="str">
            <v>Henry Nunoo-Mensah / Cosmas Yaw Asante</v>
          </cell>
        </row>
        <row r="444">
          <cell r="A444" t="str">
            <v>PB014</v>
          </cell>
          <cell r="B444" t="str">
            <v>Charles Adrah / Emmanuel Appiah-Adjei</v>
          </cell>
        </row>
        <row r="445">
          <cell r="A445" t="str">
            <v>PB008</v>
          </cell>
          <cell r="B445" t="str">
            <v xml:space="preserve">Kofi Owura Amoabeng / Prince Yaw Andoh </v>
          </cell>
        </row>
        <row r="446">
          <cell r="A446" t="str">
            <v>PB201</v>
          </cell>
          <cell r="B446" t="str">
            <v>Eric Kwame Anokye Asare / Jonathan Atuquaye Quaye</v>
          </cell>
        </row>
        <row r="447">
          <cell r="A447" t="str">
            <v>PB214</v>
          </cell>
          <cell r="B447" t="str">
            <v>Albert Asare / Jack Osei Banahene</v>
          </cell>
        </row>
        <row r="448">
          <cell r="A448" t="str">
            <v>PB212</v>
          </cell>
          <cell r="B448" t="str">
            <v>Sefakor Dogbe</v>
          </cell>
        </row>
        <row r="449">
          <cell r="A449" t="str">
            <v>PB208</v>
          </cell>
          <cell r="B449" t="str">
            <v>Efiba Vidda Senkyire Kwarteng / Bukari Ali</v>
          </cell>
        </row>
        <row r="450">
          <cell r="A450">
            <v>303</v>
          </cell>
          <cell r="B450" t="str">
            <v>Emmanuel Offei Akrofi / M. Appiah Brempong</v>
          </cell>
        </row>
        <row r="451">
          <cell r="A451">
            <v>304</v>
          </cell>
          <cell r="B451" t="str">
            <v>Samuel Osah</v>
          </cell>
        </row>
        <row r="452">
          <cell r="A452" t="str">
            <v>RM A</v>
          </cell>
          <cell r="B452" t="str">
            <v>Francis Boafo Effah</v>
          </cell>
        </row>
        <row r="453">
          <cell r="A453" t="str">
            <v>RM B</v>
          </cell>
          <cell r="B453" t="str">
            <v>Jonathan Arthur Quaye-Ballard</v>
          </cell>
        </row>
        <row r="454">
          <cell r="A454">
            <v>206</v>
          </cell>
          <cell r="B454" t="str">
            <v>Jones Owusu Twumasi</v>
          </cell>
        </row>
        <row r="455">
          <cell r="A455" t="str">
            <v>LT</v>
          </cell>
          <cell r="B455" t="str">
            <v>Martina Francisca Baidoo</v>
          </cell>
        </row>
        <row r="456">
          <cell r="A456" t="str">
            <v>VSLA</v>
          </cell>
          <cell r="B456" t="str">
            <v>Jude Bonsu / Kenneth Adomako Tutu</v>
          </cell>
        </row>
        <row r="457">
          <cell r="A457" t="str">
            <v>N1</v>
          </cell>
          <cell r="B457" t="str">
            <v>Joshua Ampofo</v>
          </cell>
        </row>
        <row r="458">
          <cell r="A458" t="str">
            <v>N2</v>
          </cell>
          <cell r="B458" t="str">
            <v>Emmanuel Ampoma Affum</v>
          </cell>
        </row>
        <row r="459">
          <cell r="A459"/>
          <cell r="B459"/>
        </row>
        <row r="460">
          <cell r="A460" t="str">
            <v>A110</v>
          </cell>
          <cell r="B460" t="str">
            <v>William Amponsah / Blestmond Afrifa Brako</v>
          </cell>
        </row>
        <row r="461">
          <cell r="A461" t="str">
            <v>ECR</v>
          </cell>
          <cell r="B461" t="str">
            <v>K. O.-B Obour Agyekum</v>
          </cell>
        </row>
        <row r="462">
          <cell r="A462" t="str">
            <v>VCR</v>
          </cell>
          <cell r="B462" t="str">
            <v>Prince Ebenezer Adjei</v>
          </cell>
        </row>
        <row r="463">
          <cell r="A463" t="str">
            <v>NAF1</v>
          </cell>
          <cell r="B463" t="str">
            <v>Bright Akowuah / Prosper Akaba</v>
          </cell>
        </row>
        <row r="464">
          <cell r="A464" t="str">
            <v>EA</v>
          </cell>
          <cell r="B464" t="str">
            <v>Augustus Ababio Donkor / Daniel Kwegyir</v>
          </cell>
        </row>
        <row r="465">
          <cell r="A465" t="str">
            <v>NEB GF1</v>
          </cell>
          <cell r="B465" t="str">
            <v>Evans Amponsah / David Oppong / Anthony A. Agyemang</v>
          </cell>
        </row>
        <row r="466">
          <cell r="A466" t="str">
            <v>NEB FF1</v>
          </cell>
          <cell r="B466" t="str">
            <v>Kingsford Sarkodie Obeng Kwakye / James Dzisi Gadze / Prince Odame</v>
          </cell>
        </row>
        <row r="467">
          <cell r="A467" t="str">
            <v>NEB FF2</v>
          </cell>
          <cell r="B467" t="str">
            <v>Akwasi Afrifa Acheampong / Peter Oppong Tawiah</v>
          </cell>
        </row>
        <row r="468">
          <cell r="A468" t="str">
            <v>NEB SF1</v>
          </cell>
          <cell r="B468" t="str">
            <v>Ayuba Bene Adam / Matthew Coffie Wilson / Eliel Keelson / Y. A. Sokama-Neuyam</v>
          </cell>
        </row>
        <row r="469">
          <cell r="A469" t="str">
            <v>PB001</v>
          </cell>
          <cell r="B469" t="str">
            <v>Vincent Kofi Abaka Acquaah / Eugene Appiah-Effah</v>
          </cell>
        </row>
        <row r="470">
          <cell r="A470" t="str">
            <v>PB020</v>
          </cell>
          <cell r="B470" t="str">
            <v>Dorothy Araba Yakoba Agyapong / Nancy Anataba Kyorku Dzikunu-Bansah</v>
          </cell>
        </row>
        <row r="471">
          <cell r="A471" t="str">
            <v>PB014</v>
          </cell>
          <cell r="B471" t="str">
            <v>Bernard Konadu Amoah / Martin Kesse</v>
          </cell>
        </row>
        <row r="472">
          <cell r="A472" t="str">
            <v>PB008</v>
          </cell>
          <cell r="B472" t="str">
            <v>Kwame Agyemang Prempeh Agyekum / Felix Jojo Fianko Ayeh</v>
          </cell>
        </row>
        <row r="473">
          <cell r="A473" t="str">
            <v>PB201</v>
          </cell>
          <cell r="B473" t="str">
            <v>Bennetta Koomson / Charles Gyamfi</v>
          </cell>
        </row>
        <row r="474">
          <cell r="A474" t="str">
            <v>PB214</v>
          </cell>
          <cell r="B474" t="str">
            <v>C. K. K. Sekyere / Yesuenyeagbe Fiagbe</v>
          </cell>
        </row>
        <row r="475">
          <cell r="A475" t="str">
            <v>PB212</v>
          </cell>
          <cell r="B475" t="str">
            <v>Anthony Arko-Adjei</v>
          </cell>
        </row>
        <row r="476">
          <cell r="A476" t="str">
            <v>PB208</v>
          </cell>
          <cell r="B476" t="str">
            <v>James Okae / Andrew Cudzo Amenuvor</v>
          </cell>
        </row>
        <row r="477">
          <cell r="A477">
            <v>303</v>
          </cell>
          <cell r="B477" t="str">
            <v>Benjamin Kommey / Eric Kwame Anokye Asare</v>
          </cell>
        </row>
        <row r="478">
          <cell r="A478">
            <v>304</v>
          </cell>
          <cell r="B478" t="str">
            <v>Kwame Sarkodie</v>
          </cell>
        </row>
        <row r="479">
          <cell r="A479" t="str">
            <v>RM A</v>
          </cell>
          <cell r="B479" t="str">
            <v>F. K. A. Nyarko</v>
          </cell>
        </row>
        <row r="480">
          <cell r="A480" t="str">
            <v>RM B</v>
          </cell>
          <cell r="B480" t="str">
            <v>Jonathan Atuquaye Quaye</v>
          </cell>
        </row>
        <row r="481">
          <cell r="A481">
            <v>206</v>
          </cell>
          <cell r="B481" t="str">
            <v>Stephen Adjei</v>
          </cell>
        </row>
        <row r="482">
          <cell r="A482" t="str">
            <v>LT</v>
          </cell>
          <cell r="B482" t="str">
            <v>Daniel Akwei Addo</v>
          </cell>
        </row>
        <row r="483">
          <cell r="A483" t="str">
            <v>VSLA</v>
          </cell>
          <cell r="B483" t="str">
            <v>Daniel Oduro Boatey Nuamah / Albert Kwame Kwaw</v>
          </cell>
        </row>
        <row r="484">
          <cell r="A484" t="str">
            <v>N1</v>
          </cell>
          <cell r="B484" t="str">
            <v>Samuel Erzuah</v>
          </cell>
        </row>
        <row r="485">
          <cell r="A485" t="str">
            <v>N2</v>
          </cell>
          <cell r="B485" t="str">
            <v>Martinson Addo Nartey</v>
          </cell>
        </row>
        <row r="486">
          <cell r="A486"/>
          <cell r="B486"/>
        </row>
        <row r="487">
          <cell r="A487" t="str">
            <v>A110</v>
          </cell>
          <cell r="B487" t="str">
            <v>Godfred Boahen / Patrick Boakye</v>
          </cell>
        </row>
        <row r="488">
          <cell r="A488" t="str">
            <v>NAF1</v>
          </cell>
          <cell r="B488" t="str">
            <v>Bright Akowuah / Henry Nunoo-Mensah</v>
          </cell>
        </row>
        <row r="489">
          <cell r="A489" t="str">
            <v>EA</v>
          </cell>
          <cell r="B489" t="str">
            <v>Eric Amoah Asante / William Amponsah</v>
          </cell>
        </row>
        <row r="490">
          <cell r="A490" t="str">
            <v>NEB GF1</v>
          </cell>
          <cell r="B490" t="str">
            <v>K. O.-B Obour Agyekum / Ayuba Bene Adam / Prince Ebenezer Adjei</v>
          </cell>
        </row>
        <row r="491">
          <cell r="A491" t="str">
            <v>NEB FF1</v>
          </cell>
          <cell r="B491" t="str">
            <v xml:space="preserve">Kingsford Sarkodie Obeng Kwakye / Charles Adrah / Blestmond Afrifa Brako </v>
          </cell>
        </row>
        <row r="492">
          <cell r="A492" t="str">
            <v>NEB FF2</v>
          </cell>
          <cell r="B492" t="str">
            <v>Felix Jojo Fianko Ayeh / Casper Adenutsi</v>
          </cell>
        </row>
        <row r="493">
          <cell r="A493" t="str">
            <v>NEB SF1</v>
          </cell>
          <cell r="B493" t="str">
            <v>Bennetta Koomson / Kwame Sarkodie / C. K. K. Sekyere / Akwasi Afrifa Acheampong</v>
          </cell>
        </row>
        <row r="494">
          <cell r="A494" t="str">
            <v>PB001</v>
          </cell>
          <cell r="B494" t="str">
            <v>Jones Owusu Twumasi / Nancy Anataba Kyorku Dzikunu-Bansah</v>
          </cell>
        </row>
        <row r="495">
          <cell r="A495" t="str">
            <v>PB020</v>
          </cell>
          <cell r="B495" t="str">
            <v xml:space="preserve"> James Dzisi Gadze / Faisal Wahib Adam</v>
          </cell>
        </row>
        <row r="496">
          <cell r="A496" t="str">
            <v>PB014</v>
          </cell>
          <cell r="B496" t="str">
            <v>Sefakor Dogbe /Eliel Keelson</v>
          </cell>
        </row>
        <row r="497">
          <cell r="A497" t="str">
            <v>PB008</v>
          </cell>
          <cell r="B497" t="str">
            <v xml:space="preserve">Jack Osei Banahene / M. Appiah Brempong </v>
          </cell>
        </row>
        <row r="498">
          <cell r="A498" t="str">
            <v>PB201</v>
          </cell>
          <cell r="B498" t="str">
            <v>Evans Amponsah / Anthony A. Agyemang</v>
          </cell>
        </row>
        <row r="499">
          <cell r="A499" t="str">
            <v>PB214</v>
          </cell>
          <cell r="B499" t="str">
            <v>Charles Gyamfi / Kofi Owura Amoabeng</v>
          </cell>
        </row>
        <row r="500">
          <cell r="A500" t="str">
            <v>PB212</v>
          </cell>
          <cell r="B500" t="str">
            <v>David Oppong</v>
          </cell>
        </row>
        <row r="501">
          <cell r="A501" t="str">
            <v>PB208</v>
          </cell>
          <cell r="B501" t="str">
            <v>Prosper Akaba /  Samuel Boahen</v>
          </cell>
        </row>
        <row r="502">
          <cell r="A502">
            <v>303</v>
          </cell>
          <cell r="B502" t="str">
            <v>Yesuenyeagbe Fiagbe /  Samuel Osah</v>
          </cell>
        </row>
        <row r="503">
          <cell r="A503">
            <v>304</v>
          </cell>
          <cell r="B503" t="str">
            <v>Theresa-Samuelle Maame Atwemaa Adjaidoo</v>
          </cell>
        </row>
        <row r="504">
          <cell r="A504" t="str">
            <v>RM A</v>
          </cell>
          <cell r="B504" t="str">
            <v>Martin Kesse</v>
          </cell>
        </row>
        <row r="505">
          <cell r="A505" t="str">
            <v>RM B</v>
          </cell>
          <cell r="B505" t="str">
            <v>Kwame Agyemang Prempeh Agyekum</v>
          </cell>
        </row>
        <row r="506">
          <cell r="A506">
            <v>206</v>
          </cell>
          <cell r="B506" t="str">
            <v>Augustus Ababio Donkor</v>
          </cell>
        </row>
        <row r="507">
          <cell r="A507" t="str">
            <v>LT</v>
          </cell>
          <cell r="B507" t="str">
            <v>Kenneth Adomako Tutu</v>
          </cell>
        </row>
        <row r="508">
          <cell r="A508" t="str">
            <v>VSLA</v>
          </cell>
          <cell r="B508" t="str">
            <v xml:space="preserve"> Efiba Vidda Senkyire Kwarteng / Peter Oppong Tawiah</v>
          </cell>
        </row>
        <row r="509">
          <cell r="A509" t="str">
            <v>N1</v>
          </cell>
          <cell r="B509" t="str">
            <v>Bernard Konadu Amoah</v>
          </cell>
        </row>
        <row r="510">
          <cell r="A510" t="str">
            <v>N2</v>
          </cell>
          <cell r="B510" t="str">
            <v>Anthony Arko-Adjei</v>
          </cell>
        </row>
        <row r="511">
          <cell r="A511"/>
          <cell r="B511"/>
        </row>
        <row r="512">
          <cell r="A512" t="str">
            <v>A110</v>
          </cell>
          <cell r="B512" t="str">
            <v>William Amponsah / Mary Mensah</v>
          </cell>
        </row>
        <row r="513">
          <cell r="A513" t="str">
            <v>NAF1</v>
          </cell>
          <cell r="B513" t="str">
            <v>Bright Akowuah / Emmanuel Kwesi Arthur</v>
          </cell>
        </row>
        <row r="514">
          <cell r="A514" t="str">
            <v>EA</v>
          </cell>
          <cell r="B514" t="str">
            <v>John Wise Divine Ayer / Ebenezer Mensah</v>
          </cell>
        </row>
        <row r="515">
          <cell r="A515" t="str">
            <v>NEB GF1</v>
          </cell>
          <cell r="B515" t="str">
            <v>Samuel Kwofie / Francisca Adoma Acheampong / Simon Kafui Yawo Gawu</v>
          </cell>
        </row>
        <row r="516">
          <cell r="A516" t="str">
            <v>NEB FF1</v>
          </cell>
          <cell r="B516" t="str">
            <v>Kingsford Sarkodie Obeng Kwakye / Patrick Boakye / Godfrey Chiri Amedjoe</v>
          </cell>
        </row>
        <row r="517">
          <cell r="A517" t="str">
            <v>NEB FF2</v>
          </cell>
          <cell r="B517" t="str">
            <v>Gabriel Takyi / Alfred Alan Duker</v>
          </cell>
        </row>
        <row r="518">
          <cell r="A518" t="str">
            <v>NEB SF1</v>
          </cell>
          <cell r="B518" t="str">
            <v>Eugene Appiah-Effah / Cosmas Yaw Asante / Vincent Kofi Abaka Acquaah / Matthew Coffie Wilson</v>
          </cell>
        </row>
        <row r="519">
          <cell r="A519" t="str">
            <v>PB001</v>
          </cell>
          <cell r="B519" t="str">
            <v>Gordon Foli /Francis Kofi Forson</v>
          </cell>
        </row>
        <row r="520">
          <cell r="A520" t="str">
            <v>PB020</v>
          </cell>
          <cell r="B520" t="str">
            <v>Isaac Dadzie / Yaw Adubofour Tuffour</v>
          </cell>
        </row>
        <row r="521">
          <cell r="A521" t="str">
            <v>PB014</v>
          </cell>
          <cell r="B521" t="str">
            <v>S. H. M. Aikins / Forkuo Eric Kwabena</v>
          </cell>
        </row>
        <row r="522">
          <cell r="A522" t="str">
            <v>PB008</v>
          </cell>
          <cell r="B522" t="str">
            <v>Emmanuel Obuobi Kwame Addo / Albert Amatey Adjaottor</v>
          </cell>
        </row>
        <row r="523">
          <cell r="A523" t="str">
            <v>PB201</v>
          </cell>
          <cell r="B523" t="str">
            <v>Emmanuel Ampoma Affum / Nicholas Prah</v>
          </cell>
        </row>
        <row r="524">
          <cell r="A524" t="str">
            <v>PB214</v>
          </cell>
          <cell r="B524" t="str">
            <v>Bukari Ali / Albert Asare</v>
          </cell>
        </row>
        <row r="525">
          <cell r="A525" t="str">
            <v>PB212</v>
          </cell>
          <cell r="B525" t="str">
            <v>Dorothy Araba Yakoba Agyapong</v>
          </cell>
        </row>
        <row r="526">
          <cell r="A526" t="str">
            <v>PB208</v>
          </cell>
          <cell r="B526" t="str">
            <v>Daniel Kwegyir / Geophrey Kwame Anornu</v>
          </cell>
        </row>
        <row r="527">
          <cell r="A527">
            <v>304</v>
          </cell>
          <cell r="B527" t="str">
            <v>Joseph Aveyire</v>
          </cell>
        </row>
        <row r="528">
          <cell r="A528" t="str">
            <v>RM A</v>
          </cell>
          <cell r="B528" t="str">
            <v>Martina Francisca Baidoo</v>
          </cell>
        </row>
        <row r="529">
          <cell r="A529" t="str">
            <v>RM B</v>
          </cell>
          <cell r="B529" t="str">
            <v>Emmanuel Offei Akrofi</v>
          </cell>
        </row>
        <row r="530">
          <cell r="A530">
            <v>206</v>
          </cell>
          <cell r="B530" t="str">
            <v>Prince Odame</v>
          </cell>
        </row>
        <row r="531">
          <cell r="A531" t="str">
            <v>LT</v>
          </cell>
          <cell r="B531" t="str">
            <v>Jude Bonsu</v>
          </cell>
        </row>
        <row r="532">
          <cell r="A532" t="str">
            <v>VSLA</v>
          </cell>
          <cell r="B532" t="str">
            <v>F. K. A. Nyarko / Andrew Cudzo Amenuvor</v>
          </cell>
        </row>
        <row r="533">
          <cell r="A533" t="str">
            <v>N1</v>
          </cell>
          <cell r="B533" t="str">
            <v>Jonathan Atuquaye Quaye</v>
          </cell>
        </row>
        <row r="534">
          <cell r="A534" t="str">
            <v>N2</v>
          </cell>
          <cell r="B534" t="str">
            <v>Eric Kwame Anokye Asare</v>
          </cell>
        </row>
        <row r="535">
          <cell r="A535"/>
          <cell r="B535"/>
        </row>
        <row r="536">
          <cell r="A536" t="str">
            <v>A110</v>
          </cell>
          <cell r="B536" t="str">
            <v>William Amponsah / Mary Mensah</v>
          </cell>
        </row>
        <row r="537">
          <cell r="A537" t="str">
            <v>ECR</v>
          </cell>
          <cell r="B537" t="str">
            <v>Andrew Selasi Agbemenu</v>
          </cell>
        </row>
        <row r="538">
          <cell r="A538" t="str">
            <v>VCR</v>
          </cell>
          <cell r="B538" t="str">
            <v xml:space="preserve">Henry Nunoo-Mensah </v>
          </cell>
        </row>
        <row r="539">
          <cell r="A539" t="str">
            <v>NAF1</v>
          </cell>
          <cell r="B539" t="str">
            <v>Bright Akowuah / Gordon Foli</v>
          </cell>
        </row>
        <row r="540">
          <cell r="A540" t="str">
            <v>EA</v>
          </cell>
          <cell r="B540" t="str">
            <v>Ebenezer Mensah /  Godfred Boahen</v>
          </cell>
        </row>
        <row r="541">
          <cell r="A541" t="str">
            <v>NEB GF1</v>
          </cell>
          <cell r="B541" t="str">
            <v>James Okae / Benjamin Kommey / Albert Kwame Kwaw</v>
          </cell>
        </row>
        <row r="542">
          <cell r="A542" t="str">
            <v>NEB FF1</v>
          </cell>
          <cell r="B542" t="str">
            <v>Kingsford Sarkodie Obeng Kwakye / Godfrey Chiri Amedjoe / Francisca Adoma Acheampong</v>
          </cell>
        </row>
        <row r="543">
          <cell r="A543" t="str">
            <v>NEB FF2</v>
          </cell>
          <cell r="B543" t="str">
            <v xml:space="preserve">Stephen Adjei / Kofi Owura Amoabeng </v>
          </cell>
        </row>
        <row r="544">
          <cell r="A544" t="str">
            <v>NEB SF1</v>
          </cell>
          <cell r="B544" t="str">
            <v xml:space="preserve">Daniel Akwei Addo /Emmanuel Kwesi Arthur  / Daniel Oduro Boatey Nuamah / Y. A. Sokama-Neuyam </v>
          </cell>
        </row>
        <row r="545">
          <cell r="A545" t="str">
            <v>PB001</v>
          </cell>
          <cell r="B545" t="str">
            <v>Francis Kofi Forson / Isaac Dadzie</v>
          </cell>
        </row>
        <row r="546">
          <cell r="A546" t="str">
            <v>PB020</v>
          </cell>
          <cell r="B546" t="str">
            <v>Joseph Aveyire / Jack Osei Banahene</v>
          </cell>
        </row>
        <row r="547">
          <cell r="A547" t="str">
            <v>PB014</v>
          </cell>
          <cell r="B547" t="str">
            <v>Albert Amatey Adjaottor / Godfred Boahen</v>
          </cell>
        </row>
        <row r="548">
          <cell r="A548" t="str">
            <v>PB008</v>
          </cell>
          <cell r="B548" t="str">
            <v xml:space="preserve"> Alfred Alan Duker / Faisal Wahib Adam</v>
          </cell>
        </row>
        <row r="549">
          <cell r="A549" t="str">
            <v>PB201</v>
          </cell>
          <cell r="B549" t="str">
            <v>Efiba Vidda Senkyire Kwarteng / Gabriel Takyi</v>
          </cell>
        </row>
        <row r="550">
          <cell r="A550" t="str">
            <v>PB214</v>
          </cell>
          <cell r="B550" t="str">
            <v>Sefakor Dogbe / John Wise Divine Ayer</v>
          </cell>
        </row>
        <row r="551">
          <cell r="A551" t="str">
            <v>PB212</v>
          </cell>
          <cell r="B551" t="str">
            <v>Samuel Boahen</v>
          </cell>
        </row>
        <row r="552">
          <cell r="A552" t="str">
            <v>PB208</v>
          </cell>
          <cell r="B552" t="str">
            <v xml:space="preserve">Jones Owusu Twumasi / Simon Kafui Yawo Gawu </v>
          </cell>
        </row>
        <row r="553">
          <cell r="A553">
            <v>303</v>
          </cell>
          <cell r="B553" t="str">
            <v>Samuel Kwofie / Casper Adenutsi</v>
          </cell>
        </row>
        <row r="554">
          <cell r="A554">
            <v>304</v>
          </cell>
          <cell r="B554" t="str">
            <v>Emmanuel Obuobi Kwame Addo</v>
          </cell>
        </row>
        <row r="555">
          <cell r="A555" t="str">
            <v>RM A</v>
          </cell>
          <cell r="B555" t="str">
            <v>Samuel Osah</v>
          </cell>
        </row>
        <row r="556">
          <cell r="A556" t="str">
            <v>RM B</v>
          </cell>
          <cell r="B556" t="str">
            <v>K. O.-B Obour Agyekum</v>
          </cell>
        </row>
        <row r="557">
          <cell r="A557">
            <v>206</v>
          </cell>
          <cell r="B557" t="str">
            <v>Eric Amoah Asante</v>
          </cell>
        </row>
        <row r="558">
          <cell r="A558" t="str">
            <v>LT</v>
          </cell>
          <cell r="B558" t="str">
            <v>Martinson Addo Nartey</v>
          </cell>
        </row>
        <row r="559">
          <cell r="A559" t="str">
            <v>VSLA</v>
          </cell>
          <cell r="B559" t="str">
            <v>Charles Adrah / Jonathan Arthur Quaye-Ballard</v>
          </cell>
        </row>
        <row r="560">
          <cell r="A560" t="str">
            <v>N1</v>
          </cell>
          <cell r="B560" t="str">
            <v xml:space="preserve">Samuel Erzuah </v>
          </cell>
        </row>
        <row r="561">
          <cell r="A561" t="str">
            <v>N2</v>
          </cell>
          <cell r="B561" t="str">
            <v>Theresa-Samuelle Maame Atwemaa Adjaidoo</v>
          </cell>
        </row>
        <row r="562">
          <cell r="A562"/>
          <cell r="B562"/>
        </row>
        <row r="563">
          <cell r="A563" t="str">
            <v>A110</v>
          </cell>
          <cell r="B563" t="str">
            <v>William Amponsah / Godfrey Chiri Amedjoe</v>
          </cell>
        </row>
        <row r="564">
          <cell r="A564" t="str">
            <v>ECR</v>
          </cell>
          <cell r="B564" t="str">
            <v>Andrew Selasi Agbemenu</v>
          </cell>
        </row>
        <row r="565">
          <cell r="A565" t="str">
            <v>VCR</v>
          </cell>
          <cell r="B565" t="str">
            <v>Gordon Foli</v>
          </cell>
        </row>
        <row r="566">
          <cell r="A566" t="str">
            <v>NAF1</v>
          </cell>
          <cell r="B566" t="str">
            <v>Bright Akowuah / Prince Yaw Andoh</v>
          </cell>
        </row>
        <row r="567">
          <cell r="A567" t="str">
            <v>EA</v>
          </cell>
          <cell r="B567" t="str">
            <v>Eliel Keelson / Bernard Konadu Amoah</v>
          </cell>
        </row>
        <row r="568">
          <cell r="A568" t="str">
            <v>NEB GF1</v>
          </cell>
          <cell r="B568" t="str">
            <v>Simon Kafui Yawo Gawu / John Wise Divine Ayer / Charles Gyamfi</v>
          </cell>
        </row>
        <row r="569">
          <cell r="A569" t="str">
            <v>NEB FF1</v>
          </cell>
          <cell r="B569" t="str">
            <v>Kingsford Sarkodie Obeng Kwakye / Emmanuel Appiah-Adjei / Francisca Adoma Acheampong</v>
          </cell>
        </row>
        <row r="570">
          <cell r="A570" t="str">
            <v>NEB FF2</v>
          </cell>
          <cell r="B570" t="str">
            <v>Eugene Appiah-Effah / Anthony Arko-Adjei</v>
          </cell>
        </row>
        <row r="571">
          <cell r="A571" t="str">
            <v>NEB SF1</v>
          </cell>
          <cell r="B571" t="str">
            <v>James Dzisi Gadze / M. Appiah Brempong / Martin Kesse / Dorothy Araba Yakoba Agyapong</v>
          </cell>
        </row>
        <row r="572">
          <cell r="A572" t="str">
            <v>PB001</v>
          </cell>
          <cell r="B572" t="str">
            <v>Francis Boafo Effah /Francis Kofi Forson</v>
          </cell>
        </row>
        <row r="573">
          <cell r="A573" t="str">
            <v>PB020</v>
          </cell>
          <cell r="B573" t="str">
            <v>Eric Kwame Anokye Asare / Benjamin Kommey</v>
          </cell>
        </row>
        <row r="574">
          <cell r="A574" t="str">
            <v>PB014</v>
          </cell>
          <cell r="B574" t="str">
            <v>James Okae / Jonathan Atuquaye Quaye</v>
          </cell>
        </row>
        <row r="575">
          <cell r="A575" t="str">
            <v>PB008</v>
          </cell>
          <cell r="B575" t="str">
            <v>Andrew Cudzo Amenuvor / F. K. A. Nyarko</v>
          </cell>
        </row>
        <row r="576">
          <cell r="A576" t="str">
            <v>PB201</v>
          </cell>
          <cell r="B576" t="str">
            <v>Emmanuel Offei Akrofi / Gabriel Takyi</v>
          </cell>
        </row>
        <row r="577">
          <cell r="A577" t="str">
            <v>PB214</v>
          </cell>
          <cell r="B577" t="str">
            <v>David Oppong / Albert Asare</v>
          </cell>
        </row>
        <row r="578">
          <cell r="A578" t="str">
            <v>PB212</v>
          </cell>
          <cell r="B578" t="str">
            <v xml:space="preserve"> Forkuo Eric Kwabena</v>
          </cell>
        </row>
        <row r="579">
          <cell r="A579">
            <v>303</v>
          </cell>
          <cell r="B579" t="str">
            <v>Bukari Ali / Nancy Anataba Kyorku Dzikunu-Bansah</v>
          </cell>
        </row>
        <row r="580">
          <cell r="A580">
            <v>304</v>
          </cell>
          <cell r="B580" t="str">
            <v>Kwame Sarkodie</v>
          </cell>
        </row>
        <row r="581">
          <cell r="A581" t="str">
            <v>RM A</v>
          </cell>
          <cell r="B581" t="str">
            <v>Ebenezer Mensah</v>
          </cell>
        </row>
        <row r="582">
          <cell r="A582" t="str">
            <v>RM B</v>
          </cell>
          <cell r="B582" t="str">
            <v>Prince Ebenezer Adjei</v>
          </cell>
        </row>
        <row r="583">
          <cell r="A583">
            <v>206</v>
          </cell>
          <cell r="B583" t="str">
            <v>Felix Jojo Fianko Ayeh</v>
          </cell>
        </row>
        <row r="584">
          <cell r="A584" t="str">
            <v>LT</v>
          </cell>
          <cell r="B584" t="str">
            <v>Kenneth Adomako Tutu</v>
          </cell>
        </row>
        <row r="585">
          <cell r="A585" t="str">
            <v>VSLA</v>
          </cell>
          <cell r="B585" t="str">
            <v>Peter Oppong Tawiah / Jude Bonsu</v>
          </cell>
        </row>
        <row r="586">
          <cell r="A586" t="str">
            <v>N1</v>
          </cell>
          <cell r="B586" t="str">
            <v>Geophrey Kwame Anornu</v>
          </cell>
        </row>
        <row r="587">
          <cell r="A587" t="str">
            <v>N2</v>
          </cell>
          <cell r="B587" t="str">
            <v>Bennetta Koomson</v>
          </cell>
        </row>
        <row r="588">
          <cell r="A588"/>
          <cell r="B588"/>
        </row>
        <row r="589">
          <cell r="A589" t="str">
            <v>A110</v>
          </cell>
          <cell r="B589" t="str">
            <v>William Amponsah / Emmanuel Obuobi Kwame Addo</v>
          </cell>
        </row>
        <row r="590">
          <cell r="A590" t="str">
            <v>ECR</v>
          </cell>
          <cell r="B590" t="str">
            <v>Joseph Aveyire</v>
          </cell>
        </row>
        <row r="591">
          <cell r="A591" t="str">
            <v>VCR</v>
          </cell>
          <cell r="B591" t="str">
            <v>Vincent Kofi Abaka Acquaah</v>
          </cell>
        </row>
        <row r="592">
          <cell r="A592" t="str">
            <v>NAF1</v>
          </cell>
          <cell r="B592" t="str">
            <v>Bright Akowuah / Daniel Kwegyir</v>
          </cell>
        </row>
        <row r="593">
          <cell r="A593" t="str">
            <v>EA</v>
          </cell>
          <cell r="B593" t="str">
            <v>Alfred Alan Duker / Anthony A. Agyemang</v>
          </cell>
        </row>
        <row r="594">
          <cell r="A594" t="str">
            <v>NEB GF1</v>
          </cell>
          <cell r="B594" t="str">
            <v>Kwame Agyemang Prempeh Agyekum / Augustus Ababio Donkor / K. O.-B Obour Agyekum</v>
          </cell>
        </row>
        <row r="595">
          <cell r="A595" t="str">
            <v>NEB FF1</v>
          </cell>
          <cell r="B595" t="str">
            <v>Nicholas Prah / Ayuba Bene Adam / Prosper Akaba</v>
          </cell>
        </row>
        <row r="596">
          <cell r="A596" t="str">
            <v>NEB FF2</v>
          </cell>
          <cell r="B596" t="str">
            <v>Emmanuel Ampoma Affum / Prince Odame</v>
          </cell>
        </row>
        <row r="597">
          <cell r="A597" t="str">
            <v>NEB SF1</v>
          </cell>
          <cell r="B597" t="str">
            <v>Matthew Coffie Wilson / Daniel Akwei Addo / Stephen Adjei / Sefakor Dogbe</v>
          </cell>
        </row>
        <row r="598">
          <cell r="A598" t="str">
            <v>PB001</v>
          </cell>
          <cell r="B598" t="str">
            <v>Cosmas Yaw Asante / Kofi Owura Amoabeng</v>
          </cell>
        </row>
        <row r="599">
          <cell r="A599" t="str">
            <v>PB020</v>
          </cell>
          <cell r="B599" t="str">
            <v>Yesuenyeagbe Fiagbe / Blestmond Afrifa Brako</v>
          </cell>
        </row>
        <row r="600">
          <cell r="A600" t="str">
            <v>PB014</v>
          </cell>
          <cell r="B600" t="str">
            <v>Isaac Dadzie / Akwasi Afrifa Acheampong</v>
          </cell>
        </row>
        <row r="601">
          <cell r="A601" t="str">
            <v>PB008</v>
          </cell>
          <cell r="B601" t="str">
            <v>Albert Amatey Adjaottor / Martina Francisca Baidoo</v>
          </cell>
        </row>
        <row r="602">
          <cell r="A602" t="str">
            <v>PB201</v>
          </cell>
          <cell r="B602" t="str">
            <v>Albert Kwame Kwaw / Godfred Boahen</v>
          </cell>
        </row>
        <row r="603">
          <cell r="A603" t="str">
            <v>PB214</v>
          </cell>
          <cell r="B603" t="str">
            <v xml:space="preserve">Casper Adenutsi / S. H. M. Aikins </v>
          </cell>
        </row>
        <row r="604">
          <cell r="A604" t="str">
            <v>PB212</v>
          </cell>
          <cell r="B604" t="str">
            <v>Henry Nunoo-Mensah</v>
          </cell>
        </row>
        <row r="605">
          <cell r="A605" t="str">
            <v>PB208</v>
          </cell>
          <cell r="B605" t="str">
            <v xml:space="preserve">Charles Adrah / Evans Amponsah </v>
          </cell>
        </row>
        <row r="606">
          <cell r="A606">
            <v>303</v>
          </cell>
          <cell r="B606" t="str">
            <v xml:space="preserve">Samuel Osah / Daniel Oduro Boatey Nuamah </v>
          </cell>
        </row>
        <row r="607">
          <cell r="A607">
            <v>304</v>
          </cell>
          <cell r="B607" t="str">
            <v>Faisal Wahib Adam</v>
          </cell>
        </row>
        <row r="608">
          <cell r="A608" t="str">
            <v>RM A</v>
          </cell>
          <cell r="B608" t="str">
            <v>Efiba Vidda Senkyire Kwarteng</v>
          </cell>
        </row>
        <row r="609">
          <cell r="A609" t="str">
            <v>RM B</v>
          </cell>
          <cell r="B609" t="str">
            <v>Samuel Erzuah</v>
          </cell>
        </row>
        <row r="610">
          <cell r="A610">
            <v>206</v>
          </cell>
          <cell r="B610" t="str">
            <v>Samuel Boahen</v>
          </cell>
        </row>
        <row r="611">
          <cell r="A611" t="str">
            <v>LT</v>
          </cell>
          <cell r="B611" t="str">
            <v>Eric Amoah Asante</v>
          </cell>
        </row>
        <row r="612">
          <cell r="A612" t="str">
            <v>VSLA</v>
          </cell>
          <cell r="B612" t="str">
            <v xml:space="preserve">Martinson Addo Nartey / C. K. K. Sekyere </v>
          </cell>
        </row>
        <row r="613">
          <cell r="A613" t="str">
            <v>N1</v>
          </cell>
          <cell r="B613" t="str">
            <v>Theresa-Samuelle Maame Atwemaa Adjaidoo</v>
          </cell>
        </row>
        <row r="614">
          <cell r="A614" t="str">
            <v>N2</v>
          </cell>
          <cell r="B614" t="str">
            <v>Yaw Adubofour Tuffour</v>
          </cell>
        </row>
        <row r="615">
          <cell r="A615"/>
          <cell r="B615"/>
        </row>
        <row r="616">
          <cell r="A616" t="str">
            <v>A110</v>
          </cell>
          <cell r="B616" t="str">
            <v>Jack Osei Banahene / Joshua Ampofo</v>
          </cell>
        </row>
        <row r="617">
          <cell r="A617" t="str">
            <v>NAF1</v>
          </cell>
          <cell r="B617" t="str">
            <v>Bright Akowuah / Jones Owusu Twumasi</v>
          </cell>
        </row>
        <row r="618">
          <cell r="A618" t="str">
            <v>EA</v>
          </cell>
          <cell r="B618" t="str">
            <v>Albert Asare / Ayuba Bene Adam</v>
          </cell>
        </row>
        <row r="619">
          <cell r="A619" t="str">
            <v>NEB GF1</v>
          </cell>
          <cell r="B619" t="str">
            <v>Bennetta Koomson / Prince Odame / Kenneth Adomako Tutu</v>
          </cell>
        </row>
        <row r="620">
          <cell r="A620" t="str">
            <v>NEB FF1</v>
          </cell>
          <cell r="B620" t="str">
            <v>Benjamin Kommey / F. K. A. Nyarko / Jonathan Atuquaye Quaye</v>
          </cell>
        </row>
        <row r="621">
          <cell r="A621" t="str">
            <v>NEB FF2</v>
          </cell>
          <cell r="B621" t="str">
            <v>Martin Kesse / Eugene Appiah-Effah</v>
          </cell>
        </row>
        <row r="622">
          <cell r="A622" t="str">
            <v>NEB SF1</v>
          </cell>
          <cell r="B622" t="str">
            <v>Anthony Arko-Adjei / Emmanuel Ampoma Affum / Augustus Ababio Donkor / Evans Amponsah</v>
          </cell>
        </row>
        <row r="623">
          <cell r="A623" t="str">
            <v>PB001</v>
          </cell>
          <cell r="B623" t="str">
            <v>Eric Kwame Anokye Asare / Andrew Cudzo Amenuvor</v>
          </cell>
        </row>
        <row r="624">
          <cell r="A624" t="str">
            <v>PB020</v>
          </cell>
          <cell r="B624" t="str">
            <v>James Okae / Daniel Akwei Addo</v>
          </cell>
        </row>
        <row r="625">
          <cell r="A625" t="str">
            <v>PB014</v>
          </cell>
          <cell r="B625" t="str">
            <v>Stephen Adjei / Daniel Oduro Boatey Nuamah</v>
          </cell>
        </row>
        <row r="626">
          <cell r="A626" t="str">
            <v>PB008</v>
          </cell>
          <cell r="B626" t="str">
            <v>Albert Kwame Kwaw / Blestmond Afrifa Brako</v>
          </cell>
        </row>
        <row r="627">
          <cell r="A627" t="str">
            <v>PB201</v>
          </cell>
          <cell r="B627" t="str">
            <v>James Dzisi Gadze / Akwasi Afrifa Acheampong</v>
          </cell>
        </row>
        <row r="628">
          <cell r="A628" t="str">
            <v>PB214</v>
          </cell>
          <cell r="B628" t="str">
            <v>Vincent Kofi Abaka Acquaah / Matthew Coffie Wilson</v>
          </cell>
        </row>
        <row r="629">
          <cell r="A629" t="str">
            <v>PB212</v>
          </cell>
          <cell r="B629" t="str">
            <v>Nicholas Prah</v>
          </cell>
        </row>
        <row r="630">
          <cell r="A630" t="str">
            <v>PB208</v>
          </cell>
          <cell r="B630" t="str">
            <v>Dorothy Araba Yakoba Agyapong / Felix Jojo Fianko Ayeh</v>
          </cell>
        </row>
        <row r="631">
          <cell r="A631">
            <v>303</v>
          </cell>
          <cell r="B631" t="str">
            <v>Anthony A. Agyemang / Daniel Kwegyir</v>
          </cell>
        </row>
        <row r="632">
          <cell r="A632">
            <v>304</v>
          </cell>
          <cell r="B632" t="str">
            <v>Bernard Konadu Amoah</v>
          </cell>
        </row>
        <row r="633">
          <cell r="A633" t="str">
            <v>RM A</v>
          </cell>
          <cell r="B633" t="str">
            <v>C. K. K. Sekyere</v>
          </cell>
        </row>
        <row r="634">
          <cell r="A634" t="str">
            <v>RM B</v>
          </cell>
          <cell r="B634" t="str">
            <v>Martina Francisca Baidoo</v>
          </cell>
        </row>
        <row r="635">
          <cell r="A635">
            <v>206</v>
          </cell>
          <cell r="B635" t="str">
            <v>Yesuenyeagbe Fiagbe</v>
          </cell>
        </row>
        <row r="636">
          <cell r="A636" t="str">
            <v>LT</v>
          </cell>
          <cell r="B636" t="str">
            <v>Charles Gyamfi</v>
          </cell>
        </row>
        <row r="637">
          <cell r="A637" t="str">
            <v>VSLA</v>
          </cell>
          <cell r="B637" t="str">
            <v>Prosper Akaba / M. Appiah Brempong</v>
          </cell>
        </row>
        <row r="638">
          <cell r="A638" t="str">
            <v>N1</v>
          </cell>
          <cell r="B638" t="str">
            <v>Peter Oppong Tawiah</v>
          </cell>
        </row>
        <row r="639">
          <cell r="A639" t="str">
            <v>N2</v>
          </cell>
          <cell r="B639" t="str">
            <v>Eliel Keelson</v>
          </cell>
        </row>
        <row r="640">
          <cell r="A640"/>
          <cell r="B640"/>
        </row>
        <row r="641">
          <cell r="A641" t="str">
            <v>ECR</v>
          </cell>
          <cell r="B641" t="str">
            <v>Samuel Osah</v>
          </cell>
        </row>
        <row r="642">
          <cell r="A642" t="str">
            <v>VCR</v>
          </cell>
          <cell r="B642" t="str">
            <v>Martinson Addo Nartey</v>
          </cell>
        </row>
        <row r="643">
          <cell r="A643" t="str">
            <v>A110</v>
          </cell>
          <cell r="B643" t="str">
            <v>Kwame Sarkodie / Kwame Agyemang Prempeh Agyekum</v>
          </cell>
        </row>
        <row r="644">
          <cell r="A644" t="str">
            <v>NAF1</v>
          </cell>
          <cell r="B644" t="str">
            <v xml:space="preserve">Prince Ebenezer Adjei / Casper Adenutsi </v>
          </cell>
        </row>
        <row r="645">
          <cell r="A645" t="str">
            <v>EA</v>
          </cell>
          <cell r="B645" t="str">
            <v>Patrick Boakye / K. O.-B Obour Agyekum</v>
          </cell>
        </row>
        <row r="646">
          <cell r="A646" t="str">
            <v>NEB GF1</v>
          </cell>
          <cell r="B646" t="str">
            <v>Jude Bonsu / Efiba Vidda Senkyire Kwarteng / Eric Kwame Anokye Asare</v>
          </cell>
        </row>
        <row r="647">
          <cell r="A647" t="str">
            <v>NEB SF1</v>
          </cell>
          <cell r="B647" t="str">
            <v>Eric Amoah Asante / James Okae / Benjamin Kommey / Jonathan Atuquaye Quaye</v>
          </cell>
        </row>
        <row r="648">
          <cell r="A648" t="str">
            <v>NEB FF1</v>
          </cell>
          <cell r="B648" t="str">
            <v>David Oppong / Samuel Boahen / Samuel Erzuah</v>
          </cell>
        </row>
        <row r="649">
          <cell r="A649" t="str">
            <v>NEB FF2</v>
          </cell>
          <cell r="B649" t="str">
            <v>Andrew Cudzo Amenuvor / Jack Osei Banahene</v>
          </cell>
        </row>
        <row r="650">
          <cell r="A650" t="str">
            <v>PB001</v>
          </cell>
          <cell r="B650" t="str">
            <v xml:space="preserve">Kofi Owura Amoabeng / Nancy Anataba Kyorku Dzikunu-Bansah </v>
          </cell>
        </row>
        <row r="651">
          <cell r="A651" t="str">
            <v>PB008</v>
          </cell>
          <cell r="B651" t="str">
            <v xml:space="preserve"> Theresa-Samuelle Maame Atwemaa Adjaidoo  / Albert Kwame Kwaw</v>
          </cell>
        </row>
        <row r="652">
          <cell r="A652" t="str">
            <v>PB014</v>
          </cell>
          <cell r="B652" t="str">
            <v>Henry Nunoo-Mensah / Jonathan Arthur Quaye-Ballard</v>
          </cell>
        </row>
        <row r="653">
          <cell r="A653" t="str">
            <v>PB020</v>
          </cell>
          <cell r="B653" t="str">
            <v xml:space="preserve">Faisal Wahib Adam / Prince Yaw Andoh </v>
          </cell>
        </row>
        <row r="654">
          <cell r="A654" t="str">
            <v>PB214</v>
          </cell>
          <cell r="B654" t="str">
            <v>F. K. A. Nyarko /  Charles Adrah</v>
          </cell>
        </row>
        <row r="655">
          <cell r="A655" t="str">
            <v>PB208</v>
          </cell>
          <cell r="B655" t="str">
            <v>Y. A. Sokama-Neuyam /  Jones Owusu Twumasi</v>
          </cell>
        </row>
        <row r="656">
          <cell r="A656" t="str">
            <v>PB212</v>
          </cell>
          <cell r="B656" t="str">
            <v>Francis Boafo Effah</v>
          </cell>
        </row>
        <row r="657">
          <cell r="A657" t="str">
            <v>PB201</v>
          </cell>
          <cell r="B657" t="str">
            <v>Emmanuel Appiah-Adjei / Stephen Adjei</v>
          </cell>
        </row>
        <row r="658">
          <cell r="A658">
            <v>303</v>
          </cell>
          <cell r="B658" t="str">
            <v xml:space="preserve">Daniel Akwei Addo / Sefakor Dogbe </v>
          </cell>
        </row>
        <row r="659">
          <cell r="A659">
            <v>304</v>
          </cell>
          <cell r="B659" t="str">
            <v>Godfred Boahen</v>
          </cell>
        </row>
        <row r="660">
          <cell r="A660" t="str">
            <v>RM A</v>
          </cell>
          <cell r="B660" t="str">
            <v>Daniel Oduro Boatey Nuamah</v>
          </cell>
        </row>
        <row r="661">
          <cell r="A661" t="str">
            <v>RM B</v>
          </cell>
          <cell r="B661" t="str">
            <v>Felix Jojo Fianko Ayeh</v>
          </cell>
        </row>
        <row r="662">
          <cell r="A662">
            <v>206</v>
          </cell>
          <cell r="B662" t="str">
            <v>Bernard Konadu Amoah</v>
          </cell>
        </row>
        <row r="663">
          <cell r="A663" t="str">
            <v>VSLA</v>
          </cell>
          <cell r="B663" t="str">
            <v>Eugene Appiah-Effah / M. Appiah Brempong</v>
          </cell>
        </row>
        <row r="664">
          <cell r="A664" t="str">
            <v>LT</v>
          </cell>
          <cell r="B664" t="str">
            <v>C. K. K. Sekyere</v>
          </cell>
        </row>
        <row r="665">
          <cell r="A665" t="str">
            <v>N1</v>
          </cell>
          <cell r="B665" t="str">
            <v>Evans Amponsah</v>
          </cell>
        </row>
        <row r="666">
          <cell r="A666" t="str">
            <v>N2</v>
          </cell>
          <cell r="B666" t="str">
            <v>Akwasi Afrifa Acheampong</v>
          </cell>
        </row>
        <row r="667">
          <cell r="A667"/>
          <cell r="B667"/>
        </row>
        <row r="668">
          <cell r="A668" t="str">
            <v>ECR</v>
          </cell>
          <cell r="B668" t="str">
            <v>Mary Mensah</v>
          </cell>
        </row>
        <row r="669">
          <cell r="A669" t="str">
            <v>VCR</v>
          </cell>
          <cell r="B669" t="str">
            <v>Emmanuel Kwesi Arthur</v>
          </cell>
        </row>
        <row r="670">
          <cell r="A670" t="str">
            <v>A110</v>
          </cell>
          <cell r="B670" t="str">
            <v>Gordon Foli / Godfrey Chiri Amedjoe</v>
          </cell>
        </row>
        <row r="671">
          <cell r="A671" t="str">
            <v>NAF1</v>
          </cell>
          <cell r="B671" t="str">
            <v>Patrick Boakye / Francisca Adoma Acheampong</v>
          </cell>
        </row>
        <row r="672">
          <cell r="A672" t="str">
            <v>EA</v>
          </cell>
          <cell r="B672" t="str">
            <v>Cosmas Yaw Asante / Samuel Kwofie</v>
          </cell>
        </row>
        <row r="673">
          <cell r="A673" t="str">
            <v>NEB GF1</v>
          </cell>
          <cell r="B673" t="str">
            <v>Forkuo Eric Kwabena / Prosper Akaba / Anthony Arko-Adjei</v>
          </cell>
        </row>
        <row r="674">
          <cell r="A674" t="str">
            <v>NEB SF1</v>
          </cell>
          <cell r="B674" t="str">
            <v>Nancy Anataba Kyorku Dzikunu-Bansah / Augustus Ababio Donkor / Kwame Sarkodie / Kenneth Adomako Tutu</v>
          </cell>
        </row>
        <row r="675">
          <cell r="A675" t="str">
            <v>NEB FF1</v>
          </cell>
          <cell r="B675" t="str">
            <v>Emmanuel Obuobi Kwame Addo / Emmanuel Offei Akrofi / Joseph Aveyire</v>
          </cell>
        </row>
        <row r="676">
          <cell r="A676" t="str">
            <v>NEB FF2</v>
          </cell>
          <cell r="B676" t="str">
            <v>Matthew Coffie Wilson / Kwame Agyemang Prempeh Agyekum</v>
          </cell>
        </row>
        <row r="677">
          <cell r="A677" t="str">
            <v>PB001</v>
          </cell>
          <cell r="B677" t="str">
            <v>Alfred Alan Duker / Isaac Dadzie</v>
          </cell>
        </row>
        <row r="678">
          <cell r="A678" t="str">
            <v>PB008</v>
          </cell>
          <cell r="B678" t="str">
            <v>John Wise Divine Ayer / Simon Kafui Yawo Gawu</v>
          </cell>
        </row>
        <row r="679">
          <cell r="A679" t="str">
            <v>PB014</v>
          </cell>
          <cell r="B679" t="str">
            <v>Geophrey Kwame Anornu / Gabriel Takyi</v>
          </cell>
        </row>
        <row r="680">
          <cell r="A680" t="str">
            <v>PB020</v>
          </cell>
          <cell r="B680" t="str">
            <v>S. H. M. Aikins / Albert Amatey Adjaottor</v>
          </cell>
        </row>
        <row r="681">
          <cell r="A681" t="str">
            <v>PB214</v>
          </cell>
          <cell r="B681" t="str">
            <v>Prince Ebenezer Adjei / Bennetta Koomson</v>
          </cell>
        </row>
        <row r="682">
          <cell r="A682" t="str">
            <v>PB208</v>
          </cell>
          <cell r="B682" t="str">
            <v>Eliel Keelson / Nicholas Prah</v>
          </cell>
        </row>
        <row r="683">
          <cell r="A683" t="str">
            <v>PB212</v>
          </cell>
          <cell r="B683" t="str">
            <v>Peter Oppong Tawiah</v>
          </cell>
        </row>
        <row r="684">
          <cell r="A684" t="str">
            <v>PB201</v>
          </cell>
          <cell r="B684" t="str">
            <v>Charles Gyamfi / Dorothy Araba Yakoba Agyapong</v>
          </cell>
        </row>
        <row r="685">
          <cell r="A685">
            <v>303</v>
          </cell>
          <cell r="B685" t="str">
            <v>Prince Odame / Vincent Kofi Abaka Acquaah</v>
          </cell>
        </row>
        <row r="686">
          <cell r="A686">
            <v>304</v>
          </cell>
          <cell r="B686" t="str">
            <v>Ebenezer Mensah</v>
          </cell>
        </row>
        <row r="687">
          <cell r="A687" t="str">
            <v>RM A</v>
          </cell>
          <cell r="B687" t="str">
            <v>Blestmond Afrifa Brako</v>
          </cell>
        </row>
        <row r="688">
          <cell r="A688" t="str">
            <v>RM B</v>
          </cell>
          <cell r="B688" t="str">
            <v>Martin Kesse</v>
          </cell>
        </row>
        <row r="689">
          <cell r="A689">
            <v>206</v>
          </cell>
          <cell r="B689" t="str">
            <v>Martina Francisca Baidoo</v>
          </cell>
        </row>
        <row r="690">
          <cell r="A690" t="str">
            <v>VSLA</v>
          </cell>
          <cell r="B690" t="str">
            <v>Emmanuel Ampoma Affum / David Oppong</v>
          </cell>
        </row>
        <row r="691">
          <cell r="A691" t="str">
            <v>LT</v>
          </cell>
          <cell r="B691" t="str">
            <v>Yesuenyeagbe Fiagbe</v>
          </cell>
        </row>
        <row r="692">
          <cell r="A692" t="str">
            <v>N1</v>
          </cell>
          <cell r="B692" t="str">
            <v>Anthony A. Agyemang</v>
          </cell>
        </row>
        <row r="693">
          <cell r="A693" t="str">
            <v>N2</v>
          </cell>
          <cell r="B693" t="str">
            <v>Ayuba Bene Adam</v>
          </cell>
        </row>
        <row r="694">
          <cell r="A694"/>
          <cell r="B694"/>
        </row>
        <row r="695">
          <cell r="A695" t="str">
            <v>ECR</v>
          </cell>
          <cell r="B695" t="str">
            <v>Emmanuel Kwesi Arthur</v>
          </cell>
        </row>
        <row r="696">
          <cell r="A696" t="str">
            <v>VCR</v>
          </cell>
          <cell r="B696" t="str">
            <v>Gnida Sossou</v>
          </cell>
        </row>
        <row r="697">
          <cell r="A697" t="str">
            <v>A110</v>
          </cell>
          <cell r="B697" t="str">
            <v>Mary Mensah / Godfrey Chiri Amedjoe</v>
          </cell>
        </row>
        <row r="698">
          <cell r="A698" t="str">
            <v>NAF1</v>
          </cell>
          <cell r="B698" t="str">
            <v>Gordon Foli / Francisca Adoma Acheampong</v>
          </cell>
        </row>
        <row r="699">
          <cell r="A699" t="str">
            <v>EA</v>
          </cell>
          <cell r="B699" t="str">
            <v>James Dzisi Gadze / Joseph Aveyire</v>
          </cell>
        </row>
        <row r="700">
          <cell r="A700" t="str">
            <v>NEB GF1</v>
          </cell>
          <cell r="B700" t="str">
            <v>Albert Asare / Simon Kafui Yawo Gawu / Cosmas Yaw Asante</v>
          </cell>
        </row>
        <row r="701">
          <cell r="A701" t="str">
            <v>NEB SF1</v>
          </cell>
          <cell r="B701" t="str">
            <v>Geophrey Kwame Anornu / Gabriel Takyi / James Okae / Benjamin Kommey</v>
          </cell>
        </row>
        <row r="702">
          <cell r="A702" t="str">
            <v>NEB FF1</v>
          </cell>
          <cell r="B702" t="str">
            <v>Emmanuel Obuobi Kwame Addo / Alfred Alan Duker / Jude Bonsu</v>
          </cell>
        </row>
        <row r="703">
          <cell r="A703" t="str">
            <v>NEB FF2</v>
          </cell>
          <cell r="B703" t="str">
            <v>F. K. A. Nyarko / Andrew Cudzo Amenuvor</v>
          </cell>
        </row>
        <row r="704">
          <cell r="A704" t="str">
            <v>PB001</v>
          </cell>
          <cell r="B704" t="str">
            <v>Ebenezer Mensah / Emmanuel Offei Akrofi</v>
          </cell>
        </row>
        <row r="705">
          <cell r="A705" t="str">
            <v>PB014</v>
          </cell>
          <cell r="B705" t="str">
            <v>Kofi Owura Amoabeng / S. H. M. Aikins</v>
          </cell>
        </row>
        <row r="706">
          <cell r="A706" t="str">
            <v>PB020</v>
          </cell>
          <cell r="B706" t="str">
            <v>Daniel Kwegyir / Efiba Vidda Senkyire Kwarteng</v>
          </cell>
        </row>
        <row r="707">
          <cell r="A707" t="str">
            <v>PB214</v>
          </cell>
          <cell r="B707" t="str">
            <v>Eric Kwame Anokye Asare / Jonathan Atuquaye Quaye</v>
          </cell>
        </row>
        <row r="708">
          <cell r="A708" t="str">
            <v>PB208</v>
          </cell>
          <cell r="B708" t="str">
            <v>Godfred Boahen / John Wise Divine Ayer</v>
          </cell>
        </row>
        <row r="709">
          <cell r="A709" t="str">
            <v>PB212</v>
          </cell>
          <cell r="B709" t="str">
            <v>Faisal Wahib Adam</v>
          </cell>
        </row>
        <row r="710">
          <cell r="A710" t="str">
            <v>PB201</v>
          </cell>
          <cell r="B710" t="str">
            <v xml:space="preserve">Samuel Erzuah / Isaac Dadzie </v>
          </cell>
        </row>
        <row r="711">
          <cell r="A711">
            <v>303</v>
          </cell>
          <cell r="B711" t="str">
            <v>Martinson Addo Nartey / Albert Amatey Adjaottor</v>
          </cell>
        </row>
        <row r="712">
          <cell r="A712">
            <v>304</v>
          </cell>
          <cell r="B712" t="str">
            <v>Casper Adenutsi</v>
          </cell>
        </row>
        <row r="713">
          <cell r="A713" t="str">
            <v>RM A</v>
          </cell>
          <cell r="B713" t="str">
            <v>Theresa-Samuelle Maame Atwemaa Adjaidoo</v>
          </cell>
        </row>
        <row r="714">
          <cell r="A714" t="str">
            <v>PB008</v>
          </cell>
          <cell r="B714" t="str">
            <v>Blestmond Afrifa Brako  /  Anthony Arko-Adjei</v>
          </cell>
        </row>
        <row r="715">
          <cell r="A715" t="str">
            <v>RM B</v>
          </cell>
          <cell r="B715" t="str">
            <v>Samuel Osah</v>
          </cell>
        </row>
        <row r="716">
          <cell r="A716">
            <v>206</v>
          </cell>
          <cell r="B716" t="str">
            <v>Sefakor Dogbe</v>
          </cell>
        </row>
        <row r="717">
          <cell r="A717" t="str">
            <v>VSLA</v>
          </cell>
          <cell r="B717" t="str">
            <v>Jack Osei Banahene / Samuel Boahen</v>
          </cell>
        </row>
        <row r="718">
          <cell r="A718" t="str">
            <v>LT</v>
          </cell>
          <cell r="B718" t="str">
            <v>Charles Adrah</v>
          </cell>
        </row>
        <row r="719">
          <cell r="A719" t="str">
            <v>N1</v>
          </cell>
          <cell r="B719" t="str">
            <v>Henry Nunoo-Mensah</v>
          </cell>
        </row>
        <row r="720">
          <cell r="A720" t="str">
            <v>N2</v>
          </cell>
          <cell r="B720" t="str">
            <v>K. O.-B Obour Agyekum</v>
          </cell>
        </row>
        <row r="721">
          <cell r="A721"/>
          <cell r="B721"/>
        </row>
        <row r="722">
          <cell r="A722" t="str">
            <v>ECR</v>
          </cell>
          <cell r="B722" t="str">
            <v>Gordon Foli</v>
          </cell>
        </row>
        <row r="723">
          <cell r="A723" t="str">
            <v>VCR</v>
          </cell>
          <cell r="B723" t="str">
            <v>Jones Owusu Twumasi</v>
          </cell>
        </row>
        <row r="724">
          <cell r="A724" t="str">
            <v>A110</v>
          </cell>
          <cell r="B724" t="str">
            <v>Eric Amoah Asante / Godfrey Chiri Amedjoe</v>
          </cell>
        </row>
        <row r="725">
          <cell r="A725" t="str">
            <v>NAF1</v>
          </cell>
          <cell r="B725" t="str">
            <v>Albert Kwame Kwaw / Daniel Akwei Addo</v>
          </cell>
        </row>
        <row r="726">
          <cell r="A726" t="str">
            <v>EA</v>
          </cell>
          <cell r="B726" t="str">
            <v>Augustus Ababio Donkor / Matthew Coffie Wilson</v>
          </cell>
        </row>
        <row r="727">
          <cell r="A727" t="str">
            <v>NEB GF1</v>
          </cell>
          <cell r="B727" t="str">
            <v>Yesuenyeagbe Fiagbe / Jude Bonsu / Prince Ebenezer Adjei</v>
          </cell>
        </row>
        <row r="728">
          <cell r="A728" t="str">
            <v>NEB SF1</v>
          </cell>
          <cell r="B728" t="str">
            <v>Felix Jojo Fianko Ayeh / Vincent Kofi Abaka Acquaah / James Dzisi Gadze / M. Appiah Brempong</v>
          </cell>
        </row>
        <row r="729">
          <cell r="A729" t="str">
            <v>NEB FF1</v>
          </cell>
          <cell r="B729" t="str">
            <v>Daniel Oduro Boatey Nuamah / Stephen Adjei / Yaw Adubofour Tuffour</v>
          </cell>
        </row>
        <row r="730">
          <cell r="A730" t="str">
            <v>NEB FF2</v>
          </cell>
          <cell r="B730" t="str">
            <v>David Oppong / Prince Odame</v>
          </cell>
        </row>
        <row r="731">
          <cell r="A731" t="str">
            <v>PB001</v>
          </cell>
          <cell r="B731" t="str">
            <v>Joshua Ampofo / Jonathan Atuquaye Quaye</v>
          </cell>
        </row>
        <row r="732">
          <cell r="A732" t="str">
            <v>PB008</v>
          </cell>
          <cell r="B732" t="str">
            <v>F. K. A. Nyarko / Eric Kwame Anokye Asare</v>
          </cell>
        </row>
        <row r="733">
          <cell r="A733" t="str">
            <v>PB020</v>
          </cell>
          <cell r="B733" t="str">
            <v>Benjamin Kommey / James Okae</v>
          </cell>
        </row>
        <row r="734">
          <cell r="A734" t="str">
            <v>PB214</v>
          </cell>
          <cell r="B734" t="str">
            <v>Nancy Anataba Kyorku Dzikunu-Bansah / Ayuba Bene Adam</v>
          </cell>
        </row>
        <row r="735">
          <cell r="A735" t="str">
            <v>PB212</v>
          </cell>
          <cell r="B735" t="str">
            <v>Bennetta Koomson</v>
          </cell>
        </row>
        <row r="736">
          <cell r="A736" t="str">
            <v>PB201</v>
          </cell>
          <cell r="B736" t="str">
            <v>Eugene Appiah-Effah / Albert Asare</v>
          </cell>
        </row>
        <row r="737">
          <cell r="A737">
            <v>303</v>
          </cell>
          <cell r="B737" t="str">
            <v>Charles Gyamfi / C. K. K. Sekyere</v>
          </cell>
        </row>
        <row r="738">
          <cell r="A738">
            <v>304</v>
          </cell>
          <cell r="B738" t="str">
            <v>Andrew Cudzo Amenuvor</v>
          </cell>
        </row>
        <row r="739">
          <cell r="A739" t="str">
            <v>PB014</v>
          </cell>
          <cell r="B739" t="str">
            <v xml:space="preserve">Kwame Sarkodie  /   Bernard Konadu Amoah  </v>
          </cell>
        </row>
        <row r="740">
          <cell r="A740" t="str">
            <v>PB208</v>
          </cell>
          <cell r="B740" t="str">
            <v xml:space="preserve">Kenneth Adomako Tutu /   Nicholas Prah   </v>
          </cell>
        </row>
        <row r="741">
          <cell r="A741" t="str">
            <v>RM A</v>
          </cell>
          <cell r="B741" t="str">
            <v>Eliel Keelson</v>
          </cell>
        </row>
        <row r="742">
          <cell r="A742" t="str">
            <v>RM B</v>
          </cell>
          <cell r="B742" t="str">
            <v>Martin Kesse</v>
          </cell>
        </row>
        <row r="743">
          <cell r="A743">
            <v>206</v>
          </cell>
          <cell r="B743" t="str">
            <v>Peter Oppong Tawiah</v>
          </cell>
        </row>
        <row r="744">
          <cell r="A744" t="str">
            <v>VSLA</v>
          </cell>
          <cell r="B744" t="str">
            <v>Emmanuel Ampoma Affum / Anthony A. Agyemang</v>
          </cell>
        </row>
        <row r="745">
          <cell r="A745" t="str">
            <v>LT</v>
          </cell>
          <cell r="B745" t="str">
            <v>Akwasi Afrifa Acheampong</v>
          </cell>
        </row>
        <row r="746">
          <cell r="A746" t="str">
            <v>N1</v>
          </cell>
          <cell r="B746" t="str">
            <v>Daniel Kwegyir</v>
          </cell>
        </row>
        <row r="747">
          <cell r="A747" t="str">
            <v>N2</v>
          </cell>
          <cell r="B747" t="str">
            <v>Evans Amponsah</v>
          </cell>
        </row>
        <row r="748">
          <cell r="A748"/>
          <cell r="B748"/>
        </row>
        <row r="749">
          <cell r="A749" t="str">
            <v>ECR</v>
          </cell>
          <cell r="B749" t="str">
            <v>Eric Amoah Asante</v>
          </cell>
        </row>
        <row r="750">
          <cell r="A750" t="str">
            <v>VCR</v>
          </cell>
          <cell r="B750" t="str">
            <v xml:space="preserve"> Martinson Addo Nartey</v>
          </cell>
        </row>
        <row r="751">
          <cell r="A751" t="str">
            <v>A110</v>
          </cell>
          <cell r="B751" t="str">
            <v>Henry Nunoo-Mensah  / Blestmond Afrifa Brako</v>
          </cell>
        </row>
        <row r="752">
          <cell r="A752" t="str">
            <v>NAF1</v>
          </cell>
          <cell r="B752" t="str">
            <v>Bernard Konadu Amoah / K. O.-B Obour Agyekum</v>
          </cell>
        </row>
        <row r="753">
          <cell r="A753" t="str">
            <v>EA</v>
          </cell>
          <cell r="B753" t="str">
            <v>Charles Adrah /  Francis Boafo Effah</v>
          </cell>
        </row>
        <row r="754">
          <cell r="A754" t="str">
            <v>NEB GF1</v>
          </cell>
          <cell r="B754" t="str">
            <v>Jones Owusu Twumasi /Kenneth Adomako Tutu  / Dorothy Araba Yakoba Agyapong</v>
          </cell>
        </row>
        <row r="755">
          <cell r="A755" t="str">
            <v>NEB SF1</v>
          </cell>
          <cell r="B755" t="str">
            <v xml:space="preserve"> Y. A. Sokama-Neuyam/ Evans Amponsah / Samuel Boahen / F. K. A. Nyarko</v>
          </cell>
        </row>
        <row r="756">
          <cell r="A756" t="str">
            <v>NEB FF1</v>
          </cell>
          <cell r="B756" t="str">
            <v>Kwame Agyemang Prempeh Agyekum / Kwame Sarkodie / Martina Francisca Baidoo</v>
          </cell>
        </row>
        <row r="757">
          <cell r="A757" t="str">
            <v>NEB FF2</v>
          </cell>
          <cell r="B757" t="str">
            <v>Nicholas Prah / Casper Adenutsi</v>
          </cell>
        </row>
        <row r="758">
          <cell r="A758" t="str">
            <v>PB001</v>
          </cell>
          <cell r="B758" t="str">
            <v>Prosper Akaba / Samuel Osah</v>
          </cell>
        </row>
        <row r="759">
          <cell r="A759" t="str">
            <v>PB008</v>
          </cell>
          <cell r="B759" t="str">
            <v>Theresa-Samuelle Maame Atwemaa Adjaidoo / Anthony Arko-Adjei</v>
          </cell>
        </row>
        <row r="760">
          <cell r="A760" t="str">
            <v>PB014</v>
          </cell>
          <cell r="B760" t="str">
            <v>Sefakor Dogbe / Nicholas Prah</v>
          </cell>
        </row>
        <row r="761">
          <cell r="A761" t="str">
            <v>PB020</v>
          </cell>
          <cell r="B761" t="str">
            <v>Faisal Wahib Adam / David Oppong</v>
          </cell>
        </row>
        <row r="762">
          <cell r="A762" t="str">
            <v>PB214</v>
          </cell>
          <cell r="B762" t="str">
            <v xml:space="preserve"> Samuel Erzuah / Forkuo Eric Kwabena</v>
          </cell>
        </row>
        <row r="763">
          <cell r="A763" t="str">
            <v>PB208</v>
          </cell>
          <cell r="B763" t="str">
            <v>Jonathan Arthur Quaye-Ballard / Prince Yaw Andoh</v>
          </cell>
        </row>
        <row r="764">
          <cell r="A764" t="str">
            <v>PB212</v>
          </cell>
          <cell r="B764" t="str">
            <v>Efiba Vidda Senkyire Kwarteng / Martin Kesse</v>
          </cell>
        </row>
        <row r="765">
          <cell r="A765" t="str">
            <v>PB014</v>
          </cell>
          <cell r="B765" t="str">
            <v xml:space="preserve">Kwame Sarkodie  /   Bernard Konadu Amoah  </v>
          </cell>
        </row>
        <row r="766">
          <cell r="A766" t="str">
            <v>PB208</v>
          </cell>
          <cell r="B766" t="str">
            <v xml:space="preserve">Kenneth Adomako Tutu /  Emmanuel Appiah-Adjei </v>
          </cell>
        </row>
        <row r="767">
          <cell r="A767" t="str">
            <v>PB201</v>
          </cell>
          <cell r="B767" t="str">
            <v>Albert Kwame Kwaw / Daniel Oduro Boatey Nuamah</v>
          </cell>
        </row>
        <row r="768">
          <cell r="A768">
            <v>303</v>
          </cell>
          <cell r="B768" t="str">
            <v>Stephen Adjei / Daniel Akwei Addo</v>
          </cell>
        </row>
        <row r="769">
          <cell r="A769">
            <v>304</v>
          </cell>
          <cell r="B769" t="str">
            <v>Godfred Boahen</v>
          </cell>
        </row>
        <row r="770">
          <cell r="A770" t="str">
            <v>RM A</v>
          </cell>
          <cell r="B770" t="str">
            <v>Benjamin Kommey</v>
          </cell>
        </row>
        <row r="771">
          <cell r="A771" t="str">
            <v>RM B</v>
          </cell>
          <cell r="B771" t="str">
            <v>Eric Kwame Anokye Asare</v>
          </cell>
        </row>
        <row r="772">
          <cell r="A772">
            <v>206</v>
          </cell>
          <cell r="B772" t="str">
            <v>Jonathan Atuquaye Quaye</v>
          </cell>
        </row>
        <row r="773">
          <cell r="A773" t="str">
            <v>VSLA</v>
          </cell>
          <cell r="B773" t="str">
            <v>James Okae / Andrew Cudzo Amenuvor</v>
          </cell>
        </row>
        <row r="774">
          <cell r="A774" t="str">
            <v>LT</v>
          </cell>
          <cell r="B774" t="str">
            <v>Kofi Owura Amoabeng</v>
          </cell>
        </row>
        <row r="775">
          <cell r="A775" t="str">
            <v>N1</v>
          </cell>
          <cell r="B775" t="str">
            <v>Akwasi Afrifa Acheampong</v>
          </cell>
        </row>
        <row r="776">
          <cell r="A776" t="str">
            <v>N2</v>
          </cell>
          <cell r="B776" t="str">
            <v>Jack Osei Banahene</v>
          </cell>
        </row>
        <row r="777">
          <cell r="A777"/>
          <cell r="B777"/>
        </row>
        <row r="778">
          <cell r="A778" t="str">
            <v>ECR</v>
          </cell>
          <cell r="B778" t="str">
            <v>James Dzisi Gadze</v>
          </cell>
        </row>
        <row r="779">
          <cell r="A779" t="str">
            <v>VCR</v>
          </cell>
          <cell r="B779" t="str">
            <v>Matthew Coffie Wilson</v>
          </cell>
        </row>
        <row r="780">
          <cell r="A780" t="str">
            <v>A110</v>
          </cell>
          <cell r="B780" t="str">
            <v>Prince Ebenezer Adjei / Jude Bonsu</v>
          </cell>
        </row>
        <row r="781">
          <cell r="A781" t="str">
            <v>NAF1</v>
          </cell>
          <cell r="B781" t="str">
            <v>Blestmond Afrifa Brako / Prosper Akaba</v>
          </cell>
        </row>
        <row r="782">
          <cell r="A782" t="str">
            <v>EA</v>
          </cell>
          <cell r="B782" t="str">
            <v>Emmanuel Ampoma Affum / Kenneth Adomako Tutu</v>
          </cell>
        </row>
        <row r="783">
          <cell r="A783" t="str">
            <v>NEB GF1</v>
          </cell>
          <cell r="B783" t="str">
            <v>Vincent Kofi Abaka Acquaah / Ayuba Bene Adam / Daniel Kwegyir</v>
          </cell>
        </row>
        <row r="784">
          <cell r="A784" t="str">
            <v>NEB SF1</v>
          </cell>
          <cell r="B784" t="str">
            <v>C. K. K. Sekyere / Felix Jojo Fianko Ayeh / Peter Oppong Tawiah / Albert Asare</v>
          </cell>
        </row>
        <row r="785">
          <cell r="A785" t="str">
            <v>NEB FF1</v>
          </cell>
          <cell r="B785" t="str">
            <v>Dorothy Araba Yakoba Agyapong / Bennetta Koomson / M. Appiah Brempong</v>
          </cell>
        </row>
        <row r="786">
          <cell r="A786" t="str">
            <v>NEB FF2</v>
          </cell>
          <cell r="B786" t="str">
            <v>Augustus Ababio Donkor / Kwame Sarkodie</v>
          </cell>
        </row>
        <row r="787">
          <cell r="A787" t="str">
            <v>PB001</v>
          </cell>
          <cell r="B787" t="str">
            <v>Nicholas Prah / Anthony A. Agyemang</v>
          </cell>
        </row>
        <row r="788">
          <cell r="A788" t="str">
            <v>PB008</v>
          </cell>
          <cell r="B788" t="str">
            <v>Godfred Boahen / Eugene Appiah-Effah</v>
          </cell>
        </row>
        <row r="789">
          <cell r="A789" t="str">
            <v>PB014</v>
          </cell>
          <cell r="B789" t="str">
            <v>David Oppong / Charles Gyamfi</v>
          </cell>
        </row>
        <row r="790">
          <cell r="A790" t="str">
            <v>PB020</v>
          </cell>
          <cell r="B790" t="str">
            <v>Anthony Arko-Adjei / Bernard Konadu Amoah</v>
          </cell>
        </row>
        <row r="791">
          <cell r="A791" t="str">
            <v>PB214</v>
          </cell>
          <cell r="B791" t="str">
            <v>Martina Francisca Baidoo / Prince Odame</v>
          </cell>
        </row>
        <row r="792">
          <cell r="A792" t="str">
            <v>PB208</v>
          </cell>
          <cell r="B792" t="str">
            <v>Yesuenyeagbe Fiagbe / Nancy Anataba Kyorku Dzikunu-Bansah</v>
          </cell>
        </row>
        <row r="793">
          <cell r="A793" t="str">
            <v>PB212</v>
          </cell>
          <cell r="B793" t="str">
            <v>Eliel Keelson</v>
          </cell>
        </row>
        <row r="794">
          <cell r="A794" t="str">
            <v>PB201</v>
          </cell>
          <cell r="B794" t="str">
            <v>Efiba Vidda Senkyire Kwarteng / Martin Kesse</v>
          </cell>
        </row>
        <row r="795">
          <cell r="A795">
            <v>303</v>
          </cell>
          <cell r="B795" t="str">
            <v xml:space="preserve">Faisal Wahib Adam / Kwame Agyemang Prempeh Agyekum </v>
          </cell>
        </row>
        <row r="796">
          <cell r="A796">
            <v>304</v>
          </cell>
          <cell r="B796" t="str">
            <v>Martinson Addo Nartey</v>
          </cell>
        </row>
        <row r="797">
          <cell r="A797" t="str">
            <v>RM A</v>
          </cell>
          <cell r="B797" t="str">
            <v>Samuel Erzuah</v>
          </cell>
        </row>
        <row r="798">
          <cell r="A798" t="str">
            <v>RM B</v>
          </cell>
          <cell r="B798" t="str">
            <v>Kofi Owura Amoabeng</v>
          </cell>
        </row>
        <row r="799">
          <cell r="A799">
            <v>206</v>
          </cell>
          <cell r="B799" t="str">
            <v>Casper Adenutsi</v>
          </cell>
        </row>
        <row r="800">
          <cell r="A800" t="str">
            <v>VSLA</v>
          </cell>
          <cell r="B800" t="str">
            <v>Charles Adrah / Samuel Boahen</v>
          </cell>
        </row>
        <row r="801">
          <cell r="A801" t="str">
            <v>LT</v>
          </cell>
          <cell r="B801" t="str">
            <v>Eric Amoah Asante</v>
          </cell>
        </row>
        <row r="802">
          <cell r="A802" t="str">
            <v>N1</v>
          </cell>
          <cell r="B802" t="str">
            <v>K. O.-B Obour Agyekum</v>
          </cell>
        </row>
        <row r="803">
          <cell r="A803" t="str">
            <v>N2</v>
          </cell>
          <cell r="B803" t="str">
            <v>Jack Osei Banahene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al Schedule (2)"/>
      <sheetName val="Sheet1 (2)"/>
    </sheetNames>
    <sheetDataSet>
      <sheetData sheetId="0">
        <row r="429">
          <cell r="A429" t="str">
            <v>RM A</v>
          </cell>
          <cell r="B429" t="str">
            <v>Benjamin Opoku Attuahene//</v>
          </cell>
        </row>
        <row r="430">
          <cell r="A430" t="str">
            <v>RM B</v>
          </cell>
          <cell r="B430" t="str">
            <v>Clement Opoku Nyarko //</v>
          </cell>
        </row>
        <row r="431">
          <cell r="A431" t="str">
            <v>VSLA</v>
          </cell>
          <cell r="B431" t="str">
            <v>Michael Owusu/Mercy Nimako/</v>
          </cell>
        </row>
        <row r="432">
          <cell r="A432" t="str">
            <v>LT</v>
          </cell>
          <cell r="B432" t="str">
            <v>Bernard Audinada Ampofo//</v>
          </cell>
        </row>
        <row r="433">
          <cell r="A433">
            <v>206</v>
          </cell>
          <cell r="B433" t="str">
            <v>John Ofosu//</v>
          </cell>
        </row>
        <row r="434">
          <cell r="A434">
            <v>303</v>
          </cell>
          <cell r="B434" t="str">
            <v>Joseph Beneth Kankam//</v>
          </cell>
        </row>
        <row r="435">
          <cell r="A435">
            <v>304</v>
          </cell>
          <cell r="B435" t="str">
            <v>Kpetege Edward//</v>
          </cell>
        </row>
        <row r="436">
          <cell r="A436" t="str">
            <v>N1</v>
          </cell>
          <cell r="B436" t="str">
            <v>0//</v>
          </cell>
        </row>
        <row r="437">
          <cell r="A437" t="str">
            <v>N2</v>
          </cell>
          <cell r="B437" t="str">
            <v>0//</v>
          </cell>
        </row>
        <row r="438">
          <cell r="A438" t="str">
            <v>PB001</v>
          </cell>
          <cell r="B438" t="str">
            <v>Senyaglo Gifty Edem//</v>
          </cell>
        </row>
        <row r="439">
          <cell r="A439" t="str">
            <v>PB020</v>
          </cell>
          <cell r="B439" t="str">
            <v>Kwadwo Afful//</v>
          </cell>
        </row>
        <row r="440">
          <cell r="A440" t="str">
            <v>PB014</v>
          </cell>
          <cell r="B440" t="str">
            <v>Eric Soku//</v>
          </cell>
        </row>
        <row r="441">
          <cell r="A441" t="str">
            <v>PB012</v>
          </cell>
          <cell r="B441" t="str">
            <v>0//</v>
          </cell>
        </row>
        <row r="442">
          <cell r="A442" t="str">
            <v>PB008</v>
          </cell>
          <cell r="B442" t="str">
            <v>James Assan Panford//</v>
          </cell>
        </row>
        <row r="443">
          <cell r="A443" t="str">
            <v>PB201</v>
          </cell>
          <cell r="B443" t="str">
            <v>Solomon Tawiah Apafo//</v>
          </cell>
        </row>
        <row r="444">
          <cell r="A444" t="str">
            <v>PB214</v>
          </cell>
          <cell r="B444" t="str">
            <v>Owusu Akuoko Stephen/Ruth Adwubi Sarfo/</v>
          </cell>
        </row>
        <row r="445">
          <cell r="A445" t="str">
            <v>PB212</v>
          </cell>
          <cell r="B445" t="str">
            <v>Bright Andoh-Baidoo//</v>
          </cell>
        </row>
        <row r="446">
          <cell r="A446" t="str">
            <v>PB208</v>
          </cell>
          <cell r="B446" t="str">
            <v>Emmanuel Owusu Agyemang//</v>
          </cell>
        </row>
        <row r="447">
          <cell r="A447" t="str">
            <v>VCR</v>
          </cell>
          <cell r="B447" t="str">
            <v>McCarthy Agyapong//</v>
          </cell>
        </row>
        <row r="448">
          <cell r="A448" t="str">
            <v>ECR</v>
          </cell>
          <cell r="B448" t="str">
            <v>Peter Agetinga//</v>
          </cell>
        </row>
        <row r="449">
          <cell r="A449" t="str">
            <v>A110</v>
          </cell>
          <cell r="B449" t="str">
            <v>Sandra Essel//</v>
          </cell>
        </row>
        <row r="450">
          <cell r="A450" t="str">
            <v>EA</v>
          </cell>
          <cell r="B450" t="str">
            <v>Antoinette Efua Ackon//</v>
          </cell>
        </row>
        <row r="451">
          <cell r="A451" t="str">
            <v>NAF1</v>
          </cell>
          <cell r="B451" t="str">
            <v>Desmond Adu Yeboah/Kofi Bentum/</v>
          </cell>
        </row>
        <row r="452">
          <cell r="A452" t="str">
            <v>NEB TF</v>
          </cell>
          <cell r="B452" t="str">
            <v>Derrick Owusu Mensah/Robert Kofi Kyei/Perseverance Dzikunu</v>
          </cell>
        </row>
        <row r="453">
          <cell r="A453" t="str">
            <v>NEB SF1</v>
          </cell>
          <cell r="B453" t="str">
            <v>Paul Dery/Michael Obbo/Appiah Saviour Nana</v>
          </cell>
        </row>
        <row r="454">
          <cell r="A454" t="str">
            <v>NEB GF1</v>
          </cell>
          <cell r="B454" t="str">
            <v>David Mingle/Kingsley Atta Nyamekye Snr/</v>
          </cell>
        </row>
        <row r="455">
          <cell r="A455" t="str">
            <v>NEB FF1</v>
          </cell>
          <cell r="B455" t="str">
            <v>Kingsley Kyei Baffour/Ebenezer Adom/</v>
          </cell>
        </row>
        <row r="456">
          <cell r="A456" t="str">
            <v>NEB FF2</v>
          </cell>
          <cell r="B456" t="str">
            <v>Bernard Annan//</v>
          </cell>
        </row>
        <row r="652">
          <cell r="A652" t="str">
            <v>LT</v>
          </cell>
          <cell r="B652" t="str">
            <v>Bernard Annan//</v>
          </cell>
        </row>
        <row r="653">
          <cell r="A653" t="str">
            <v>RM A</v>
          </cell>
          <cell r="B653" t="str">
            <v>Edward Kpetege//</v>
          </cell>
        </row>
        <row r="654">
          <cell r="A654" t="str">
            <v>RM B</v>
          </cell>
          <cell r="B654" t="str">
            <v>Derrick Amoateng//</v>
          </cell>
        </row>
        <row r="655">
          <cell r="A655" t="str">
            <v>VSLA</v>
          </cell>
          <cell r="B655" t="str">
            <v>Eric Soku/Benjamin Nana Oduro Konadu/</v>
          </cell>
        </row>
        <row r="656">
          <cell r="A656">
            <v>206</v>
          </cell>
          <cell r="B656" t="str">
            <v>Bernard Audinada Ampofo//</v>
          </cell>
        </row>
        <row r="657">
          <cell r="A657">
            <v>303</v>
          </cell>
          <cell r="B657" t="str">
            <v>Kwadwo Afful//</v>
          </cell>
        </row>
        <row r="658">
          <cell r="A658">
            <v>304</v>
          </cell>
          <cell r="B658" t="str">
            <v>James Assan Panford //</v>
          </cell>
        </row>
        <row r="659">
          <cell r="A659" t="str">
            <v>N1</v>
          </cell>
          <cell r="B659" t="str">
            <v>0//</v>
          </cell>
        </row>
        <row r="660">
          <cell r="A660" t="str">
            <v>N2</v>
          </cell>
          <cell r="B660" t="str">
            <v>0//</v>
          </cell>
        </row>
        <row r="661">
          <cell r="A661" t="str">
            <v>PB001</v>
          </cell>
          <cell r="B661" t="str">
            <v>Richmond Awotwe//</v>
          </cell>
        </row>
        <row r="662">
          <cell r="A662" t="str">
            <v>PB020</v>
          </cell>
          <cell r="B662" t="str">
            <v>Derrick Owusu Mensah//</v>
          </cell>
        </row>
        <row r="663">
          <cell r="A663" t="str">
            <v>PB014</v>
          </cell>
          <cell r="B663" t="str">
            <v>Kofi Bentum//</v>
          </cell>
        </row>
        <row r="664">
          <cell r="A664" t="str">
            <v>PB012</v>
          </cell>
          <cell r="B664" t="str">
            <v>0//</v>
          </cell>
        </row>
        <row r="665">
          <cell r="A665" t="str">
            <v>PB008</v>
          </cell>
          <cell r="B665" t="str">
            <v>Bright Andoh-Baidoo//</v>
          </cell>
        </row>
        <row r="666">
          <cell r="A666" t="str">
            <v>PB201</v>
          </cell>
          <cell r="B666" t="str">
            <v>Joseph Beneth Kankam//</v>
          </cell>
        </row>
        <row r="667">
          <cell r="A667" t="str">
            <v>PB214</v>
          </cell>
          <cell r="B667" t="str">
            <v>Solomon Tawiah Apafo/Kwame Kwarteng Sarpong/</v>
          </cell>
        </row>
        <row r="668">
          <cell r="A668" t="str">
            <v>PB212</v>
          </cell>
          <cell r="B668" t="str">
            <v>Owusu Akuoku Stephen//</v>
          </cell>
        </row>
        <row r="669">
          <cell r="A669" t="str">
            <v>PB208</v>
          </cell>
          <cell r="B669" t="str">
            <v>Issaka Ali Sambo //</v>
          </cell>
        </row>
        <row r="670">
          <cell r="A670" t="str">
            <v>VCR</v>
          </cell>
          <cell r="B670" t="str">
            <v>Godfred Appiah//</v>
          </cell>
        </row>
        <row r="671">
          <cell r="A671" t="str">
            <v>ECR</v>
          </cell>
          <cell r="B671" t="str">
            <v>Ernest K. Dapaah//</v>
          </cell>
        </row>
        <row r="672">
          <cell r="A672" t="str">
            <v>A110</v>
          </cell>
          <cell r="B672" t="str">
            <v>Micheal Owusu//</v>
          </cell>
        </row>
        <row r="673">
          <cell r="A673" t="str">
            <v>EA</v>
          </cell>
          <cell r="B673" t="str">
            <v>John Ofosu//</v>
          </cell>
        </row>
        <row r="674">
          <cell r="A674" t="str">
            <v>NAF1</v>
          </cell>
          <cell r="B674" t="str">
            <v>Appiah Clement/Robert Kofi Kyere /</v>
          </cell>
        </row>
        <row r="675">
          <cell r="A675" t="str">
            <v>NEB TF</v>
          </cell>
          <cell r="B675" t="str">
            <v xml:space="preserve">Akurugu Eramus/Anthony Kwasi Martey/Helen Okai </v>
          </cell>
        </row>
        <row r="676">
          <cell r="A676" t="str">
            <v>NEB SF1</v>
          </cell>
          <cell r="B676" t="str">
            <v>Paul Dery/Michael Obbo/ Loretta Owusu-Ansah</v>
          </cell>
        </row>
        <row r="677">
          <cell r="A677" t="str">
            <v>NEB GF1</v>
          </cell>
          <cell r="B677" t="str">
            <v>Kingsley Atta Nyamekye Snr/Perseverance Dzikunu/</v>
          </cell>
        </row>
        <row r="678">
          <cell r="A678" t="str">
            <v>NEB FF1</v>
          </cell>
          <cell r="B678" t="str">
            <v>Kingsley Kyei Baffour//</v>
          </cell>
        </row>
        <row r="679">
          <cell r="A679" t="str">
            <v>NEB FF2</v>
          </cell>
          <cell r="B679" t="str">
            <v>Emmanuel Afriyie//</v>
          </cell>
        </row>
      </sheetData>
      <sheetData sheetId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 (2)"/>
      <sheetName val="Sheet1"/>
    </sheetNames>
    <sheetDataSet>
      <sheetData sheetId="0">
        <row r="32">
          <cell r="H32">
            <v>900</v>
          </cell>
          <cell r="I32">
            <v>90</v>
          </cell>
          <cell r="J32">
            <v>810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5564A-69D9-4F48-8285-C386D18E9C58}">
  <sheetPr>
    <pageSetUpPr fitToPage="1"/>
  </sheetPr>
  <dimension ref="A1:L656"/>
  <sheetViews>
    <sheetView topLeftCell="D1" zoomScale="85" zoomScaleNormal="85" zoomScaleSheetLayoutView="100" zoomScalePageLayoutView="90" workbookViewId="0">
      <selection activeCell="A3" sqref="A1:H1048576"/>
    </sheetView>
  </sheetViews>
  <sheetFormatPr defaultColWidth="8.81640625" defaultRowHeight="20.5" x14ac:dyDescent="0.45"/>
  <cols>
    <col min="1" max="1" width="16" style="330" bestFit="1" customWidth="1"/>
    <col min="2" max="2" width="92.1796875" style="330" bestFit="1" customWidth="1"/>
    <col min="3" max="3" width="58.26953125" style="378" bestFit="1" customWidth="1"/>
    <col min="4" max="4" width="17.1796875" style="330" bestFit="1" customWidth="1"/>
    <col min="5" max="5" width="10.453125" style="330" bestFit="1" customWidth="1"/>
    <col min="6" max="6" width="77.54296875" style="379" customWidth="1"/>
    <col min="7" max="7" width="11.54296875" style="330" bestFit="1" customWidth="1"/>
    <col min="8" max="8" width="35.81640625" style="379" bestFit="1" customWidth="1"/>
    <col min="9" max="9" width="40.1796875" style="330" bestFit="1" customWidth="1"/>
    <col min="10" max="10" width="46.81640625" style="330" customWidth="1"/>
    <col min="11" max="11" width="8.81640625" style="330"/>
    <col min="12" max="12" width="15.453125" style="330" bestFit="1" customWidth="1"/>
    <col min="13" max="16384" width="8.81640625" style="330"/>
  </cols>
  <sheetData>
    <row r="1" spans="1:12" x14ac:dyDescent="0.45">
      <c r="A1" s="383" t="s">
        <v>1362</v>
      </c>
      <c r="B1" s="383"/>
      <c r="C1" s="383"/>
      <c r="D1" s="383"/>
      <c r="E1" s="383"/>
      <c r="F1" s="383"/>
      <c r="G1" s="383"/>
      <c r="H1" s="329"/>
      <c r="I1" s="330" t="str">
        <f>CONCATENATE(A1,",",B1,",",E1)</f>
        <v>Monday, 23 February 2026,,</v>
      </c>
    </row>
    <row r="2" spans="1:12" x14ac:dyDescent="0.45">
      <c r="A2" s="383" t="s">
        <v>0</v>
      </c>
      <c r="B2" s="383"/>
      <c r="C2" s="383"/>
      <c r="D2" s="383"/>
      <c r="E2" s="383"/>
      <c r="F2" s="383"/>
      <c r="G2" s="383"/>
      <c r="H2" s="329"/>
      <c r="I2" s="330" t="str">
        <f>CONCATENATE(A2,",",B2,",",E2)</f>
        <v>Session, 1 (8:15AM - 9:15 AM),,</v>
      </c>
      <c r="J2" s="331"/>
      <c r="L2" s="331" t="s">
        <v>1</v>
      </c>
    </row>
    <row r="3" spans="1:12" x14ac:dyDescent="0.45">
      <c r="A3" s="332" t="s">
        <v>2</v>
      </c>
      <c r="B3" s="332" t="s">
        <v>3</v>
      </c>
      <c r="C3" s="333" t="s">
        <v>4</v>
      </c>
      <c r="D3" s="332" t="s">
        <v>5</v>
      </c>
      <c r="E3" s="332" t="s">
        <v>6</v>
      </c>
      <c r="F3" s="334" t="s">
        <v>7</v>
      </c>
      <c r="G3" s="332" t="s">
        <v>8</v>
      </c>
      <c r="H3" s="329"/>
      <c r="I3" s="330" t="str">
        <f>CONCATENATE(A3,",",B3,",",E3)</f>
        <v>CODE ,COURSE NAME ,# STDS</v>
      </c>
      <c r="J3" s="335"/>
    </row>
    <row r="4" spans="1:12" s="331" customFormat="1" x14ac:dyDescent="0.45">
      <c r="A4" s="303" t="s">
        <v>9</v>
      </c>
      <c r="B4" s="303" t="str" cm="1">
        <f t="array" ref="B4:B31">IFERROR(VLOOKUP(I4:I31,Lecturers!A2:G597,7,FALSE),0)</f>
        <v>NUMERICAL ANALYSIS</v>
      </c>
      <c r="C4" s="304" t="str" cm="1">
        <f t="array" ref="C4:C31">IFERROR(VLOOKUP(I4:I31,Lecturers!A2:G597,2,FALSE),0)</f>
        <v>Azure Isaac</v>
      </c>
      <c r="D4" s="303" t="s">
        <v>10</v>
      </c>
      <c r="E4" s="336" cm="1">
        <f t="array" ref="E4:E31">IFERROR(VLOOKUP(I4:I31,Lecturers!A2:G597,3,FALSE),0)</f>
        <v>230</v>
      </c>
      <c r="F4" s="337" t="s">
        <v>11</v>
      </c>
      <c r="G4" s="338">
        <f>1.1*E4</f>
        <v>253.00000000000003</v>
      </c>
      <c r="H4" s="329"/>
      <c r="I4" s="330" t="str">
        <f t="shared" ref="I4:I32" si="0">CONCATENATE(A4,",",D4)</f>
        <v>MATH 351,ED3-ME</v>
      </c>
      <c r="J4" s="335"/>
    </row>
    <row r="5" spans="1:12" x14ac:dyDescent="0.45">
      <c r="A5" s="303" t="s">
        <v>9</v>
      </c>
      <c r="B5" s="303" t="str">
        <v>NUMERICAL ANALYSIS</v>
      </c>
      <c r="C5" s="304" t="str">
        <v>Azure Isaac</v>
      </c>
      <c r="D5" s="303" t="s">
        <v>12</v>
      </c>
      <c r="E5" s="336">
        <v>47</v>
      </c>
      <c r="F5" s="337" t="s">
        <v>11</v>
      </c>
      <c r="G5" s="338">
        <f t="shared" ref="G5:G31" si="1">1.1*E5</f>
        <v>51.7</v>
      </c>
      <c r="H5" s="329"/>
      <c r="I5" s="330" t="str">
        <f>CONCATENATE(A5,",",D5)</f>
        <v>MATH 351,ED3-AUTO</v>
      </c>
      <c r="J5" s="335"/>
    </row>
    <row r="6" spans="1:12" x14ac:dyDescent="0.45">
      <c r="A6" s="303" t="s">
        <v>9</v>
      </c>
      <c r="B6" s="303" t="str">
        <v>NUMERICAL METHODS</v>
      </c>
      <c r="C6" s="304" t="str">
        <v>Azure Isaac</v>
      </c>
      <c r="D6" s="303" t="s">
        <v>13</v>
      </c>
      <c r="E6" s="336">
        <v>94</v>
      </c>
      <c r="F6" s="337" t="s">
        <v>11</v>
      </c>
      <c r="G6" s="338">
        <f t="shared" si="1"/>
        <v>103.4</v>
      </c>
      <c r="H6" s="329"/>
      <c r="I6" s="330" t="str">
        <f>CONCATENATE(A6,",",D6)</f>
        <v>MATH 351,ED3-BME</v>
      </c>
      <c r="J6" s="335"/>
    </row>
    <row r="7" spans="1:12" x14ac:dyDescent="0.45">
      <c r="A7" s="303" t="s">
        <v>9</v>
      </c>
      <c r="B7" s="303" t="str">
        <v>NUMERICAL ANALYSIS</v>
      </c>
      <c r="C7" s="304" t="str">
        <v>Borkor Reindorf Nartey</v>
      </c>
      <c r="D7" s="303" t="s">
        <v>14</v>
      </c>
      <c r="E7" s="336">
        <v>76</v>
      </c>
      <c r="F7" s="337" t="s">
        <v>11</v>
      </c>
      <c r="G7" s="338">
        <f t="shared" si="1"/>
        <v>83.600000000000009</v>
      </c>
      <c r="H7" s="329"/>
      <c r="I7" s="330" t="str">
        <f t="shared" si="0"/>
        <v>MATH 351,ED3-AERO</v>
      </c>
      <c r="J7" s="335"/>
    </row>
    <row r="8" spans="1:12" x14ac:dyDescent="0.45">
      <c r="A8" s="303" t="s">
        <v>9</v>
      </c>
      <c r="B8" s="303" t="str">
        <v>NUMERICAL ANALYSIS</v>
      </c>
      <c r="C8" s="304" t="str">
        <v>Borkor Reindorf Nartey</v>
      </c>
      <c r="D8" s="303" t="s">
        <v>15</v>
      </c>
      <c r="E8" s="336">
        <v>105</v>
      </c>
      <c r="F8" s="337" t="s">
        <v>11</v>
      </c>
      <c r="G8" s="338">
        <f t="shared" si="1"/>
        <v>115.50000000000001</v>
      </c>
      <c r="H8" s="329"/>
      <c r="I8" s="330" t="str">
        <f t="shared" si="0"/>
        <v>MATH 351,ED3-AE</v>
      </c>
      <c r="J8" s="335"/>
    </row>
    <row r="9" spans="1:12" x14ac:dyDescent="0.45">
      <c r="A9" s="303" t="s">
        <v>9</v>
      </c>
      <c r="B9" s="303" t="str">
        <v>NUMERICAL ANALYSIS</v>
      </c>
      <c r="C9" s="304" t="str">
        <v>Borkor Reindorf Nartey</v>
      </c>
      <c r="D9" s="303" t="s">
        <v>16</v>
      </c>
      <c r="E9" s="336">
        <v>154</v>
      </c>
      <c r="F9" s="337" t="s">
        <v>11</v>
      </c>
      <c r="G9" s="338">
        <f t="shared" si="1"/>
        <v>169.4</v>
      </c>
      <c r="H9" s="329"/>
      <c r="I9" s="330" t="str">
        <f t="shared" si="0"/>
        <v>MATH 351,ED3-GEOL</v>
      </c>
      <c r="J9" s="335"/>
    </row>
    <row r="10" spans="1:12" x14ac:dyDescent="0.45">
      <c r="A10" s="303" t="s">
        <v>9</v>
      </c>
      <c r="B10" s="303" t="str">
        <v>NUMERICAL ANALYSIS</v>
      </c>
      <c r="C10" s="304" t="str">
        <v>Borkor Reindorf Nartey</v>
      </c>
      <c r="D10" s="303" t="s">
        <v>17</v>
      </c>
      <c r="E10" s="336">
        <v>276</v>
      </c>
      <c r="F10" s="337" t="s">
        <v>11</v>
      </c>
      <c r="G10" s="338">
        <f t="shared" si="1"/>
        <v>303.60000000000002</v>
      </c>
      <c r="H10" s="329"/>
      <c r="I10" s="330" t="str">
        <f t="shared" si="0"/>
        <v>MATH 351,ED3-COE</v>
      </c>
      <c r="J10" s="335"/>
    </row>
    <row r="11" spans="1:12" x14ac:dyDescent="0.45">
      <c r="A11" s="303" t="s">
        <v>9</v>
      </c>
      <c r="B11" s="303" t="str">
        <v>NUMERICAL ANALYSIS</v>
      </c>
      <c r="C11" s="304" t="str">
        <v>Awashie Gaston Edem</v>
      </c>
      <c r="D11" s="303" t="s">
        <v>18</v>
      </c>
      <c r="E11" s="336">
        <v>147</v>
      </c>
      <c r="F11" s="337" t="s">
        <v>11</v>
      </c>
      <c r="G11" s="338">
        <f t="shared" si="1"/>
        <v>161.70000000000002</v>
      </c>
      <c r="H11" s="329"/>
      <c r="I11" s="330" t="str">
        <f t="shared" si="0"/>
        <v>MATH 351,ED3-TEL</v>
      </c>
      <c r="J11" s="335"/>
    </row>
    <row r="12" spans="1:12" x14ac:dyDescent="0.45">
      <c r="A12" s="303" t="s">
        <v>9</v>
      </c>
      <c r="B12" s="303" t="str">
        <v>NUMERICAL ANALYSIS</v>
      </c>
      <c r="C12" s="304" t="str">
        <v>Awashie Gaston Edem</v>
      </c>
      <c r="D12" s="303" t="s">
        <v>19</v>
      </c>
      <c r="E12" s="336">
        <v>254</v>
      </c>
      <c r="F12" s="337" t="s">
        <v>11</v>
      </c>
      <c r="G12" s="338">
        <f t="shared" si="1"/>
        <v>279.40000000000003</v>
      </c>
      <c r="H12" s="329"/>
      <c r="I12" s="330" t="str">
        <f t="shared" si="0"/>
        <v>MATH 351,ED3-EE</v>
      </c>
      <c r="J12" s="335"/>
    </row>
    <row r="13" spans="1:12" x14ac:dyDescent="0.45">
      <c r="A13" s="303" t="s">
        <v>9</v>
      </c>
      <c r="B13" s="303" t="str">
        <v>NUMERICAL ANALYSIS</v>
      </c>
      <c r="C13" s="304" t="str">
        <v>Awashie Gaston Edem</v>
      </c>
      <c r="D13" s="303" t="s">
        <v>20</v>
      </c>
      <c r="E13" s="336">
        <v>72</v>
      </c>
      <c r="F13" s="337" t="s">
        <v>11</v>
      </c>
      <c r="G13" s="338">
        <f t="shared" si="1"/>
        <v>79.2</v>
      </c>
      <c r="H13" s="329"/>
      <c r="I13" s="330" t="str">
        <f>CONCATENATE(A13,",",D13)</f>
        <v>MATH 351,ED3-IND</v>
      </c>
      <c r="J13" s="335"/>
    </row>
    <row r="14" spans="1:12" x14ac:dyDescent="0.45">
      <c r="A14" s="303" t="s">
        <v>9</v>
      </c>
      <c r="B14" s="303" t="str">
        <v>NUMERICAL ANALYSIS</v>
      </c>
      <c r="C14" s="304" t="str">
        <v>Awashie Gaston Edem</v>
      </c>
      <c r="D14" s="303" t="s">
        <v>21</v>
      </c>
      <c r="E14" s="336">
        <v>40</v>
      </c>
      <c r="F14" s="337" t="s">
        <v>11</v>
      </c>
      <c r="G14" s="338">
        <f t="shared" si="1"/>
        <v>44</v>
      </c>
      <c r="H14" s="329"/>
      <c r="I14" s="330" t="str">
        <f t="shared" si="0"/>
        <v>MATH 351,ED3-MARI</v>
      </c>
      <c r="J14" s="335"/>
    </row>
    <row r="15" spans="1:12" x14ac:dyDescent="0.45">
      <c r="A15" s="303" t="s">
        <v>9</v>
      </c>
      <c r="B15" s="303" t="str">
        <v>NUMERICAL ANALYSIS</v>
      </c>
      <c r="C15" s="304" t="str">
        <v>Borkor Reindorf Nartey</v>
      </c>
      <c r="D15" s="303" t="s">
        <v>22</v>
      </c>
      <c r="E15" s="336">
        <v>223</v>
      </c>
      <c r="F15" s="337" t="s">
        <v>11</v>
      </c>
      <c r="G15" s="338">
        <f t="shared" si="1"/>
        <v>245.3</v>
      </c>
      <c r="H15" s="329"/>
      <c r="I15" s="330" t="str">
        <f>CONCATENATE(A15,",",D15)</f>
        <v>MATH 351,ED3-CE</v>
      </c>
      <c r="J15" s="335"/>
    </row>
    <row r="16" spans="1:12" x14ac:dyDescent="0.45">
      <c r="A16" s="303" t="s">
        <v>27</v>
      </c>
      <c r="B16" s="303" t="str">
        <v>PETROLEUM ROCK MECHANICS</v>
      </c>
      <c r="C16" s="304" t="str">
        <v>Erzuah Samuel</v>
      </c>
      <c r="D16" s="303" t="s">
        <v>1384</v>
      </c>
      <c r="E16" s="336">
        <v>82</v>
      </c>
      <c r="F16" s="381" t="s">
        <v>1638</v>
      </c>
      <c r="G16" s="338">
        <f t="shared" si="1"/>
        <v>90.2</v>
      </c>
      <c r="H16" s="381" t="s">
        <v>1855</v>
      </c>
      <c r="I16" s="330" t="str">
        <f t="shared" si="0"/>
        <v>PE 351,ED3-PE</v>
      </c>
      <c r="J16" s="335"/>
    </row>
    <row r="17" spans="1:10" x14ac:dyDescent="0.45">
      <c r="A17" s="303" t="s">
        <v>28</v>
      </c>
      <c r="B17" s="303" t="str">
        <v>FINANCIAL ACCOUNTING I</v>
      </c>
      <c r="C17" s="304" t="str">
        <v>Yeboah Edward</v>
      </c>
      <c r="D17" s="303" t="s">
        <v>29</v>
      </c>
      <c r="E17" s="336">
        <v>16</v>
      </c>
      <c r="F17" s="381" t="s">
        <v>61</v>
      </c>
      <c r="G17" s="338">
        <f t="shared" si="1"/>
        <v>17.600000000000001</v>
      </c>
      <c r="H17" s="381">
        <v>16</v>
      </c>
      <c r="I17" s="330" t="str">
        <f t="shared" ref="I17:I22" si="2">CONCATENATE(A17,",",D17)</f>
        <v>ACF 255,ED2-BME</v>
      </c>
      <c r="J17" s="335"/>
    </row>
    <row r="18" spans="1:10" x14ac:dyDescent="0.45">
      <c r="A18" s="303" t="s">
        <v>28</v>
      </c>
      <c r="B18" s="303" t="str">
        <v>FINANCIAL ACCOUNTING I</v>
      </c>
      <c r="C18" s="304" t="str">
        <v>Yeboah Edward</v>
      </c>
      <c r="D18" s="303" t="s">
        <v>30</v>
      </c>
      <c r="E18" s="336">
        <v>61</v>
      </c>
      <c r="F18" s="381" t="s">
        <v>1478</v>
      </c>
      <c r="G18" s="338">
        <f t="shared" si="1"/>
        <v>67.100000000000009</v>
      </c>
      <c r="H18" s="381" t="s">
        <v>1856</v>
      </c>
      <c r="I18" s="330" t="str">
        <f t="shared" si="2"/>
        <v>ACF 255,ED2-COE</v>
      </c>
      <c r="J18" s="335"/>
    </row>
    <row r="19" spans="1:10" x14ac:dyDescent="0.45">
      <c r="A19" s="303" t="s">
        <v>28</v>
      </c>
      <c r="B19" s="303" t="str">
        <v>FINANCIAL ACCOUNTING I</v>
      </c>
      <c r="C19" s="304" t="str">
        <v>Yeboah Edward</v>
      </c>
      <c r="D19" s="303" t="s">
        <v>32</v>
      </c>
      <c r="E19" s="336">
        <v>35</v>
      </c>
      <c r="F19" s="381" t="s">
        <v>1410</v>
      </c>
      <c r="G19" s="338">
        <f t="shared" si="1"/>
        <v>38.5</v>
      </c>
      <c r="H19" s="381" t="s">
        <v>1412</v>
      </c>
      <c r="I19" s="330" t="str">
        <f t="shared" si="2"/>
        <v>ACF 255,ED2-TEL</v>
      </c>
      <c r="J19" s="335"/>
    </row>
    <row r="20" spans="1:10" x14ac:dyDescent="0.45">
      <c r="A20" s="303" t="s">
        <v>28</v>
      </c>
      <c r="B20" s="303" t="str">
        <v>FINANCIAL ACCOUNTING I</v>
      </c>
      <c r="C20" s="304" t="str">
        <v>Yeboah Edward</v>
      </c>
      <c r="D20" s="303" t="s">
        <v>33</v>
      </c>
      <c r="E20" s="336">
        <v>13</v>
      </c>
      <c r="F20" s="381" t="s">
        <v>61</v>
      </c>
      <c r="G20" s="338">
        <f t="shared" si="1"/>
        <v>14.3</v>
      </c>
      <c r="H20" s="381" t="s">
        <v>1409</v>
      </c>
      <c r="I20" s="330" t="str">
        <f t="shared" si="2"/>
        <v>ACF 255,ED2-MSE</v>
      </c>
      <c r="J20" s="335"/>
    </row>
    <row r="21" spans="1:10" x14ac:dyDescent="0.45">
      <c r="A21" s="303" t="s">
        <v>28</v>
      </c>
      <c r="B21" s="303" t="str">
        <v>FINANCIAL ACCOUNTING I</v>
      </c>
      <c r="C21" s="304" t="str">
        <v>Yeboah Edward</v>
      </c>
      <c r="D21" s="303" t="s">
        <v>34</v>
      </c>
      <c r="E21" s="336">
        <v>34</v>
      </c>
      <c r="F21" s="381" t="s">
        <v>1411</v>
      </c>
      <c r="G21" s="338">
        <f t="shared" si="1"/>
        <v>37.400000000000006</v>
      </c>
      <c r="H21" s="381" t="s">
        <v>1857</v>
      </c>
      <c r="I21" s="330" t="str">
        <f t="shared" si="2"/>
        <v>ACF 255,ED3-GEOM</v>
      </c>
      <c r="J21" s="335"/>
    </row>
    <row r="22" spans="1:10" x14ac:dyDescent="0.45">
      <c r="A22" s="303" t="s">
        <v>28</v>
      </c>
      <c r="B22" s="303" t="str">
        <v>FINANCIAL ACCOUNTING I</v>
      </c>
      <c r="C22" s="304" t="str">
        <v>Yeboah Edward</v>
      </c>
      <c r="D22" s="303" t="s">
        <v>36</v>
      </c>
      <c r="E22" s="336">
        <v>3</v>
      </c>
      <c r="F22" s="381" t="s">
        <v>156</v>
      </c>
      <c r="G22" s="338">
        <f t="shared" si="1"/>
        <v>3.3000000000000003</v>
      </c>
      <c r="H22" s="381" t="s">
        <v>1408</v>
      </c>
      <c r="I22" s="330" t="str">
        <f t="shared" si="2"/>
        <v>ACF 255,ED1-GEOL</v>
      </c>
      <c r="J22" s="335"/>
    </row>
    <row r="23" spans="1:10" x14ac:dyDescent="0.45">
      <c r="A23" s="303" t="s">
        <v>114</v>
      </c>
      <c r="B23" s="303" t="str">
        <v>INTRODUCTION TO THERMODYNAMICS OF MATERIALS</v>
      </c>
      <c r="C23" s="339" t="str">
        <v>Gikunoo Emmanuel</v>
      </c>
      <c r="D23" s="303" t="s">
        <v>115</v>
      </c>
      <c r="E23" s="336">
        <v>98</v>
      </c>
      <c r="F23" s="381" t="s">
        <v>1850</v>
      </c>
      <c r="G23" s="338">
        <f t="shared" si="1"/>
        <v>107.80000000000001</v>
      </c>
      <c r="H23" s="381" t="s">
        <v>1858</v>
      </c>
      <c r="I23" s="330" t="str">
        <f t="shared" ref="I23:I27" si="3">CONCATENATE(A23,",",D23)</f>
        <v>MSE 151,ED1-MSE</v>
      </c>
      <c r="J23" s="335"/>
    </row>
    <row r="24" spans="1:10" x14ac:dyDescent="0.45">
      <c r="A24" s="303" t="s">
        <v>334</v>
      </c>
      <c r="B24" s="303" t="str">
        <v>CELL BIOLOGY</v>
      </c>
      <c r="C24" s="339" t="str">
        <v>Adjei Prince Ebenezer</v>
      </c>
      <c r="D24" s="303" t="s">
        <v>162</v>
      </c>
      <c r="E24" s="336">
        <v>136</v>
      </c>
      <c r="F24" s="381" t="s">
        <v>1406</v>
      </c>
      <c r="G24" s="338">
        <f t="shared" si="1"/>
        <v>149.60000000000002</v>
      </c>
      <c r="H24" s="381" t="s">
        <v>1859</v>
      </c>
      <c r="I24" s="330" t="str">
        <f t="shared" si="3"/>
        <v>BME 161,ED1-BME</v>
      </c>
      <c r="J24" s="335"/>
    </row>
    <row r="25" spans="1:10" x14ac:dyDescent="0.45">
      <c r="A25" s="303" t="s">
        <v>83</v>
      </c>
      <c r="B25" s="303" t="str">
        <v>FIELD AND GEODETIC ASTRONOMY</v>
      </c>
      <c r="C25" s="304" t="str">
        <v>Ayer John Wise Divine</v>
      </c>
      <c r="D25" s="303" t="s">
        <v>84</v>
      </c>
      <c r="E25" s="336">
        <v>134</v>
      </c>
      <c r="F25" s="381" t="s">
        <v>1851</v>
      </c>
      <c r="G25" s="338">
        <f t="shared" si="1"/>
        <v>147.4</v>
      </c>
      <c r="H25" s="381" t="s">
        <v>1860</v>
      </c>
      <c r="I25" s="330" t="str">
        <f>CONCATENATE(A25,",",D25)</f>
        <v>GE 261,ED2-GEOM</v>
      </c>
      <c r="J25" s="335"/>
    </row>
    <row r="26" spans="1:10" x14ac:dyDescent="0.45">
      <c r="A26" s="303" t="s">
        <v>65</v>
      </c>
      <c r="B26" s="303" t="str">
        <v>CARTOGRAPHY I</v>
      </c>
      <c r="C26" s="339" t="str">
        <v>Quaye-Ballard Jonathan Arthur</v>
      </c>
      <c r="D26" s="303" t="s">
        <v>66</v>
      </c>
      <c r="E26" s="336">
        <v>100</v>
      </c>
      <c r="F26" s="381" t="s">
        <v>1852</v>
      </c>
      <c r="G26" s="338">
        <f t="shared" si="1"/>
        <v>110.00000000000001</v>
      </c>
      <c r="H26" s="381" t="s">
        <v>1861</v>
      </c>
      <c r="I26" s="330" t="str">
        <f t="shared" si="3"/>
        <v>GE 151,ED1-GEOM</v>
      </c>
      <c r="J26" s="335"/>
    </row>
    <row r="27" spans="1:10" x14ac:dyDescent="0.45">
      <c r="A27" s="303" t="s">
        <v>57</v>
      </c>
      <c r="B27" s="303" t="str">
        <v>TRANSFORMERS</v>
      </c>
      <c r="C27" s="339" t="str">
        <v>Opoku Daniel</v>
      </c>
      <c r="D27" s="303" t="s">
        <v>58</v>
      </c>
      <c r="E27" s="336">
        <v>287</v>
      </c>
      <c r="F27" s="381" t="s">
        <v>1413</v>
      </c>
      <c r="G27" s="338">
        <f t="shared" si="1"/>
        <v>315.70000000000005</v>
      </c>
      <c r="H27" s="381" t="s">
        <v>1493</v>
      </c>
      <c r="I27" s="330" t="str">
        <f t="shared" si="3"/>
        <v>EE 161,ED1-EE</v>
      </c>
      <c r="J27" s="335"/>
    </row>
    <row r="28" spans="1:10" x14ac:dyDescent="0.45">
      <c r="A28" s="303" t="s">
        <v>49</v>
      </c>
      <c r="B28" s="303" t="str">
        <v>PRINCIPLES OF HYDROGEOLOGY</v>
      </c>
      <c r="C28" s="339" t="str">
        <v>Appiah-Adjei Emmanuel Kwame</v>
      </c>
      <c r="D28" s="303" t="s">
        <v>50</v>
      </c>
      <c r="E28" s="336">
        <v>102</v>
      </c>
      <c r="F28" s="381" t="s">
        <v>1459</v>
      </c>
      <c r="G28" s="338">
        <f t="shared" si="1"/>
        <v>112.2</v>
      </c>
      <c r="H28" s="381" t="s">
        <v>1448</v>
      </c>
      <c r="I28" s="330" t="str">
        <f t="shared" si="0"/>
        <v>GED 475,ED4-GEOL</v>
      </c>
      <c r="J28" s="335"/>
    </row>
    <row r="29" spans="1:10" x14ac:dyDescent="0.45">
      <c r="A29" s="303" t="s">
        <v>51</v>
      </c>
      <c r="B29" s="303" t="str">
        <v>NATURAL GAS ENGINEERING I</v>
      </c>
      <c r="C29" s="339" t="str">
        <v>Sarkodie Kwame</v>
      </c>
      <c r="D29" s="303" t="s">
        <v>1385</v>
      </c>
      <c r="E29" s="336">
        <v>103</v>
      </c>
      <c r="F29" s="381" t="s">
        <v>1414</v>
      </c>
      <c r="G29" s="338">
        <f t="shared" si="1"/>
        <v>113.30000000000001</v>
      </c>
      <c r="H29" s="381" t="s">
        <v>1862</v>
      </c>
      <c r="I29" s="330" t="str">
        <f>CONCATENATE(A29,",",D29)</f>
        <v>PE 459,ED4-PE</v>
      </c>
      <c r="J29" s="335"/>
    </row>
    <row r="30" spans="1:10" x14ac:dyDescent="0.45">
      <c r="A30" s="303" t="s">
        <v>461</v>
      </c>
      <c r="B30" s="303" t="str">
        <v>ENGINEERING REPORTING</v>
      </c>
      <c r="C30" s="339" t="str">
        <v>Tuffour Yaw Adubofour</v>
      </c>
      <c r="D30" s="303" t="s">
        <v>101</v>
      </c>
      <c r="E30" s="336">
        <v>260</v>
      </c>
      <c r="F30" s="381" t="s">
        <v>1853</v>
      </c>
      <c r="G30" s="338">
        <f t="shared" si="1"/>
        <v>286</v>
      </c>
      <c r="H30" s="381" t="s">
        <v>1863</v>
      </c>
      <c r="I30" s="330" t="str">
        <f>CONCATENATE(A30,",",D30)</f>
        <v>CE 271,ED2-CE</v>
      </c>
      <c r="J30" s="335"/>
    </row>
    <row r="31" spans="1:10" x14ac:dyDescent="0.45">
      <c r="A31" s="303" t="s">
        <v>265</v>
      </c>
      <c r="B31" s="303" t="str">
        <v>PHYSICAL GEOLOGY</v>
      </c>
      <c r="C31" s="339" t="str">
        <v>Mensah Emmanuel</v>
      </c>
      <c r="D31" s="303" t="s">
        <v>126</v>
      </c>
      <c r="E31" s="336">
        <v>154</v>
      </c>
      <c r="F31" s="381" t="s">
        <v>1854</v>
      </c>
      <c r="G31" s="338">
        <f t="shared" si="1"/>
        <v>169.4</v>
      </c>
      <c r="H31" s="381" t="s">
        <v>1864</v>
      </c>
      <c r="I31" s="330" t="str">
        <f>CONCATENATE(A31,",",D31)</f>
        <v>GED 253,ED2-GEOL</v>
      </c>
      <c r="J31" s="335"/>
    </row>
    <row r="32" spans="1:10" x14ac:dyDescent="0.45">
      <c r="A32" s="340"/>
      <c r="B32" s="340"/>
      <c r="C32" s="333"/>
      <c r="D32" s="303" t="s">
        <v>53</v>
      </c>
      <c r="E32" s="332">
        <f>SUM(E16:E31)</f>
        <v>1618</v>
      </c>
      <c r="F32" s="341"/>
      <c r="G32" s="340"/>
      <c r="H32" s="329"/>
      <c r="I32" s="330" t="str">
        <f t="shared" si="0"/>
        <v>,Total M1</v>
      </c>
      <c r="J32" s="335"/>
    </row>
    <row r="33" spans="1:10" x14ac:dyDescent="0.45">
      <c r="A33" s="340"/>
      <c r="B33" s="340"/>
      <c r="C33" s="333"/>
      <c r="D33" s="340"/>
      <c r="E33" s="340"/>
      <c r="F33" s="341"/>
      <c r="G33" s="340"/>
      <c r="H33" s="329"/>
      <c r="I33" s="330" t="str">
        <f t="shared" ref="I33:I66" si="4">CONCATENATE(A33,",",D33)</f>
        <v>,</v>
      </c>
      <c r="J33" s="335"/>
    </row>
    <row r="34" spans="1:10" x14ac:dyDescent="0.45">
      <c r="A34" s="340"/>
      <c r="B34" s="340"/>
      <c r="C34" s="333"/>
      <c r="D34" s="340"/>
      <c r="E34" s="340"/>
      <c r="F34" s="341"/>
      <c r="G34" s="340"/>
      <c r="H34" s="329"/>
      <c r="I34" s="330" t="str">
        <f t="shared" si="4"/>
        <v>,</v>
      </c>
      <c r="J34" s="335"/>
    </row>
    <row r="35" spans="1:10" x14ac:dyDescent="0.45">
      <c r="A35" s="383" t="s">
        <v>1362</v>
      </c>
      <c r="B35" s="383"/>
      <c r="C35" s="383"/>
      <c r="D35" s="383"/>
      <c r="E35" s="383"/>
      <c r="F35" s="383"/>
      <c r="G35" s="383"/>
      <c r="H35" s="329"/>
      <c r="I35" s="330" t="str">
        <f t="shared" si="4"/>
        <v>Monday, 23 February 2026,</v>
      </c>
      <c r="J35" s="335"/>
    </row>
    <row r="36" spans="1:10" s="331" customFormat="1" x14ac:dyDescent="0.45">
      <c r="A36" s="383" t="s">
        <v>54</v>
      </c>
      <c r="B36" s="383"/>
      <c r="C36" s="383"/>
      <c r="D36" s="383"/>
      <c r="E36" s="383"/>
      <c r="F36" s="383"/>
      <c r="G36" s="383"/>
      <c r="H36" s="329"/>
      <c r="I36" s="330" t="str">
        <f t="shared" si="4"/>
        <v>Session, 2  (10:00AM - 11:00 AM),</v>
      </c>
      <c r="J36" s="335"/>
    </row>
    <row r="37" spans="1:10" s="331" customFormat="1" x14ac:dyDescent="0.45">
      <c r="A37" s="332" t="s">
        <v>2</v>
      </c>
      <c r="B37" s="332" t="s">
        <v>3</v>
      </c>
      <c r="C37" s="333" t="s">
        <v>4</v>
      </c>
      <c r="D37" s="332" t="s">
        <v>5</v>
      </c>
      <c r="E37" s="332" t="s">
        <v>6</v>
      </c>
      <c r="F37" s="342" t="s">
        <v>7</v>
      </c>
      <c r="G37" s="332" t="s">
        <v>8</v>
      </c>
      <c r="H37" s="329"/>
      <c r="I37" s="330" t="str">
        <f t="shared" si="4"/>
        <v>CODE ,CLASS</v>
      </c>
      <c r="J37" s="335"/>
    </row>
    <row r="38" spans="1:10" x14ac:dyDescent="0.45">
      <c r="A38" s="303" t="s">
        <v>55</v>
      </c>
      <c r="B38" s="303" t="str" cm="1">
        <f t="array" ref="B38:B49">IFERROR(VLOOKUP(I38:I49,Lecturers!A2:G597,7,FALSE),0)</f>
        <v>POWER SYSTEMS OPERATION AND CONTROL</v>
      </c>
      <c r="C38" s="339" t="str" cm="1">
        <f t="array" ref="C38:C49">IFERROR(VLOOKUP(I38:I49,Lecturers!A2:G597,2,FALSE),0)</f>
        <v>Antoh Emmanuel Kwaku</v>
      </c>
      <c r="D38" s="303" t="s">
        <v>56</v>
      </c>
      <c r="E38" s="336" cm="1">
        <f t="array" ref="E38:E49">IFERROR(VLOOKUP(I38:I49,Lecturers!A2:G597,3,FALSE),0)</f>
        <v>224</v>
      </c>
      <c r="F38" s="381" t="s">
        <v>1773</v>
      </c>
      <c r="G38" s="338">
        <f>1.1*E38</f>
        <v>246.40000000000003</v>
      </c>
      <c r="H38" s="382" t="s">
        <v>1795</v>
      </c>
      <c r="I38" s="330" t="str">
        <f t="shared" si="4"/>
        <v>EE 467,ED4-EE</v>
      </c>
      <c r="J38" s="335"/>
    </row>
    <row r="39" spans="1:10" x14ac:dyDescent="0.45">
      <c r="A39" s="303" t="s">
        <v>59</v>
      </c>
      <c r="B39" s="303" t="str">
        <v>ARTIFICIAL INTELLIGENCE</v>
      </c>
      <c r="C39" s="339" t="str">
        <v>Nunoo-Mensah Henry</v>
      </c>
      <c r="D39" s="303" t="s">
        <v>60</v>
      </c>
      <c r="E39" s="336">
        <v>170</v>
      </c>
      <c r="F39" s="381" t="s">
        <v>1424</v>
      </c>
      <c r="G39" s="338">
        <f t="shared" ref="G39:G49" si="5">1.1*E39</f>
        <v>187.00000000000003</v>
      </c>
      <c r="H39" s="382" t="s">
        <v>1763</v>
      </c>
      <c r="I39" s="330" t="str">
        <f>CONCATENATE(A39,",",D39)</f>
        <v>COE 457,ED4-COE</v>
      </c>
      <c r="J39" s="335"/>
    </row>
    <row r="40" spans="1:10" x14ac:dyDescent="0.45">
      <c r="A40" s="303" t="s">
        <v>62</v>
      </c>
      <c r="B40" s="303" t="str">
        <v>FLUID TRANSPORT</v>
      </c>
      <c r="C40" s="339" t="str">
        <v>Momade Zsuzsanna Gál</v>
      </c>
      <c r="D40" s="303" t="s">
        <v>63</v>
      </c>
      <c r="E40" s="336">
        <v>154</v>
      </c>
      <c r="F40" s="381" t="s">
        <v>1424</v>
      </c>
      <c r="G40" s="338">
        <f t="shared" si="5"/>
        <v>169.4</v>
      </c>
      <c r="H40" s="382" t="s">
        <v>1764</v>
      </c>
      <c r="I40" s="330" t="str">
        <f t="shared" si="4"/>
        <v>CHE 255,ED2-CHE</v>
      </c>
      <c r="J40" s="335"/>
    </row>
    <row r="41" spans="1:10" x14ac:dyDescent="0.45">
      <c r="A41" s="303" t="s">
        <v>62</v>
      </c>
      <c r="B41" s="303" t="str">
        <v>FLUID TRANSPORT</v>
      </c>
      <c r="C41" s="339" t="str">
        <v>Dogbe Eunice Sefakor Aku</v>
      </c>
      <c r="D41" s="303" t="s">
        <v>64</v>
      </c>
      <c r="E41" s="336">
        <v>59</v>
      </c>
      <c r="F41" s="381" t="s">
        <v>1478</v>
      </c>
      <c r="G41" s="338">
        <f t="shared" si="5"/>
        <v>64.900000000000006</v>
      </c>
      <c r="H41" s="382" t="s">
        <v>1866</v>
      </c>
      <c r="I41" s="330" t="str">
        <f t="shared" si="4"/>
        <v>CHE 255,ED2-PCE</v>
      </c>
      <c r="J41" s="335"/>
    </row>
    <row r="42" spans="1:10" x14ac:dyDescent="0.45">
      <c r="A42" s="303" t="s">
        <v>67</v>
      </c>
      <c r="B42" s="303" t="str">
        <v>DRAINAGE SYSTEMS</v>
      </c>
      <c r="C42" s="339" t="str">
        <v>Adjei Kwaku Amaning</v>
      </c>
      <c r="D42" s="303" t="s">
        <v>68</v>
      </c>
      <c r="E42" s="336">
        <v>245</v>
      </c>
      <c r="F42" s="381" t="s">
        <v>1418</v>
      </c>
      <c r="G42" s="338">
        <f t="shared" si="5"/>
        <v>269.5</v>
      </c>
      <c r="H42" s="382" t="s">
        <v>1473</v>
      </c>
      <c r="I42" s="330" t="str">
        <f t="shared" ref="I42:I49" si="6">CONCATENATE(A42,",",D42)</f>
        <v>CE 457,ED4-CE</v>
      </c>
      <c r="J42" s="335"/>
    </row>
    <row r="43" spans="1:10" x14ac:dyDescent="0.45">
      <c r="A43" s="303" t="s">
        <v>45</v>
      </c>
      <c r="B43" s="303" t="str">
        <v>BIOINSTRUMENTATION II</v>
      </c>
      <c r="C43" s="339" t="str">
        <v>Acquah Isaac</v>
      </c>
      <c r="D43" s="303" t="s">
        <v>46</v>
      </c>
      <c r="E43" s="336">
        <v>84</v>
      </c>
      <c r="F43" s="381" t="s">
        <v>1420</v>
      </c>
      <c r="G43" s="338">
        <f t="shared" si="5"/>
        <v>92.4</v>
      </c>
      <c r="H43" s="382" t="s">
        <v>1585</v>
      </c>
      <c r="I43" s="330" t="str">
        <f t="shared" ref="I43:I48" si="7">CONCATENATE(A43,",",D43)</f>
        <v>BME 471,ED4-BME</v>
      </c>
      <c r="J43" s="335"/>
    </row>
    <row r="44" spans="1:10" x14ac:dyDescent="0.45">
      <c r="A44" s="303" t="s">
        <v>122</v>
      </c>
      <c r="B44" s="303" t="str">
        <v>PYROMETALLURGY</v>
      </c>
      <c r="C44" s="343" t="str">
        <v>Agyemang Frank Ofori</v>
      </c>
      <c r="D44" s="303" t="s">
        <v>31</v>
      </c>
      <c r="E44" s="336">
        <v>83</v>
      </c>
      <c r="F44" s="381" t="s">
        <v>1776</v>
      </c>
      <c r="G44" s="338">
        <f t="shared" si="5"/>
        <v>91.300000000000011</v>
      </c>
      <c r="H44" s="382" t="s">
        <v>1867</v>
      </c>
      <c r="I44" s="330" t="str">
        <f t="shared" si="7"/>
        <v>MSE 353,ED3-METE</v>
      </c>
      <c r="J44" s="335"/>
    </row>
    <row r="45" spans="1:10" x14ac:dyDescent="0.45">
      <c r="A45" s="303" t="s">
        <v>122</v>
      </c>
      <c r="B45" s="303" t="str">
        <v>PYROMETALLURGY</v>
      </c>
      <c r="C45" s="343" t="str">
        <v>Agyemang Frank Ofori</v>
      </c>
      <c r="D45" s="303" t="s">
        <v>123</v>
      </c>
      <c r="E45" s="336">
        <v>89</v>
      </c>
      <c r="F45" s="381" t="s">
        <v>1792</v>
      </c>
      <c r="G45" s="338">
        <f t="shared" si="5"/>
        <v>97.9</v>
      </c>
      <c r="H45" s="382" t="s">
        <v>1793</v>
      </c>
      <c r="I45" s="330" t="str">
        <f t="shared" si="7"/>
        <v>MSE 353,ED3-MSE</v>
      </c>
      <c r="J45" s="335"/>
    </row>
    <row r="46" spans="1:10" x14ac:dyDescent="0.45">
      <c r="A46" s="344" t="s">
        <v>70</v>
      </c>
      <c r="B46" s="344" t="str">
        <v>SEPARATION PROCESSES I</v>
      </c>
      <c r="C46" s="345" t="str">
        <v>Dogbe Eunice Sefakor Aku</v>
      </c>
      <c r="D46" s="344" t="s">
        <v>71</v>
      </c>
      <c r="E46" s="346">
        <v>51</v>
      </c>
      <c r="F46" s="381" t="s">
        <v>1865</v>
      </c>
      <c r="G46" s="347">
        <f t="shared" si="5"/>
        <v>56.1</v>
      </c>
      <c r="H46" s="382" t="s">
        <v>1466</v>
      </c>
      <c r="I46" s="330" t="str">
        <f t="shared" si="7"/>
        <v>PCE 351,ED3-PCE</v>
      </c>
      <c r="J46" s="348"/>
    </row>
    <row r="47" spans="1:10" x14ac:dyDescent="0.45">
      <c r="A47" s="303" t="s">
        <v>1789</v>
      </c>
      <c r="B47" s="303" t="str">
        <v>ELECTRICAL SERVICES DESIGN</v>
      </c>
      <c r="C47" s="339" t="str">
        <v>Kwegyir Daniel</v>
      </c>
      <c r="D47" s="303" t="s">
        <v>82</v>
      </c>
      <c r="E47" s="336">
        <v>340</v>
      </c>
      <c r="F47" s="381" t="s">
        <v>1791</v>
      </c>
      <c r="G47" s="347">
        <f t="shared" si="5"/>
        <v>374.00000000000006</v>
      </c>
      <c r="H47" s="382" t="s">
        <v>1790</v>
      </c>
      <c r="I47" s="330" t="str">
        <f t="shared" si="7"/>
        <v>EE 265,ED2-EE</v>
      </c>
      <c r="J47" s="335"/>
    </row>
    <row r="48" spans="1:10" x14ac:dyDescent="0.45">
      <c r="A48" s="303" t="s">
        <v>1377</v>
      </c>
      <c r="B48" s="303" t="str">
        <v>FUNDAMENTALS OF NETWORK SECURITY</v>
      </c>
      <c r="C48" s="339" t="str">
        <v>Agyemang Justice Owusu</v>
      </c>
      <c r="D48" s="303" t="s">
        <v>52</v>
      </c>
      <c r="E48" s="336">
        <v>142</v>
      </c>
      <c r="F48" s="381" t="s">
        <v>505</v>
      </c>
      <c r="G48" s="338">
        <f t="shared" si="5"/>
        <v>156.20000000000002</v>
      </c>
      <c r="H48" s="382" t="s">
        <v>1762</v>
      </c>
      <c r="I48" s="330" t="str">
        <f t="shared" si="7"/>
        <v>TE 451,ED4-TEL</v>
      </c>
      <c r="J48" s="335"/>
    </row>
    <row r="49" spans="1:10" x14ac:dyDescent="0.45">
      <c r="A49" s="303" t="s">
        <v>451</v>
      </c>
      <c r="B49" s="303" t="str">
        <v>ENVIRONMENTAL CONTROL AND LIVESTOCK HOUSING</v>
      </c>
      <c r="C49" s="339" t="str">
        <v>Lavie Jerome Dela</v>
      </c>
      <c r="D49" s="303" t="s">
        <v>131</v>
      </c>
      <c r="E49" s="336">
        <v>103</v>
      </c>
      <c r="F49" s="381" t="s">
        <v>1516</v>
      </c>
      <c r="G49" s="338">
        <f t="shared" si="5"/>
        <v>113.30000000000001</v>
      </c>
      <c r="H49" s="382" t="s">
        <v>1512</v>
      </c>
      <c r="I49" s="330" t="str">
        <f t="shared" si="6"/>
        <v>AE 453,ED4-AE</v>
      </c>
      <c r="J49" s="335"/>
    </row>
    <row r="50" spans="1:10" x14ac:dyDescent="0.45">
      <c r="A50" s="340"/>
      <c r="B50" s="340"/>
      <c r="C50" s="339"/>
      <c r="D50" s="303" t="s">
        <v>72</v>
      </c>
      <c r="E50" s="332">
        <f>SUM(E38:E49)</f>
        <v>1744</v>
      </c>
      <c r="F50" s="341"/>
      <c r="G50" s="340"/>
      <c r="H50" s="329"/>
      <c r="I50" s="330" t="str">
        <f t="shared" si="4"/>
        <v>,Total M2</v>
      </c>
      <c r="J50" s="335"/>
    </row>
    <row r="51" spans="1:10" x14ac:dyDescent="0.45">
      <c r="A51" s="340"/>
      <c r="B51" s="340"/>
      <c r="C51" s="333"/>
      <c r="D51" s="340"/>
      <c r="E51" s="340"/>
      <c r="F51" s="341"/>
      <c r="G51" s="340"/>
      <c r="H51" s="329"/>
      <c r="I51" s="330" t="str">
        <f t="shared" si="4"/>
        <v>,</v>
      </c>
      <c r="J51" s="335"/>
    </row>
    <row r="52" spans="1:10" x14ac:dyDescent="0.45">
      <c r="A52" s="340"/>
      <c r="B52" s="340"/>
      <c r="C52" s="333"/>
      <c r="D52" s="340"/>
      <c r="E52" s="340"/>
      <c r="F52" s="341"/>
      <c r="G52" s="340"/>
      <c r="H52" s="329"/>
      <c r="I52" s="330" t="str">
        <f t="shared" si="4"/>
        <v>,</v>
      </c>
      <c r="J52" s="335"/>
    </row>
    <row r="53" spans="1:10" x14ac:dyDescent="0.45">
      <c r="A53" s="383" t="s">
        <v>1362</v>
      </c>
      <c r="B53" s="383"/>
      <c r="C53" s="383"/>
      <c r="D53" s="383"/>
      <c r="E53" s="383"/>
      <c r="F53" s="383"/>
      <c r="G53" s="383"/>
      <c r="H53" s="329"/>
      <c r="I53" s="330" t="str">
        <f t="shared" si="4"/>
        <v>Monday, 23 February 2026,</v>
      </c>
      <c r="J53" s="335"/>
    </row>
    <row r="54" spans="1:10" x14ac:dyDescent="0.45">
      <c r="A54" s="383" t="s">
        <v>73</v>
      </c>
      <c r="B54" s="383"/>
      <c r="C54" s="383"/>
      <c r="D54" s="383"/>
      <c r="E54" s="383"/>
      <c r="F54" s="383"/>
      <c r="G54" s="383"/>
      <c r="H54" s="329"/>
      <c r="I54" s="330" t="str">
        <f t="shared" si="4"/>
        <v>Session, 3 (11:45AM - 12:45 PM),</v>
      </c>
      <c r="J54" s="335"/>
    </row>
    <row r="55" spans="1:10" x14ac:dyDescent="0.45">
      <c r="A55" s="332" t="s">
        <v>2</v>
      </c>
      <c r="B55" s="332" t="s">
        <v>3</v>
      </c>
      <c r="C55" s="333" t="s">
        <v>4</v>
      </c>
      <c r="D55" s="332" t="s">
        <v>5</v>
      </c>
      <c r="E55" s="332" t="s">
        <v>6</v>
      </c>
      <c r="F55" s="334" t="s">
        <v>7</v>
      </c>
      <c r="G55" s="332" t="s">
        <v>8</v>
      </c>
      <c r="H55" s="329"/>
      <c r="I55" s="330" t="str">
        <f t="shared" si="4"/>
        <v>CODE ,CLASS</v>
      </c>
      <c r="J55" s="335"/>
    </row>
    <row r="56" spans="1:10" x14ac:dyDescent="0.45">
      <c r="A56" s="340" t="s">
        <v>412</v>
      </c>
      <c r="B56" s="340" t="str" cm="1">
        <f t="array" ref="B56:B78">IFERROR(VLOOKUP(I56:I78,Lecturers!A2:G597,7,FALSE),0)</f>
        <v>COMMUNICATION SKILLS I</v>
      </c>
      <c r="C56" s="333" t="str" cm="1">
        <f t="array" ref="C56:C78">IFERROR(VLOOKUP(I56:I78,Lecturers!A2:G597,2,FALSE),0)</f>
        <v>Yeboah Philomena Ama Okyeso</v>
      </c>
      <c r="D56" s="340" t="s">
        <v>41</v>
      </c>
      <c r="E56" s="340" cm="1">
        <f t="array" ref="E56:E78">IFERROR(VLOOKUP(I56:I78,Lecturers!A2:G597,3,FALSE),0)</f>
        <v>46</v>
      </c>
      <c r="F56" s="341" t="s">
        <v>149</v>
      </c>
      <c r="G56" s="349">
        <f>1.1*E56</f>
        <v>50.6</v>
      </c>
      <c r="H56" s="329"/>
      <c r="I56" s="330" t="str">
        <f>CONCATENATE(A56,",",D56)</f>
        <v>ENGL 157,ED1-MARI</v>
      </c>
      <c r="J56" s="335"/>
    </row>
    <row r="57" spans="1:10" x14ac:dyDescent="0.45">
      <c r="A57" s="340" t="s">
        <v>412</v>
      </c>
      <c r="B57" s="340" t="str">
        <v>COMMUNICATION SKILLS I</v>
      </c>
      <c r="C57" s="333" t="str">
        <v>Yeboah Philomena Ama Okyeso</v>
      </c>
      <c r="D57" s="340" t="s">
        <v>164</v>
      </c>
      <c r="E57" s="340">
        <v>223</v>
      </c>
      <c r="F57" s="341" t="s">
        <v>149</v>
      </c>
      <c r="G57" s="349">
        <f t="shared" ref="G57:G78" si="8">1.1*E57</f>
        <v>245.3</v>
      </c>
      <c r="H57" s="329"/>
      <c r="I57" s="330" t="str">
        <f t="shared" ref="I57:I62" si="9">CONCATENATE(A57,",",D57)</f>
        <v>ENGL 157,ED1-ME</v>
      </c>
      <c r="J57" s="335"/>
    </row>
    <row r="58" spans="1:10" x14ac:dyDescent="0.45">
      <c r="A58" s="340" t="s">
        <v>412</v>
      </c>
      <c r="B58" s="340" t="str">
        <v>COMMUNICATION SKILLS I</v>
      </c>
      <c r="C58" s="333" t="str">
        <v>Yeboah Philomena Ama Okyeso</v>
      </c>
      <c r="D58" s="340" t="s">
        <v>36</v>
      </c>
      <c r="E58" s="340">
        <v>119</v>
      </c>
      <c r="F58" s="341" t="s">
        <v>149</v>
      </c>
      <c r="G58" s="349">
        <f t="shared" si="8"/>
        <v>130.9</v>
      </c>
      <c r="H58" s="329"/>
      <c r="I58" s="330" t="str">
        <f t="shared" si="9"/>
        <v>ENGL 157,ED1-GEOL</v>
      </c>
      <c r="J58" s="335"/>
    </row>
    <row r="59" spans="1:10" x14ac:dyDescent="0.45">
      <c r="A59" s="340" t="s">
        <v>412</v>
      </c>
      <c r="B59" s="340" t="str">
        <v>COMMUNICATION SKILLS I</v>
      </c>
      <c r="C59" s="333" t="str">
        <v>Alhassan Yakubu</v>
      </c>
      <c r="D59" s="340" t="s">
        <v>183</v>
      </c>
      <c r="E59" s="340">
        <v>129</v>
      </c>
      <c r="F59" s="341" t="s">
        <v>149</v>
      </c>
      <c r="G59" s="349">
        <f t="shared" si="8"/>
        <v>141.9</v>
      </c>
      <c r="H59" s="329"/>
      <c r="I59" s="330" t="str">
        <f t="shared" si="9"/>
        <v>ENGL 157,ED1-TEL</v>
      </c>
      <c r="J59" s="335"/>
    </row>
    <row r="60" spans="1:10" x14ac:dyDescent="0.45">
      <c r="A60" s="340" t="s">
        <v>412</v>
      </c>
      <c r="B60" s="340" t="str">
        <v>COMMUNICATION SKILLS I</v>
      </c>
      <c r="C60" s="333" t="str">
        <v>Yeboah Philomena Ama Okyeso</v>
      </c>
      <c r="D60" s="340" t="s">
        <v>161</v>
      </c>
      <c r="E60" s="340">
        <v>81</v>
      </c>
      <c r="F60" s="341" t="s">
        <v>149</v>
      </c>
      <c r="G60" s="349">
        <f t="shared" si="8"/>
        <v>89.100000000000009</v>
      </c>
      <c r="H60" s="329"/>
      <c r="I60" s="330" t="str">
        <f t="shared" si="9"/>
        <v>ENGL 157,ED1-IND</v>
      </c>
      <c r="J60" s="335"/>
    </row>
    <row r="61" spans="1:10" x14ac:dyDescent="0.45">
      <c r="A61" s="340" t="s">
        <v>412</v>
      </c>
      <c r="B61" s="340" t="str">
        <v>COMMUNICATION SKILLS I</v>
      </c>
      <c r="C61" s="333" t="str">
        <v>Sarfo-Adu Kwasi</v>
      </c>
      <c r="D61" s="340" t="s">
        <v>166</v>
      </c>
      <c r="E61" s="340">
        <v>88</v>
      </c>
      <c r="F61" s="341" t="s">
        <v>149</v>
      </c>
      <c r="G61" s="349">
        <f t="shared" si="8"/>
        <v>96.800000000000011</v>
      </c>
      <c r="H61" s="329"/>
      <c r="I61" s="330" t="str">
        <f t="shared" si="9"/>
        <v>ENGL 157,ED1-AUTO</v>
      </c>
      <c r="J61" s="335"/>
    </row>
    <row r="62" spans="1:10" x14ac:dyDescent="0.45">
      <c r="A62" s="340" t="s">
        <v>412</v>
      </c>
      <c r="B62" s="340" t="str">
        <v>COMMUNICATION SKILLS I</v>
      </c>
      <c r="C62" s="333" t="str">
        <v>Alhassan Yakubu</v>
      </c>
      <c r="D62" s="340" t="s">
        <v>165</v>
      </c>
      <c r="E62" s="340">
        <v>242</v>
      </c>
      <c r="F62" s="341" t="s">
        <v>149</v>
      </c>
      <c r="G62" s="349">
        <f t="shared" si="8"/>
        <v>266.20000000000005</v>
      </c>
      <c r="H62" s="329"/>
      <c r="I62" s="330" t="str">
        <f t="shared" si="9"/>
        <v>ENGL 157,ED1-CE</v>
      </c>
      <c r="J62" s="335"/>
    </row>
    <row r="63" spans="1:10" x14ac:dyDescent="0.45">
      <c r="A63" s="340" t="s">
        <v>74</v>
      </c>
      <c r="B63" s="340" t="str">
        <v>AUTOMOTIVE COMPRESSION-IGNITION ENGINES</v>
      </c>
      <c r="C63" s="304" t="str">
        <v>Abu Frimpong Solomon</v>
      </c>
      <c r="D63" s="340" t="s">
        <v>75</v>
      </c>
      <c r="E63" s="336">
        <v>32</v>
      </c>
      <c r="F63" s="381" t="s">
        <v>466</v>
      </c>
      <c r="G63" s="349">
        <f t="shared" si="8"/>
        <v>35.200000000000003</v>
      </c>
      <c r="H63" s="382" t="s">
        <v>1426</v>
      </c>
      <c r="I63" s="330" t="str">
        <f>CONCATENATE(A63,",",D63)</f>
        <v>AME 467,ED4-AUTO</v>
      </c>
      <c r="J63" s="335"/>
    </row>
    <row r="64" spans="1:10" x14ac:dyDescent="0.45">
      <c r="A64" s="303" t="s">
        <v>76</v>
      </c>
      <c r="B64" s="303" t="str">
        <v>RESERVOIR ENGINEERING I</v>
      </c>
      <c r="C64" s="339" t="str">
        <v>Adenutsi Caspar Daniel</v>
      </c>
      <c r="D64" s="303" t="s">
        <v>1383</v>
      </c>
      <c r="E64" s="336">
        <v>97</v>
      </c>
      <c r="F64" s="381" t="s">
        <v>1868</v>
      </c>
      <c r="G64" s="349">
        <f t="shared" si="8"/>
        <v>106.7</v>
      </c>
      <c r="H64" s="382" t="s">
        <v>1526</v>
      </c>
      <c r="I64" s="330" t="str">
        <f t="shared" si="4"/>
        <v>PE 251,ED2-PE</v>
      </c>
      <c r="J64" s="335"/>
    </row>
    <row r="65" spans="1:10" x14ac:dyDescent="0.45">
      <c r="A65" s="303" t="s">
        <v>77</v>
      </c>
      <c r="B65" s="303" t="str">
        <v>CADASTRAL SURVEYING</v>
      </c>
      <c r="C65" s="339" t="str">
        <v>Akrofi Emmanuel Offei</v>
      </c>
      <c r="D65" s="303" t="s">
        <v>78</v>
      </c>
      <c r="E65" s="336">
        <v>93</v>
      </c>
      <c r="F65" s="381" t="s">
        <v>1700</v>
      </c>
      <c r="G65" s="349">
        <f t="shared" si="8"/>
        <v>102.30000000000001</v>
      </c>
      <c r="H65" s="382" t="s">
        <v>1665</v>
      </c>
      <c r="I65" s="330" t="str">
        <f t="shared" si="4"/>
        <v>GE 461,ED4-GEOM</v>
      </c>
      <c r="J65" s="335"/>
    </row>
    <row r="66" spans="1:10" x14ac:dyDescent="0.45">
      <c r="A66" s="303" t="s">
        <v>79</v>
      </c>
      <c r="B66" s="303" t="str">
        <v>INDUSTRIAL SAFETY AND MANUFACTURING RELATIONS</v>
      </c>
      <c r="C66" s="339" t="str">
        <v>Asiedu Charlotte</v>
      </c>
      <c r="D66" s="303" t="s">
        <v>80</v>
      </c>
      <c r="E66" s="336">
        <v>67</v>
      </c>
      <c r="F66" s="381" t="s">
        <v>1814</v>
      </c>
      <c r="G66" s="349">
        <f t="shared" si="8"/>
        <v>73.7</v>
      </c>
      <c r="H66" s="382" t="s">
        <v>1622</v>
      </c>
      <c r="I66" s="330" t="str">
        <f t="shared" si="4"/>
        <v>IE 461,ED4-IND</v>
      </c>
      <c r="J66" s="335"/>
    </row>
    <row r="67" spans="1:10" x14ac:dyDescent="0.45">
      <c r="A67" s="303" t="s">
        <v>85</v>
      </c>
      <c r="B67" s="303" t="str">
        <v>COMPUTER OPTIMIZATION METHOD</v>
      </c>
      <c r="C67" s="304" t="str">
        <v>Bonsu Jude Kwaku</v>
      </c>
      <c r="D67" s="303" t="s">
        <v>86</v>
      </c>
      <c r="E67" s="336">
        <v>114</v>
      </c>
      <c r="F67" s="381" t="s">
        <v>1431</v>
      </c>
      <c r="G67" s="349">
        <f t="shared" si="8"/>
        <v>125.4</v>
      </c>
      <c r="H67" s="382" t="s">
        <v>1874</v>
      </c>
      <c r="I67" s="330" t="str">
        <f>CONCATENATE(A67,",",D67)</f>
        <v>CHE 461,ED4-CHE</v>
      </c>
      <c r="J67" s="335"/>
    </row>
    <row r="68" spans="1:10" x14ac:dyDescent="0.45">
      <c r="A68" s="303" t="s">
        <v>85</v>
      </c>
      <c r="B68" s="303" t="str">
        <v>COMPUTER OPTIMIZATION METHOD</v>
      </c>
      <c r="C68" s="304" t="str">
        <v>Bonsu Jude Kwaku</v>
      </c>
      <c r="D68" s="303" t="s">
        <v>87</v>
      </c>
      <c r="E68" s="336">
        <v>8</v>
      </c>
      <c r="F68" s="381">
        <v>206</v>
      </c>
      <c r="G68" s="349">
        <f t="shared" si="8"/>
        <v>8.8000000000000007</v>
      </c>
      <c r="H68" s="382" t="s">
        <v>1427</v>
      </c>
      <c r="I68" s="330" t="str">
        <f>CONCATENATE(A68,",",D68)</f>
        <v>CHE 461,ED4-PCE</v>
      </c>
      <c r="J68" s="335"/>
    </row>
    <row r="69" spans="1:10" x14ac:dyDescent="0.45">
      <c r="A69" s="303" t="s">
        <v>88</v>
      </c>
      <c r="B69" s="303" t="str">
        <v>MOMENTUM TRANSPORT</v>
      </c>
      <c r="C69" s="339" t="str">
        <v>Adjaottor Albert Amatey</v>
      </c>
      <c r="D69" s="303" t="s">
        <v>33</v>
      </c>
      <c r="E69" s="336">
        <v>80</v>
      </c>
      <c r="F69" s="381" t="s">
        <v>1429</v>
      </c>
      <c r="G69" s="349">
        <f t="shared" si="8"/>
        <v>88</v>
      </c>
      <c r="H69" s="382" t="s">
        <v>1430</v>
      </c>
      <c r="I69" s="330" t="str">
        <f t="shared" ref="I69:I105" si="10">CONCATENATE(A69,",",D69)</f>
        <v>MSE 251,ED2-MSE</v>
      </c>
      <c r="J69" s="335"/>
    </row>
    <row r="70" spans="1:10" x14ac:dyDescent="0.45">
      <c r="A70" s="303" t="s">
        <v>88</v>
      </c>
      <c r="B70" s="303" t="str">
        <v>MOMENTUM TRANSPORT</v>
      </c>
      <c r="C70" s="339" t="str">
        <v>Adjaottor Albert Amatey</v>
      </c>
      <c r="D70" s="303" t="s">
        <v>89</v>
      </c>
      <c r="E70" s="336">
        <v>59</v>
      </c>
      <c r="F70" s="381" t="s">
        <v>1869</v>
      </c>
      <c r="G70" s="349">
        <f t="shared" si="8"/>
        <v>64.900000000000006</v>
      </c>
      <c r="H70" s="382" t="s">
        <v>1875</v>
      </c>
      <c r="I70" s="330" t="str">
        <f t="shared" si="10"/>
        <v>MSE 251,ED2-METE</v>
      </c>
      <c r="J70" s="335"/>
    </row>
    <row r="71" spans="1:10" x14ac:dyDescent="0.45">
      <c r="A71" s="303" t="s">
        <v>90</v>
      </c>
      <c r="B71" s="303" t="str">
        <v>COMPUTER AIDED DESIGN AND MANUFACTURING</v>
      </c>
      <c r="C71" s="339" t="str">
        <v>Afriyie Nyarko Frank Kwabena</v>
      </c>
      <c r="D71" s="303" t="s">
        <v>44</v>
      </c>
      <c r="E71" s="336">
        <v>61</v>
      </c>
      <c r="F71" s="381" t="s">
        <v>1433</v>
      </c>
      <c r="G71" s="349">
        <f t="shared" si="8"/>
        <v>67.100000000000009</v>
      </c>
      <c r="H71" s="382" t="s">
        <v>1435</v>
      </c>
      <c r="I71" s="330" t="str">
        <f t="shared" si="10"/>
        <v>ME 473,ED4-AERO</v>
      </c>
      <c r="J71" s="335"/>
    </row>
    <row r="72" spans="1:10" x14ac:dyDescent="0.45">
      <c r="A72" s="303" t="s">
        <v>90</v>
      </c>
      <c r="B72" s="303" t="str">
        <v>COMPUTER AIDED DESIGN AND MANUFACTURING</v>
      </c>
      <c r="C72" s="339" t="str">
        <v>Afriyie Nyarko Frank Kwabena</v>
      </c>
      <c r="D72" s="303" t="s">
        <v>48</v>
      </c>
      <c r="E72" s="336">
        <v>144</v>
      </c>
      <c r="F72" s="381" t="s">
        <v>1424</v>
      </c>
      <c r="G72" s="349">
        <f t="shared" si="8"/>
        <v>158.4</v>
      </c>
      <c r="H72" s="382" t="s">
        <v>1425</v>
      </c>
      <c r="I72" s="330" t="str">
        <f t="shared" si="10"/>
        <v>ME 473,ED4-ME</v>
      </c>
      <c r="J72" s="335"/>
    </row>
    <row r="73" spans="1:10" x14ac:dyDescent="0.45">
      <c r="A73" s="303" t="s">
        <v>38</v>
      </c>
      <c r="B73" s="303" t="str">
        <v>TECHNICAL DRAWING</v>
      </c>
      <c r="C73" s="304" t="str">
        <v>Oppong Tawiah Peter</v>
      </c>
      <c r="D73" s="303" t="s">
        <v>1382</v>
      </c>
      <c r="E73" s="336">
        <v>129</v>
      </c>
      <c r="F73" s="381" t="s">
        <v>1424</v>
      </c>
      <c r="G73" s="349">
        <f t="shared" si="8"/>
        <v>141.9</v>
      </c>
      <c r="H73" s="382" t="s">
        <v>1876</v>
      </c>
      <c r="I73" s="330" t="str">
        <f>CONCATENATE(A73,",",D73)</f>
        <v>ME 159,ED1-PE</v>
      </c>
      <c r="J73" s="335"/>
    </row>
    <row r="74" spans="1:10" x14ac:dyDescent="0.45">
      <c r="A74" s="303" t="s">
        <v>38</v>
      </c>
      <c r="B74" s="303" t="str">
        <v>TECHNICAL DRAWING</v>
      </c>
      <c r="C74" s="304" t="str">
        <v>Oppong Tawiah Peter</v>
      </c>
      <c r="D74" s="303" t="s">
        <v>39</v>
      </c>
      <c r="E74" s="336">
        <v>72</v>
      </c>
      <c r="F74" s="381" t="s">
        <v>1870</v>
      </c>
      <c r="G74" s="349">
        <f t="shared" si="8"/>
        <v>79.2</v>
      </c>
      <c r="H74" s="382" t="s">
        <v>1877</v>
      </c>
      <c r="I74" s="330" t="str">
        <f>CONCATENATE(A74,",",D74)</f>
        <v>ME 159,ED1-METE</v>
      </c>
      <c r="J74" s="335"/>
    </row>
    <row r="75" spans="1:10" x14ac:dyDescent="0.45">
      <c r="A75" s="303" t="s">
        <v>38</v>
      </c>
      <c r="B75" s="303" t="str">
        <v>TECHNICAL DRAWING</v>
      </c>
      <c r="C75" s="304" t="str">
        <v>Oppong Tawiah Peter</v>
      </c>
      <c r="D75" s="303" t="s">
        <v>40</v>
      </c>
      <c r="E75" s="336">
        <v>70</v>
      </c>
      <c r="F75" s="381" t="s">
        <v>1871</v>
      </c>
      <c r="G75" s="349">
        <f t="shared" si="8"/>
        <v>77</v>
      </c>
      <c r="H75" s="382" t="s">
        <v>1421</v>
      </c>
      <c r="I75" s="330" t="str">
        <f>CONCATENATE(A75,",",D75)</f>
        <v>ME 159,ED1-AERO</v>
      </c>
      <c r="J75" s="335"/>
    </row>
    <row r="76" spans="1:10" x14ac:dyDescent="0.45">
      <c r="A76" s="303" t="s">
        <v>151</v>
      </c>
      <c r="B76" s="303" t="str">
        <v>THERMODYNAMICS I</v>
      </c>
      <c r="C76" s="339" t="str">
        <v>Forson Francis Kofi</v>
      </c>
      <c r="D76" s="303" t="s">
        <v>142</v>
      </c>
      <c r="E76" s="336">
        <v>155</v>
      </c>
      <c r="F76" s="381" t="s">
        <v>1872</v>
      </c>
      <c r="G76" s="349">
        <f t="shared" si="8"/>
        <v>170.5</v>
      </c>
      <c r="H76" s="382" t="s">
        <v>1878</v>
      </c>
      <c r="I76" s="330" t="str">
        <f>CONCATENATE(A76,",",D76)</f>
        <v>ME 265,ED2-AE</v>
      </c>
      <c r="J76" s="335"/>
    </row>
    <row r="77" spans="1:10" x14ac:dyDescent="0.45">
      <c r="A77" s="303" t="s">
        <v>94</v>
      </c>
      <c r="B77" s="303" t="str">
        <v>CORROSION OF ENGINEERING MATERIALS</v>
      </c>
      <c r="C77" s="339" t="str">
        <v>Andrews Anthony</v>
      </c>
      <c r="D77" s="303" t="s">
        <v>95</v>
      </c>
      <c r="E77" s="336">
        <v>49</v>
      </c>
      <c r="F77" s="381" t="s">
        <v>466</v>
      </c>
      <c r="G77" s="349">
        <f t="shared" si="8"/>
        <v>53.900000000000006</v>
      </c>
      <c r="H77" s="382" t="s">
        <v>1428</v>
      </c>
      <c r="I77" s="330" t="str">
        <f t="shared" si="10"/>
        <v>METE 457,ED4-METE</v>
      </c>
      <c r="J77" s="335"/>
    </row>
    <row r="78" spans="1:10" x14ac:dyDescent="0.45">
      <c r="A78" s="303" t="s">
        <v>96</v>
      </c>
      <c r="B78" s="303" t="str">
        <v>CORROSION OF ENGINEERING MATERIALS</v>
      </c>
      <c r="C78" s="339" t="str">
        <v>Andrews Anthony</v>
      </c>
      <c r="D78" s="303" t="s">
        <v>97</v>
      </c>
      <c r="E78" s="336">
        <v>64</v>
      </c>
      <c r="F78" s="350" t="s">
        <v>505</v>
      </c>
      <c r="G78" s="349">
        <f t="shared" si="8"/>
        <v>70.400000000000006</v>
      </c>
      <c r="H78" s="329" t="s">
        <v>1849</v>
      </c>
      <c r="I78" s="330" t="str">
        <f t="shared" si="10"/>
        <v>MSE 453,ED4-MSE</v>
      </c>
      <c r="J78" s="335"/>
    </row>
    <row r="79" spans="1:10" x14ac:dyDescent="0.45">
      <c r="A79" s="340"/>
      <c r="B79" s="340"/>
      <c r="C79" s="333"/>
      <c r="D79" s="303" t="s">
        <v>98</v>
      </c>
      <c r="E79" s="332">
        <f>SUM(E63:E78)</f>
        <v>1294</v>
      </c>
      <c r="F79" s="341"/>
      <c r="G79" s="340"/>
      <c r="H79" s="329"/>
      <c r="I79" s="330" t="str">
        <f t="shared" si="10"/>
        <v>,Total M3</v>
      </c>
      <c r="J79" s="335"/>
    </row>
    <row r="80" spans="1:10" x14ac:dyDescent="0.45">
      <c r="A80" s="340"/>
      <c r="B80" s="340"/>
      <c r="C80" s="333"/>
      <c r="D80" s="340"/>
      <c r="E80" s="340"/>
      <c r="F80" s="341"/>
      <c r="G80" s="340"/>
      <c r="H80" s="329"/>
      <c r="I80" s="330" t="str">
        <f t="shared" si="10"/>
        <v>,</v>
      </c>
      <c r="J80" s="335"/>
    </row>
    <row r="81" spans="1:10" x14ac:dyDescent="0.45">
      <c r="A81" s="340"/>
      <c r="B81" s="340"/>
      <c r="C81" s="351"/>
      <c r="D81" s="340"/>
      <c r="E81" s="340"/>
      <c r="F81" s="341"/>
      <c r="G81" s="340"/>
      <c r="H81" s="329"/>
      <c r="I81" s="330" t="str">
        <f t="shared" si="10"/>
        <v>,</v>
      </c>
      <c r="J81" s="335"/>
    </row>
    <row r="82" spans="1:10" x14ac:dyDescent="0.45">
      <c r="A82" s="383" t="s">
        <v>1362</v>
      </c>
      <c r="B82" s="383"/>
      <c r="C82" s="383"/>
      <c r="D82" s="383"/>
      <c r="E82" s="383"/>
      <c r="F82" s="383"/>
      <c r="G82" s="383"/>
      <c r="H82" s="329"/>
      <c r="I82" s="330" t="str">
        <f t="shared" si="10"/>
        <v>Monday, 23 February 2026,</v>
      </c>
      <c r="J82" s="335"/>
    </row>
    <row r="83" spans="1:10" x14ac:dyDescent="0.45">
      <c r="A83" s="383" t="s">
        <v>99</v>
      </c>
      <c r="B83" s="383"/>
      <c r="C83" s="383"/>
      <c r="D83" s="383"/>
      <c r="E83" s="383"/>
      <c r="F83" s="383"/>
      <c r="G83" s="383"/>
      <c r="H83" s="329"/>
      <c r="I83" s="330" t="str">
        <f t="shared" si="10"/>
        <v>Session, 4 (1:30PM - 2:30 PM),</v>
      </c>
      <c r="J83" s="335"/>
    </row>
    <row r="84" spans="1:10" x14ac:dyDescent="0.45">
      <c r="A84" s="332" t="s">
        <v>2</v>
      </c>
      <c r="B84" s="332" t="s">
        <v>3</v>
      </c>
      <c r="C84" s="333" t="s">
        <v>4</v>
      </c>
      <c r="D84" s="332" t="s">
        <v>5</v>
      </c>
      <c r="E84" s="332" t="s">
        <v>6</v>
      </c>
      <c r="F84" s="334" t="s">
        <v>7</v>
      </c>
      <c r="G84" s="332" t="s">
        <v>8</v>
      </c>
      <c r="H84" s="329"/>
      <c r="I84" s="330" t="str">
        <f t="shared" si="10"/>
        <v>CODE ,CLASS</v>
      </c>
      <c r="J84" s="335"/>
    </row>
    <row r="85" spans="1:10" x14ac:dyDescent="0.45">
      <c r="A85" s="340" t="s">
        <v>412</v>
      </c>
      <c r="B85" s="340" t="str" cm="1">
        <f t="array" ref="B85:B105">IFERROR(VLOOKUP(I85:I105,Lecturers!A2:G597,7,FALSE),0)</f>
        <v>COMMUNICATION SKILLS I</v>
      </c>
      <c r="C85" s="333" t="str" cm="1">
        <f t="array" ref="C85:C105">IFERROR(VLOOKUP(I85:I105,Lecturers!A2:G597,2,FALSE),0)</f>
        <v>Sarfo-Adu Kwasi</v>
      </c>
      <c r="D85" s="340" t="s">
        <v>103</v>
      </c>
      <c r="E85" s="340" cm="1">
        <f t="array" ref="E85:E105">IFERROR(VLOOKUP(I85:I105,Lecturers!A2:G597,3,FALSE),0)</f>
        <v>120</v>
      </c>
      <c r="F85" s="341" t="s">
        <v>149</v>
      </c>
      <c r="G85" s="349">
        <f>1.1*E85</f>
        <v>132</v>
      </c>
      <c r="H85" s="329"/>
      <c r="I85" s="330" t="str">
        <f>CONCATENATE(A85,",",D85)</f>
        <v>ENGL 157,ED1-CHE</v>
      </c>
      <c r="J85" s="335"/>
    </row>
    <row r="86" spans="1:10" x14ac:dyDescent="0.45">
      <c r="A86" s="340" t="s">
        <v>412</v>
      </c>
      <c r="B86" s="340" t="str">
        <v>COMMUNICATION SKILLS I</v>
      </c>
      <c r="C86" s="333" t="str">
        <v>Yeboah Philomena Ama Okyeso</v>
      </c>
      <c r="D86" s="340" t="s">
        <v>104</v>
      </c>
      <c r="E86" s="340">
        <v>56</v>
      </c>
      <c r="F86" s="341" t="s">
        <v>149</v>
      </c>
      <c r="G86" s="349">
        <f t="shared" ref="G86:G105" si="11">1.1*E86</f>
        <v>61.600000000000009</v>
      </c>
      <c r="H86" s="329"/>
      <c r="I86" s="330" t="str">
        <f t="shared" ref="I86:I91" si="12">CONCATENATE(A86,",",D86)</f>
        <v>ENGL 157,ED1-PCE</v>
      </c>
      <c r="J86" s="335"/>
    </row>
    <row r="87" spans="1:10" x14ac:dyDescent="0.45">
      <c r="A87" s="340" t="s">
        <v>412</v>
      </c>
      <c r="B87" s="340" t="str">
        <v>COMMUNICATION SKILLS I</v>
      </c>
      <c r="C87" s="333" t="str">
        <v>Alhassan Yakubu</v>
      </c>
      <c r="D87" s="340" t="s">
        <v>162</v>
      </c>
      <c r="E87" s="340">
        <v>136</v>
      </c>
      <c r="F87" s="341" t="s">
        <v>149</v>
      </c>
      <c r="G87" s="349">
        <f t="shared" si="11"/>
        <v>149.60000000000002</v>
      </c>
      <c r="H87" s="329"/>
      <c r="I87" s="330" t="str">
        <f t="shared" si="12"/>
        <v>ENGL 157,ED1-BME</v>
      </c>
      <c r="J87" s="335"/>
    </row>
    <row r="88" spans="1:10" x14ac:dyDescent="0.45">
      <c r="A88" s="340" t="s">
        <v>412</v>
      </c>
      <c r="B88" s="340" t="str">
        <v>COMMUNICATION SKILLS I</v>
      </c>
      <c r="C88" s="333" t="str">
        <v>Alhassan Yakubu</v>
      </c>
      <c r="D88" s="340" t="s">
        <v>69</v>
      </c>
      <c r="E88" s="340">
        <v>261</v>
      </c>
      <c r="F88" s="341" t="s">
        <v>149</v>
      </c>
      <c r="G88" s="349">
        <f t="shared" si="11"/>
        <v>287.10000000000002</v>
      </c>
      <c r="H88" s="329"/>
      <c r="I88" s="330" t="str">
        <f t="shared" si="12"/>
        <v>ENGL 157,ED1-COE</v>
      </c>
      <c r="J88" s="335"/>
    </row>
    <row r="89" spans="1:10" x14ac:dyDescent="0.45">
      <c r="A89" s="340" t="s">
        <v>412</v>
      </c>
      <c r="B89" s="340" t="str">
        <v>COMMUNICATION SKILLS I</v>
      </c>
      <c r="C89" s="333" t="str">
        <v>Yeboah Philomena Ama Okyeso</v>
      </c>
      <c r="D89" s="340" t="s">
        <v>66</v>
      </c>
      <c r="E89" s="340">
        <v>100</v>
      </c>
      <c r="F89" s="341" t="s">
        <v>149</v>
      </c>
      <c r="G89" s="349">
        <f t="shared" si="11"/>
        <v>110.00000000000001</v>
      </c>
      <c r="H89" s="329"/>
      <c r="I89" s="330" t="str">
        <f t="shared" si="12"/>
        <v>ENGL 157,ED1-GEOM</v>
      </c>
      <c r="J89" s="335"/>
    </row>
    <row r="90" spans="1:10" x14ac:dyDescent="0.45">
      <c r="A90" s="340" t="s">
        <v>412</v>
      </c>
      <c r="B90" s="340" t="str">
        <v>COMMUNICATION SKILLS I</v>
      </c>
      <c r="C90" s="333" t="str">
        <v>Yeboah Philomena Ama Okyeso</v>
      </c>
      <c r="D90" s="340" t="s">
        <v>163</v>
      </c>
      <c r="E90" s="340">
        <v>126</v>
      </c>
      <c r="F90" s="341" t="s">
        <v>149</v>
      </c>
      <c r="G90" s="349">
        <f t="shared" si="11"/>
        <v>138.60000000000002</v>
      </c>
      <c r="H90" s="329"/>
      <c r="I90" s="330" t="str">
        <f t="shared" ref="I90" si="13">CONCATENATE(A90,",",D90)</f>
        <v>ENGL 157,ED1-AE</v>
      </c>
      <c r="J90" s="335"/>
    </row>
    <row r="91" spans="1:10" x14ac:dyDescent="0.45">
      <c r="A91" s="340" t="s">
        <v>412</v>
      </c>
      <c r="B91" s="340" t="str">
        <v>COMMUNICATION SKILLS I</v>
      </c>
      <c r="C91" s="333" t="str">
        <v>Sarfo-Adu Kwasi</v>
      </c>
      <c r="D91" s="340" t="s">
        <v>58</v>
      </c>
      <c r="E91" s="340">
        <v>287</v>
      </c>
      <c r="F91" s="341" t="s">
        <v>149</v>
      </c>
      <c r="G91" s="349">
        <f t="shared" si="11"/>
        <v>315.70000000000005</v>
      </c>
      <c r="H91" s="329"/>
      <c r="I91" s="330" t="str">
        <f t="shared" si="12"/>
        <v>ENGL 157,ED1-EE</v>
      </c>
      <c r="J91" s="335"/>
    </row>
    <row r="92" spans="1:10" x14ac:dyDescent="0.45">
      <c r="A92" s="303" t="s">
        <v>111</v>
      </c>
      <c r="B92" s="303" t="str">
        <v>ECONOMICS AND COMMERCIAL GEOGRAPHY</v>
      </c>
      <c r="C92" s="304" t="str">
        <v>Bonuedi Isaac</v>
      </c>
      <c r="D92" s="303" t="s">
        <v>24</v>
      </c>
      <c r="E92" s="336">
        <v>37</v>
      </c>
      <c r="F92" s="382" t="s">
        <v>1422</v>
      </c>
      <c r="G92" s="349">
        <f t="shared" si="11"/>
        <v>40.700000000000003</v>
      </c>
      <c r="H92" s="382" t="s">
        <v>1441</v>
      </c>
      <c r="I92" s="330" t="str">
        <f>CONCATENATE(A92,",",D92)</f>
        <v>MME 291,ED2-MARI</v>
      </c>
      <c r="J92" s="335"/>
    </row>
    <row r="93" spans="1:10" x14ac:dyDescent="0.45">
      <c r="A93" s="303" t="s">
        <v>107</v>
      </c>
      <c r="B93" s="303" t="str">
        <v>AUTOMATIC CONTROL I</v>
      </c>
      <c r="C93" s="304" t="str">
        <v>F. W. Adam</v>
      </c>
      <c r="D93" s="303" t="s">
        <v>14</v>
      </c>
      <c r="E93" s="336">
        <v>76</v>
      </c>
      <c r="F93" s="382" t="s">
        <v>1451</v>
      </c>
      <c r="G93" s="349">
        <f t="shared" si="11"/>
        <v>83.600000000000009</v>
      </c>
      <c r="H93" s="382" t="s">
        <v>1452</v>
      </c>
      <c r="I93" s="330" t="str">
        <f t="shared" ref="I93:I98" si="14">CONCATENATE(A93,",",D93)</f>
        <v>ME 363,ED3-AERO</v>
      </c>
      <c r="J93" s="335"/>
    </row>
    <row r="94" spans="1:10" x14ac:dyDescent="0.45">
      <c r="A94" s="303" t="s">
        <v>107</v>
      </c>
      <c r="B94" s="303" t="str">
        <v xml:space="preserve">AUTOMATIC CONTROL </v>
      </c>
      <c r="C94" s="304" t="str">
        <v>Adam Faisal Wahib</v>
      </c>
      <c r="D94" s="303" t="s">
        <v>10</v>
      </c>
      <c r="E94" s="336">
        <v>230</v>
      </c>
      <c r="F94" s="382" t="s">
        <v>1407</v>
      </c>
      <c r="G94" s="349">
        <f t="shared" si="11"/>
        <v>253.00000000000003</v>
      </c>
      <c r="H94" s="382" t="s">
        <v>1442</v>
      </c>
      <c r="I94" s="330" t="str">
        <f t="shared" si="14"/>
        <v>ME 363,ED3-ME</v>
      </c>
      <c r="J94" s="335"/>
    </row>
    <row r="95" spans="1:10" x14ac:dyDescent="0.45">
      <c r="A95" s="303" t="s">
        <v>107</v>
      </c>
      <c r="B95" s="303" t="str">
        <v>AUTOMATIC CONTROL I</v>
      </c>
      <c r="C95" s="304" t="str">
        <v>Adam Faisal Wahib</v>
      </c>
      <c r="D95" s="303" t="s">
        <v>21</v>
      </c>
      <c r="E95" s="336">
        <v>40</v>
      </c>
      <c r="F95" s="382" t="s">
        <v>1439</v>
      </c>
      <c r="G95" s="349">
        <f t="shared" si="11"/>
        <v>44</v>
      </c>
      <c r="H95" s="382" t="s">
        <v>1440</v>
      </c>
      <c r="I95" s="330" t="str">
        <f t="shared" si="14"/>
        <v>ME 363,ED3-MARI</v>
      </c>
      <c r="J95" s="335"/>
    </row>
    <row r="96" spans="1:10" x14ac:dyDescent="0.45">
      <c r="A96" s="303" t="s">
        <v>109</v>
      </c>
      <c r="B96" s="303" t="str">
        <v>ANATOMY AND PHYSIOLOGY FOR ENGINEERS I</v>
      </c>
      <c r="C96" s="339" t="str">
        <v>Agyapong Dorothy Araba Yakoba</v>
      </c>
      <c r="D96" s="303" t="s">
        <v>29</v>
      </c>
      <c r="E96" s="336">
        <v>87</v>
      </c>
      <c r="F96" s="382" t="s">
        <v>1457</v>
      </c>
      <c r="G96" s="349">
        <f t="shared" si="11"/>
        <v>95.7</v>
      </c>
      <c r="H96" s="382" t="s">
        <v>1458</v>
      </c>
      <c r="I96" s="330" t="str">
        <f>CONCATENATE(A96,",",D96)</f>
        <v>BME 285,ED2-BME</v>
      </c>
      <c r="J96" s="335"/>
    </row>
    <row r="97" spans="1:10" x14ac:dyDescent="0.45">
      <c r="A97" s="303" t="s">
        <v>100</v>
      </c>
      <c r="B97" s="303" t="str">
        <v>COMPUTER PROGRAMMING</v>
      </c>
      <c r="C97" s="339" t="str">
        <v>Osei Jack Banahene</v>
      </c>
      <c r="D97" s="303" t="s">
        <v>101</v>
      </c>
      <c r="E97" s="336">
        <v>260</v>
      </c>
      <c r="F97" s="382" t="s">
        <v>1436</v>
      </c>
      <c r="G97" s="349">
        <f t="shared" si="11"/>
        <v>286</v>
      </c>
      <c r="H97" s="382" t="s">
        <v>1437</v>
      </c>
      <c r="I97" s="330" t="str">
        <f>CONCATENATE(A97,",",D97)</f>
        <v>CE 257,ED2-CE</v>
      </c>
      <c r="J97" s="335"/>
    </row>
    <row r="98" spans="1:10" x14ac:dyDescent="0.45">
      <c r="A98" s="303" t="s">
        <v>110</v>
      </c>
      <c r="B98" s="303" t="str">
        <v>POWER GENERATION  AND SUPPLY</v>
      </c>
      <c r="C98" s="339" t="str">
        <v>Asigri Peter</v>
      </c>
      <c r="D98" s="303" t="s">
        <v>19</v>
      </c>
      <c r="E98" s="336">
        <v>254</v>
      </c>
      <c r="F98" s="382" t="s">
        <v>1418</v>
      </c>
      <c r="G98" s="349">
        <f t="shared" si="11"/>
        <v>279.40000000000003</v>
      </c>
      <c r="H98" s="382" t="s">
        <v>1438</v>
      </c>
      <c r="I98" s="330" t="str">
        <f t="shared" si="14"/>
        <v>EE 367,ED3-EE</v>
      </c>
      <c r="J98" s="335"/>
    </row>
    <row r="99" spans="1:10" x14ac:dyDescent="0.45">
      <c r="A99" s="303" t="s">
        <v>93</v>
      </c>
      <c r="B99" s="303" t="str">
        <v>REGIONAL GEOLOGY</v>
      </c>
      <c r="C99" s="339" t="str">
        <v>Foli Gordon</v>
      </c>
      <c r="D99" s="303" t="s">
        <v>50</v>
      </c>
      <c r="E99" s="336">
        <v>102</v>
      </c>
      <c r="F99" s="382" t="s">
        <v>1447</v>
      </c>
      <c r="G99" s="349">
        <f t="shared" si="11"/>
        <v>112.2</v>
      </c>
      <c r="H99" s="382" t="s">
        <v>1448</v>
      </c>
      <c r="I99" s="330" t="str">
        <f>CONCATENATE(A99,",",D99)</f>
        <v>GED 451,ED4-GEOL</v>
      </c>
      <c r="J99" s="335"/>
    </row>
    <row r="100" spans="1:10" x14ac:dyDescent="0.45">
      <c r="A100" s="303" t="s">
        <v>91</v>
      </c>
      <c r="B100" s="303" t="str">
        <v>MECHANICAL SEPARATION PROCESSES</v>
      </c>
      <c r="C100" s="339" t="str">
        <v>Darkwah Lawrence</v>
      </c>
      <c r="D100" s="303" t="s">
        <v>92</v>
      </c>
      <c r="E100" s="336">
        <v>100</v>
      </c>
      <c r="F100" s="382" t="s">
        <v>1522</v>
      </c>
      <c r="G100" s="349">
        <f t="shared" si="11"/>
        <v>110.00000000000001</v>
      </c>
      <c r="H100" s="382" t="s">
        <v>1444</v>
      </c>
      <c r="I100" s="330" t="str">
        <f>CONCATENATE(A100,",",D100)</f>
        <v>CHE 359,ED3-CHE</v>
      </c>
      <c r="J100" s="335"/>
    </row>
    <row r="101" spans="1:10" x14ac:dyDescent="0.45">
      <c r="A101" s="303" t="s">
        <v>310</v>
      </c>
      <c r="B101" s="303" t="str">
        <v>SAFETY AND RELIABILITY ENGINEERING</v>
      </c>
      <c r="C101" s="339" t="str">
        <v>Quaye Jonathan Atuquaye</v>
      </c>
      <c r="D101" s="303" t="s">
        <v>1385</v>
      </c>
      <c r="E101" s="336">
        <v>93</v>
      </c>
      <c r="F101" s="382" t="s">
        <v>1453</v>
      </c>
      <c r="G101" s="349">
        <f t="shared" si="11"/>
        <v>102.30000000000001</v>
      </c>
      <c r="H101" s="382" t="s">
        <v>1454</v>
      </c>
      <c r="I101" s="330" t="str">
        <f>CONCATENATE(A101,",",D101)</f>
        <v>PE 473,ED4-PE</v>
      </c>
      <c r="J101" s="335"/>
    </row>
    <row r="102" spans="1:10" x14ac:dyDescent="0.45">
      <c r="A102" s="303" t="s">
        <v>132</v>
      </c>
      <c r="B102" s="303" t="str">
        <v>HEAT TRANSFER AND COMBUSTION</v>
      </c>
      <c r="C102" s="343" t="str">
        <v>Forson Francis Kofi</v>
      </c>
      <c r="D102" s="303" t="s">
        <v>12</v>
      </c>
      <c r="E102" s="336">
        <v>47</v>
      </c>
      <c r="F102" s="382" t="s">
        <v>1445</v>
      </c>
      <c r="G102" s="349">
        <f t="shared" si="11"/>
        <v>51.7</v>
      </c>
      <c r="H102" s="382" t="s">
        <v>1446</v>
      </c>
      <c r="I102" s="330" t="str">
        <f>CONCATENATE(A102,",",D102)</f>
        <v>AME 365,ED3-AUTO</v>
      </c>
      <c r="J102" s="335"/>
    </row>
    <row r="103" spans="1:10" x14ac:dyDescent="0.45">
      <c r="A103" s="303" t="s">
        <v>133</v>
      </c>
      <c r="B103" s="303" t="str">
        <v>GEOMETRICAL GEODESY</v>
      </c>
      <c r="C103" s="343" t="str">
        <v>Dadzie Isaac</v>
      </c>
      <c r="D103" s="303" t="s">
        <v>34</v>
      </c>
      <c r="E103" s="336">
        <v>115</v>
      </c>
      <c r="F103" s="382" t="s">
        <v>1523</v>
      </c>
      <c r="G103" s="349">
        <f t="shared" si="11"/>
        <v>126.50000000000001</v>
      </c>
      <c r="H103" s="382" t="s">
        <v>1879</v>
      </c>
      <c r="I103" s="330" t="str">
        <f t="shared" ref="I103" si="15">CONCATENATE(A103,",",D103)</f>
        <v>GE 353,ED3-GEOM</v>
      </c>
      <c r="J103" s="335"/>
    </row>
    <row r="104" spans="1:10" x14ac:dyDescent="0.45">
      <c r="A104" s="303" t="s">
        <v>116</v>
      </c>
      <c r="B104" s="303" t="str">
        <v>FORMATION EVALUATION</v>
      </c>
      <c r="C104" s="339" t="str">
        <v>Borkloe Julius Kwame</v>
      </c>
      <c r="D104" s="303" t="s">
        <v>1384</v>
      </c>
      <c r="E104" s="336">
        <v>82</v>
      </c>
      <c r="F104" s="382" t="s">
        <v>1455</v>
      </c>
      <c r="G104" s="349">
        <f t="shared" si="11"/>
        <v>90.2</v>
      </c>
      <c r="H104" s="382" t="s">
        <v>1456</v>
      </c>
      <c r="I104" s="330" t="str">
        <f>CONCATENATE(A104,",",D104)</f>
        <v>PE 363,ED3-PE</v>
      </c>
      <c r="J104" s="335"/>
    </row>
    <row r="105" spans="1:10" x14ac:dyDescent="0.45">
      <c r="A105" s="303" t="s">
        <v>117</v>
      </c>
      <c r="B105" s="303" t="str">
        <v>RESEARCH METHODS</v>
      </c>
      <c r="C105" s="339" t="str">
        <v>Acquah Isaac</v>
      </c>
      <c r="D105" s="303" t="s">
        <v>13</v>
      </c>
      <c r="E105" s="336">
        <v>94</v>
      </c>
      <c r="F105" s="382" t="s">
        <v>1449</v>
      </c>
      <c r="G105" s="349">
        <f t="shared" si="11"/>
        <v>103.4</v>
      </c>
      <c r="H105" s="382" t="s">
        <v>1450</v>
      </c>
      <c r="I105" s="330" t="str">
        <f t="shared" si="10"/>
        <v>BME 397,ED3-BME</v>
      </c>
      <c r="J105" s="335"/>
    </row>
    <row r="106" spans="1:10" x14ac:dyDescent="0.45">
      <c r="A106" s="340"/>
      <c r="B106" s="340"/>
      <c r="C106" s="333"/>
      <c r="D106" s="303" t="s">
        <v>118</v>
      </c>
      <c r="E106" s="332">
        <f>SUM(E92:E105)</f>
        <v>1617</v>
      </c>
      <c r="F106" s="341"/>
      <c r="G106" s="340"/>
      <c r="H106" s="329"/>
      <c r="I106" s="330" t="str">
        <f t="shared" ref="I106:I133" si="16">CONCATENATE(A106,",",D106)</f>
        <v>,Total M4</v>
      </c>
      <c r="J106" s="335"/>
    </row>
    <row r="107" spans="1:10" x14ac:dyDescent="0.45">
      <c r="A107" s="340"/>
      <c r="B107" s="340"/>
      <c r="C107" s="333"/>
      <c r="D107" s="340"/>
      <c r="E107" s="340"/>
      <c r="F107" s="341"/>
      <c r="G107" s="340"/>
      <c r="H107" s="329"/>
      <c r="I107" s="330" t="str">
        <f t="shared" si="16"/>
        <v>,</v>
      </c>
      <c r="J107" s="335"/>
    </row>
    <row r="108" spans="1:10" x14ac:dyDescent="0.45">
      <c r="A108" s="340"/>
      <c r="B108" s="340"/>
      <c r="C108" s="333"/>
      <c r="D108" s="340"/>
      <c r="E108" s="340"/>
      <c r="F108" s="341"/>
      <c r="G108" s="340"/>
      <c r="H108" s="329"/>
      <c r="I108" s="330" t="str">
        <f t="shared" si="16"/>
        <v>,</v>
      </c>
      <c r="J108" s="335"/>
    </row>
    <row r="109" spans="1:10" x14ac:dyDescent="0.45">
      <c r="A109" s="383" t="s">
        <v>1362</v>
      </c>
      <c r="B109" s="383"/>
      <c r="C109" s="383"/>
      <c r="D109" s="383"/>
      <c r="E109" s="383"/>
      <c r="F109" s="383"/>
      <c r="G109" s="383"/>
      <c r="H109" s="329"/>
      <c r="I109" s="330" t="str">
        <f t="shared" si="16"/>
        <v>Monday, 23 February 2026,</v>
      </c>
      <c r="J109" s="335"/>
    </row>
    <row r="110" spans="1:10" x14ac:dyDescent="0.45">
      <c r="A110" s="383" t="s">
        <v>119</v>
      </c>
      <c r="B110" s="383"/>
      <c r="C110" s="383"/>
      <c r="D110" s="383"/>
      <c r="E110" s="383"/>
      <c r="F110" s="383"/>
      <c r="G110" s="383"/>
      <c r="H110" s="329"/>
      <c r="I110" s="330" t="str">
        <f t="shared" si="16"/>
        <v>Session, 5 (3:15PM - 4:15 PM),</v>
      </c>
      <c r="J110" s="335"/>
    </row>
    <row r="111" spans="1:10" x14ac:dyDescent="0.45">
      <c r="A111" s="332" t="s">
        <v>2</v>
      </c>
      <c r="B111" s="332" t="s">
        <v>3</v>
      </c>
      <c r="C111" s="333" t="s">
        <v>4</v>
      </c>
      <c r="D111" s="332" t="s">
        <v>5</v>
      </c>
      <c r="E111" s="332" t="s">
        <v>6</v>
      </c>
      <c r="F111" s="334" t="s">
        <v>7</v>
      </c>
      <c r="G111" s="332" t="s">
        <v>8</v>
      </c>
      <c r="H111" s="329"/>
      <c r="I111" s="330" t="str">
        <f t="shared" si="16"/>
        <v>CODE ,CLASS</v>
      </c>
      <c r="J111" s="335"/>
    </row>
    <row r="112" spans="1:10" x14ac:dyDescent="0.45">
      <c r="A112" s="303" t="s">
        <v>412</v>
      </c>
      <c r="B112" s="303" t="str" cm="1">
        <f t="array" ref="B112:B126">IFERROR(VLOOKUP(I112:I126,Lecturers!A2:G597,7,FALSE),0)</f>
        <v>COMMUNICATION SKILLS I</v>
      </c>
      <c r="C112" s="304" t="str" cm="1">
        <f t="array" ref="C112:C126">IFERROR(VLOOKUP(I112:I126,Lecturers!A2:G597,2,FALSE),0)</f>
        <v>Alhassan Yakubu</v>
      </c>
      <c r="D112" s="303" t="s">
        <v>1382</v>
      </c>
      <c r="E112" s="336" cm="1">
        <f t="array" ref="E112:E126">IFERROR(VLOOKUP(I112:I126,Lecturers!A2:G597,3,FALSE),0)</f>
        <v>129</v>
      </c>
      <c r="F112" s="341" t="s">
        <v>149</v>
      </c>
      <c r="G112" s="338">
        <f>1.1*E112</f>
        <v>141.9</v>
      </c>
      <c r="H112" s="329"/>
      <c r="I112" s="330" t="str">
        <f t="shared" si="16"/>
        <v>ENGL 157,ED1-PE</v>
      </c>
      <c r="J112" s="335"/>
    </row>
    <row r="113" spans="1:10" x14ac:dyDescent="0.45">
      <c r="A113" s="303" t="s">
        <v>412</v>
      </c>
      <c r="B113" s="303" t="str">
        <v>COMMUNICATION SKILLS I</v>
      </c>
      <c r="C113" s="304" t="str">
        <v>Alhassan Yakubu</v>
      </c>
      <c r="D113" s="303" t="s">
        <v>115</v>
      </c>
      <c r="E113" s="336">
        <v>98</v>
      </c>
      <c r="F113" s="341" t="s">
        <v>149</v>
      </c>
      <c r="G113" s="338">
        <f t="shared" ref="G113:G126" si="17">1.1*E113</f>
        <v>107.80000000000001</v>
      </c>
      <c r="H113" s="329"/>
      <c r="I113" s="330" t="str">
        <f t="shared" si="16"/>
        <v>ENGL 157,ED1-MSE</v>
      </c>
      <c r="J113" s="335"/>
    </row>
    <row r="114" spans="1:10" x14ac:dyDescent="0.45">
      <c r="A114" s="340" t="s">
        <v>412</v>
      </c>
      <c r="B114" s="340" t="str">
        <v>COMMUNICATION SKILLS I</v>
      </c>
      <c r="C114" s="333" t="str">
        <v>Appiah Franklin Benjamin</v>
      </c>
      <c r="D114" s="340" t="s">
        <v>40</v>
      </c>
      <c r="E114" s="340">
        <v>70</v>
      </c>
      <c r="F114" s="341" t="s">
        <v>149</v>
      </c>
      <c r="G114" s="338">
        <f t="shared" si="17"/>
        <v>77</v>
      </c>
      <c r="H114" s="329"/>
      <c r="I114" s="330" t="str">
        <f>CONCATENATE(A114,",",D114)</f>
        <v>ENGL 157,ED1-AERO</v>
      </c>
      <c r="J114" s="335"/>
    </row>
    <row r="115" spans="1:10" x14ac:dyDescent="0.45">
      <c r="A115" s="340" t="s">
        <v>412</v>
      </c>
      <c r="B115" s="340" t="str">
        <v>COMMUNICATION SKILLS I</v>
      </c>
      <c r="C115" s="333" t="str">
        <v>Alhassan Yakubu</v>
      </c>
      <c r="D115" s="340" t="s">
        <v>39</v>
      </c>
      <c r="E115" s="340">
        <v>72</v>
      </c>
      <c r="F115" s="341" t="s">
        <v>149</v>
      </c>
      <c r="G115" s="338">
        <f t="shared" si="17"/>
        <v>79.2</v>
      </c>
      <c r="H115" s="329"/>
      <c r="I115" s="330" t="str">
        <f t="shared" ref="I115:I116" si="18">CONCATENATE(A115,",",D115)</f>
        <v>ENGL 157,ED1-METE</v>
      </c>
      <c r="J115" s="335"/>
    </row>
    <row r="116" spans="1:10" x14ac:dyDescent="0.45">
      <c r="A116" s="340" t="s">
        <v>120</v>
      </c>
      <c r="B116" s="340" t="str">
        <v>COMMUNICATION SYSTEMS</v>
      </c>
      <c r="C116" s="333" t="str">
        <v>Tchao Eric Tutu</v>
      </c>
      <c r="D116" s="340" t="s">
        <v>30</v>
      </c>
      <c r="E116" s="340">
        <v>253</v>
      </c>
      <c r="F116" s="341" t="s">
        <v>1436</v>
      </c>
      <c r="G116" s="338">
        <f t="shared" si="17"/>
        <v>278.3</v>
      </c>
      <c r="H116" s="329" t="s">
        <v>1772</v>
      </c>
      <c r="I116" s="330" t="str">
        <f t="shared" si="18"/>
        <v>COE 261,ED2-COE</v>
      </c>
      <c r="J116" s="335"/>
    </row>
    <row r="117" spans="1:10" x14ac:dyDescent="0.45">
      <c r="A117" s="303" t="s">
        <v>121</v>
      </c>
      <c r="B117" s="303" t="str">
        <v>TRANSPORTATION ENGINEERING I</v>
      </c>
      <c r="C117" s="343" t="str">
        <v>Tutu Kenneth Adomako</v>
      </c>
      <c r="D117" s="303" t="s">
        <v>22</v>
      </c>
      <c r="E117" s="336">
        <v>223</v>
      </c>
      <c r="F117" s="342" t="s">
        <v>1773</v>
      </c>
      <c r="G117" s="338">
        <f t="shared" si="17"/>
        <v>245.3</v>
      </c>
      <c r="H117" s="329" t="s">
        <v>1774</v>
      </c>
      <c r="I117" s="330" t="str">
        <f>CONCATENATE(A117,",",D117)</f>
        <v>CE 367,ED3-CE</v>
      </c>
      <c r="J117" s="335"/>
    </row>
    <row r="118" spans="1:10" x14ac:dyDescent="0.45">
      <c r="A118" s="303" t="s">
        <v>124</v>
      </c>
      <c r="B118" s="303" t="str">
        <v>PETROLEUM FLUID PROPERTIES</v>
      </c>
      <c r="C118" s="343" t="str">
        <v>Adenutsi Caspar Daniel</v>
      </c>
      <c r="D118" s="303" t="s">
        <v>71</v>
      </c>
      <c r="E118" s="336">
        <v>51</v>
      </c>
      <c r="F118" s="342" t="s">
        <v>1652</v>
      </c>
      <c r="G118" s="338">
        <f t="shared" si="17"/>
        <v>56.1</v>
      </c>
      <c r="H118" s="329" t="s">
        <v>1778</v>
      </c>
      <c r="I118" s="330" t="str">
        <f>CONCATENATE(A118,",",D118)</f>
        <v>PCE 359,ED3-PCE</v>
      </c>
      <c r="J118" s="335"/>
    </row>
    <row r="119" spans="1:10" x14ac:dyDescent="0.45">
      <c r="A119" s="303" t="s">
        <v>125</v>
      </c>
      <c r="B119" s="303" t="str">
        <v>MINERALOGY</v>
      </c>
      <c r="C119" s="343" t="str">
        <v>Wilson Matthew Coffie</v>
      </c>
      <c r="D119" s="303" t="s">
        <v>89</v>
      </c>
      <c r="E119" s="336">
        <v>59</v>
      </c>
      <c r="F119" s="342" t="s">
        <v>1779</v>
      </c>
      <c r="G119" s="338">
        <f t="shared" si="17"/>
        <v>64.900000000000006</v>
      </c>
      <c r="H119" s="329" t="s">
        <v>1527</v>
      </c>
      <c r="I119" s="330" t="str">
        <f t="shared" si="16"/>
        <v>GED 251,ED2-METE</v>
      </c>
      <c r="J119" s="335"/>
    </row>
    <row r="120" spans="1:10" x14ac:dyDescent="0.45">
      <c r="A120" s="303" t="s">
        <v>125</v>
      </c>
      <c r="B120" s="303" t="str">
        <v>MINERALOGY</v>
      </c>
      <c r="C120" s="343" t="str">
        <v>Wilson Matthew Coffie</v>
      </c>
      <c r="D120" s="303" t="s">
        <v>126</v>
      </c>
      <c r="E120" s="336">
        <v>154</v>
      </c>
      <c r="F120" s="342" t="s">
        <v>1771</v>
      </c>
      <c r="G120" s="338">
        <f t="shared" si="17"/>
        <v>169.4</v>
      </c>
      <c r="H120" s="329" t="s">
        <v>1757</v>
      </c>
      <c r="I120" s="330" t="str">
        <f t="shared" si="16"/>
        <v>GED 251,ED2-GEOL</v>
      </c>
      <c r="J120" s="335"/>
    </row>
    <row r="121" spans="1:10" s="340" customFormat="1" x14ac:dyDescent="0.45">
      <c r="A121" s="303" t="s">
        <v>143</v>
      </c>
      <c r="B121" s="303" t="str">
        <v>OPERATIONS RESEARCH I</v>
      </c>
      <c r="C121" s="304" t="str">
        <v>Mensah Lena Dzifa</v>
      </c>
      <c r="D121" s="303" t="s">
        <v>20</v>
      </c>
      <c r="E121" s="336">
        <v>72</v>
      </c>
      <c r="F121" s="350" t="s">
        <v>1776</v>
      </c>
      <c r="G121" s="338">
        <f t="shared" si="17"/>
        <v>79.2</v>
      </c>
      <c r="H121" s="329" t="s">
        <v>1777</v>
      </c>
      <c r="I121" s="340" t="str">
        <f>CONCATENATE(A121,",",D121)</f>
        <v>IE 351,ED3-IND</v>
      </c>
      <c r="J121" s="335"/>
    </row>
    <row r="122" spans="1:10" x14ac:dyDescent="0.45">
      <c r="A122" s="303" t="s">
        <v>128</v>
      </c>
      <c r="B122" s="303" t="str">
        <v>INTRODUCTION TO PROGRAMMING II</v>
      </c>
      <c r="C122" s="343" t="str">
        <v>Agyemang Justice Owusu</v>
      </c>
      <c r="D122" s="303" t="s">
        <v>32</v>
      </c>
      <c r="E122" s="336">
        <v>179</v>
      </c>
      <c r="F122" s="342" t="s">
        <v>505</v>
      </c>
      <c r="G122" s="338">
        <f t="shared" si="17"/>
        <v>196.9</v>
      </c>
      <c r="H122" s="329"/>
      <c r="I122" s="330" t="str">
        <f t="shared" ref="I122:I125" si="19">CONCATENATE(A122,",",D122)</f>
        <v>TE 255,ED2-TEL</v>
      </c>
      <c r="J122" s="335"/>
    </row>
    <row r="123" spans="1:10" x14ac:dyDescent="0.45">
      <c r="A123" s="303" t="s">
        <v>129</v>
      </c>
      <c r="B123" s="303" t="str">
        <v>PRINCIPLES OF ENGINEERING GEOLOGY</v>
      </c>
      <c r="C123" s="343" t="str">
        <v>Gidigasu Solomon Senyo Robert</v>
      </c>
      <c r="D123" s="303" t="s">
        <v>16</v>
      </c>
      <c r="E123" s="336">
        <v>154</v>
      </c>
      <c r="F123" s="342" t="s">
        <v>1775</v>
      </c>
      <c r="G123" s="338">
        <f t="shared" si="17"/>
        <v>169.4</v>
      </c>
      <c r="H123" s="329" t="s">
        <v>1538</v>
      </c>
      <c r="I123" s="330" t="str">
        <f t="shared" si="19"/>
        <v>GED 375,ED3-GEOL</v>
      </c>
      <c r="J123" s="335"/>
    </row>
    <row r="124" spans="1:10" x14ac:dyDescent="0.45">
      <c r="A124" s="303" t="s">
        <v>112</v>
      </c>
      <c r="B124" s="303" t="str">
        <v>MARINE INTERNAL COMBUSTION ENGINES</v>
      </c>
      <c r="C124" s="339" t="str">
        <v>Amoabeng Kofi Owura</v>
      </c>
      <c r="D124" s="303" t="s">
        <v>113</v>
      </c>
      <c r="E124" s="336">
        <v>23</v>
      </c>
      <c r="F124" s="350" t="s">
        <v>470</v>
      </c>
      <c r="G124" s="338">
        <f t="shared" si="17"/>
        <v>25.3</v>
      </c>
      <c r="H124" s="329" t="s">
        <v>1461</v>
      </c>
      <c r="I124" s="330" t="str">
        <f>CONCATENATE(A124,",",D124)</f>
        <v>MME 467,ED4-MARI</v>
      </c>
      <c r="J124" s="335"/>
    </row>
    <row r="125" spans="1:10" x14ac:dyDescent="0.45">
      <c r="A125" s="303" t="s">
        <v>130</v>
      </c>
      <c r="B125" s="303" t="str">
        <v>ADVANCED FARM POWER AND MACHINERY</v>
      </c>
      <c r="C125" s="343" t="str">
        <v>Aikins Stephen Hill Mends</v>
      </c>
      <c r="D125" s="303" t="s">
        <v>131</v>
      </c>
      <c r="E125" s="336">
        <v>103</v>
      </c>
      <c r="F125" s="342" t="s">
        <v>1443</v>
      </c>
      <c r="G125" s="338">
        <f t="shared" si="17"/>
        <v>113.30000000000001</v>
      </c>
      <c r="H125" s="329" t="s">
        <v>1741</v>
      </c>
      <c r="I125" s="330" t="str">
        <f t="shared" si="19"/>
        <v>AE 459,ED4-AE</v>
      </c>
      <c r="J125" s="335"/>
    </row>
    <row r="126" spans="1:10" x14ac:dyDescent="0.45">
      <c r="A126" s="303" t="s">
        <v>262</v>
      </c>
      <c r="B126" s="303" t="str">
        <v>C PROGRAMMING</v>
      </c>
      <c r="C126" s="339" t="str">
        <v>Adjei Prince Ebenezer</v>
      </c>
      <c r="D126" s="303" t="s">
        <v>82</v>
      </c>
      <c r="E126" s="336">
        <v>340</v>
      </c>
      <c r="F126" s="342" t="s">
        <v>1769</v>
      </c>
      <c r="G126" s="338">
        <f t="shared" si="17"/>
        <v>374.00000000000006</v>
      </c>
      <c r="H126" s="329" t="s">
        <v>1770</v>
      </c>
      <c r="I126" s="330" t="str">
        <f>CONCATENATE(A126,",",D126)</f>
        <v>COE 251,ED2-EE</v>
      </c>
      <c r="J126" s="335"/>
    </row>
    <row r="127" spans="1:10" x14ac:dyDescent="0.45">
      <c r="A127" s="340"/>
      <c r="B127" s="340"/>
      <c r="C127" s="333"/>
      <c r="D127" s="303" t="s">
        <v>134</v>
      </c>
      <c r="E127" s="332">
        <f>SUM(E116:E126)</f>
        <v>1611</v>
      </c>
      <c r="F127" s="341"/>
      <c r="G127" s="340"/>
      <c r="H127" s="329"/>
      <c r="I127" s="330" t="str">
        <f t="shared" si="16"/>
        <v>,Total M5</v>
      </c>
      <c r="J127" s="335"/>
    </row>
    <row r="128" spans="1:10" x14ac:dyDescent="0.45">
      <c r="A128" s="340"/>
      <c r="B128" s="340"/>
      <c r="C128" s="333"/>
      <c r="D128" s="340"/>
      <c r="E128" s="340"/>
      <c r="F128" s="341"/>
      <c r="G128" s="340"/>
      <c r="H128" s="329"/>
      <c r="I128" s="330" t="str">
        <f t="shared" si="16"/>
        <v>,</v>
      </c>
      <c r="J128" s="335"/>
    </row>
    <row r="129" spans="1:10" x14ac:dyDescent="0.45">
      <c r="A129" s="340"/>
      <c r="B129" s="340"/>
      <c r="C129" s="333"/>
      <c r="D129" s="340"/>
      <c r="E129" s="340"/>
      <c r="F129" s="341"/>
      <c r="G129" s="340"/>
      <c r="H129" s="329"/>
      <c r="I129" s="330" t="str">
        <f t="shared" si="16"/>
        <v>,</v>
      </c>
      <c r="J129" s="335"/>
    </row>
    <row r="130" spans="1:10" x14ac:dyDescent="0.45">
      <c r="A130" s="383" t="s">
        <v>1362</v>
      </c>
      <c r="B130" s="383"/>
      <c r="C130" s="383"/>
      <c r="D130" s="383"/>
      <c r="E130" s="383"/>
      <c r="F130" s="383"/>
      <c r="G130" s="383"/>
      <c r="H130" s="329"/>
      <c r="I130" s="330" t="str">
        <f t="shared" si="16"/>
        <v>Monday, 23 February 2026,</v>
      </c>
      <c r="J130" s="335"/>
    </row>
    <row r="131" spans="1:10" x14ac:dyDescent="0.45">
      <c r="A131" s="383" t="s">
        <v>135</v>
      </c>
      <c r="B131" s="383"/>
      <c r="C131" s="383"/>
      <c r="D131" s="383"/>
      <c r="E131" s="383"/>
      <c r="F131" s="383"/>
      <c r="G131" s="383"/>
      <c r="H131" s="329"/>
      <c r="I131" s="330" t="str">
        <f t="shared" si="16"/>
        <v>Session, 6 (5:00PM - 6:00 PM),</v>
      </c>
      <c r="J131" s="335"/>
    </row>
    <row r="132" spans="1:10" x14ac:dyDescent="0.45">
      <c r="A132" s="332" t="s">
        <v>2</v>
      </c>
      <c r="B132" s="332" t="s">
        <v>3</v>
      </c>
      <c r="C132" s="333" t="s">
        <v>4</v>
      </c>
      <c r="D132" s="332" t="s">
        <v>5</v>
      </c>
      <c r="E132" s="332" t="s">
        <v>6</v>
      </c>
      <c r="F132" s="334" t="s">
        <v>7</v>
      </c>
      <c r="G132" s="332" t="s">
        <v>8</v>
      </c>
      <c r="H132" s="329"/>
      <c r="I132" s="330" t="str">
        <f t="shared" si="16"/>
        <v>CODE ,CLASS</v>
      </c>
      <c r="J132" s="335"/>
    </row>
    <row r="133" spans="1:10" x14ac:dyDescent="0.45">
      <c r="A133" s="303" t="s">
        <v>136</v>
      </c>
      <c r="B133" s="303" t="str" cm="1">
        <f t="array" ref="B133:B147">IFERROR(VLOOKUP(I133:I147,Lecturers!A2:G597,7,FALSE),0)</f>
        <v>COMPUTER APPLICATION FOR AGRICULTURAL ENGINEERS</v>
      </c>
      <c r="C133" s="304" t="str" cm="1">
        <f t="array" ref="C133:C147">IFERROR(VLOOKUP(I133:I147,Lecturers!A2:G597,2,FALSE),0)</f>
        <v>Amponsah William</v>
      </c>
      <c r="D133" s="303" t="s">
        <v>15</v>
      </c>
      <c r="E133" s="336" cm="1">
        <f t="array" ref="E133:E147">IFERROR(VLOOKUP(I133:I147,Lecturers!A2:G597,3,FALSE),0)</f>
        <v>105</v>
      </c>
      <c r="F133" s="350" t="s">
        <v>149</v>
      </c>
      <c r="G133" s="338">
        <f>E133*1.1</f>
        <v>115.50000000000001</v>
      </c>
      <c r="H133" s="329"/>
      <c r="I133" s="330" t="str">
        <f t="shared" si="16"/>
        <v>AE 381,ED3-AE</v>
      </c>
      <c r="J133" s="335"/>
    </row>
    <row r="134" spans="1:10" x14ac:dyDescent="0.45">
      <c r="A134" s="303" t="s">
        <v>137</v>
      </c>
      <c r="B134" s="303" t="str">
        <v>IRRIGATION AND DRAINAGE ENGINEERING</v>
      </c>
      <c r="C134" s="339" t="str">
        <v>Anornu Geophrey Kwame</v>
      </c>
      <c r="D134" s="303" t="s">
        <v>68</v>
      </c>
      <c r="E134" s="336">
        <v>245</v>
      </c>
      <c r="F134" s="382" t="s">
        <v>1418</v>
      </c>
      <c r="G134" s="338">
        <f t="shared" ref="G134:G147" si="20">E134*1.1</f>
        <v>269.5</v>
      </c>
      <c r="H134" s="382" t="s">
        <v>1473</v>
      </c>
      <c r="I134" s="330" t="str">
        <f>CONCATENATE(A134,",",D134)</f>
        <v>CE 471,ED4-CE</v>
      </c>
      <c r="J134" s="335"/>
    </row>
    <row r="135" spans="1:10" x14ac:dyDescent="0.45">
      <c r="A135" s="303" t="s">
        <v>138</v>
      </c>
      <c r="B135" s="303" t="str">
        <v>PHARMACEUTICAL TECHNOLOGY</v>
      </c>
      <c r="C135" s="339" t="str">
        <v>Johnson Raphael</v>
      </c>
      <c r="D135" s="303" t="s">
        <v>87</v>
      </c>
      <c r="E135" s="336">
        <v>36</v>
      </c>
      <c r="F135" s="382" t="s">
        <v>1685</v>
      </c>
      <c r="G135" s="338">
        <f t="shared" si="20"/>
        <v>39.6</v>
      </c>
      <c r="H135" s="382" t="s">
        <v>1480</v>
      </c>
      <c r="I135" s="330" t="str">
        <f t="shared" ref="I135:I162" si="21">CONCATENATE(A135,",",D135)</f>
        <v>CHE 471,ED4-PCE</v>
      </c>
      <c r="J135" s="335"/>
    </row>
    <row r="136" spans="1:10" x14ac:dyDescent="0.45">
      <c r="A136" s="303" t="s">
        <v>139</v>
      </c>
      <c r="B136" s="303" t="str">
        <v>LITERATURE IN ENGLISH I</v>
      </c>
      <c r="C136" s="304" t="str">
        <v>Yeboah Philomena Ama Okyeso</v>
      </c>
      <c r="D136" s="303" t="s">
        <v>140</v>
      </c>
      <c r="E136" s="336">
        <v>74</v>
      </c>
      <c r="F136" s="382" t="s">
        <v>1478</v>
      </c>
      <c r="G136" s="338">
        <f t="shared" si="20"/>
        <v>81.400000000000006</v>
      </c>
      <c r="H136" s="382" t="s">
        <v>1434</v>
      </c>
      <c r="I136" s="330" t="str">
        <f t="shared" si="21"/>
        <v>ENGL 263,ED2-AERO</v>
      </c>
      <c r="J136" s="335"/>
    </row>
    <row r="137" spans="1:10" x14ac:dyDescent="0.45">
      <c r="A137" s="303" t="s">
        <v>139</v>
      </c>
      <c r="B137" s="303" t="str">
        <v>LITERATURE IN ENGLISH I</v>
      </c>
      <c r="C137" s="304" t="str">
        <v>Yeboah Philomena Ama Okyeso</v>
      </c>
      <c r="D137" s="303" t="s">
        <v>142</v>
      </c>
      <c r="E137" s="336">
        <v>155</v>
      </c>
      <c r="F137" s="382" t="s">
        <v>1424</v>
      </c>
      <c r="G137" s="338">
        <f t="shared" si="20"/>
        <v>170.5</v>
      </c>
      <c r="H137" s="382" t="s">
        <v>1481</v>
      </c>
      <c r="I137" s="330" t="str">
        <f t="shared" si="21"/>
        <v>ENGL 263,ED2-AE</v>
      </c>
      <c r="J137" s="335"/>
    </row>
    <row r="138" spans="1:10" x14ac:dyDescent="0.45">
      <c r="A138" s="303" t="s">
        <v>139</v>
      </c>
      <c r="B138" s="303" t="str">
        <v>LITERATURE IN ENGLISH I</v>
      </c>
      <c r="C138" s="304" t="str">
        <v>Yeboah Philomena Ama Okyeso</v>
      </c>
      <c r="D138" s="303" t="s">
        <v>84</v>
      </c>
      <c r="E138" s="336">
        <v>134</v>
      </c>
      <c r="F138" s="382" t="s">
        <v>1475</v>
      </c>
      <c r="G138" s="338">
        <f t="shared" si="20"/>
        <v>147.4</v>
      </c>
      <c r="H138" s="382" t="s">
        <v>1474</v>
      </c>
      <c r="I138" s="330" t="str">
        <f t="shared" si="21"/>
        <v>ENGL 263,ED2-GEOM</v>
      </c>
      <c r="J138" s="335"/>
    </row>
    <row r="139" spans="1:10" x14ac:dyDescent="0.45">
      <c r="A139" s="303" t="s">
        <v>139</v>
      </c>
      <c r="B139" s="303" t="str">
        <v>LITERATURE IN ENGLISH I</v>
      </c>
      <c r="C139" s="304" t="str">
        <v>Yeboah Philomena Ama Okyeso</v>
      </c>
      <c r="D139" s="303" t="s">
        <v>25</v>
      </c>
      <c r="E139" s="336">
        <v>80</v>
      </c>
      <c r="F139" s="382" t="s">
        <v>1420</v>
      </c>
      <c r="G139" s="338">
        <f t="shared" si="20"/>
        <v>88</v>
      </c>
      <c r="H139" s="382" t="s">
        <v>1430</v>
      </c>
      <c r="I139" s="330" t="str">
        <f t="shared" si="21"/>
        <v>ENGL 263,ED2-IND</v>
      </c>
      <c r="J139" s="335"/>
    </row>
    <row r="140" spans="1:10" x14ac:dyDescent="0.45">
      <c r="A140" s="303" t="s">
        <v>194</v>
      </c>
      <c r="B140" s="303" t="str">
        <v>INTRODUCTION TO OCEANOGRAPHY</v>
      </c>
      <c r="C140" s="304" t="str">
        <v>Miezah Kodwo</v>
      </c>
      <c r="D140" s="303" t="s">
        <v>41</v>
      </c>
      <c r="E140" s="336">
        <v>46</v>
      </c>
      <c r="F140" s="382" t="s">
        <v>1476</v>
      </c>
      <c r="G140" s="338">
        <f t="shared" si="20"/>
        <v>50.6</v>
      </c>
      <c r="H140" s="382" t="s">
        <v>1477</v>
      </c>
      <c r="I140" s="330" t="str">
        <f t="shared" ref="I140:I145" si="22">CONCATENATE(A140,",",D140)</f>
        <v>MME 155,ED1-MARI</v>
      </c>
      <c r="J140" s="335"/>
    </row>
    <row r="141" spans="1:10" x14ac:dyDescent="0.45">
      <c r="A141" s="303" t="s">
        <v>180</v>
      </c>
      <c r="B141" s="303" t="str">
        <v>FACILITIES DESIGN AND MATERIAL HANDLING</v>
      </c>
      <c r="C141" s="352" t="str">
        <v>Sackey Samuel Mensah</v>
      </c>
      <c r="D141" s="303" t="s">
        <v>80</v>
      </c>
      <c r="E141" s="336">
        <v>67</v>
      </c>
      <c r="F141" s="382" t="s">
        <v>1420</v>
      </c>
      <c r="G141" s="338">
        <f t="shared" si="20"/>
        <v>73.7</v>
      </c>
      <c r="H141" s="382" t="s">
        <v>1880</v>
      </c>
      <c r="I141" s="330" t="str">
        <f t="shared" si="22"/>
        <v>IE 451,ED4-IND</v>
      </c>
      <c r="J141" s="335"/>
    </row>
    <row r="142" spans="1:10" s="340" customFormat="1" x14ac:dyDescent="0.45">
      <c r="A142" s="303" t="s">
        <v>43</v>
      </c>
      <c r="B142" s="303" t="str">
        <v>AVIONICS</v>
      </c>
      <c r="C142" s="339" t="str">
        <v>Oppong David Kofi</v>
      </c>
      <c r="D142" s="303" t="s">
        <v>44</v>
      </c>
      <c r="E142" s="336">
        <v>61</v>
      </c>
      <c r="F142" s="382" t="s">
        <v>505</v>
      </c>
      <c r="G142" s="338">
        <f t="shared" si="20"/>
        <v>67.100000000000009</v>
      </c>
      <c r="H142" s="382" t="s">
        <v>1780</v>
      </c>
      <c r="I142" s="340" t="str">
        <f t="shared" si="22"/>
        <v>AERO 483,ED4-AERO</v>
      </c>
      <c r="J142" s="335"/>
    </row>
    <row r="143" spans="1:10" x14ac:dyDescent="0.45">
      <c r="A143" s="303" t="s">
        <v>47</v>
      </c>
      <c r="B143" s="303" t="str">
        <v>MECHATRONICS</v>
      </c>
      <c r="C143" s="343" t="str">
        <v>Sackey Samuel Mensah</v>
      </c>
      <c r="D143" s="303" t="s">
        <v>48</v>
      </c>
      <c r="E143" s="336">
        <v>144</v>
      </c>
      <c r="F143" s="382" t="s">
        <v>1424</v>
      </c>
      <c r="G143" s="338">
        <f t="shared" si="20"/>
        <v>158.4</v>
      </c>
      <c r="H143" s="382" t="s">
        <v>1485</v>
      </c>
      <c r="I143" s="330" t="str">
        <f t="shared" si="22"/>
        <v>ME 483,ED4-ME</v>
      </c>
      <c r="J143" s="335"/>
    </row>
    <row r="144" spans="1:10" x14ac:dyDescent="0.45">
      <c r="A144" s="303" t="s">
        <v>228</v>
      </c>
      <c r="B144" s="303" t="str">
        <v>SPECIAL ELECTRICAL MACHINES</v>
      </c>
      <c r="C144" s="304" t="str">
        <v>Kwegyir Daniel</v>
      </c>
      <c r="D144" s="303" t="s">
        <v>56</v>
      </c>
      <c r="E144" s="336">
        <v>224</v>
      </c>
      <c r="F144" s="382" t="s">
        <v>1462</v>
      </c>
      <c r="G144" s="338">
        <f t="shared" si="20"/>
        <v>246.40000000000003</v>
      </c>
      <c r="H144" s="382" t="s">
        <v>1472</v>
      </c>
      <c r="I144" s="330" t="str">
        <f t="shared" si="22"/>
        <v>EE 463,ED4-EE</v>
      </c>
      <c r="J144" s="335"/>
    </row>
    <row r="145" spans="1:10" x14ac:dyDescent="0.45">
      <c r="A145" s="303" t="s">
        <v>1796</v>
      </c>
      <c r="B145" s="303" t="str">
        <v>BIOCHEMICAL TECHNOLOGY</v>
      </c>
      <c r="C145" s="304" t="str">
        <v>Ankudey Emmanuel Godwin</v>
      </c>
      <c r="D145" s="303" t="s">
        <v>86</v>
      </c>
      <c r="E145" s="336">
        <v>31</v>
      </c>
      <c r="F145" s="382" t="s">
        <v>144</v>
      </c>
      <c r="G145" s="338">
        <f t="shared" si="20"/>
        <v>34.1</v>
      </c>
      <c r="H145" s="382" t="s">
        <v>1797</v>
      </c>
      <c r="I145" s="330" t="str">
        <f t="shared" si="22"/>
        <v>CHE 467,ED4-CHE</v>
      </c>
      <c r="J145" s="335"/>
    </row>
    <row r="146" spans="1:10" x14ac:dyDescent="0.45">
      <c r="A146" s="303" t="s">
        <v>145</v>
      </c>
      <c r="B146" s="303" t="str">
        <v>INFORMATION THEORY AND CODING</v>
      </c>
      <c r="C146" s="304" t="str">
        <v>Obour Agyekum Kwame Opuni-Boachie</v>
      </c>
      <c r="D146" s="303" t="s">
        <v>18</v>
      </c>
      <c r="E146" s="336">
        <v>147</v>
      </c>
      <c r="F146" s="382" t="s">
        <v>1424</v>
      </c>
      <c r="G146" s="338">
        <f t="shared" si="20"/>
        <v>161.70000000000002</v>
      </c>
      <c r="H146" s="382" t="s">
        <v>1482</v>
      </c>
      <c r="I146" s="330" t="str">
        <f t="shared" si="21"/>
        <v>TE 351,ED3-TEL</v>
      </c>
      <c r="J146" s="335"/>
    </row>
    <row r="147" spans="1:10" x14ac:dyDescent="0.45">
      <c r="A147" s="303" t="s">
        <v>146</v>
      </c>
      <c r="B147" s="303" t="str">
        <v>BIOMECHANICS I</v>
      </c>
      <c r="C147" s="339" t="str">
        <v>Odame Prince</v>
      </c>
      <c r="D147" s="303" t="s">
        <v>46</v>
      </c>
      <c r="E147" s="336">
        <v>84</v>
      </c>
      <c r="F147" s="382" t="s">
        <v>1459</v>
      </c>
      <c r="G147" s="338">
        <f t="shared" si="20"/>
        <v>92.4</v>
      </c>
      <c r="H147" s="382" t="s">
        <v>1483</v>
      </c>
      <c r="I147" s="330" t="str">
        <f t="shared" si="21"/>
        <v>BME 461,ED4-BME</v>
      </c>
      <c r="J147" s="335"/>
    </row>
    <row r="148" spans="1:10" x14ac:dyDescent="0.45">
      <c r="A148" s="340"/>
      <c r="B148" s="340"/>
      <c r="C148" s="333"/>
      <c r="D148" s="303" t="s">
        <v>147</v>
      </c>
      <c r="E148" s="332">
        <f>SUM(E134:E147)</f>
        <v>1528</v>
      </c>
      <c r="F148" s="341"/>
      <c r="G148" s="340"/>
      <c r="H148" s="329"/>
      <c r="I148" s="330" t="str">
        <f t="shared" si="21"/>
        <v>,Total M6</v>
      </c>
      <c r="J148" s="335"/>
    </row>
    <row r="149" spans="1:10" x14ac:dyDescent="0.45">
      <c r="A149" s="340"/>
      <c r="B149" s="340"/>
      <c r="C149" s="333"/>
      <c r="D149" s="303"/>
      <c r="E149" s="332"/>
      <c r="F149" s="341"/>
      <c r="G149" s="340"/>
      <c r="H149" s="329"/>
      <c r="I149" s="330" t="str">
        <f t="shared" si="21"/>
        <v>,</v>
      </c>
      <c r="J149" s="335"/>
    </row>
    <row r="150" spans="1:10" x14ac:dyDescent="0.45">
      <c r="A150" s="340"/>
      <c r="B150" s="340"/>
      <c r="C150" s="333"/>
      <c r="D150" s="303"/>
      <c r="E150" s="332"/>
      <c r="F150" s="341"/>
      <c r="G150" s="340"/>
      <c r="H150" s="329"/>
      <c r="I150" s="330" t="str">
        <f t="shared" si="21"/>
        <v>,</v>
      </c>
      <c r="J150" s="335"/>
    </row>
    <row r="151" spans="1:10" x14ac:dyDescent="0.45">
      <c r="A151" s="383" t="s">
        <v>1363</v>
      </c>
      <c r="B151" s="383"/>
      <c r="C151" s="383"/>
      <c r="D151" s="383"/>
      <c r="E151" s="383"/>
      <c r="F151" s="383"/>
      <c r="G151" s="383"/>
      <c r="H151" s="329"/>
      <c r="I151" s="330" t="str">
        <f t="shared" si="21"/>
        <v>Tuesday, 24 February 2026,</v>
      </c>
      <c r="J151" s="335"/>
    </row>
    <row r="152" spans="1:10" x14ac:dyDescent="0.45">
      <c r="A152" s="383" t="str">
        <f>[6]SESSIONS!$K$1</f>
        <v>Session, 1 (8:15 AM - 9:15 AM)</v>
      </c>
      <c r="B152" s="383"/>
      <c r="C152" s="383"/>
      <c r="D152" s="383"/>
      <c r="E152" s="383"/>
      <c r="F152" s="383"/>
      <c r="G152" s="383"/>
      <c r="H152" s="329"/>
      <c r="I152" s="330" t="str">
        <f t="shared" si="21"/>
        <v>Session, 1 (8:15 AM - 9:15 AM),</v>
      </c>
      <c r="J152" s="335"/>
    </row>
    <row r="153" spans="1:10" x14ac:dyDescent="0.45">
      <c r="A153" s="332" t="s">
        <v>2</v>
      </c>
      <c r="B153" s="332" t="s">
        <v>3</v>
      </c>
      <c r="C153" s="333" t="s">
        <v>4</v>
      </c>
      <c r="D153" s="332" t="s">
        <v>5</v>
      </c>
      <c r="E153" s="332" t="s">
        <v>6</v>
      </c>
      <c r="F153" s="334" t="s">
        <v>7</v>
      </c>
      <c r="G153" s="332" t="s">
        <v>8</v>
      </c>
      <c r="H153" s="329"/>
      <c r="I153" s="330" t="str">
        <f t="shared" si="21"/>
        <v>CODE ,CLASS</v>
      </c>
      <c r="J153" s="335"/>
    </row>
    <row r="154" spans="1:10" s="340" customFormat="1" x14ac:dyDescent="0.45">
      <c r="A154" s="303" t="s">
        <v>148</v>
      </c>
      <c r="B154" s="303" t="str" cm="1">
        <f t="array" ref="B154:B173">IFERROR(VLOOKUP(I154:I173,Lecturers!A2:G597,7,FALSE),0)</f>
        <v>DIFFERENTIAL EQUATIONS</v>
      </c>
      <c r="C154" s="304" t="str" cm="1">
        <f t="array" ref="C154:C173">IFERROR(VLOOKUP(I154:I173,Lecturers!A2:G597,2,FALSE),0)</f>
        <v>Eghan Rhydal Esi</v>
      </c>
      <c r="D154" s="303" t="s">
        <v>29</v>
      </c>
      <c r="E154" s="336" cm="1">
        <f t="array" ref="E154:E173">IFERROR(VLOOKUP(I154:I173,Lecturers!A2:G597,3,FALSE),0)</f>
        <v>87</v>
      </c>
      <c r="F154" s="350" t="s">
        <v>149</v>
      </c>
      <c r="G154" s="338">
        <f>1.1*E154</f>
        <v>95.7</v>
      </c>
      <c r="H154" s="329"/>
      <c r="I154" s="340" t="str">
        <f t="shared" ref="I154:I157" si="23">CONCATENATE(A154,",",D154)</f>
        <v>MATH 251,ED2-BME</v>
      </c>
      <c r="J154" s="335"/>
    </row>
    <row r="155" spans="1:10" x14ac:dyDescent="0.45">
      <c r="A155" s="303" t="s">
        <v>148</v>
      </c>
      <c r="B155" s="303" t="str">
        <v>DIFFERENTIAL EQUATIONS</v>
      </c>
      <c r="C155" s="339" t="str">
        <v>Eghan Rhydal Esi</v>
      </c>
      <c r="D155" s="303" t="s">
        <v>64</v>
      </c>
      <c r="E155" s="336">
        <v>59</v>
      </c>
      <c r="F155" s="350" t="s">
        <v>149</v>
      </c>
      <c r="G155" s="338">
        <f t="shared" ref="G155:G173" si="24">1.1*E155</f>
        <v>64.900000000000006</v>
      </c>
      <c r="H155" s="329"/>
      <c r="I155" s="330" t="str">
        <f t="shared" si="23"/>
        <v>MATH 251,ED2-PCE</v>
      </c>
      <c r="J155" s="335"/>
    </row>
    <row r="156" spans="1:10" x14ac:dyDescent="0.45">
      <c r="A156" s="303" t="s">
        <v>148</v>
      </c>
      <c r="B156" s="303" t="str">
        <v>DIFFERENTIAL EQUATIONS</v>
      </c>
      <c r="C156" s="339" t="str">
        <v>Eghan Rhydal Esi</v>
      </c>
      <c r="D156" s="303" t="s">
        <v>26</v>
      </c>
      <c r="E156" s="336">
        <v>77</v>
      </c>
      <c r="F156" s="350" t="s">
        <v>149</v>
      </c>
      <c r="G156" s="338">
        <f t="shared" si="24"/>
        <v>84.7</v>
      </c>
      <c r="H156" s="329"/>
      <c r="I156" s="330" t="str">
        <f t="shared" si="23"/>
        <v>MATH 251,ED2-AUTO</v>
      </c>
      <c r="J156" s="335"/>
    </row>
    <row r="157" spans="1:10" x14ac:dyDescent="0.45">
      <c r="A157" s="303" t="s">
        <v>148</v>
      </c>
      <c r="B157" s="303" t="str">
        <v>DIFFERENTIAL EQUATIONS</v>
      </c>
      <c r="C157" s="339" t="str">
        <v>Eghan Rhydal Esi</v>
      </c>
      <c r="D157" s="303" t="s">
        <v>1383</v>
      </c>
      <c r="E157" s="336">
        <v>97</v>
      </c>
      <c r="F157" s="350" t="s">
        <v>149</v>
      </c>
      <c r="G157" s="338">
        <f t="shared" si="24"/>
        <v>106.7</v>
      </c>
      <c r="H157" s="329"/>
      <c r="I157" s="330" t="str">
        <f t="shared" si="23"/>
        <v>MATH 251,ED2-PE</v>
      </c>
      <c r="J157" s="335"/>
    </row>
    <row r="158" spans="1:10" x14ac:dyDescent="0.45">
      <c r="A158" s="303" t="s">
        <v>148</v>
      </c>
      <c r="B158" s="303" t="str">
        <v>DIFFERENTIAL EQUATIONS</v>
      </c>
      <c r="C158" s="339" t="str">
        <v>Asamoah Joshua Kiddy Kwasi</v>
      </c>
      <c r="D158" s="303" t="s">
        <v>89</v>
      </c>
      <c r="E158" s="336">
        <v>59</v>
      </c>
      <c r="F158" s="350" t="s">
        <v>149</v>
      </c>
      <c r="G158" s="338">
        <f t="shared" si="24"/>
        <v>64.900000000000006</v>
      </c>
      <c r="H158" s="329"/>
      <c r="I158" s="330" t="str">
        <f>CONCATENATE(A158,",",D158)</f>
        <v>MATH 251,ED2-METE</v>
      </c>
      <c r="J158" s="335"/>
    </row>
    <row r="159" spans="1:10" x14ac:dyDescent="0.45">
      <c r="A159" s="303" t="s">
        <v>148</v>
      </c>
      <c r="B159" s="303" t="str">
        <v>DIFFERENTIAL EQUATIONS</v>
      </c>
      <c r="C159" s="339" t="str">
        <v>Asamoah Joshua Kiddy Kwasi</v>
      </c>
      <c r="D159" s="303" t="s">
        <v>33</v>
      </c>
      <c r="E159" s="336">
        <v>80</v>
      </c>
      <c r="F159" s="350" t="s">
        <v>149</v>
      </c>
      <c r="G159" s="338">
        <f t="shared" si="24"/>
        <v>88</v>
      </c>
      <c r="H159" s="329"/>
      <c r="I159" s="330" t="str">
        <f>CONCATENATE(A159,",",D159)</f>
        <v>MATH 251,ED2-MSE</v>
      </c>
      <c r="J159" s="335"/>
    </row>
    <row r="160" spans="1:10" x14ac:dyDescent="0.45">
      <c r="A160" s="303" t="s">
        <v>1389</v>
      </c>
      <c r="B160" s="303" t="str">
        <v>DATA STRUCTURES AND ALGORITHMS</v>
      </c>
      <c r="C160" s="304" t="str">
        <v>Adjaidoo Theresa-Samuelle Maame Atwemaah</v>
      </c>
      <c r="D160" s="303" t="s">
        <v>17</v>
      </c>
      <c r="E160" s="336">
        <v>276</v>
      </c>
      <c r="F160" s="350" t="s">
        <v>149</v>
      </c>
      <c r="G160" s="338">
        <f t="shared" si="24"/>
        <v>303.60000000000002</v>
      </c>
      <c r="H160" s="329"/>
      <c r="I160" s="330" t="str">
        <f>CONCATENATE(A160,",",D160)</f>
        <v>COE 363,ED3-COE</v>
      </c>
      <c r="J160" s="335"/>
    </row>
    <row r="161" spans="1:10" x14ac:dyDescent="0.45">
      <c r="A161" s="303" t="s">
        <v>148</v>
      </c>
      <c r="B161" s="303" t="str">
        <v>DIFFERENTIAL EQUATIONS</v>
      </c>
      <c r="C161" s="339" t="str">
        <v>Barnes Benedict</v>
      </c>
      <c r="D161" s="303" t="s">
        <v>82</v>
      </c>
      <c r="E161" s="336">
        <v>340</v>
      </c>
      <c r="F161" s="350" t="s">
        <v>1729</v>
      </c>
      <c r="G161" s="338">
        <f t="shared" si="24"/>
        <v>374.00000000000006</v>
      </c>
      <c r="H161" s="329" t="s">
        <v>1787</v>
      </c>
      <c r="I161" s="330" t="str">
        <f t="shared" si="21"/>
        <v>MATH 251,ED2-EE</v>
      </c>
      <c r="J161" s="335"/>
    </row>
    <row r="162" spans="1:10" x14ac:dyDescent="0.45">
      <c r="A162" s="303" t="s">
        <v>148</v>
      </c>
      <c r="B162" s="303" t="str">
        <v>DIFFERENTIAL EQUATIONS</v>
      </c>
      <c r="C162" s="339" t="str">
        <v>Barnes Benedict</v>
      </c>
      <c r="D162" s="303" t="s">
        <v>63</v>
      </c>
      <c r="E162" s="336">
        <v>154</v>
      </c>
      <c r="F162" s="350" t="s">
        <v>1467</v>
      </c>
      <c r="G162" s="338">
        <f t="shared" si="24"/>
        <v>169.4</v>
      </c>
      <c r="H162" s="329" t="s">
        <v>1468</v>
      </c>
      <c r="I162" s="330" t="str">
        <f t="shared" si="21"/>
        <v>MATH 251,ED2-CHE</v>
      </c>
      <c r="J162" s="335"/>
    </row>
    <row r="163" spans="1:10" x14ac:dyDescent="0.45">
      <c r="A163" s="303" t="s">
        <v>184</v>
      </c>
      <c r="B163" s="303" t="str">
        <v>FOUNDRY TECHNOLOGY</v>
      </c>
      <c r="C163" s="304" t="str">
        <v>Bota Osei Sekyere</v>
      </c>
      <c r="D163" s="303" t="s">
        <v>123</v>
      </c>
      <c r="E163" s="336">
        <v>89</v>
      </c>
      <c r="F163" s="342" t="s">
        <v>1733</v>
      </c>
      <c r="G163" s="338">
        <f t="shared" si="24"/>
        <v>97.9</v>
      </c>
      <c r="H163" s="329" t="s">
        <v>1488</v>
      </c>
      <c r="I163" s="330" t="str">
        <f>CONCATENATE(A163,",",D163)</f>
        <v>MSE 357,ED3-MSE</v>
      </c>
      <c r="J163" s="335"/>
    </row>
    <row r="164" spans="1:10" x14ac:dyDescent="0.45">
      <c r="A164" s="303" t="s">
        <v>184</v>
      </c>
      <c r="B164" s="303" t="str">
        <v>FOUNDRY TECHNOLOGY</v>
      </c>
      <c r="C164" s="304" t="str">
        <v>Bota Osei Sekyere</v>
      </c>
      <c r="D164" s="303" t="s">
        <v>31</v>
      </c>
      <c r="E164" s="336">
        <v>83</v>
      </c>
      <c r="F164" s="342" t="s">
        <v>1486</v>
      </c>
      <c r="G164" s="338">
        <f t="shared" si="24"/>
        <v>91.300000000000011</v>
      </c>
      <c r="H164" s="329" t="s">
        <v>1487</v>
      </c>
      <c r="I164" s="330" t="str">
        <f>CONCATENATE(A164,",",D164)</f>
        <v>MSE 357,ED3-METE</v>
      </c>
      <c r="J164" s="335"/>
    </row>
    <row r="165" spans="1:10" x14ac:dyDescent="0.45">
      <c r="A165" s="303" t="s">
        <v>152</v>
      </c>
      <c r="B165" s="303" t="str">
        <v>BASIC HYDROLOGY</v>
      </c>
      <c r="C165" s="339" t="str">
        <v>Appiah-Adjei Emmanuel Kwame</v>
      </c>
      <c r="D165" s="303" t="s">
        <v>16</v>
      </c>
      <c r="E165" s="336">
        <v>154</v>
      </c>
      <c r="F165" s="350" t="s">
        <v>1467</v>
      </c>
      <c r="G165" s="338">
        <f t="shared" si="24"/>
        <v>169.4</v>
      </c>
      <c r="H165" s="329" t="s">
        <v>1469</v>
      </c>
      <c r="I165" s="330" t="str">
        <f t="shared" ref="I165:I174" si="25">CONCATENATE(A165,",",D165)</f>
        <v>GED 357,ED3-GEOL</v>
      </c>
      <c r="J165" s="335"/>
    </row>
    <row r="166" spans="1:10" x14ac:dyDescent="0.45">
      <c r="A166" s="303" t="s">
        <v>153</v>
      </c>
      <c r="B166" s="303" t="str">
        <v>AGRICULTURAL MATERIALS HANDLING AND PROCESSING</v>
      </c>
      <c r="C166" s="339" t="str">
        <v>Akowuah Joseph Oppong</v>
      </c>
      <c r="D166" s="303" t="s">
        <v>15</v>
      </c>
      <c r="E166" s="336">
        <v>105</v>
      </c>
      <c r="F166" s="350" t="s">
        <v>1731</v>
      </c>
      <c r="G166" s="338">
        <f t="shared" si="24"/>
        <v>115.50000000000001</v>
      </c>
      <c r="H166" s="329" t="s">
        <v>1732</v>
      </c>
      <c r="I166" s="330" t="str">
        <f t="shared" si="25"/>
        <v>AE 353,ED3-AE</v>
      </c>
      <c r="J166" s="335"/>
    </row>
    <row r="167" spans="1:10" x14ac:dyDescent="0.45">
      <c r="A167" s="303" t="s">
        <v>1378</v>
      </c>
      <c r="B167" s="303" t="str">
        <v>EMERGING TRENDS IN COMMUNICATION</v>
      </c>
      <c r="C167" s="339" t="str">
        <v>Kponyo Jerry John</v>
      </c>
      <c r="D167" s="303" t="s">
        <v>52</v>
      </c>
      <c r="E167" s="336">
        <v>142</v>
      </c>
      <c r="F167" s="350" t="s">
        <v>1419</v>
      </c>
      <c r="G167" s="338">
        <f t="shared" si="24"/>
        <v>156.20000000000002</v>
      </c>
      <c r="H167" s="329" t="s">
        <v>1730</v>
      </c>
      <c r="I167" s="330" t="str">
        <f t="shared" si="25"/>
        <v>TE 457,ED4-TEL</v>
      </c>
      <c r="J167" s="335"/>
    </row>
    <row r="168" spans="1:10" x14ac:dyDescent="0.45">
      <c r="A168" s="303" t="s">
        <v>246</v>
      </c>
      <c r="B168" s="303" t="str">
        <v>DRILLING ENGINEERING I</v>
      </c>
      <c r="C168" s="339" t="str">
        <v>Adjei Stephen</v>
      </c>
      <c r="D168" s="303" t="s">
        <v>1384</v>
      </c>
      <c r="E168" s="336">
        <v>82</v>
      </c>
      <c r="F168" s="350" t="s">
        <v>505</v>
      </c>
      <c r="G168" s="338">
        <f t="shared" si="24"/>
        <v>90.2</v>
      </c>
      <c r="H168" s="329" t="s">
        <v>1489</v>
      </c>
      <c r="I168" s="330" t="str">
        <f>CONCATENATE(A168,",",D168)</f>
        <v>PE 353,ED3-PE</v>
      </c>
      <c r="J168" s="335"/>
    </row>
    <row r="169" spans="1:10" s="340" customFormat="1" x14ac:dyDescent="0.45">
      <c r="A169" s="303" t="s">
        <v>253</v>
      </c>
      <c r="B169" s="303" t="str">
        <v>SILICATE TECHNOLOGY I</v>
      </c>
      <c r="C169" s="339" t="str">
        <v>Momade Zsuzsanna Gál</v>
      </c>
      <c r="D169" s="303" t="s">
        <v>92</v>
      </c>
      <c r="E169" s="336">
        <v>15</v>
      </c>
      <c r="F169" s="353" t="s">
        <v>108</v>
      </c>
      <c r="G169" s="338">
        <f t="shared" si="24"/>
        <v>16.5</v>
      </c>
      <c r="H169" s="329" t="s">
        <v>1515</v>
      </c>
      <c r="I169" s="340" t="str">
        <f>CONCATENATE(A169,",",D169)</f>
        <v>CHE 361,ED3-CHE</v>
      </c>
      <c r="J169" s="335"/>
    </row>
    <row r="170" spans="1:10" x14ac:dyDescent="0.45">
      <c r="A170" s="303" t="s">
        <v>248</v>
      </c>
      <c r="B170" s="303" t="str">
        <v>MEDICAL IMAGING II</v>
      </c>
      <c r="C170" s="339" t="str">
        <v>Kotei Addison Eric Clement</v>
      </c>
      <c r="D170" s="303" t="s">
        <v>46</v>
      </c>
      <c r="E170" s="336">
        <v>84</v>
      </c>
      <c r="F170" s="350" t="s">
        <v>1490</v>
      </c>
      <c r="G170" s="338">
        <f t="shared" si="24"/>
        <v>92.4</v>
      </c>
      <c r="H170" s="329" t="s">
        <v>1491</v>
      </c>
      <c r="I170" s="330" t="str">
        <f>CONCATENATE(A170,",",D170)</f>
        <v>BME 451,ED4-BME</v>
      </c>
      <c r="J170" s="335"/>
    </row>
    <row r="171" spans="1:10" x14ac:dyDescent="0.45">
      <c r="A171" s="303" t="s">
        <v>258</v>
      </c>
      <c r="B171" s="303" t="str">
        <v>RENEWABLE ENERGY CONVERSION</v>
      </c>
      <c r="C171" s="304" t="str">
        <v>Quansah David Ato</v>
      </c>
      <c r="D171" s="303" t="s">
        <v>44</v>
      </c>
      <c r="E171" s="336">
        <v>61</v>
      </c>
      <c r="F171" s="353" t="s">
        <v>1511</v>
      </c>
      <c r="G171" s="338">
        <f t="shared" si="24"/>
        <v>67.100000000000009</v>
      </c>
      <c r="H171" s="329" t="s">
        <v>1484</v>
      </c>
      <c r="I171" s="330" t="str">
        <f>CONCATENATE(A171,",",D171)</f>
        <v>ME 467,ED4-AERO</v>
      </c>
      <c r="J171" s="335"/>
    </row>
    <row r="172" spans="1:10" x14ac:dyDescent="0.45">
      <c r="A172" s="303" t="s">
        <v>1375</v>
      </c>
      <c r="B172" s="303" t="str">
        <v>INSTRUMENTATION AND CONTROL</v>
      </c>
      <c r="C172" s="339" t="str">
        <v>Sarkodie Kwame</v>
      </c>
      <c r="D172" s="303" t="s">
        <v>1385</v>
      </c>
      <c r="E172" s="336">
        <v>103</v>
      </c>
      <c r="F172" s="350" t="s">
        <v>1700</v>
      </c>
      <c r="G172" s="338">
        <f t="shared" si="24"/>
        <v>113.30000000000001</v>
      </c>
      <c r="H172" s="329" t="s">
        <v>1708</v>
      </c>
      <c r="I172" s="330" t="str">
        <f t="shared" si="25"/>
        <v>PE 465,ED4-PE</v>
      </c>
      <c r="J172" s="335"/>
    </row>
    <row r="173" spans="1:10" x14ac:dyDescent="0.45">
      <c r="A173" s="303" t="s">
        <v>154</v>
      </c>
      <c r="B173" s="303" t="str">
        <v>PRODUCTION ENGINEERING</v>
      </c>
      <c r="C173" s="339" t="str">
        <v>Obeng George Yaw</v>
      </c>
      <c r="D173" s="303" t="s">
        <v>48</v>
      </c>
      <c r="E173" s="336">
        <v>40</v>
      </c>
      <c r="F173" s="350" t="s">
        <v>105</v>
      </c>
      <c r="G173" s="338">
        <f t="shared" si="24"/>
        <v>44</v>
      </c>
      <c r="H173" s="329" t="s">
        <v>1756</v>
      </c>
      <c r="I173" s="330" t="str">
        <f t="shared" si="25"/>
        <v>ME 477,ED4-ME</v>
      </c>
      <c r="J173" s="335"/>
    </row>
    <row r="174" spans="1:10" x14ac:dyDescent="0.45">
      <c r="A174" s="340"/>
      <c r="B174" s="340"/>
      <c r="C174" s="333"/>
      <c r="D174" s="303" t="s">
        <v>159</v>
      </c>
      <c r="E174" s="332">
        <f>SUM(E161:E173)</f>
        <v>1452</v>
      </c>
      <c r="F174" s="341"/>
      <c r="G174" s="340"/>
      <c r="H174" s="329"/>
      <c r="I174" s="330" t="str">
        <f t="shared" si="25"/>
        <v>,Total T1</v>
      </c>
      <c r="J174" s="335"/>
    </row>
    <row r="175" spans="1:10" x14ac:dyDescent="0.45">
      <c r="A175" s="340"/>
      <c r="B175" s="340"/>
      <c r="C175" s="333"/>
      <c r="D175" s="303"/>
      <c r="E175" s="332"/>
      <c r="F175" s="341"/>
      <c r="G175" s="340"/>
      <c r="H175" s="329"/>
      <c r="J175" s="335"/>
    </row>
    <row r="176" spans="1:10" x14ac:dyDescent="0.45">
      <c r="A176" s="340"/>
      <c r="B176" s="340"/>
      <c r="C176" s="333"/>
      <c r="D176" s="303"/>
      <c r="E176" s="332"/>
      <c r="F176" s="341"/>
      <c r="G176" s="340"/>
      <c r="H176" s="329"/>
      <c r="J176" s="335"/>
    </row>
    <row r="177" spans="1:10" x14ac:dyDescent="0.45">
      <c r="A177" s="383" t="s">
        <v>1363</v>
      </c>
      <c r="B177" s="383"/>
      <c r="C177" s="383"/>
      <c r="D177" s="383"/>
      <c r="E177" s="383"/>
      <c r="F177" s="383"/>
      <c r="G177" s="383"/>
      <c r="H177" s="329"/>
      <c r="I177" s="330" t="str">
        <f t="shared" ref="I177:I235" si="26">CONCATENATE(A177,",",D177)</f>
        <v>Tuesday, 24 February 2026,</v>
      </c>
      <c r="J177" s="335"/>
    </row>
    <row r="178" spans="1:10" x14ac:dyDescent="0.45">
      <c r="A178" s="383" t="str">
        <f>[6]SESSIONS!$K$2</f>
        <v>Session, 2 (10:00 AM - 11:00 AM)</v>
      </c>
      <c r="B178" s="383"/>
      <c r="C178" s="383"/>
      <c r="D178" s="383"/>
      <c r="E178" s="383"/>
      <c r="F178" s="383"/>
      <c r="G178" s="383"/>
      <c r="H178" s="329"/>
      <c r="I178" s="330" t="str">
        <f t="shared" si="26"/>
        <v>Session, 2 (10:00 AM - 11:00 AM),</v>
      </c>
      <c r="J178" s="335"/>
    </row>
    <row r="179" spans="1:10" x14ac:dyDescent="0.45">
      <c r="A179" s="332" t="s">
        <v>2</v>
      </c>
      <c r="B179" s="332" t="s">
        <v>3</v>
      </c>
      <c r="C179" s="333" t="s">
        <v>4</v>
      </c>
      <c r="D179" s="332" t="s">
        <v>5</v>
      </c>
      <c r="E179" s="332" t="s">
        <v>6</v>
      </c>
      <c r="F179" s="334" t="s">
        <v>7</v>
      </c>
      <c r="G179" s="332" t="s">
        <v>8</v>
      </c>
      <c r="H179" s="329"/>
      <c r="I179" s="330" t="str">
        <f t="shared" si="26"/>
        <v>CODE ,CLASS</v>
      </c>
      <c r="J179" s="335"/>
    </row>
    <row r="180" spans="1:10" x14ac:dyDescent="0.45">
      <c r="A180" s="303" t="s">
        <v>160</v>
      </c>
      <c r="B180" s="303" t="str" cm="1">
        <f t="array" ref="B180:B197">IFERROR(VLOOKUP(I180:I197,Lecturers!A2:G596,7,FALSE),0)</f>
        <v>ALGEBRA</v>
      </c>
      <c r="C180" s="304" t="str" cm="1">
        <f t="array" ref="C180:C197">IFERROR(VLOOKUP(I180:I197,Lecturers!A2:G597,2,FALSE),0)</f>
        <v>Fosu Gabriel Obed</v>
      </c>
      <c r="D180" s="303" t="s">
        <v>161</v>
      </c>
      <c r="E180" s="336" cm="1">
        <f t="array" ref="E180:E197">IFERROR(VLOOKUP(I180:I197,Lecturers!A2:G597,3,FALSE),0)</f>
        <v>81</v>
      </c>
      <c r="F180" s="337" t="s">
        <v>149</v>
      </c>
      <c r="G180" s="338">
        <f>1.1*E180</f>
        <v>89.100000000000009</v>
      </c>
      <c r="H180" s="329"/>
      <c r="I180" s="330" t="str">
        <f t="shared" ref="I180:I191" si="27">CONCATENATE(A180,",",D180)</f>
        <v>MATH 151,ED1-IND</v>
      </c>
      <c r="J180" s="335"/>
    </row>
    <row r="181" spans="1:10" x14ac:dyDescent="0.45">
      <c r="A181" s="303" t="s">
        <v>160</v>
      </c>
      <c r="B181" s="303" t="str">
        <v>ALGEBRA</v>
      </c>
      <c r="C181" s="304" t="str">
        <v>Fosu Gabriel Obed</v>
      </c>
      <c r="D181" s="303" t="s">
        <v>115</v>
      </c>
      <c r="E181" s="336">
        <v>98</v>
      </c>
      <c r="F181" s="337" t="s">
        <v>149</v>
      </c>
      <c r="G181" s="338">
        <f t="shared" ref="G181:G197" si="28">1.1*E181</f>
        <v>107.80000000000001</v>
      </c>
      <c r="H181" s="329"/>
      <c r="I181" s="330" t="str">
        <f t="shared" si="27"/>
        <v>MATH 151,ED1-MSE</v>
      </c>
      <c r="J181" s="335"/>
    </row>
    <row r="182" spans="1:10" x14ac:dyDescent="0.45">
      <c r="A182" s="303" t="s">
        <v>160</v>
      </c>
      <c r="B182" s="303" t="str">
        <v>ALGEBRA</v>
      </c>
      <c r="C182" s="304" t="str">
        <v>Fosu Gabriel Obed</v>
      </c>
      <c r="D182" s="303" t="s">
        <v>40</v>
      </c>
      <c r="E182" s="336">
        <v>70</v>
      </c>
      <c r="F182" s="337" t="s">
        <v>149</v>
      </c>
      <c r="G182" s="338">
        <f t="shared" si="28"/>
        <v>77</v>
      </c>
      <c r="H182" s="329"/>
      <c r="I182" s="330" t="str">
        <f t="shared" si="27"/>
        <v>MATH 151,ED1-AERO</v>
      </c>
      <c r="J182" s="335"/>
    </row>
    <row r="183" spans="1:10" x14ac:dyDescent="0.45">
      <c r="A183" s="303" t="s">
        <v>160</v>
      </c>
      <c r="B183" s="303" t="str">
        <v>ALGEBRA</v>
      </c>
      <c r="C183" s="304" t="str">
        <v>Asamoah Joshua Kiddy Kwasi</v>
      </c>
      <c r="D183" s="303" t="s">
        <v>162</v>
      </c>
      <c r="E183" s="336">
        <v>136</v>
      </c>
      <c r="F183" s="337" t="s">
        <v>149</v>
      </c>
      <c r="G183" s="338">
        <f t="shared" si="28"/>
        <v>149.60000000000002</v>
      </c>
      <c r="H183" s="329"/>
      <c r="I183" s="330" t="str">
        <f>CONCATENATE(A183,",",D183)</f>
        <v>MATH 151,ED1-BME</v>
      </c>
      <c r="J183" s="335"/>
    </row>
    <row r="184" spans="1:10" x14ac:dyDescent="0.45">
      <c r="A184" s="303" t="s">
        <v>160</v>
      </c>
      <c r="B184" s="303" t="str">
        <v>ALGEBRA</v>
      </c>
      <c r="C184" s="339" t="str">
        <v>Asamoah Joshua Kiddy Kwasi</v>
      </c>
      <c r="D184" s="303" t="s">
        <v>163</v>
      </c>
      <c r="E184" s="340">
        <v>126</v>
      </c>
      <c r="F184" s="337" t="s">
        <v>149</v>
      </c>
      <c r="G184" s="338">
        <f t="shared" si="28"/>
        <v>138.60000000000002</v>
      </c>
      <c r="H184" s="329"/>
      <c r="I184" s="330" t="str">
        <f>CONCATENATE(A184,",",D184)</f>
        <v>MATH 151,ED1-AE</v>
      </c>
      <c r="J184" s="335"/>
    </row>
    <row r="185" spans="1:10" x14ac:dyDescent="0.45">
      <c r="A185" s="303" t="s">
        <v>160</v>
      </c>
      <c r="B185" s="303" t="str">
        <v>ALGEBRA</v>
      </c>
      <c r="C185" s="304" t="str">
        <v>Fosu Gabriel Obed</v>
      </c>
      <c r="D185" s="303" t="s">
        <v>41</v>
      </c>
      <c r="E185" s="336">
        <v>46</v>
      </c>
      <c r="F185" s="337" t="s">
        <v>149</v>
      </c>
      <c r="G185" s="338">
        <f t="shared" si="28"/>
        <v>50.6</v>
      </c>
      <c r="H185" s="329"/>
      <c r="I185" s="330" t="str">
        <f t="shared" si="27"/>
        <v>MATH 151,ED1-MARI</v>
      </c>
      <c r="J185" s="335"/>
    </row>
    <row r="186" spans="1:10" x14ac:dyDescent="0.45">
      <c r="A186" s="303" t="s">
        <v>160</v>
      </c>
      <c r="B186" s="303" t="str">
        <v>ALGEBRA</v>
      </c>
      <c r="C186" s="304" t="str">
        <v>Fosu Gabriel Obed</v>
      </c>
      <c r="D186" s="303" t="s">
        <v>39</v>
      </c>
      <c r="E186" s="336">
        <v>72</v>
      </c>
      <c r="F186" s="337" t="s">
        <v>149</v>
      </c>
      <c r="G186" s="338">
        <f t="shared" si="28"/>
        <v>79.2</v>
      </c>
      <c r="H186" s="329"/>
      <c r="I186" s="330" t="str">
        <f t="shared" si="27"/>
        <v>MATH 151,ED1-METE</v>
      </c>
      <c r="J186" s="335"/>
    </row>
    <row r="187" spans="1:10" x14ac:dyDescent="0.45">
      <c r="A187" s="303" t="s">
        <v>160</v>
      </c>
      <c r="B187" s="303" t="str">
        <v>ALGEBRA</v>
      </c>
      <c r="C187" s="339" t="str">
        <v>Kwabi Prince Amponsah</v>
      </c>
      <c r="D187" s="303" t="s">
        <v>1382</v>
      </c>
      <c r="E187" s="336">
        <v>129</v>
      </c>
      <c r="F187" s="337" t="s">
        <v>1495</v>
      </c>
      <c r="G187" s="338">
        <f t="shared" si="28"/>
        <v>141.9</v>
      </c>
      <c r="H187" s="329" t="s">
        <v>1496</v>
      </c>
      <c r="I187" s="330" t="str">
        <f t="shared" si="27"/>
        <v>MATH 151,ED1-PE</v>
      </c>
      <c r="J187" s="335"/>
    </row>
    <row r="188" spans="1:10" x14ac:dyDescent="0.45">
      <c r="A188" s="303" t="s">
        <v>160</v>
      </c>
      <c r="B188" s="303" t="str">
        <v>ALGEBRA</v>
      </c>
      <c r="C188" s="339" t="str">
        <v>Kwabi Prince Amponsah</v>
      </c>
      <c r="D188" s="303" t="s">
        <v>36</v>
      </c>
      <c r="E188" s="336">
        <v>119</v>
      </c>
      <c r="F188" s="337" t="s">
        <v>1497</v>
      </c>
      <c r="G188" s="338">
        <f t="shared" si="28"/>
        <v>130.9</v>
      </c>
      <c r="H188" s="329" t="s">
        <v>1498</v>
      </c>
      <c r="I188" s="330" t="str">
        <f t="shared" si="27"/>
        <v>MATH 151,ED1-GEOL</v>
      </c>
      <c r="J188" s="335"/>
    </row>
    <row r="189" spans="1:10" x14ac:dyDescent="0.45">
      <c r="A189" s="303" t="s">
        <v>160</v>
      </c>
      <c r="B189" s="303" t="str">
        <v>ALGEBRA</v>
      </c>
      <c r="C189" s="339" t="str">
        <v>Asamoah Joshua Kiddy Kwasi</v>
      </c>
      <c r="D189" s="303" t="s">
        <v>164</v>
      </c>
      <c r="E189" s="340">
        <v>223</v>
      </c>
      <c r="F189" s="350" t="s">
        <v>1462</v>
      </c>
      <c r="G189" s="338">
        <f t="shared" si="28"/>
        <v>245.3</v>
      </c>
      <c r="H189" s="329" t="s">
        <v>1501</v>
      </c>
      <c r="I189" s="330" t="str">
        <f t="shared" si="27"/>
        <v>MATH 151,ED1-ME</v>
      </c>
      <c r="J189" s="335"/>
    </row>
    <row r="190" spans="1:10" x14ac:dyDescent="0.45">
      <c r="A190" s="303" t="s">
        <v>160</v>
      </c>
      <c r="B190" s="303" t="str">
        <v>ALGEBRA</v>
      </c>
      <c r="C190" s="339" t="str">
        <v>Ezearn Jeffery</v>
      </c>
      <c r="D190" s="303" t="s">
        <v>165</v>
      </c>
      <c r="E190" s="336">
        <v>242</v>
      </c>
      <c r="F190" s="350" t="s">
        <v>1407</v>
      </c>
      <c r="G190" s="338">
        <f t="shared" si="28"/>
        <v>266.20000000000005</v>
      </c>
      <c r="H190" s="329" t="s">
        <v>1494</v>
      </c>
      <c r="I190" s="330" t="str">
        <f t="shared" si="27"/>
        <v>MATH 151,ED1-CE</v>
      </c>
      <c r="J190" s="335"/>
    </row>
    <row r="191" spans="1:10" x14ac:dyDescent="0.45">
      <c r="A191" s="303" t="s">
        <v>160</v>
      </c>
      <c r="B191" s="303" t="str">
        <v>ALGEBRA</v>
      </c>
      <c r="C191" s="339" t="str">
        <v>Ezearn Jeffery</v>
      </c>
      <c r="D191" s="303" t="s">
        <v>69</v>
      </c>
      <c r="E191" s="336">
        <v>261</v>
      </c>
      <c r="F191" s="350" t="s">
        <v>1500</v>
      </c>
      <c r="G191" s="338">
        <f t="shared" si="28"/>
        <v>287.10000000000002</v>
      </c>
      <c r="H191" s="329" t="s">
        <v>1499</v>
      </c>
      <c r="I191" s="330" t="str">
        <f t="shared" si="27"/>
        <v>MATH 151,ED1-COE</v>
      </c>
      <c r="J191" s="335"/>
    </row>
    <row r="192" spans="1:10" x14ac:dyDescent="0.45">
      <c r="A192" s="303" t="s">
        <v>160</v>
      </c>
      <c r="B192" s="303" t="str">
        <v>ALGEBRA</v>
      </c>
      <c r="C192" s="339" t="str">
        <v>Barnes Benedict</v>
      </c>
      <c r="D192" s="303" t="s">
        <v>103</v>
      </c>
      <c r="E192" s="336">
        <v>120</v>
      </c>
      <c r="F192" s="350" t="s">
        <v>1504</v>
      </c>
      <c r="G192" s="338">
        <f t="shared" si="28"/>
        <v>132</v>
      </c>
      <c r="H192" s="329" t="s">
        <v>1505</v>
      </c>
      <c r="I192" s="330" t="str">
        <f t="shared" ref="I192:I197" si="29">CONCATENATE(A192,",",D192)</f>
        <v>MATH 151,ED1-CHE</v>
      </c>
      <c r="J192" s="335"/>
    </row>
    <row r="193" spans="1:10" x14ac:dyDescent="0.45">
      <c r="A193" s="303" t="s">
        <v>160</v>
      </c>
      <c r="B193" s="303" t="str">
        <v>ALGEBRA</v>
      </c>
      <c r="C193" s="304" t="str">
        <v>Isaac Azure</v>
      </c>
      <c r="D193" s="303" t="s">
        <v>104</v>
      </c>
      <c r="E193" s="336">
        <v>56</v>
      </c>
      <c r="F193" s="350" t="s">
        <v>1502</v>
      </c>
      <c r="G193" s="338">
        <f t="shared" si="28"/>
        <v>61.600000000000009</v>
      </c>
      <c r="H193" s="329" t="s">
        <v>1503</v>
      </c>
      <c r="I193" s="330" t="str">
        <f t="shared" si="29"/>
        <v>MATH 151,ED1-PCE</v>
      </c>
      <c r="J193" s="335"/>
    </row>
    <row r="194" spans="1:10" x14ac:dyDescent="0.45">
      <c r="A194" s="303" t="s">
        <v>160</v>
      </c>
      <c r="B194" s="303" t="str">
        <v>ALGEBRA</v>
      </c>
      <c r="C194" s="339" t="str">
        <v>Adu-Ansah Lawton</v>
      </c>
      <c r="D194" s="303" t="s">
        <v>183</v>
      </c>
      <c r="E194" s="336">
        <v>129</v>
      </c>
      <c r="F194" s="342" t="s">
        <v>1504</v>
      </c>
      <c r="G194" s="338">
        <f t="shared" si="28"/>
        <v>141.9</v>
      </c>
      <c r="H194" s="329" t="s">
        <v>1506</v>
      </c>
      <c r="I194" s="330" t="str">
        <f t="shared" si="29"/>
        <v>MATH 151,ED1-TEL</v>
      </c>
      <c r="J194" s="335"/>
    </row>
    <row r="195" spans="1:10" x14ac:dyDescent="0.45">
      <c r="A195" s="303" t="s">
        <v>160</v>
      </c>
      <c r="B195" s="303" t="str">
        <v>ALGEBRA</v>
      </c>
      <c r="C195" s="304" t="str">
        <v>Azure Isaac</v>
      </c>
      <c r="D195" s="303" t="s">
        <v>166</v>
      </c>
      <c r="E195" s="336">
        <v>88</v>
      </c>
      <c r="F195" s="350" t="s">
        <v>1507</v>
      </c>
      <c r="G195" s="338">
        <f t="shared" si="28"/>
        <v>96.800000000000011</v>
      </c>
      <c r="H195" s="329" t="s">
        <v>1509</v>
      </c>
      <c r="I195" s="330" t="str">
        <f t="shared" si="29"/>
        <v>MATH 151,ED1-AUTO</v>
      </c>
      <c r="J195" s="335"/>
    </row>
    <row r="196" spans="1:10" x14ac:dyDescent="0.45">
      <c r="A196" s="303" t="s">
        <v>160</v>
      </c>
      <c r="B196" s="303" t="str">
        <v>ALGEBRA</v>
      </c>
      <c r="C196" s="339" t="str">
        <v>Ayekple Yao Elikem</v>
      </c>
      <c r="D196" s="303" t="s">
        <v>58</v>
      </c>
      <c r="E196" s="336">
        <v>287</v>
      </c>
      <c r="F196" s="337" t="s">
        <v>1413</v>
      </c>
      <c r="G196" s="338">
        <f t="shared" si="28"/>
        <v>315.70000000000005</v>
      </c>
      <c r="H196" s="329" t="s">
        <v>1492</v>
      </c>
      <c r="I196" s="330" t="str">
        <f t="shared" si="29"/>
        <v>MATH 151,ED1-EE</v>
      </c>
      <c r="J196" s="335"/>
    </row>
    <row r="197" spans="1:10" x14ac:dyDescent="0.45">
      <c r="A197" s="303" t="s">
        <v>160</v>
      </c>
      <c r="B197" s="303" t="str">
        <v>ALGEBRA</v>
      </c>
      <c r="C197" s="339" t="str">
        <v>Azure Isaac</v>
      </c>
      <c r="D197" s="303" t="s">
        <v>66</v>
      </c>
      <c r="E197" s="336">
        <v>100</v>
      </c>
      <c r="F197" s="350" t="s">
        <v>1507</v>
      </c>
      <c r="G197" s="338">
        <f t="shared" si="28"/>
        <v>110.00000000000001</v>
      </c>
      <c r="H197" s="329" t="s">
        <v>1508</v>
      </c>
      <c r="I197" s="330" t="str">
        <f t="shared" si="29"/>
        <v>MATH 151,ED1-GEOM</v>
      </c>
      <c r="J197" s="335"/>
    </row>
    <row r="198" spans="1:10" x14ac:dyDescent="0.45">
      <c r="A198" s="340"/>
      <c r="B198" s="340"/>
      <c r="C198" s="333"/>
      <c r="D198" s="303" t="s">
        <v>167</v>
      </c>
      <c r="E198" s="332">
        <f>SUM(E187:E197)</f>
        <v>1754</v>
      </c>
      <c r="F198" s="341"/>
      <c r="G198" s="340"/>
      <c r="H198" s="329"/>
      <c r="I198" s="330" t="str">
        <f t="shared" si="26"/>
        <v>,Total T2</v>
      </c>
      <c r="J198" s="335"/>
    </row>
    <row r="199" spans="1:10" x14ac:dyDescent="0.45">
      <c r="A199" s="340"/>
      <c r="B199" s="340"/>
      <c r="C199" s="333"/>
      <c r="D199" s="303"/>
      <c r="E199" s="332"/>
      <c r="F199" s="341"/>
      <c r="G199" s="340"/>
      <c r="H199" s="329"/>
      <c r="I199" s="330" t="str">
        <f t="shared" si="26"/>
        <v>,</v>
      </c>
      <c r="J199" s="335"/>
    </row>
    <row r="200" spans="1:10" x14ac:dyDescent="0.45">
      <c r="A200" s="340"/>
      <c r="B200" s="340"/>
      <c r="C200" s="333"/>
      <c r="D200" s="340"/>
      <c r="E200" s="340"/>
      <c r="F200" s="341"/>
      <c r="G200" s="340"/>
      <c r="H200" s="329"/>
      <c r="I200" s="330" t="str">
        <f t="shared" si="26"/>
        <v>,</v>
      </c>
      <c r="J200" s="335"/>
    </row>
    <row r="201" spans="1:10" x14ac:dyDescent="0.45">
      <c r="A201" s="383" t="s">
        <v>1363</v>
      </c>
      <c r="B201" s="383"/>
      <c r="C201" s="383"/>
      <c r="D201" s="383"/>
      <c r="E201" s="383"/>
      <c r="F201" s="383"/>
      <c r="G201" s="383"/>
      <c r="H201" s="329"/>
      <c r="I201" s="330" t="str">
        <f t="shared" si="26"/>
        <v>Tuesday, 24 February 2026,</v>
      </c>
      <c r="J201" s="335"/>
    </row>
    <row r="202" spans="1:10" x14ac:dyDescent="0.45">
      <c r="A202" s="383" t="s">
        <v>1845</v>
      </c>
      <c r="B202" s="383"/>
      <c r="C202" s="383"/>
      <c r="D202" s="383"/>
      <c r="E202" s="383"/>
      <c r="F202" s="383"/>
      <c r="G202" s="383"/>
      <c r="H202" s="329"/>
      <c r="I202" s="330" t="str">
        <f t="shared" si="26"/>
        <v>Session, 3 ( 11:45 AM - 12:45 PM),</v>
      </c>
      <c r="J202" s="335"/>
    </row>
    <row r="203" spans="1:10" x14ac:dyDescent="0.45">
      <c r="A203" s="332" t="s">
        <v>2</v>
      </c>
      <c r="B203" s="332" t="s">
        <v>3</v>
      </c>
      <c r="C203" s="333" t="s">
        <v>4</v>
      </c>
      <c r="D203" s="332" t="s">
        <v>5</v>
      </c>
      <c r="E203" s="332" t="s">
        <v>6</v>
      </c>
      <c r="F203" s="334" t="s">
        <v>7</v>
      </c>
      <c r="G203" s="332" t="s">
        <v>8</v>
      </c>
      <c r="H203" s="329"/>
      <c r="I203" s="330" t="str">
        <f t="shared" si="26"/>
        <v>CODE ,CLASS</v>
      </c>
      <c r="J203" s="335"/>
    </row>
    <row r="204" spans="1:10" x14ac:dyDescent="0.45">
      <c r="A204" s="303" t="s">
        <v>175</v>
      </c>
      <c r="B204" s="303" t="str" cm="1">
        <f t="array" ref="B204:B216">IFERROR(VLOOKUP(I204:I216,Lecturers!A2:G597,7,FALSE),0)</f>
        <v>OPTICAL COMMUNICATION</v>
      </c>
      <c r="C204" s="339" t="str" cm="1">
        <f t="array" ref="C204:C216">IFERROR(VLOOKUP(I204:I216,Lecturers!A2:G597,2,FALSE),0)</f>
        <v>Gadze James Dzisi</v>
      </c>
      <c r="D204" s="303" t="s">
        <v>18</v>
      </c>
      <c r="E204" s="336" cm="1">
        <f t="array" ref="E204:E216">IFERROR(VLOOKUP(I204:I216,Lecturers!A2:G597,3,FALSE),0)</f>
        <v>147</v>
      </c>
      <c r="F204" s="350" t="s">
        <v>1627</v>
      </c>
      <c r="G204" s="338">
        <f t="shared" ref="G204:G216" si="30">1.1*E204</f>
        <v>161.70000000000002</v>
      </c>
      <c r="H204" s="329" t="s">
        <v>1615</v>
      </c>
      <c r="I204" s="330" t="str">
        <f>CONCATENATE(A204,",",D204)</f>
        <v>TE 357,ED3-TEL</v>
      </c>
      <c r="J204" s="335"/>
    </row>
    <row r="205" spans="1:10" x14ac:dyDescent="0.45">
      <c r="A205" s="303" t="s">
        <v>170</v>
      </c>
      <c r="B205" s="303" t="str">
        <v>DISCRETE EVENT SIMULATION</v>
      </c>
      <c r="C205" s="339" t="str">
        <v>Takyi Gabriel</v>
      </c>
      <c r="D205" s="303" t="s">
        <v>20</v>
      </c>
      <c r="E205" s="336">
        <v>72</v>
      </c>
      <c r="F205" s="350" t="s">
        <v>1628</v>
      </c>
      <c r="G205" s="338">
        <f t="shared" si="30"/>
        <v>79.2</v>
      </c>
      <c r="H205" s="329" t="s">
        <v>1616</v>
      </c>
      <c r="I205" s="330" t="str">
        <f t="shared" si="26"/>
        <v>IE 355,ED3-IND</v>
      </c>
      <c r="J205" s="335"/>
    </row>
    <row r="206" spans="1:10" x14ac:dyDescent="0.45">
      <c r="A206" s="303" t="s">
        <v>171</v>
      </c>
      <c r="B206" s="303" t="str">
        <v>CROP PROCESSING</v>
      </c>
      <c r="C206" s="339" t="str">
        <v xml:space="preserve">Darko Joseph Ofei </v>
      </c>
      <c r="D206" s="303" t="s">
        <v>131</v>
      </c>
      <c r="E206" s="336">
        <v>103</v>
      </c>
      <c r="F206" s="350" t="s">
        <v>1601</v>
      </c>
      <c r="G206" s="338">
        <f t="shared" si="30"/>
        <v>113.30000000000001</v>
      </c>
      <c r="H206" s="329" t="s">
        <v>1617</v>
      </c>
      <c r="I206" s="330" t="str">
        <f t="shared" si="26"/>
        <v>AE 457,ED4-AE</v>
      </c>
      <c r="J206" s="335"/>
    </row>
    <row r="207" spans="1:10" x14ac:dyDescent="0.45">
      <c r="A207" s="303" t="s">
        <v>172</v>
      </c>
      <c r="B207" s="303" t="str">
        <v>EXPLORATION GEOCHEMISTRY</v>
      </c>
      <c r="C207" s="339" t="str">
        <v>Gawu Simon Kafui Yawo</v>
      </c>
      <c r="D207" s="303" t="s">
        <v>50</v>
      </c>
      <c r="E207" s="336">
        <v>102</v>
      </c>
      <c r="F207" s="350" t="s">
        <v>1629</v>
      </c>
      <c r="G207" s="338">
        <f t="shared" si="30"/>
        <v>112.2</v>
      </c>
      <c r="H207" s="329" t="s">
        <v>1618</v>
      </c>
      <c r="I207" s="330" t="str">
        <f t="shared" si="26"/>
        <v>GED 459,ED4-GEOL</v>
      </c>
      <c r="J207" s="335"/>
    </row>
    <row r="208" spans="1:10" x14ac:dyDescent="0.45">
      <c r="A208" s="303" t="s">
        <v>155</v>
      </c>
      <c r="B208" s="303" t="str">
        <v>HIGHWAY ENGINEERING II</v>
      </c>
      <c r="C208" s="339" t="str">
        <v>Tuffour Yaw Adubofour</v>
      </c>
      <c r="D208" s="303" t="s">
        <v>68</v>
      </c>
      <c r="E208" s="336">
        <v>245</v>
      </c>
      <c r="F208" s="350" t="s">
        <v>1630</v>
      </c>
      <c r="G208" s="338">
        <f t="shared" si="30"/>
        <v>269.5</v>
      </c>
      <c r="H208" s="329" t="s">
        <v>1619</v>
      </c>
      <c r="I208" s="330" t="str">
        <f t="shared" ref="I208:I213" si="31">CONCATENATE(A208,",",D208)</f>
        <v>CE 467,ED4-CE</v>
      </c>
      <c r="J208" s="335"/>
    </row>
    <row r="209" spans="1:10" x14ac:dyDescent="0.45">
      <c r="A209" s="303" t="s">
        <v>218</v>
      </c>
      <c r="B209" s="303" t="str">
        <v>COMPUTER ARCHITECTURE</v>
      </c>
      <c r="C209" s="352" t="str">
        <v>Boateng Kwame Osei</v>
      </c>
      <c r="D209" s="303" t="s">
        <v>60</v>
      </c>
      <c r="E209" s="336">
        <v>170</v>
      </c>
      <c r="F209" s="341" t="s">
        <v>1631</v>
      </c>
      <c r="G209" s="338">
        <f t="shared" si="30"/>
        <v>187.00000000000003</v>
      </c>
      <c r="H209" s="329" t="s">
        <v>1620</v>
      </c>
      <c r="I209" s="330" t="str">
        <f t="shared" si="31"/>
        <v>COE 485,ED4-COE</v>
      </c>
      <c r="J209" s="335"/>
    </row>
    <row r="210" spans="1:10" x14ac:dyDescent="0.45">
      <c r="A210" s="303" t="s">
        <v>158</v>
      </c>
      <c r="B210" s="303" t="str">
        <v>WIRELESS DATA COMMUNICATION NETWORK</v>
      </c>
      <c r="C210" s="304" t="str">
        <v>Opare Kwasi Adu-Boahen</v>
      </c>
      <c r="D210" s="303" t="s">
        <v>56</v>
      </c>
      <c r="E210" s="336">
        <v>224</v>
      </c>
      <c r="F210" s="341" t="s">
        <v>1534</v>
      </c>
      <c r="G210" s="338">
        <f t="shared" si="30"/>
        <v>246.40000000000003</v>
      </c>
      <c r="H210" s="329" t="s">
        <v>1621</v>
      </c>
      <c r="I210" s="330" t="str">
        <f t="shared" si="31"/>
        <v>TE 481,ED4-EE</v>
      </c>
      <c r="J210" s="335"/>
    </row>
    <row r="211" spans="1:10" x14ac:dyDescent="0.45">
      <c r="A211" s="303" t="s">
        <v>245</v>
      </c>
      <c r="B211" s="303" t="str">
        <v>RISK ANALYSIS</v>
      </c>
      <c r="C211" s="339" t="str">
        <v>Asiedu Charlotte</v>
      </c>
      <c r="D211" s="303" t="s">
        <v>80</v>
      </c>
      <c r="E211" s="336">
        <v>67</v>
      </c>
      <c r="F211" s="350" t="s">
        <v>1632</v>
      </c>
      <c r="G211" s="338">
        <f t="shared" si="30"/>
        <v>73.7</v>
      </c>
      <c r="H211" s="329" t="s">
        <v>1622</v>
      </c>
      <c r="I211" s="330" t="str">
        <f t="shared" si="31"/>
        <v>IE 459,ED4-IND</v>
      </c>
      <c r="J211" s="335"/>
    </row>
    <row r="212" spans="1:10" x14ac:dyDescent="0.45">
      <c r="A212" s="303" t="s">
        <v>157</v>
      </c>
      <c r="B212" s="303" t="str">
        <v>HYDROLOGY</v>
      </c>
      <c r="C212" s="339" t="str">
        <v>Adjei Kwaku Amaning</v>
      </c>
      <c r="D212" s="303" t="s">
        <v>22</v>
      </c>
      <c r="E212" s="336">
        <v>223</v>
      </c>
      <c r="F212" s="341" t="s">
        <v>1534</v>
      </c>
      <c r="G212" s="338">
        <f t="shared" si="30"/>
        <v>245.3</v>
      </c>
      <c r="H212" s="329" t="s">
        <v>1623</v>
      </c>
      <c r="I212" s="330" t="str">
        <f t="shared" si="31"/>
        <v>CE 355,ED3-CE</v>
      </c>
      <c r="J212" s="335"/>
    </row>
    <row r="213" spans="1:10" x14ac:dyDescent="0.45">
      <c r="A213" s="303" t="s">
        <v>173</v>
      </c>
      <c r="B213" s="303" t="str">
        <v>POLLUTION CONTROL IN PETROCHEMICAL INDUSTRY</v>
      </c>
      <c r="C213" s="339" t="str">
        <v>Kwao-Boateng Emmanuela</v>
      </c>
      <c r="D213" s="303" t="s">
        <v>87</v>
      </c>
      <c r="E213" s="336">
        <v>62</v>
      </c>
      <c r="F213" s="350" t="s">
        <v>1633</v>
      </c>
      <c r="G213" s="338">
        <f t="shared" si="30"/>
        <v>68.2</v>
      </c>
      <c r="H213" s="329" t="s">
        <v>1624</v>
      </c>
      <c r="I213" s="330" t="str">
        <f t="shared" si="31"/>
        <v>PCE 455,ED4-PCE</v>
      </c>
      <c r="J213" s="335"/>
    </row>
    <row r="214" spans="1:10" x14ac:dyDescent="0.45">
      <c r="A214" s="303" t="s">
        <v>176</v>
      </c>
      <c r="B214" s="303" t="str">
        <v>HYDRAULICS AND PNEUMATICS</v>
      </c>
      <c r="C214" s="354" t="str">
        <v>Fiagbe Yesuenyeagbe Atsu Kwabla</v>
      </c>
      <c r="D214" s="303" t="s">
        <v>113</v>
      </c>
      <c r="E214" s="336">
        <v>23</v>
      </c>
      <c r="F214" s="350" t="s">
        <v>475</v>
      </c>
      <c r="G214" s="338">
        <f t="shared" si="30"/>
        <v>25.3</v>
      </c>
      <c r="H214" s="329">
        <v>23</v>
      </c>
      <c r="I214" s="330" t="str">
        <f t="shared" si="26"/>
        <v>ME 453,ED4-MARI</v>
      </c>
      <c r="J214" s="335"/>
    </row>
    <row r="215" spans="1:10" x14ac:dyDescent="0.45">
      <c r="A215" s="303" t="s">
        <v>176</v>
      </c>
      <c r="B215" s="303" t="str">
        <v>HYDRAULICS AND PNEUMATICS</v>
      </c>
      <c r="C215" s="354" t="str">
        <v>Fiagbe Yesuenyeagbe Atsu Kwabla</v>
      </c>
      <c r="D215" s="303" t="s">
        <v>75</v>
      </c>
      <c r="E215" s="336">
        <v>32</v>
      </c>
      <c r="F215" s="350" t="s">
        <v>1634</v>
      </c>
      <c r="G215" s="338">
        <f t="shared" si="30"/>
        <v>35.200000000000003</v>
      </c>
      <c r="H215" s="329" t="s">
        <v>1625</v>
      </c>
      <c r="I215" s="330" t="str">
        <f t="shared" si="26"/>
        <v>ME 453,ED4-AUTO</v>
      </c>
      <c r="J215" s="335"/>
    </row>
    <row r="216" spans="1:10" x14ac:dyDescent="0.45">
      <c r="A216" s="303" t="s">
        <v>176</v>
      </c>
      <c r="B216" s="303" t="str">
        <v>HYDRAULICS AND PNEUMATICS</v>
      </c>
      <c r="C216" s="354" t="str">
        <v>Fiagbe Yesuenyeagbe Atsu Kwabla</v>
      </c>
      <c r="D216" s="303" t="s">
        <v>48</v>
      </c>
      <c r="E216" s="336">
        <v>144</v>
      </c>
      <c r="F216" s="350" t="s">
        <v>1416</v>
      </c>
      <c r="G216" s="338">
        <f t="shared" si="30"/>
        <v>158.4</v>
      </c>
      <c r="H216" s="329" t="s">
        <v>1626</v>
      </c>
      <c r="I216" s="330" t="str">
        <f t="shared" si="26"/>
        <v>ME 453,ED4-ME</v>
      </c>
      <c r="J216" s="335"/>
    </row>
    <row r="217" spans="1:10" x14ac:dyDescent="0.45">
      <c r="A217" s="340"/>
      <c r="B217" s="340"/>
      <c r="C217" s="333"/>
      <c r="D217" s="303" t="s">
        <v>177</v>
      </c>
      <c r="E217" s="332">
        <f>SUM(E204:E216)</f>
        <v>1614</v>
      </c>
      <c r="F217" s="341"/>
      <c r="G217" s="340"/>
      <c r="H217" s="329"/>
      <c r="I217" s="330" t="str">
        <f t="shared" si="26"/>
        <v>,Total T3</v>
      </c>
      <c r="J217" s="335"/>
    </row>
    <row r="218" spans="1:10" x14ac:dyDescent="0.45">
      <c r="A218" s="340"/>
      <c r="B218" s="340"/>
      <c r="C218" s="333"/>
      <c r="D218" s="340"/>
      <c r="E218" s="340"/>
      <c r="F218" s="341"/>
      <c r="G218" s="340"/>
      <c r="H218" s="329"/>
      <c r="I218" s="330" t="str">
        <f t="shared" si="26"/>
        <v>,</v>
      </c>
      <c r="J218" s="335"/>
    </row>
    <row r="219" spans="1:10" x14ac:dyDescent="0.45">
      <c r="A219" s="340"/>
      <c r="B219" s="340"/>
      <c r="C219" s="333"/>
      <c r="D219" s="340"/>
      <c r="E219" s="340"/>
      <c r="F219" s="341"/>
      <c r="G219" s="340"/>
      <c r="H219" s="329"/>
      <c r="I219" s="330" t="str">
        <f t="shared" si="26"/>
        <v>,</v>
      </c>
      <c r="J219" s="335"/>
    </row>
    <row r="220" spans="1:10" x14ac:dyDescent="0.45">
      <c r="A220" s="383" t="s">
        <v>1363</v>
      </c>
      <c r="B220" s="383"/>
      <c r="C220" s="383"/>
      <c r="D220" s="383"/>
      <c r="E220" s="383"/>
      <c r="F220" s="383"/>
      <c r="G220" s="383"/>
      <c r="H220" s="329"/>
      <c r="I220" s="330" t="str">
        <f t="shared" si="26"/>
        <v>Tuesday, 24 February 2026,</v>
      </c>
      <c r="J220" s="335"/>
    </row>
    <row r="221" spans="1:10" x14ac:dyDescent="0.45">
      <c r="A221" s="383" t="str">
        <f>[6]SESSIONS!$K$4</f>
        <v>Session, 4 (1:30 PM - 2:30 PM)</v>
      </c>
      <c r="B221" s="383"/>
      <c r="C221" s="383"/>
      <c r="D221" s="383"/>
      <c r="E221" s="383"/>
      <c r="F221" s="383"/>
      <c r="G221" s="383"/>
      <c r="H221" s="329"/>
      <c r="I221" s="330" t="str">
        <f t="shared" si="26"/>
        <v>Session, 4 (1:30 PM - 2:30 PM),</v>
      </c>
      <c r="J221" s="335"/>
    </row>
    <row r="222" spans="1:10" x14ac:dyDescent="0.45">
      <c r="A222" s="332" t="s">
        <v>2</v>
      </c>
      <c r="B222" s="332" t="s">
        <v>3</v>
      </c>
      <c r="C222" s="333" t="s">
        <v>4</v>
      </c>
      <c r="D222" s="332" t="s">
        <v>5</v>
      </c>
      <c r="E222" s="332" t="s">
        <v>6</v>
      </c>
      <c r="F222" s="334" t="s">
        <v>7</v>
      </c>
      <c r="G222" s="332" t="s">
        <v>8</v>
      </c>
      <c r="H222" s="329"/>
      <c r="I222" s="330" t="str">
        <f t="shared" si="26"/>
        <v>CODE ,CLASS</v>
      </c>
      <c r="J222" s="335"/>
    </row>
    <row r="223" spans="1:10" x14ac:dyDescent="0.45">
      <c r="A223" s="303" t="s">
        <v>148</v>
      </c>
      <c r="B223" s="303" t="str" cm="1">
        <f t="array" ref="B223:B235">IFERROR(VLOOKUP(I223:I235,Lecturers!A2:G597,7,FALSE),0)</f>
        <v>DIFFERENTIAL EQUATIONS</v>
      </c>
      <c r="C223" s="304" t="str" cm="1">
        <f t="array" ref="C223:C235">IFERROR(VLOOKUP(I223:I235,Lecturers!A2:G597,2,FALSE),0)</f>
        <v>Boateng Maxwell Akwasi</v>
      </c>
      <c r="D223" s="303" t="s">
        <v>24</v>
      </c>
      <c r="E223" s="336" cm="1">
        <f t="array" ref="E223:E235">IFERROR(VLOOKUP(I223:I235,Lecturers!A2:G597,3,FALSE),0)</f>
        <v>37</v>
      </c>
      <c r="F223" s="355" t="s">
        <v>1411</v>
      </c>
      <c r="G223" s="338">
        <f>1.1*E223</f>
        <v>40.700000000000003</v>
      </c>
      <c r="H223" s="329" t="s">
        <v>1587</v>
      </c>
      <c r="I223" s="330" t="str">
        <f t="shared" si="26"/>
        <v>MATH 251,ED2-MARI</v>
      </c>
      <c r="J223" s="335"/>
    </row>
    <row r="224" spans="1:10" x14ac:dyDescent="0.45">
      <c r="A224" s="303" t="s">
        <v>148</v>
      </c>
      <c r="B224" s="303" t="str">
        <v>DIFFERENTIAL EQUATIONS</v>
      </c>
      <c r="C224" s="352" t="str">
        <v>Boateng Maxwell Akwasi</v>
      </c>
      <c r="D224" s="303" t="s">
        <v>141</v>
      </c>
      <c r="E224" s="336">
        <v>242</v>
      </c>
      <c r="F224" s="350" t="s">
        <v>1534</v>
      </c>
      <c r="G224" s="338">
        <f t="shared" ref="G224:G235" si="32">1.1*E224</f>
        <v>266.20000000000005</v>
      </c>
      <c r="H224" s="329" t="s">
        <v>1642</v>
      </c>
      <c r="I224" s="330" t="str">
        <f t="shared" si="26"/>
        <v>MATH 251,ED2-ME</v>
      </c>
      <c r="J224" s="335"/>
    </row>
    <row r="225" spans="1:10" x14ac:dyDescent="0.45">
      <c r="A225" s="303" t="s">
        <v>148</v>
      </c>
      <c r="B225" s="303" t="str">
        <v>DIFFERENTIAL EQUATIONS</v>
      </c>
      <c r="C225" s="352" t="str">
        <v>Wireko Fredrick Asenso</v>
      </c>
      <c r="D225" s="303" t="s">
        <v>32</v>
      </c>
      <c r="E225" s="336">
        <v>179</v>
      </c>
      <c r="F225" s="355" t="s">
        <v>1760</v>
      </c>
      <c r="G225" s="338">
        <f t="shared" si="32"/>
        <v>196.9</v>
      </c>
      <c r="H225" s="329" t="s">
        <v>1761</v>
      </c>
      <c r="I225" s="330" t="str">
        <f t="shared" si="26"/>
        <v>MATH 251,ED2-TEL</v>
      </c>
      <c r="J225" s="335"/>
    </row>
    <row r="226" spans="1:10" x14ac:dyDescent="0.45">
      <c r="A226" s="303" t="s">
        <v>148</v>
      </c>
      <c r="B226" s="303" t="str">
        <v>DIFFERENTIAL EQUATIONS</v>
      </c>
      <c r="C226" s="352" t="str">
        <v>Wireko Fredrick Asenso</v>
      </c>
      <c r="D226" s="303" t="s">
        <v>126</v>
      </c>
      <c r="E226" s="336">
        <v>154</v>
      </c>
      <c r="F226" s="355" t="s">
        <v>1636</v>
      </c>
      <c r="G226" s="338">
        <f t="shared" si="32"/>
        <v>169.4</v>
      </c>
      <c r="H226" s="329" t="s">
        <v>1643</v>
      </c>
      <c r="I226" s="330" t="str">
        <f t="shared" si="26"/>
        <v>MATH 251,ED2-GEOL</v>
      </c>
      <c r="J226" s="335"/>
    </row>
    <row r="227" spans="1:10" x14ac:dyDescent="0.45">
      <c r="A227" s="303" t="s">
        <v>148</v>
      </c>
      <c r="B227" s="303" t="str">
        <v>DIFFERENTIAL EQUATIONS</v>
      </c>
      <c r="C227" s="352" t="str">
        <v>Wireko Fredrick Asenso</v>
      </c>
      <c r="D227" s="303" t="s">
        <v>30</v>
      </c>
      <c r="E227" s="336">
        <v>253</v>
      </c>
      <c r="F227" s="350" t="s">
        <v>1637</v>
      </c>
      <c r="G227" s="338">
        <f t="shared" si="32"/>
        <v>278.3</v>
      </c>
      <c r="H227" s="329" t="s">
        <v>1644</v>
      </c>
      <c r="I227" s="330" t="str">
        <f t="shared" si="26"/>
        <v>MATH 251,ED2-COE</v>
      </c>
      <c r="J227" s="335"/>
    </row>
    <row r="228" spans="1:10" x14ac:dyDescent="0.45">
      <c r="A228" s="303" t="s">
        <v>148</v>
      </c>
      <c r="B228" s="303" t="str">
        <v>DIFFERENTIAL EQUATIONS</v>
      </c>
      <c r="C228" s="352" t="str">
        <v>Wireko Fredrick Asenso</v>
      </c>
      <c r="D228" s="303" t="s">
        <v>25</v>
      </c>
      <c r="E228" s="336">
        <v>80</v>
      </c>
      <c r="F228" s="355" t="s">
        <v>1638</v>
      </c>
      <c r="G228" s="338">
        <f t="shared" si="32"/>
        <v>88</v>
      </c>
      <c r="H228" s="329" t="s">
        <v>1645</v>
      </c>
      <c r="I228" s="330" t="str">
        <f>CONCATENATE(A228,",",D228)</f>
        <v>MATH 251,ED2-IND</v>
      </c>
      <c r="J228" s="335"/>
    </row>
    <row r="229" spans="1:10" x14ac:dyDescent="0.45">
      <c r="A229" s="303" t="s">
        <v>148</v>
      </c>
      <c r="B229" s="303" t="str">
        <v>DIFFERENTIAL EQUATIONS</v>
      </c>
      <c r="C229" s="352" t="str">
        <v>Wireko Fredrick Asenso</v>
      </c>
      <c r="D229" s="303" t="s">
        <v>142</v>
      </c>
      <c r="E229" s="336">
        <v>155</v>
      </c>
      <c r="F229" s="355" t="s">
        <v>1535</v>
      </c>
      <c r="G229" s="338">
        <f t="shared" si="32"/>
        <v>170.5</v>
      </c>
      <c r="H229" s="329" t="s">
        <v>1646</v>
      </c>
      <c r="I229" s="330" t="str">
        <f>CONCATENATE(A229,",",D229)</f>
        <v>MATH 251,ED2-AE</v>
      </c>
      <c r="J229" s="335"/>
    </row>
    <row r="230" spans="1:10" x14ac:dyDescent="0.45">
      <c r="A230" s="303" t="s">
        <v>148</v>
      </c>
      <c r="B230" s="303" t="str">
        <v>DIFFERENTIAL EQUATIONS</v>
      </c>
      <c r="C230" s="352" t="str">
        <v>Wireko Fredrick Asenso</v>
      </c>
      <c r="D230" s="303" t="s">
        <v>101</v>
      </c>
      <c r="E230" s="336">
        <v>260</v>
      </c>
      <c r="F230" s="355" t="s">
        <v>1639</v>
      </c>
      <c r="G230" s="338">
        <f t="shared" si="32"/>
        <v>286</v>
      </c>
      <c r="H230" s="329" t="s">
        <v>1647</v>
      </c>
      <c r="I230" s="330" t="str">
        <f>CONCATENATE(A230,",",D230)</f>
        <v>MATH 251,ED2-CE</v>
      </c>
      <c r="J230" s="335"/>
    </row>
    <row r="231" spans="1:10" s="357" customFormat="1" x14ac:dyDescent="0.45">
      <c r="A231" s="305" t="s">
        <v>148</v>
      </c>
      <c r="B231" s="305" t="str">
        <v>DIFFERENTIAL EQUATIONS</v>
      </c>
      <c r="C231" s="356" t="str">
        <v>Wireko Fredrick Asenso</v>
      </c>
      <c r="D231" s="305" t="s">
        <v>140</v>
      </c>
      <c r="E231" s="305">
        <v>74</v>
      </c>
      <c r="F231" s="355" t="s">
        <v>1445</v>
      </c>
      <c r="G231" s="338">
        <f t="shared" si="32"/>
        <v>81.400000000000006</v>
      </c>
      <c r="H231" s="329" t="s">
        <v>1537</v>
      </c>
      <c r="I231" s="357" t="str">
        <f>CONCATENATE(A231,",",D231)</f>
        <v>MATH 251,ED2-AERO</v>
      </c>
    </row>
    <row r="232" spans="1:10" x14ac:dyDescent="0.45">
      <c r="A232" s="303" t="s">
        <v>148</v>
      </c>
      <c r="B232" s="303" t="str">
        <v>DIFFERENTIAL EQUATIONS</v>
      </c>
      <c r="C232" s="352" t="str">
        <v>Barnes Benedict</v>
      </c>
      <c r="D232" s="303" t="s">
        <v>84</v>
      </c>
      <c r="E232" s="336">
        <v>134</v>
      </c>
      <c r="F232" s="355" t="s">
        <v>1416</v>
      </c>
      <c r="G232" s="338">
        <f t="shared" si="32"/>
        <v>147.4</v>
      </c>
      <c r="H232" s="329" t="s">
        <v>1648</v>
      </c>
      <c r="I232" s="330" t="str">
        <f t="shared" si="26"/>
        <v>MATH 251,ED2-GEOM</v>
      </c>
      <c r="J232" s="335"/>
    </row>
    <row r="233" spans="1:10" x14ac:dyDescent="0.45">
      <c r="A233" s="303" t="s">
        <v>202</v>
      </c>
      <c r="B233" s="303" t="str">
        <v>AEROSPACE VEHICLE DESIGN</v>
      </c>
      <c r="C233" s="339" t="str">
        <v>Oppong David Kofi</v>
      </c>
      <c r="D233" s="303" t="s">
        <v>44</v>
      </c>
      <c r="E233" s="336">
        <v>61</v>
      </c>
      <c r="F233" s="350" t="s">
        <v>1640</v>
      </c>
      <c r="G233" s="338">
        <f t="shared" si="32"/>
        <v>67.100000000000009</v>
      </c>
      <c r="H233" s="329" t="s">
        <v>1484</v>
      </c>
      <c r="I233" s="330" t="str">
        <f>CONCATENATE(A233,",",D233)</f>
        <v>AERO 473,ED4-AERO</v>
      </c>
      <c r="J233" s="335"/>
    </row>
    <row r="234" spans="1:10" x14ac:dyDescent="0.45">
      <c r="A234" s="303" t="s">
        <v>168</v>
      </c>
      <c r="B234" s="303" t="str">
        <v>EXPERIMENTAL DATA ANALYSIS</v>
      </c>
      <c r="C234" s="339" t="str">
        <v>Kwao-Boateng Emmanuela</v>
      </c>
      <c r="D234" s="303" t="s">
        <v>71</v>
      </c>
      <c r="E234" s="336">
        <v>51</v>
      </c>
      <c r="F234" s="350" t="s">
        <v>1635</v>
      </c>
      <c r="G234" s="338">
        <f t="shared" si="32"/>
        <v>56.1</v>
      </c>
      <c r="H234" s="329" t="s">
        <v>1466</v>
      </c>
      <c r="I234" s="330" t="str">
        <f>CONCATENATE(A234,",",D234)</f>
        <v>CHE 357,ED3-PCE</v>
      </c>
      <c r="J234" s="335"/>
    </row>
    <row r="235" spans="1:10" x14ac:dyDescent="0.45">
      <c r="A235" s="303" t="s">
        <v>168</v>
      </c>
      <c r="B235" s="303" t="str">
        <v>EXPERIMENTAL DATA ANALYSIS</v>
      </c>
      <c r="C235" s="352" t="str">
        <v>Rockson Mizpah Ama Dziedzorm</v>
      </c>
      <c r="D235" s="303" t="s">
        <v>92</v>
      </c>
      <c r="E235" s="336">
        <v>100</v>
      </c>
      <c r="F235" s="355" t="s">
        <v>1641</v>
      </c>
      <c r="G235" s="338">
        <f t="shared" si="32"/>
        <v>110.00000000000001</v>
      </c>
      <c r="H235" s="329" t="s">
        <v>1614</v>
      </c>
      <c r="I235" s="330" t="str">
        <f t="shared" si="26"/>
        <v>CHE 357,ED3-CHE</v>
      </c>
      <c r="J235" s="335"/>
    </row>
    <row r="236" spans="1:10" x14ac:dyDescent="0.45">
      <c r="A236" s="340"/>
      <c r="B236" s="340"/>
      <c r="C236" s="333"/>
      <c r="D236" s="303" t="s">
        <v>181</v>
      </c>
      <c r="E236" s="332">
        <f>SUM(E223:E235)</f>
        <v>1780</v>
      </c>
      <c r="F236" s="341"/>
      <c r="G236" s="340"/>
      <c r="H236" s="329"/>
      <c r="I236" s="330" t="str">
        <f t="shared" ref="I236:I295" si="33">CONCATENATE(A236,",",D236)</f>
        <v>,Total T4</v>
      </c>
      <c r="J236" s="335"/>
    </row>
    <row r="237" spans="1:10" x14ac:dyDescent="0.45">
      <c r="A237" s="340"/>
      <c r="B237" s="340"/>
      <c r="C237" s="333"/>
      <c r="D237" s="340"/>
      <c r="E237" s="340"/>
      <c r="F237" s="341"/>
      <c r="G237" s="340"/>
      <c r="H237" s="329"/>
      <c r="I237" s="330" t="str">
        <f t="shared" si="33"/>
        <v>,</v>
      </c>
      <c r="J237" s="335"/>
    </row>
    <row r="238" spans="1:10" x14ac:dyDescent="0.45">
      <c r="A238" s="340"/>
      <c r="B238" s="340"/>
      <c r="C238" s="333"/>
      <c r="D238" s="340"/>
      <c r="E238" s="340"/>
      <c r="F238" s="341"/>
      <c r="G238" s="340"/>
      <c r="H238" s="329"/>
      <c r="I238" s="330" t="str">
        <f t="shared" si="33"/>
        <v>,</v>
      </c>
      <c r="J238" s="335"/>
    </row>
    <row r="239" spans="1:10" x14ac:dyDescent="0.45">
      <c r="A239" s="383" t="s">
        <v>1363</v>
      </c>
      <c r="B239" s="383"/>
      <c r="C239" s="383"/>
      <c r="D239" s="383"/>
      <c r="E239" s="383"/>
      <c r="F239" s="383"/>
      <c r="G239" s="383"/>
      <c r="H239" s="329"/>
      <c r="I239" s="330" t="str">
        <f t="shared" si="33"/>
        <v>Tuesday, 24 February 2026,</v>
      </c>
      <c r="J239" s="335"/>
    </row>
    <row r="240" spans="1:10" x14ac:dyDescent="0.45">
      <c r="A240" s="383" t="str">
        <f>[6]SESSIONS!$K$5</f>
        <v>Session, 5 (3:15 PM - 4:15 PM)</v>
      </c>
      <c r="B240" s="383"/>
      <c r="C240" s="383"/>
      <c r="D240" s="383"/>
      <c r="E240" s="383"/>
      <c r="F240" s="383"/>
      <c r="G240" s="383"/>
      <c r="H240" s="329"/>
      <c r="I240" s="330" t="str">
        <f t="shared" si="33"/>
        <v>Session, 5 (3:15 PM - 4:15 PM),</v>
      </c>
      <c r="J240" s="335"/>
    </row>
    <row r="241" spans="1:10" x14ac:dyDescent="0.45">
      <c r="A241" s="332" t="s">
        <v>2</v>
      </c>
      <c r="B241" s="332" t="s">
        <v>3</v>
      </c>
      <c r="C241" s="333" t="s">
        <v>4</v>
      </c>
      <c r="D241" s="332" t="s">
        <v>5</v>
      </c>
      <c r="E241" s="332" t="s">
        <v>6</v>
      </c>
      <c r="F241" s="334" t="s">
        <v>7</v>
      </c>
      <c r="G241" s="332" t="s">
        <v>8</v>
      </c>
      <c r="H241" s="329"/>
      <c r="I241" s="330" t="str">
        <f t="shared" si="33"/>
        <v>CODE ,CLASS</v>
      </c>
      <c r="J241" s="335"/>
    </row>
    <row r="242" spans="1:10" x14ac:dyDescent="0.45">
      <c r="A242" s="303" t="s">
        <v>182</v>
      </c>
      <c r="B242" s="303" t="str" cm="1">
        <f t="array" ref="B242:B257">IFERROR(VLOOKUP(I242:I257,Lecturers!A2:G597,7,FALSE),0)</f>
        <v>ENVIRONMENTAL STUDIES</v>
      </c>
      <c r="C242" s="304" t="str" cm="1">
        <f t="array" ref="C242:C257">IFERROR(VLOOKUP(I242:I257,Lecturers!A2:G597,2,FALSE),0)</f>
        <v>Appiah-Brempong Miriam</v>
      </c>
      <c r="D242" s="303" t="s">
        <v>40</v>
      </c>
      <c r="E242" s="336" cm="1">
        <f t="array" ref="E242:E257">IFERROR(VLOOKUP(I242:I257,Lecturers!A2:G597,3,FALSE),0)</f>
        <v>70</v>
      </c>
      <c r="F242" s="350" t="s">
        <v>1649</v>
      </c>
      <c r="G242" s="338">
        <f>1.1*E242</f>
        <v>77</v>
      </c>
      <c r="H242" s="329" t="s">
        <v>1655</v>
      </c>
      <c r="I242" s="330" t="str">
        <f>CONCATENATE(A242,",",D242)</f>
        <v>CE 155,ED1-AERO</v>
      </c>
      <c r="J242" s="335"/>
    </row>
    <row r="243" spans="1:10" x14ac:dyDescent="0.45">
      <c r="A243" s="303" t="s">
        <v>182</v>
      </c>
      <c r="B243" s="303" t="str">
        <v>ENVIRONMENTAL STUDIES</v>
      </c>
      <c r="C243" s="304" t="str">
        <v>Buamah Richard Akwasi</v>
      </c>
      <c r="D243" s="303" t="s">
        <v>163</v>
      </c>
      <c r="E243" s="336">
        <v>126</v>
      </c>
      <c r="F243" s="350" t="s">
        <v>1650</v>
      </c>
      <c r="G243" s="338">
        <f t="shared" ref="G243:G257" si="34">1.1*E243</f>
        <v>138.60000000000002</v>
      </c>
      <c r="H243" s="329" t="s">
        <v>1656</v>
      </c>
      <c r="I243" s="330" t="str">
        <f>CONCATENATE(A243,",",D243)</f>
        <v>CE 155,ED1-AE</v>
      </c>
      <c r="J243" s="335"/>
    </row>
    <row r="244" spans="1:10" x14ac:dyDescent="0.45">
      <c r="A244" s="303" t="s">
        <v>182</v>
      </c>
      <c r="B244" s="303" t="str">
        <v>ENVIRONMENTAL STUDIES</v>
      </c>
      <c r="C244" s="304" t="str">
        <v>Essandoh Helen Michelle Korkor</v>
      </c>
      <c r="D244" s="303" t="s">
        <v>69</v>
      </c>
      <c r="E244" s="336">
        <v>261</v>
      </c>
      <c r="F244" s="355" t="s">
        <v>1639</v>
      </c>
      <c r="G244" s="338">
        <f t="shared" si="34"/>
        <v>287.10000000000002</v>
      </c>
      <c r="H244" s="329" t="s">
        <v>1657</v>
      </c>
      <c r="I244" s="330" t="str">
        <f t="shared" si="33"/>
        <v>CE 155,ED1-COE</v>
      </c>
      <c r="J244" s="335"/>
    </row>
    <row r="245" spans="1:10" x14ac:dyDescent="0.45">
      <c r="A245" s="303" t="s">
        <v>182</v>
      </c>
      <c r="B245" s="303" t="str">
        <v>ENVIRONMENTAL STUDIES</v>
      </c>
      <c r="C245" s="304" t="str">
        <v>Appiah-Brempong Miriam</v>
      </c>
      <c r="D245" s="303" t="s">
        <v>161</v>
      </c>
      <c r="E245" s="336">
        <v>81</v>
      </c>
      <c r="F245" s="350" t="s">
        <v>505</v>
      </c>
      <c r="G245" s="338">
        <f t="shared" si="34"/>
        <v>89.100000000000009</v>
      </c>
      <c r="H245" s="329">
        <v>81</v>
      </c>
      <c r="I245" s="330" t="str">
        <f t="shared" si="33"/>
        <v>CE 155,ED1-IND</v>
      </c>
      <c r="J245" s="335"/>
    </row>
    <row r="246" spans="1:10" x14ac:dyDescent="0.45">
      <c r="A246" s="303" t="s">
        <v>182</v>
      </c>
      <c r="B246" s="303" t="str">
        <v>ENVIRONMENTAL STUDIES</v>
      </c>
      <c r="C246" s="304" t="str">
        <v>Buamah Richard Akwasi</v>
      </c>
      <c r="D246" s="303" t="s">
        <v>183</v>
      </c>
      <c r="E246" s="336">
        <v>129</v>
      </c>
      <c r="F246" s="350" t="s">
        <v>1416</v>
      </c>
      <c r="G246" s="338">
        <f t="shared" si="34"/>
        <v>141.9</v>
      </c>
      <c r="H246" s="329" t="s">
        <v>1658</v>
      </c>
      <c r="I246" s="330" t="str">
        <f t="shared" si="33"/>
        <v>CE 155,ED1-TEL</v>
      </c>
      <c r="J246" s="335"/>
    </row>
    <row r="247" spans="1:10" x14ac:dyDescent="0.45">
      <c r="A247" s="303" t="s">
        <v>182</v>
      </c>
      <c r="B247" s="303" t="str">
        <v>ENVIRONMENTAL STUDIES</v>
      </c>
      <c r="C247" s="304" t="str">
        <v>Awuah Esi</v>
      </c>
      <c r="D247" s="303" t="s">
        <v>164</v>
      </c>
      <c r="E247" s="336">
        <v>223</v>
      </c>
      <c r="F247" s="341" t="s">
        <v>1534</v>
      </c>
      <c r="G247" s="338">
        <f t="shared" si="34"/>
        <v>245.3</v>
      </c>
      <c r="H247" s="329" t="s">
        <v>1659</v>
      </c>
      <c r="I247" s="330" t="str">
        <f>CONCATENATE(A247,",",D247)</f>
        <v>CE 155,ED1-ME</v>
      </c>
      <c r="J247" s="335"/>
    </row>
    <row r="248" spans="1:10" x14ac:dyDescent="0.45">
      <c r="A248" s="303" t="s">
        <v>102</v>
      </c>
      <c r="B248" s="303" t="str">
        <v>INORGANIC CHEMISTRY FOR ENGINEERS</v>
      </c>
      <c r="C248" s="304" t="str">
        <v>Opoku Francis</v>
      </c>
      <c r="D248" s="303" t="s">
        <v>103</v>
      </c>
      <c r="E248" s="336">
        <v>120</v>
      </c>
      <c r="F248" s="350" t="s">
        <v>1651</v>
      </c>
      <c r="G248" s="338">
        <f t="shared" si="34"/>
        <v>132</v>
      </c>
      <c r="H248" s="329" t="s">
        <v>1660</v>
      </c>
      <c r="I248" s="330" t="str">
        <f t="shared" ref="I248:I252" si="35">CONCATENATE(A248,",",D248)</f>
        <v>CHE 151,ED1-CHE</v>
      </c>
      <c r="J248" s="335"/>
    </row>
    <row r="249" spans="1:10" x14ac:dyDescent="0.45">
      <c r="A249" s="303" t="s">
        <v>102</v>
      </c>
      <c r="B249" s="303" t="str">
        <v>INORGANIC CHEMISTRY FOR ENGINEERS</v>
      </c>
      <c r="C249" s="304" t="str">
        <v>Opoku Francis</v>
      </c>
      <c r="D249" s="303" t="s">
        <v>104</v>
      </c>
      <c r="E249" s="336">
        <v>56</v>
      </c>
      <c r="F249" s="350" t="s">
        <v>1652</v>
      </c>
      <c r="G249" s="338">
        <f t="shared" si="34"/>
        <v>61.600000000000009</v>
      </c>
      <c r="H249" s="329" t="s">
        <v>1525</v>
      </c>
      <c r="I249" s="330" t="str">
        <f t="shared" si="35"/>
        <v>CHE 151,ED1-PCE</v>
      </c>
      <c r="J249" s="335"/>
    </row>
    <row r="250" spans="1:10" x14ac:dyDescent="0.45">
      <c r="A250" s="303" t="s">
        <v>106</v>
      </c>
      <c r="B250" s="303" t="str">
        <v>INORGANIC CHEMISTRY FOR ENGINEERS</v>
      </c>
      <c r="C250" s="304" t="str">
        <v>Opoku Francis</v>
      </c>
      <c r="D250" s="303" t="s">
        <v>1382</v>
      </c>
      <c r="E250" s="336">
        <v>129</v>
      </c>
      <c r="F250" s="350" t="s">
        <v>1603</v>
      </c>
      <c r="G250" s="338">
        <f t="shared" si="34"/>
        <v>141.9</v>
      </c>
      <c r="H250" s="329" t="s">
        <v>1605</v>
      </c>
      <c r="I250" s="330" t="str">
        <f t="shared" si="35"/>
        <v>PE 151,ED1-PE</v>
      </c>
      <c r="J250" s="335"/>
    </row>
    <row r="251" spans="1:10" x14ac:dyDescent="0.45">
      <c r="A251" s="303" t="s">
        <v>186</v>
      </c>
      <c r="B251" s="303" t="str">
        <v>METALLURGICAL FAILURE ANALYSIS AND NDTs</v>
      </c>
      <c r="C251" s="339" t="str">
        <v>Arthur Emmanuel Kwesi</v>
      </c>
      <c r="D251" s="303" t="s">
        <v>95</v>
      </c>
      <c r="E251" s="336">
        <v>49</v>
      </c>
      <c r="F251" s="350" t="s">
        <v>1479</v>
      </c>
      <c r="G251" s="338">
        <f t="shared" si="34"/>
        <v>53.900000000000006</v>
      </c>
      <c r="H251" s="329" t="s">
        <v>1661</v>
      </c>
      <c r="I251" s="330" t="str">
        <f t="shared" si="35"/>
        <v>METE 453,ED4-METE</v>
      </c>
      <c r="J251" s="335"/>
    </row>
    <row r="252" spans="1:10" x14ac:dyDescent="0.45">
      <c r="A252" s="303" t="s">
        <v>187</v>
      </c>
      <c r="B252" s="303" t="str">
        <v>FAILURE ANALYSIS AND NON-DESTRUCTIVE TESTING</v>
      </c>
      <c r="C252" s="339" t="str">
        <v>Arthur Emmanuel Kwesi</v>
      </c>
      <c r="D252" s="303" t="s">
        <v>97</v>
      </c>
      <c r="E252" s="336">
        <v>64</v>
      </c>
      <c r="F252" s="350" t="s">
        <v>1653</v>
      </c>
      <c r="G252" s="338">
        <f t="shared" si="34"/>
        <v>70.400000000000006</v>
      </c>
      <c r="H252" s="329" t="s">
        <v>1662</v>
      </c>
      <c r="I252" s="330" t="str">
        <f t="shared" si="35"/>
        <v>MSE 455,ED4-MSE</v>
      </c>
      <c r="J252" s="335"/>
    </row>
    <row r="253" spans="1:10" x14ac:dyDescent="0.45">
      <c r="A253" s="303" t="s">
        <v>150</v>
      </c>
      <c r="B253" s="303" t="str">
        <v>ENGINEERING CERAMICS</v>
      </c>
      <c r="C253" s="304" t="str">
        <v>Andrews Anthony</v>
      </c>
      <c r="D253" s="303" t="s">
        <v>123</v>
      </c>
      <c r="E253" s="336">
        <v>89</v>
      </c>
      <c r="F253" s="350" t="s">
        <v>1654</v>
      </c>
      <c r="G253" s="338">
        <f t="shared" si="34"/>
        <v>97.9</v>
      </c>
      <c r="H253" s="329" t="s">
        <v>1663</v>
      </c>
      <c r="I253" s="330" t="str">
        <f>CONCATENATE(A253,",",D253)</f>
        <v>MSE 351,ED3-MSE</v>
      </c>
      <c r="J253" s="335"/>
    </row>
    <row r="254" spans="1:10" x14ac:dyDescent="0.45">
      <c r="A254" s="303" t="s">
        <v>179</v>
      </c>
      <c r="B254" s="303" t="str">
        <v>PETROLOGY</v>
      </c>
      <c r="C254" s="352" t="str">
        <v>Foli Gordon</v>
      </c>
      <c r="D254" s="303" t="s">
        <v>16</v>
      </c>
      <c r="E254" s="336">
        <v>154</v>
      </c>
      <c r="F254" s="355" t="s">
        <v>1424</v>
      </c>
      <c r="G254" s="338">
        <f t="shared" si="34"/>
        <v>169.4</v>
      </c>
      <c r="H254" s="329" t="s">
        <v>1664</v>
      </c>
      <c r="I254" s="330" t="str">
        <f>CONCATENATE(A254,",",D254)</f>
        <v>GED 351,ED3-GEOL</v>
      </c>
      <c r="J254" s="335"/>
    </row>
    <row r="255" spans="1:10" x14ac:dyDescent="0.45">
      <c r="A255" s="303" t="s">
        <v>174</v>
      </c>
      <c r="B255" s="303" t="str">
        <v>LAND AND GEOGRAPHIC INFORMATION SYSTEM I</v>
      </c>
      <c r="C255" s="339" t="str">
        <v>Forkuo Eric Kwabena</v>
      </c>
      <c r="D255" s="303" t="s">
        <v>78</v>
      </c>
      <c r="E255" s="336">
        <v>93</v>
      </c>
      <c r="F255" s="350" t="s">
        <v>1417</v>
      </c>
      <c r="G255" s="338">
        <f t="shared" si="34"/>
        <v>102.30000000000001</v>
      </c>
      <c r="H255" s="329" t="s">
        <v>1665</v>
      </c>
      <c r="I255" s="330" t="str">
        <f>CONCATENATE(A255,",",D255)</f>
        <v>GE 463,ED4-GEOM</v>
      </c>
      <c r="J255" s="335"/>
    </row>
    <row r="256" spans="1:10" x14ac:dyDescent="0.45">
      <c r="A256" s="303" t="s">
        <v>189</v>
      </c>
      <c r="B256" s="303" t="str">
        <v>DESIGN OF MARINE MACHINE ELEMENTS</v>
      </c>
      <c r="C256" s="339" t="str">
        <v>Andoh Prince Yaw</v>
      </c>
      <c r="D256" s="303" t="s">
        <v>21</v>
      </c>
      <c r="E256" s="336">
        <v>40</v>
      </c>
      <c r="F256" s="350" t="s">
        <v>149</v>
      </c>
      <c r="G256" s="338">
        <f t="shared" si="34"/>
        <v>44</v>
      </c>
      <c r="H256" s="329"/>
      <c r="I256" s="330" t="str">
        <f t="shared" si="33"/>
        <v>MME 373,ED3-MARI</v>
      </c>
      <c r="J256" s="335"/>
    </row>
    <row r="257" spans="1:10" x14ac:dyDescent="0.45">
      <c r="A257" s="303" t="s">
        <v>190</v>
      </c>
      <c r="B257" s="303" t="str">
        <v>DESIGN OF AUTO MECHANICAL SYSTEMS</v>
      </c>
      <c r="C257" s="339" t="str">
        <v>Andoh Prince Yaw</v>
      </c>
      <c r="D257" s="303" t="s">
        <v>12</v>
      </c>
      <c r="E257" s="336">
        <v>47</v>
      </c>
      <c r="F257" s="350" t="s">
        <v>149</v>
      </c>
      <c r="G257" s="338">
        <f t="shared" si="34"/>
        <v>51.7</v>
      </c>
      <c r="H257" s="329"/>
      <c r="I257" s="330" t="str">
        <f t="shared" si="33"/>
        <v>AME 373,ED3-AUTO</v>
      </c>
      <c r="J257" s="335"/>
    </row>
    <row r="258" spans="1:10" x14ac:dyDescent="0.45">
      <c r="A258" s="340"/>
      <c r="B258" s="340"/>
      <c r="C258" s="333"/>
      <c r="D258" s="303" t="s">
        <v>191</v>
      </c>
      <c r="E258" s="332">
        <f>SUM(E242:E255)</f>
        <v>1644</v>
      </c>
      <c r="F258" s="341"/>
      <c r="G258" s="340"/>
      <c r="H258" s="329"/>
      <c r="I258" s="330" t="str">
        <f t="shared" si="33"/>
        <v>,Total T5</v>
      </c>
      <c r="J258" s="335"/>
    </row>
    <row r="259" spans="1:10" x14ac:dyDescent="0.45">
      <c r="A259" s="340"/>
      <c r="B259" s="340"/>
      <c r="C259" s="333"/>
      <c r="D259" s="303"/>
      <c r="E259" s="332"/>
      <c r="F259" s="341"/>
      <c r="G259" s="340"/>
      <c r="H259" s="329"/>
      <c r="I259" s="330" t="str">
        <f t="shared" si="33"/>
        <v>,</v>
      </c>
      <c r="J259" s="335"/>
    </row>
    <row r="260" spans="1:10" x14ac:dyDescent="0.45">
      <c r="A260" s="340"/>
      <c r="B260" s="340"/>
      <c r="C260" s="333"/>
      <c r="D260" s="303"/>
      <c r="E260" s="332"/>
      <c r="F260" s="341"/>
      <c r="G260" s="340"/>
      <c r="H260" s="329"/>
      <c r="I260" s="330" t="str">
        <f t="shared" si="33"/>
        <v>,</v>
      </c>
      <c r="J260" s="335"/>
    </row>
    <row r="261" spans="1:10" x14ac:dyDescent="0.45">
      <c r="A261" s="383" t="s">
        <v>1363</v>
      </c>
      <c r="B261" s="383"/>
      <c r="C261" s="383"/>
      <c r="D261" s="383"/>
      <c r="E261" s="383"/>
      <c r="F261" s="383"/>
      <c r="G261" s="383"/>
      <c r="H261" s="329"/>
      <c r="I261" s="330" t="str">
        <f t="shared" si="33"/>
        <v>Tuesday, 24 February 2026,</v>
      </c>
      <c r="J261" s="335"/>
    </row>
    <row r="262" spans="1:10" x14ac:dyDescent="0.45">
      <c r="A262" s="383" t="str">
        <f>[6]SESSIONS!$K$6</f>
        <v>Session, 6 (5:00 PM - 6:00 PM)</v>
      </c>
      <c r="B262" s="383"/>
      <c r="C262" s="383"/>
      <c r="D262" s="383"/>
      <c r="E262" s="383"/>
      <c r="F262" s="383"/>
      <c r="G262" s="383"/>
      <c r="H262" s="329"/>
      <c r="I262" s="330" t="str">
        <f t="shared" si="33"/>
        <v>Session, 6 (5:00 PM - 6:00 PM),</v>
      </c>
      <c r="J262" s="335"/>
    </row>
    <row r="263" spans="1:10" x14ac:dyDescent="0.45">
      <c r="A263" s="332" t="s">
        <v>2</v>
      </c>
      <c r="B263" s="332" t="s">
        <v>3</v>
      </c>
      <c r="C263" s="333" t="s">
        <v>4</v>
      </c>
      <c r="D263" s="332" t="s">
        <v>5</v>
      </c>
      <c r="E263" s="332" t="s">
        <v>6</v>
      </c>
      <c r="F263" s="334" t="s">
        <v>7</v>
      </c>
      <c r="G263" s="332" t="s">
        <v>8</v>
      </c>
      <c r="H263" s="329"/>
      <c r="I263" s="330" t="str">
        <f t="shared" si="33"/>
        <v>CODE ,CLASS</v>
      </c>
      <c r="J263" s="335"/>
    </row>
    <row r="264" spans="1:10" x14ac:dyDescent="0.45">
      <c r="A264" s="303" t="s">
        <v>192</v>
      </c>
      <c r="B264" s="303" t="str" cm="1">
        <f t="array" ref="B264:B276">IFERROR(VLOOKUP(I264:I276,Lecturers!A2:G597,7,FALSE),0)</f>
        <v>INTRODUCTION TO PETROCHEMICAL INDUSTRIES</v>
      </c>
      <c r="C264" s="304" t="str" cm="1">
        <f t="array" ref="C264:C276">IFERROR(VLOOKUP(I264:I276,Lecturers!A2:G597,2,FALSE),0)</f>
        <v>Baidoo Martina Francisca</v>
      </c>
      <c r="D264" s="303" t="s">
        <v>64</v>
      </c>
      <c r="E264" s="336" cm="1">
        <f t="array" ref="E264:E276">IFERROR(VLOOKUP(I264:I276,Lecturers!A2:G597,3,FALSE),0)</f>
        <v>59</v>
      </c>
      <c r="F264" s="350" t="s">
        <v>505</v>
      </c>
      <c r="G264" s="338">
        <f>1.1*E264</f>
        <v>64.900000000000006</v>
      </c>
      <c r="H264" s="329">
        <v>59</v>
      </c>
      <c r="I264" s="330" t="str">
        <f t="shared" ref="I264:I267" si="36">CONCATENATE(A264,",",D264)</f>
        <v>PCE 253,ED2-PCE</v>
      </c>
      <c r="J264" s="335"/>
    </row>
    <row r="265" spans="1:10" s="359" customFormat="1" x14ac:dyDescent="0.45">
      <c r="A265" s="358" t="s">
        <v>178</v>
      </c>
      <c r="B265" s="358" t="str">
        <v>CHEMICAL PROCESS INDUSTRIES</v>
      </c>
      <c r="C265" s="343" t="str">
        <v>Afotey Benjamin</v>
      </c>
      <c r="D265" s="358" t="s">
        <v>63</v>
      </c>
      <c r="E265" s="358">
        <v>154</v>
      </c>
      <c r="F265" s="350" t="s">
        <v>1424</v>
      </c>
      <c r="G265" s="338">
        <f t="shared" ref="G265:G276" si="37">1.1*E265</f>
        <v>169.4</v>
      </c>
      <c r="H265" s="329" t="s">
        <v>1757</v>
      </c>
      <c r="I265" s="359" t="str">
        <f>CONCATENATE(A265,",",D265)</f>
        <v>CHE 259,ED2-CHE</v>
      </c>
    </row>
    <row r="266" spans="1:10" x14ac:dyDescent="0.45">
      <c r="A266" s="303" t="s">
        <v>193</v>
      </c>
      <c r="B266" s="303" t="str">
        <v>BASIC MECHANICS</v>
      </c>
      <c r="C266" s="339" t="str">
        <v>Adam Faisal Wahib</v>
      </c>
      <c r="D266" s="303" t="s">
        <v>36</v>
      </c>
      <c r="E266" s="336">
        <v>119</v>
      </c>
      <c r="F266" s="350" t="s">
        <v>1495</v>
      </c>
      <c r="G266" s="338">
        <f t="shared" si="37"/>
        <v>130.9</v>
      </c>
      <c r="H266" s="329" t="s">
        <v>1766</v>
      </c>
      <c r="I266" s="330" t="str">
        <f t="shared" si="36"/>
        <v>ME 161,ED1-GEOL</v>
      </c>
      <c r="J266" s="335"/>
    </row>
    <row r="267" spans="1:10" x14ac:dyDescent="0.45">
      <c r="A267" s="303" t="s">
        <v>193</v>
      </c>
      <c r="B267" s="303" t="str">
        <v>BASIC MECHANICS</v>
      </c>
      <c r="C267" s="339" t="str">
        <v>Opoku Richard</v>
      </c>
      <c r="D267" s="303" t="s">
        <v>165</v>
      </c>
      <c r="E267" s="336">
        <v>242</v>
      </c>
      <c r="F267" s="350" t="s">
        <v>1758</v>
      </c>
      <c r="G267" s="338">
        <f t="shared" si="37"/>
        <v>266.20000000000005</v>
      </c>
      <c r="H267" s="329" t="s">
        <v>1759</v>
      </c>
      <c r="I267" s="330" t="str">
        <f t="shared" si="36"/>
        <v>ME 161,ED1-CE</v>
      </c>
      <c r="J267" s="335"/>
    </row>
    <row r="268" spans="1:10" x14ac:dyDescent="0.45">
      <c r="A268" s="303" t="s">
        <v>121</v>
      </c>
      <c r="B268" s="303" t="str">
        <v>HIGHWAY AND TRANSPORTATION ENGINEERING I</v>
      </c>
      <c r="C268" s="339" t="str">
        <v>Ababio-Donkor Augustus</v>
      </c>
      <c r="D268" s="303" t="s">
        <v>34</v>
      </c>
      <c r="E268" s="336">
        <v>115</v>
      </c>
      <c r="F268" s="350" t="s">
        <v>1650</v>
      </c>
      <c r="G268" s="338">
        <f t="shared" si="37"/>
        <v>126.50000000000001</v>
      </c>
      <c r="H268" s="329" t="s">
        <v>1672</v>
      </c>
      <c r="I268" s="330" t="str">
        <f t="shared" si="33"/>
        <v>CE 367,ED3-GEOM</v>
      </c>
      <c r="J268" s="335"/>
    </row>
    <row r="269" spans="1:10" s="340" customFormat="1" x14ac:dyDescent="0.45">
      <c r="A269" s="303" t="s">
        <v>188</v>
      </c>
      <c r="B269" s="303" t="str">
        <v>ELECTRICAL SERVICES DESIGN</v>
      </c>
      <c r="C269" s="339" t="str">
        <v>Kwegyir Daniel</v>
      </c>
      <c r="D269" s="303" t="s">
        <v>19</v>
      </c>
      <c r="E269" s="336">
        <v>254</v>
      </c>
      <c r="F269" s="350" t="s">
        <v>1639</v>
      </c>
      <c r="G269" s="338">
        <f t="shared" si="37"/>
        <v>279.40000000000003</v>
      </c>
      <c r="H269" s="329" t="s">
        <v>1673</v>
      </c>
      <c r="I269" s="340" t="str">
        <f>CONCATENATE(A269,",",D269)</f>
        <v>EE 365,ED3-EE</v>
      </c>
      <c r="J269" s="335"/>
    </row>
    <row r="270" spans="1:10" x14ac:dyDescent="0.45">
      <c r="A270" s="303" t="s">
        <v>195</v>
      </c>
      <c r="B270" s="303" t="str">
        <v>SYSTEMS ENGINEERING I</v>
      </c>
      <c r="C270" s="339" t="str">
        <v>Donkor Emmanuel Amponsah</v>
      </c>
      <c r="D270" s="303" t="s">
        <v>68</v>
      </c>
      <c r="E270" s="336">
        <v>245</v>
      </c>
      <c r="F270" s="350" t="s">
        <v>1534</v>
      </c>
      <c r="G270" s="338">
        <f t="shared" si="37"/>
        <v>269.5</v>
      </c>
      <c r="H270" s="329" t="s">
        <v>1415</v>
      </c>
      <c r="I270" s="330" t="str">
        <f>CONCATENATE(A270,",",D270)</f>
        <v>CE 475,ED4-CE</v>
      </c>
      <c r="J270" s="335"/>
    </row>
    <row r="271" spans="1:10" x14ac:dyDescent="0.45">
      <c r="A271" s="303" t="s">
        <v>169</v>
      </c>
      <c r="B271" s="303" t="str">
        <v>SIGNALS AND SYSTEMS</v>
      </c>
      <c r="C271" s="339" t="str">
        <v>Yeboah-Akowuah Bright</v>
      </c>
      <c r="D271" s="303" t="s">
        <v>17</v>
      </c>
      <c r="E271" s="336">
        <v>276</v>
      </c>
      <c r="F271" s="353" t="s">
        <v>1669</v>
      </c>
      <c r="G271" s="338">
        <f t="shared" si="37"/>
        <v>303.60000000000002</v>
      </c>
      <c r="H271" s="329" t="s">
        <v>1557</v>
      </c>
      <c r="I271" s="330" t="str">
        <f>CONCATENATE(A271,",",D271)</f>
        <v>TE 385,ED3-COE</v>
      </c>
      <c r="J271" s="335"/>
    </row>
    <row r="272" spans="1:10" x14ac:dyDescent="0.45">
      <c r="A272" s="303" t="s">
        <v>169</v>
      </c>
      <c r="B272" s="303" t="str">
        <v>SIGNALS AND SYSTEMS</v>
      </c>
      <c r="C272" s="339" t="str">
        <v>Yeboah-Akowuah Bright</v>
      </c>
      <c r="D272" s="303" t="s">
        <v>13</v>
      </c>
      <c r="E272" s="336">
        <v>94</v>
      </c>
      <c r="F272" s="350" t="s">
        <v>1670</v>
      </c>
      <c r="G272" s="338">
        <f t="shared" si="37"/>
        <v>103.4</v>
      </c>
      <c r="H272" s="329" t="s">
        <v>1674</v>
      </c>
      <c r="I272" s="330" t="str">
        <f>CONCATENATE(A272,",",D272)</f>
        <v>TE 385,ED3-BME</v>
      </c>
      <c r="J272" s="335"/>
    </row>
    <row r="273" spans="1:10" x14ac:dyDescent="0.45">
      <c r="A273" s="303" t="s">
        <v>1379</v>
      </c>
      <c r="B273" s="303" t="str">
        <v>AVIATION COMMUNICATION</v>
      </c>
      <c r="C273" s="339" t="str">
        <v>Obeng Kwakye Kingsford Sarkodie</v>
      </c>
      <c r="D273" s="303" t="s">
        <v>52</v>
      </c>
      <c r="E273" s="336">
        <v>142</v>
      </c>
      <c r="F273" s="350" t="s">
        <v>1416</v>
      </c>
      <c r="G273" s="338">
        <f t="shared" si="37"/>
        <v>156.20000000000002</v>
      </c>
      <c r="H273" s="329" t="s">
        <v>1658</v>
      </c>
      <c r="I273" s="330" t="str">
        <f>CONCATENATE(A273,",",D273)</f>
        <v>TE 463,ED4-TEL</v>
      </c>
      <c r="J273" s="335"/>
    </row>
    <row r="274" spans="1:10" x14ac:dyDescent="0.45">
      <c r="A274" s="303" t="s">
        <v>196</v>
      </c>
      <c r="B274" s="303" t="str">
        <v>FUEL AND COMBUSTION TECHNOLOGY</v>
      </c>
      <c r="C274" s="304" t="str">
        <v>Ohemeng-Boahen Godfred</v>
      </c>
      <c r="D274" s="303" t="s">
        <v>86</v>
      </c>
      <c r="E274" s="336">
        <v>39</v>
      </c>
      <c r="F274" s="350" t="s">
        <v>1768</v>
      </c>
      <c r="G274" s="338">
        <f t="shared" ref="G274" si="38">1.1*E274</f>
        <v>42.900000000000006</v>
      </c>
      <c r="H274" s="329" t="s">
        <v>1767</v>
      </c>
      <c r="I274" s="330" t="str">
        <f t="shared" ref="I274" si="39">CONCATENATE(A274,",",D274)</f>
        <v>PCE 461,ED4-CHE</v>
      </c>
      <c r="J274" s="335"/>
    </row>
    <row r="275" spans="1:10" x14ac:dyDescent="0.45">
      <c r="A275" s="303" t="s">
        <v>196</v>
      </c>
      <c r="B275" s="303" t="str">
        <v>FUEL AND COMBUSTION TECHNOLOGY</v>
      </c>
      <c r="C275" s="304" t="str">
        <v>Ohemeng-Boahen Godfred</v>
      </c>
      <c r="D275" s="303" t="s">
        <v>1385</v>
      </c>
      <c r="E275" s="336">
        <v>3</v>
      </c>
      <c r="F275" s="350" t="s">
        <v>475</v>
      </c>
      <c r="G275" s="338">
        <f t="shared" si="37"/>
        <v>3.3000000000000003</v>
      </c>
      <c r="H275" s="329">
        <v>3</v>
      </c>
      <c r="I275" s="330" t="str">
        <f t="shared" si="33"/>
        <v>PCE 461,ED4-PE</v>
      </c>
      <c r="J275" s="335"/>
    </row>
    <row r="276" spans="1:10" x14ac:dyDescent="0.45">
      <c r="A276" s="303" t="s">
        <v>196</v>
      </c>
      <c r="B276" s="303" t="str">
        <v>FUEL AND COMBUSTION TECHNOLOGY</v>
      </c>
      <c r="C276" s="304" t="str">
        <v>Ohemeng-Boahen Godfred</v>
      </c>
      <c r="D276" s="303" t="s">
        <v>87</v>
      </c>
      <c r="E276" s="336">
        <v>45</v>
      </c>
      <c r="F276" s="341" t="s">
        <v>1465</v>
      </c>
      <c r="G276" s="338">
        <f t="shared" si="37"/>
        <v>49.500000000000007</v>
      </c>
      <c r="H276" s="329" t="s">
        <v>1675</v>
      </c>
      <c r="I276" s="330" t="str">
        <f t="shared" si="33"/>
        <v>PCE 461,ED4-PCE</v>
      </c>
      <c r="J276" s="335"/>
    </row>
    <row r="277" spans="1:10" x14ac:dyDescent="0.45">
      <c r="A277" s="340"/>
      <c r="B277" s="340"/>
      <c r="C277" s="333"/>
      <c r="D277" s="303" t="s">
        <v>197</v>
      </c>
      <c r="E277" s="332">
        <f>SUM(E264:E276)</f>
        <v>1787</v>
      </c>
      <c r="F277" s="341"/>
      <c r="G277" s="340"/>
      <c r="H277" s="329"/>
      <c r="I277" s="330" t="str">
        <f t="shared" si="33"/>
        <v>,Total T6</v>
      </c>
      <c r="J277" s="335"/>
    </row>
    <row r="278" spans="1:10" x14ac:dyDescent="0.45">
      <c r="A278" s="340"/>
      <c r="B278" s="340"/>
      <c r="C278" s="333"/>
      <c r="D278" s="340"/>
      <c r="E278" s="340"/>
      <c r="F278" s="341"/>
      <c r="G278" s="340"/>
      <c r="H278" s="329"/>
      <c r="I278" s="330" t="str">
        <f t="shared" si="33"/>
        <v>,</v>
      </c>
      <c r="J278" s="335"/>
    </row>
    <row r="279" spans="1:10" x14ac:dyDescent="0.45">
      <c r="A279" s="340"/>
      <c r="B279" s="340"/>
      <c r="C279" s="333"/>
      <c r="D279" s="340"/>
      <c r="E279" s="340"/>
      <c r="F279" s="341"/>
      <c r="G279" s="340"/>
      <c r="H279" s="329"/>
      <c r="I279" s="330" t="str">
        <f t="shared" si="33"/>
        <v>,</v>
      </c>
      <c r="J279" s="335"/>
    </row>
    <row r="280" spans="1:10" x14ac:dyDescent="0.45">
      <c r="A280" s="383" t="s">
        <v>1368</v>
      </c>
      <c r="B280" s="383"/>
      <c r="C280" s="383"/>
      <c r="D280" s="383"/>
      <c r="E280" s="383"/>
      <c r="F280" s="383"/>
      <c r="G280" s="383"/>
      <c r="H280" s="329"/>
      <c r="I280" s="330" t="str">
        <f t="shared" si="33"/>
        <v>Wednesday, 25 February 2026,</v>
      </c>
      <c r="J280" s="335"/>
    </row>
    <row r="281" spans="1:10" x14ac:dyDescent="0.45">
      <c r="A281" s="383" t="str">
        <f>[6]SESSIONS!$K$1</f>
        <v>Session, 1 (8:15 AM - 9:15 AM)</v>
      </c>
      <c r="B281" s="383"/>
      <c r="C281" s="383"/>
      <c r="D281" s="383"/>
      <c r="E281" s="383"/>
      <c r="F281" s="383"/>
      <c r="G281" s="383"/>
      <c r="H281" s="329"/>
      <c r="I281" s="330" t="str">
        <f t="shared" si="33"/>
        <v>Session, 1 (8:15 AM - 9:15 AM),</v>
      </c>
      <c r="J281" s="335"/>
    </row>
    <row r="282" spans="1:10" x14ac:dyDescent="0.45">
      <c r="A282" s="332" t="s">
        <v>2</v>
      </c>
      <c r="B282" s="332" t="s">
        <v>3</v>
      </c>
      <c r="C282" s="333" t="s">
        <v>4</v>
      </c>
      <c r="D282" s="332" t="s">
        <v>5</v>
      </c>
      <c r="E282" s="332" t="s">
        <v>6</v>
      </c>
      <c r="F282" s="360" t="s">
        <v>7</v>
      </c>
      <c r="G282" s="332" t="s">
        <v>8</v>
      </c>
      <c r="H282" s="329"/>
      <c r="I282" s="330" t="str">
        <f t="shared" si="33"/>
        <v>CODE ,CLASS</v>
      </c>
      <c r="J282" s="335"/>
    </row>
    <row r="283" spans="1:10" x14ac:dyDescent="0.45">
      <c r="A283" s="303" t="s">
        <v>201</v>
      </c>
      <c r="B283" s="303" t="str" cm="1">
        <f t="array" ref="B283:B294">IFERROR(VLOOKUP(I283:I294,Lecturers!A2:G597,7,FALSE),0)</f>
        <v>ENGINEERING MATERIALS I</v>
      </c>
      <c r="C283" s="339" t="str" cm="1">
        <f t="array" ref="C283:C294">IFERROR(VLOOKUP(I283:I294,Lecturers!A2:G597,2,FALSE),0)</f>
        <v>Amoabeng Kofi Owura</v>
      </c>
      <c r="D283" s="303" t="s">
        <v>140</v>
      </c>
      <c r="E283" s="336" cm="1">
        <f t="array" ref="E283:E294">IFERROR(VLOOKUP(I283:I294,Lecturers!A2:G597,3,FALSE),0)</f>
        <v>74</v>
      </c>
      <c r="F283" s="355" t="s">
        <v>1676</v>
      </c>
      <c r="G283" s="338">
        <f t="shared" ref="G283:G294" si="40">1.1*E283</f>
        <v>81.400000000000006</v>
      </c>
      <c r="H283" s="329" t="s">
        <v>1679</v>
      </c>
      <c r="I283" s="330" t="str">
        <f t="shared" si="33"/>
        <v>ME 281,ED2-AERO</v>
      </c>
      <c r="J283" s="335"/>
    </row>
    <row r="284" spans="1:10" x14ac:dyDescent="0.45">
      <c r="A284" s="303" t="s">
        <v>201</v>
      </c>
      <c r="B284" s="303" t="str">
        <v>ENGINEERING MATERIALS I</v>
      </c>
      <c r="C284" s="339" t="str">
        <v>Amoabeng Kofi Owura</v>
      </c>
      <c r="D284" s="303" t="s">
        <v>141</v>
      </c>
      <c r="E284" s="336">
        <v>242</v>
      </c>
      <c r="F284" s="350" t="s">
        <v>1534</v>
      </c>
      <c r="G284" s="338">
        <f t="shared" si="40"/>
        <v>266.20000000000005</v>
      </c>
      <c r="H284" s="329" t="s">
        <v>1642</v>
      </c>
      <c r="I284" s="330" t="str">
        <f t="shared" si="33"/>
        <v>ME 281,ED2-ME</v>
      </c>
      <c r="J284" s="335"/>
    </row>
    <row r="285" spans="1:10" x14ac:dyDescent="0.45">
      <c r="A285" s="303" t="s">
        <v>203</v>
      </c>
      <c r="B285" s="303" t="str">
        <v>AGRIC. METEOROLOGY AND CLIMATOLOGY</v>
      </c>
      <c r="C285" s="339" t="str">
        <v>Bessah Enoch</v>
      </c>
      <c r="D285" s="303" t="s">
        <v>163</v>
      </c>
      <c r="E285" s="336">
        <v>126</v>
      </c>
      <c r="F285" s="355" t="s">
        <v>1523</v>
      </c>
      <c r="G285" s="338">
        <f t="shared" si="40"/>
        <v>138.60000000000002</v>
      </c>
      <c r="H285" s="329" t="s">
        <v>1680</v>
      </c>
      <c r="I285" s="330" t="str">
        <f t="shared" si="33"/>
        <v>AE 153,ED1-AE</v>
      </c>
      <c r="J285" s="335"/>
    </row>
    <row r="286" spans="1:10" x14ac:dyDescent="0.45">
      <c r="A286" s="303" t="s">
        <v>204</v>
      </c>
      <c r="B286" s="303" t="str">
        <v>GEOLOGICAL FIELD MAPPPING</v>
      </c>
      <c r="C286" s="339" t="str">
        <v>Brako Blestmond Afrifa</v>
      </c>
      <c r="D286" s="303" t="s">
        <v>16</v>
      </c>
      <c r="E286" s="336">
        <v>154</v>
      </c>
      <c r="F286" s="355" t="s">
        <v>1668</v>
      </c>
      <c r="G286" s="338">
        <f t="shared" si="40"/>
        <v>169.4</v>
      </c>
      <c r="H286" s="329" t="s">
        <v>1671</v>
      </c>
      <c r="I286" s="330" t="str">
        <f t="shared" si="33"/>
        <v>GED 365,ED3-GEOL</v>
      </c>
      <c r="J286" s="335"/>
    </row>
    <row r="287" spans="1:10" x14ac:dyDescent="0.45">
      <c r="A287" s="303" t="s">
        <v>205</v>
      </c>
      <c r="B287" s="303" t="str">
        <v>VEHICLE AIR-CONDITIONING AND REFRIGERATION</v>
      </c>
      <c r="C287" s="304" t="str">
        <v>Sekyere Charles Kofi Kafui</v>
      </c>
      <c r="D287" s="303" t="s">
        <v>75</v>
      </c>
      <c r="E287" s="336">
        <v>32</v>
      </c>
      <c r="F287" s="355" t="s">
        <v>1634</v>
      </c>
      <c r="G287" s="338">
        <f t="shared" si="40"/>
        <v>35.200000000000003</v>
      </c>
      <c r="H287" s="329" t="s">
        <v>1625</v>
      </c>
      <c r="I287" s="330" t="str">
        <f t="shared" si="33"/>
        <v>AME 455,ED4-AUTO</v>
      </c>
      <c r="J287" s="335"/>
    </row>
    <row r="288" spans="1:10" x14ac:dyDescent="0.45">
      <c r="A288" s="303" t="s">
        <v>1016</v>
      </c>
      <c r="B288" s="303" t="str">
        <v>INTRODDUCTION TO RURAL SOCIOLOGY</v>
      </c>
      <c r="C288" s="339" t="str">
        <v>Boateng Kwabena</v>
      </c>
      <c r="D288" s="303" t="s">
        <v>89</v>
      </c>
      <c r="E288" s="336">
        <v>59</v>
      </c>
      <c r="F288" s="355" t="s">
        <v>1433</v>
      </c>
      <c r="G288" s="338">
        <f t="shared" si="40"/>
        <v>64.900000000000006</v>
      </c>
      <c r="H288" s="329" t="s">
        <v>1471</v>
      </c>
      <c r="I288" s="330" t="str">
        <f>CONCATENATE(A288,",",D288)</f>
        <v>SOC 255,ED2-METE</v>
      </c>
      <c r="J288" s="335"/>
    </row>
    <row r="289" spans="1:10" x14ac:dyDescent="0.45">
      <c r="A289" s="303" t="s">
        <v>1016</v>
      </c>
      <c r="B289" s="303" t="str">
        <v>INTRODUCTION TO RURAL SOCIOLOGY</v>
      </c>
      <c r="C289" s="339" t="str">
        <v>Boateng Kwabena</v>
      </c>
      <c r="D289" s="303" t="s">
        <v>31</v>
      </c>
      <c r="E289" s="336">
        <v>83</v>
      </c>
      <c r="F289" s="355" t="s">
        <v>1654</v>
      </c>
      <c r="G289" s="338">
        <f t="shared" si="40"/>
        <v>91.300000000000011</v>
      </c>
      <c r="H289" s="329" t="s">
        <v>1681</v>
      </c>
      <c r="I289" s="330" t="str">
        <f>CONCATENATE(A289,",",D289)</f>
        <v>SOC 255,ED3-METE</v>
      </c>
      <c r="J289" s="335"/>
    </row>
    <row r="290" spans="1:10" x14ac:dyDescent="0.45">
      <c r="A290" s="303" t="s">
        <v>206</v>
      </c>
      <c r="B290" s="303" t="str">
        <v>MARINE AIR CONDITIONING AND REFRIGERATION</v>
      </c>
      <c r="C290" s="304" t="str">
        <v>Sekyere Charles Kofi Kafui</v>
      </c>
      <c r="D290" s="303" t="s">
        <v>113</v>
      </c>
      <c r="E290" s="336">
        <v>23</v>
      </c>
      <c r="F290" s="355">
        <v>206</v>
      </c>
      <c r="G290" s="338">
        <f t="shared" si="40"/>
        <v>25.3</v>
      </c>
      <c r="H290" s="329">
        <v>23</v>
      </c>
      <c r="I290" s="330" t="str">
        <f t="shared" si="33"/>
        <v>MME 465,ED4-MARI</v>
      </c>
      <c r="J290" s="335"/>
    </row>
    <row r="291" spans="1:10" x14ac:dyDescent="0.45">
      <c r="A291" s="303" t="s">
        <v>193</v>
      </c>
      <c r="B291" s="303" t="str">
        <v>BASIC MECHANICS</v>
      </c>
      <c r="C291" s="304" t="str">
        <v>Dzebre Denis Edem Kwame</v>
      </c>
      <c r="D291" s="303" t="s">
        <v>66</v>
      </c>
      <c r="E291" s="336">
        <v>100</v>
      </c>
      <c r="F291" s="355" t="s">
        <v>1522</v>
      </c>
      <c r="G291" s="338">
        <f t="shared" si="40"/>
        <v>110.00000000000001</v>
      </c>
      <c r="H291" s="329" t="s">
        <v>1682</v>
      </c>
      <c r="I291" s="330" t="str">
        <f t="shared" si="33"/>
        <v>ME 161,ED1-GEOM</v>
      </c>
      <c r="J291" s="335"/>
    </row>
    <row r="292" spans="1:10" x14ac:dyDescent="0.45">
      <c r="A292" s="303" t="s">
        <v>193</v>
      </c>
      <c r="B292" s="303" t="str">
        <v>BASIC MECHANICS</v>
      </c>
      <c r="C292" s="304" t="str">
        <v>Dzebre Denis Edem Kwame</v>
      </c>
      <c r="D292" s="303" t="s">
        <v>58</v>
      </c>
      <c r="E292" s="336">
        <v>287</v>
      </c>
      <c r="F292" s="353" t="s">
        <v>1677</v>
      </c>
      <c r="G292" s="338">
        <f t="shared" si="40"/>
        <v>315.70000000000005</v>
      </c>
      <c r="H292" s="329" t="s">
        <v>1683</v>
      </c>
      <c r="I292" s="330" t="str">
        <f t="shared" si="33"/>
        <v>ME 161,ED1-EE</v>
      </c>
      <c r="J292" s="335"/>
    </row>
    <row r="293" spans="1:10" x14ac:dyDescent="0.45">
      <c r="A293" s="303" t="s">
        <v>207</v>
      </c>
      <c r="B293" s="303" t="str">
        <v>AIR CONDITIONING AND REFRIGERATION</v>
      </c>
      <c r="C293" s="304" t="str">
        <v>Sekyere Charles Kofi Kafui</v>
      </c>
      <c r="D293" s="303" t="s">
        <v>44</v>
      </c>
      <c r="E293" s="336">
        <v>61</v>
      </c>
      <c r="F293" s="355" t="s">
        <v>1640</v>
      </c>
      <c r="G293" s="338">
        <f t="shared" si="40"/>
        <v>67.100000000000009</v>
      </c>
      <c r="H293" s="329" t="s">
        <v>1484</v>
      </c>
      <c r="I293" s="330" t="str">
        <f t="shared" si="33"/>
        <v>ME 465,ED4-AERO</v>
      </c>
      <c r="J293" s="335"/>
    </row>
    <row r="294" spans="1:10" x14ac:dyDescent="0.45">
      <c r="A294" s="303" t="s">
        <v>207</v>
      </c>
      <c r="B294" s="303" t="str">
        <v>AIR CONDITIONING AND REFRIGERATION</v>
      </c>
      <c r="C294" s="304" t="str">
        <v>Sekyere Charles Kofi Kafui</v>
      </c>
      <c r="D294" s="303" t="s">
        <v>48</v>
      </c>
      <c r="E294" s="336">
        <v>144</v>
      </c>
      <c r="F294" s="355" t="s">
        <v>1678</v>
      </c>
      <c r="G294" s="338">
        <f t="shared" si="40"/>
        <v>158.4</v>
      </c>
      <c r="H294" s="329" t="s">
        <v>1615</v>
      </c>
      <c r="I294" s="330" t="str">
        <f t="shared" si="33"/>
        <v>ME 465,ED4-ME</v>
      </c>
      <c r="J294" s="335"/>
    </row>
    <row r="295" spans="1:10" x14ac:dyDescent="0.45">
      <c r="A295" s="340"/>
      <c r="B295" s="340"/>
      <c r="C295" s="333"/>
      <c r="D295" s="303" t="s">
        <v>210</v>
      </c>
      <c r="E295" s="332">
        <f>SUM(E283:E294)</f>
        <v>1385</v>
      </c>
      <c r="F295" s="341"/>
      <c r="G295" s="340"/>
      <c r="H295" s="329"/>
      <c r="I295" s="330" t="str">
        <f t="shared" si="33"/>
        <v>,Total W1</v>
      </c>
      <c r="J295" s="335"/>
    </row>
    <row r="296" spans="1:10" x14ac:dyDescent="0.45">
      <c r="A296" s="340"/>
      <c r="B296" s="340"/>
      <c r="C296" s="333"/>
      <c r="D296" s="303"/>
      <c r="E296" s="332"/>
      <c r="F296" s="341"/>
      <c r="G296" s="340"/>
      <c r="H296" s="329"/>
      <c r="I296" s="330" t="str">
        <f t="shared" ref="I296:I300" si="41">CONCATENATE(A296,",",D296)</f>
        <v>,</v>
      </c>
      <c r="J296" s="335"/>
    </row>
    <row r="297" spans="1:10" x14ac:dyDescent="0.45">
      <c r="A297" s="340"/>
      <c r="B297" s="340"/>
      <c r="C297" s="333"/>
      <c r="D297" s="303"/>
      <c r="E297" s="332"/>
      <c r="F297" s="341"/>
      <c r="G297" s="340"/>
      <c r="H297" s="329"/>
      <c r="I297" s="330" t="str">
        <f t="shared" si="41"/>
        <v>,</v>
      </c>
      <c r="J297" s="335"/>
    </row>
    <row r="298" spans="1:10" x14ac:dyDescent="0.45">
      <c r="A298" s="383" t="s">
        <v>1368</v>
      </c>
      <c r="B298" s="383"/>
      <c r="C298" s="383"/>
      <c r="D298" s="383"/>
      <c r="E298" s="383"/>
      <c r="F298" s="383"/>
      <c r="G298" s="383"/>
      <c r="H298" s="329"/>
      <c r="I298" s="330" t="str">
        <f t="shared" si="41"/>
        <v>Wednesday, 25 February 2026,</v>
      </c>
      <c r="J298" s="335"/>
    </row>
    <row r="299" spans="1:10" x14ac:dyDescent="0.45">
      <c r="A299" s="383" t="str">
        <f>[6]SESSIONS!$K$2</f>
        <v>Session, 2 (10:00 AM - 11:00 AM)</v>
      </c>
      <c r="B299" s="383"/>
      <c r="C299" s="383"/>
      <c r="D299" s="383"/>
      <c r="E299" s="383"/>
      <c r="F299" s="383"/>
      <c r="G299" s="383"/>
      <c r="H299" s="329"/>
      <c r="I299" s="330" t="str">
        <f t="shared" si="41"/>
        <v>Session, 2 (10:00 AM - 11:00 AM),</v>
      </c>
      <c r="J299" s="335"/>
    </row>
    <row r="300" spans="1:10" x14ac:dyDescent="0.45">
      <c r="A300" s="332" t="s">
        <v>2</v>
      </c>
      <c r="B300" s="332" t="s">
        <v>3</v>
      </c>
      <c r="C300" s="333" t="s">
        <v>4</v>
      </c>
      <c r="D300" s="332" t="s">
        <v>5</v>
      </c>
      <c r="E300" s="332" t="s">
        <v>6</v>
      </c>
      <c r="F300" s="334" t="s">
        <v>7</v>
      </c>
      <c r="G300" s="332" t="s">
        <v>8</v>
      </c>
      <c r="H300" s="329"/>
      <c r="I300" s="330" t="str">
        <f t="shared" si="41"/>
        <v>CODE ,CLASS</v>
      </c>
      <c r="J300" s="335"/>
    </row>
    <row r="301" spans="1:10" x14ac:dyDescent="0.45">
      <c r="A301" s="332" t="s">
        <v>211</v>
      </c>
      <c r="B301" s="303" t="str" cm="1">
        <f t="array" ref="B301:B317">IFERROR(VLOOKUP(I301:I317,Lecturers!A2:G597,7,FALSE),0)</f>
        <v>FRENCH FOR COMMUNICATION PURPOSES I</v>
      </c>
      <c r="C301" s="304" t="str" cm="1">
        <f t="array" ref="C301:C317">IFERROR(VLOOKUP(I301:I317,Lecturers!A2:G597,2,FALSE),0)</f>
        <v>Darko Jeel Pharis</v>
      </c>
      <c r="D301" s="340" t="s">
        <v>92</v>
      </c>
      <c r="E301" s="340" cm="1">
        <f t="array" ref="E301:E317">IFERROR(VLOOKUP(I301:I317,Lecturers!A2:G597,3,FALSE),0)</f>
        <v>64</v>
      </c>
      <c r="F301" s="355" t="s">
        <v>1633</v>
      </c>
      <c r="G301" s="332">
        <f>ROUNDUP(1.1*E301,0)</f>
        <v>71</v>
      </c>
      <c r="H301" s="329" t="s">
        <v>1688</v>
      </c>
      <c r="I301" s="330" t="str">
        <f>CONCATENATE(A301,",",D301)</f>
        <v>FC 181,ED3-CHE</v>
      </c>
      <c r="J301" s="335"/>
    </row>
    <row r="302" spans="1:10" x14ac:dyDescent="0.45">
      <c r="A302" s="303" t="s">
        <v>211</v>
      </c>
      <c r="B302" s="303" t="str">
        <v>FRENCH FOR COMMUNICATION PURPOSES I</v>
      </c>
      <c r="C302" s="304" t="str">
        <v>Boakye-Agyeman Candy</v>
      </c>
      <c r="D302" s="303" t="s">
        <v>165</v>
      </c>
      <c r="E302" s="336">
        <v>136</v>
      </c>
      <c r="F302" s="355" t="s">
        <v>1510</v>
      </c>
      <c r="G302" s="332">
        <f t="shared" ref="G302:G317" si="42">ROUNDUP(1.1*E302,0)</f>
        <v>150</v>
      </c>
      <c r="H302" s="329" t="s">
        <v>1689</v>
      </c>
      <c r="I302" s="330" t="str">
        <f t="shared" ref="I302:I368" si="43">CONCATENATE(A302,",",D302)</f>
        <v>FC 181,ED1-CE</v>
      </c>
      <c r="J302" s="335"/>
    </row>
    <row r="303" spans="1:10" x14ac:dyDescent="0.45">
      <c r="A303" s="303" t="s">
        <v>211</v>
      </c>
      <c r="B303" s="303" t="str">
        <v>FRENCH FOR COMMUNICATION PURPOSES I</v>
      </c>
      <c r="C303" s="304" t="str">
        <v>Boakye-Agyeman Candy</v>
      </c>
      <c r="D303" s="303" t="s">
        <v>36</v>
      </c>
      <c r="E303" s="336">
        <v>80</v>
      </c>
      <c r="F303" s="355" t="s">
        <v>1782</v>
      </c>
      <c r="G303" s="332">
        <f t="shared" si="42"/>
        <v>88</v>
      </c>
      <c r="H303" s="329" t="s">
        <v>1783</v>
      </c>
      <c r="I303" s="330" t="str">
        <f t="shared" si="43"/>
        <v>FC 181,ED1-GEOL</v>
      </c>
      <c r="J303" s="335"/>
    </row>
    <row r="304" spans="1:10" x14ac:dyDescent="0.45">
      <c r="A304" s="303" t="s">
        <v>211</v>
      </c>
      <c r="B304" s="303" t="str">
        <v>FRENCH FOR COMMUNICATION PURPOSES I</v>
      </c>
      <c r="C304" s="304" t="str">
        <v>Boakye-Agyeman Candy</v>
      </c>
      <c r="D304" s="303" t="s">
        <v>29</v>
      </c>
      <c r="E304" s="336">
        <v>42</v>
      </c>
      <c r="F304" s="355" t="s">
        <v>144</v>
      </c>
      <c r="G304" s="332">
        <f t="shared" si="42"/>
        <v>47</v>
      </c>
      <c r="H304" s="329">
        <v>42</v>
      </c>
      <c r="I304" s="330" t="str">
        <f t="shared" si="43"/>
        <v>FC 181,ED2-BME</v>
      </c>
      <c r="J304" s="335"/>
    </row>
    <row r="305" spans="1:10" x14ac:dyDescent="0.45">
      <c r="A305" s="303" t="s">
        <v>211</v>
      </c>
      <c r="B305" s="303" t="str">
        <v>FRENCH FOR COMMUNICATION PURPOSES I</v>
      </c>
      <c r="C305" s="304" t="str">
        <v>Boakye-Agyeman Candy</v>
      </c>
      <c r="D305" s="303" t="s">
        <v>30</v>
      </c>
      <c r="E305" s="336">
        <v>146</v>
      </c>
      <c r="F305" s="355" t="s">
        <v>1678</v>
      </c>
      <c r="G305" s="332">
        <f t="shared" si="42"/>
        <v>161</v>
      </c>
      <c r="H305" s="329" t="s">
        <v>1690</v>
      </c>
      <c r="I305" s="330" t="str">
        <f t="shared" si="43"/>
        <v>FC 181,ED2-COE</v>
      </c>
      <c r="J305" s="335"/>
    </row>
    <row r="306" spans="1:10" x14ac:dyDescent="0.45">
      <c r="A306" s="303" t="s">
        <v>211</v>
      </c>
      <c r="B306" s="303" t="str">
        <v>FRENCH FOR COMMUNICATION PURPOSES I</v>
      </c>
      <c r="C306" s="304" t="str">
        <v>Boakye-Agyeman Candy</v>
      </c>
      <c r="D306" s="303" t="s">
        <v>82</v>
      </c>
      <c r="E306" s="336">
        <v>174</v>
      </c>
      <c r="F306" s="355" t="s">
        <v>1684</v>
      </c>
      <c r="G306" s="332">
        <f t="shared" si="42"/>
        <v>192</v>
      </c>
      <c r="H306" s="329" t="s">
        <v>1691</v>
      </c>
      <c r="I306" s="330" t="str">
        <f t="shared" si="43"/>
        <v>FC 181,ED2-EE</v>
      </c>
      <c r="J306" s="335"/>
    </row>
    <row r="307" spans="1:10" x14ac:dyDescent="0.45">
      <c r="A307" s="303" t="s">
        <v>211</v>
      </c>
      <c r="B307" s="303" t="str">
        <v>FRENCH FOR COMMUNICATION PURPOSES I</v>
      </c>
      <c r="C307" s="304" t="str">
        <v>Ocloo Alexander</v>
      </c>
      <c r="D307" s="303" t="s">
        <v>33</v>
      </c>
      <c r="E307" s="336">
        <v>53</v>
      </c>
      <c r="F307" s="355" t="s">
        <v>105</v>
      </c>
      <c r="G307" s="332">
        <f t="shared" si="42"/>
        <v>59</v>
      </c>
      <c r="H307" s="329">
        <v>53</v>
      </c>
      <c r="I307" s="330" t="str">
        <f t="shared" si="43"/>
        <v>FC 181,ED2-MSE</v>
      </c>
      <c r="J307" s="335"/>
    </row>
    <row r="308" spans="1:10" x14ac:dyDescent="0.45">
      <c r="A308" s="303" t="s">
        <v>211</v>
      </c>
      <c r="B308" s="303" t="str">
        <v>FRENCH FOR COMMUNICATION PURPOSES I</v>
      </c>
      <c r="C308" s="304" t="str">
        <v>Ocloo Alexander</v>
      </c>
      <c r="D308" s="303" t="s">
        <v>32</v>
      </c>
      <c r="E308" s="336">
        <v>104</v>
      </c>
      <c r="F308" s="355" t="s">
        <v>1443</v>
      </c>
      <c r="G308" s="332">
        <f t="shared" si="42"/>
        <v>115</v>
      </c>
      <c r="H308" s="329" t="s">
        <v>1692</v>
      </c>
      <c r="I308" s="330" t="str">
        <f t="shared" si="43"/>
        <v>FC 181,ED2-TEL</v>
      </c>
      <c r="J308" s="335"/>
    </row>
    <row r="309" spans="1:10" x14ac:dyDescent="0.45">
      <c r="A309" s="303" t="s">
        <v>211</v>
      </c>
      <c r="B309" s="303" t="str">
        <v>FRENCH FOR COMMUNICATION PURPOSES I</v>
      </c>
      <c r="C309" s="304" t="str">
        <v>Osei-Danso Harriet Efua</v>
      </c>
      <c r="D309" s="303" t="s">
        <v>34</v>
      </c>
      <c r="E309" s="336">
        <v>60</v>
      </c>
      <c r="F309" s="355" t="s">
        <v>1685</v>
      </c>
      <c r="G309" s="332">
        <f t="shared" si="42"/>
        <v>66</v>
      </c>
      <c r="H309" s="329" t="s">
        <v>1693</v>
      </c>
      <c r="I309" s="330" t="str">
        <f t="shared" si="43"/>
        <v>FC 181,ED3-GEOM</v>
      </c>
      <c r="J309" s="335"/>
    </row>
    <row r="310" spans="1:10" x14ac:dyDescent="0.45">
      <c r="A310" s="303" t="s">
        <v>211</v>
      </c>
      <c r="B310" s="303" t="str">
        <v>FRENCH FOR COMMUNICATION PURPOSES I</v>
      </c>
      <c r="C310" s="304" t="str">
        <v>Boakye-Agyeman Candy</v>
      </c>
      <c r="D310" s="303" t="s">
        <v>41</v>
      </c>
      <c r="E310" s="336">
        <v>46</v>
      </c>
      <c r="F310" s="355" t="s">
        <v>1686</v>
      </c>
      <c r="G310" s="332">
        <f t="shared" si="42"/>
        <v>51</v>
      </c>
      <c r="H310" s="329" t="s">
        <v>1606</v>
      </c>
      <c r="I310" s="330" t="str">
        <f t="shared" si="43"/>
        <v>FC 181,ED1-MARI</v>
      </c>
      <c r="J310" s="335"/>
    </row>
    <row r="311" spans="1:10" x14ac:dyDescent="0.45">
      <c r="A311" s="303" t="s">
        <v>211</v>
      </c>
      <c r="B311" s="303" t="str">
        <v>FRENCH FOR COMMUNICATION PURPOSES I</v>
      </c>
      <c r="C311" s="304" t="str">
        <v>Darko Jeel Pharis</v>
      </c>
      <c r="D311" s="303" t="s">
        <v>71</v>
      </c>
      <c r="E311" s="336">
        <v>22</v>
      </c>
      <c r="F311" s="355" t="s">
        <v>473</v>
      </c>
      <c r="G311" s="332">
        <f t="shared" si="42"/>
        <v>25</v>
      </c>
      <c r="H311" s="329">
        <v>22</v>
      </c>
      <c r="I311" s="330" t="str">
        <f t="shared" si="43"/>
        <v>FC 181,ED3-PCE</v>
      </c>
      <c r="J311" s="335"/>
    </row>
    <row r="312" spans="1:10" x14ac:dyDescent="0.45">
      <c r="A312" s="303" t="s">
        <v>127</v>
      </c>
      <c r="B312" s="303" t="str">
        <v>INTRODUCTION TO METALLURGICAL ENGINEERING</v>
      </c>
      <c r="C312" s="343" t="str">
        <v>Koomson Bennetta</v>
      </c>
      <c r="D312" s="303" t="s">
        <v>39</v>
      </c>
      <c r="E312" s="336">
        <v>72</v>
      </c>
      <c r="F312" s="355" t="s">
        <v>1445</v>
      </c>
      <c r="G312" s="332">
        <f t="shared" si="42"/>
        <v>80</v>
      </c>
      <c r="H312" s="329" t="s">
        <v>1694</v>
      </c>
      <c r="I312" s="330" t="str">
        <f>CONCATENATE(A312,",",D312)</f>
        <v>METE 151,ED1-METE</v>
      </c>
      <c r="J312" s="335"/>
    </row>
    <row r="313" spans="1:10" s="340" customFormat="1" x14ac:dyDescent="0.45">
      <c r="A313" s="303" t="s">
        <v>230</v>
      </c>
      <c r="B313" s="303" t="str">
        <v>INTRODUCTION TO AVIATION TECHNOLOGY</v>
      </c>
      <c r="C313" s="304" t="str">
        <v>Oppong David Kofi</v>
      </c>
      <c r="D313" s="303" t="s">
        <v>40</v>
      </c>
      <c r="E313" s="336">
        <v>70</v>
      </c>
      <c r="F313" s="350" t="s">
        <v>505</v>
      </c>
      <c r="G313" s="332">
        <f t="shared" si="42"/>
        <v>77</v>
      </c>
      <c r="H313" s="329" t="s">
        <v>1781</v>
      </c>
      <c r="I313" s="340" t="str">
        <f>CONCATENATE(A313,",",D313)</f>
        <v>AERO 157,ED1-AERO</v>
      </c>
      <c r="J313" s="335"/>
    </row>
    <row r="314" spans="1:10" x14ac:dyDescent="0.45">
      <c r="A314" s="303" t="s">
        <v>267</v>
      </c>
      <c r="B314" s="303" t="str">
        <v>GENERAL CHEMISTRY</v>
      </c>
      <c r="C314" s="339" t="str">
        <v>Sarpong Lilian</v>
      </c>
      <c r="D314" s="303" t="s">
        <v>162</v>
      </c>
      <c r="E314" s="336">
        <v>136</v>
      </c>
      <c r="F314" s="355" t="s">
        <v>1416</v>
      </c>
      <c r="G314" s="332">
        <f t="shared" si="42"/>
        <v>150</v>
      </c>
      <c r="H314" s="329" t="s">
        <v>1695</v>
      </c>
      <c r="I314" s="330" t="str">
        <f>CONCATENATE(A314,",",D314)</f>
        <v>CHEM 151,ED1-BME</v>
      </c>
      <c r="J314" s="335"/>
    </row>
    <row r="315" spans="1:10" x14ac:dyDescent="0.45">
      <c r="A315" s="303" t="s">
        <v>212</v>
      </c>
      <c r="B315" s="303" t="str">
        <v>MICROELECTRONIC CIRCUITS</v>
      </c>
      <c r="C315" s="304" t="str">
        <v>Acheampong Francisca Adoma</v>
      </c>
      <c r="D315" s="303" t="s">
        <v>18</v>
      </c>
      <c r="E315" s="336">
        <v>147</v>
      </c>
      <c r="F315" s="355" t="s">
        <v>1687</v>
      </c>
      <c r="G315" s="332">
        <f t="shared" si="42"/>
        <v>162</v>
      </c>
      <c r="H315" s="329" t="s">
        <v>1696</v>
      </c>
      <c r="I315" s="330" t="str">
        <f>CONCATENATE(A315,",",D315)</f>
        <v>EE 371,ED3-TEL</v>
      </c>
      <c r="J315" s="335"/>
    </row>
    <row r="316" spans="1:10" x14ac:dyDescent="0.45">
      <c r="A316" s="303" t="s">
        <v>213</v>
      </c>
      <c r="B316" s="303" t="str">
        <v>LINEAR ELECTRONIC CIRCUITS</v>
      </c>
      <c r="C316" s="304" t="str">
        <v>Agbemenu Andrew Selasi</v>
      </c>
      <c r="D316" s="303" t="s">
        <v>17</v>
      </c>
      <c r="E316" s="336">
        <v>276</v>
      </c>
      <c r="F316" s="353" t="s">
        <v>1669</v>
      </c>
      <c r="G316" s="332">
        <f t="shared" si="42"/>
        <v>304</v>
      </c>
      <c r="H316" s="329" t="s">
        <v>1557</v>
      </c>
      <c r="I316" s="330" t="str">
        <f t="shared" si="43"/>
        <v>COE 371,ED3-COE</v>
      </c>
      <c r="J316" s="335"/>
    </row>
    <row r="317" spans="1:10" x14ac:dyDescent="0.45">
      <c r="A317" s="303" t="s">
        <v>213</v>
      </c>
      <c r="B317" s="303" t="str">
        <v>LINEAR ELECTRONIC CIRCUITS</v>
      </c>
      <c r="C317" s="304" t="str">
        <v>Agbemenu Andrew Selasi</v>
      </c>
      <c r="D317" s="303" t="s">
        <v>13</v>
      </c>
      <c r="E317" s="336">
        <v>94</v>
      </c>
      <c r="F317" s="355" t="s">
        <v>1453</v>
      </c>
      <c r="G317" s="332">
        <f t="shared" si="42"/>
        <v>104</v>
      </c>
      <c r="H317" s="329" t="s">
        <v>1697</v>
      </c>
      <c r="I317" s="330" t="str">
        <f t="shared" si="43"/>
        <v>COE 371,ED3-BME</v>
      </c>
      <c r="J317" s="335"/>
    </row>
    <row r="318" spans="1:10" x14ac:dyDescent="0.45">
      <c r="A318" s="340"/>
      <c r="B318" s="340"/>
      <c r="C318" s="333"/>
      <c r="D318" s="303" t="s">
        <v>214</v>
      </c>
      <c r="E318" s="361">
        <f>SUM(E301:E317)</f>
        <v>1722</v>
      </c>
      <c r="F318" s="341"/>
      <c r="G318" s="332">
        <f t="shared" ref="G318" si="44">ROUNDUP(1.1*E318,0)</f>
        <v>1895</v>
      </c>
      <c r="H318" s="329"/>
      <c r="I318" s="330" t="str">
        <f t="shared" si="43"/>
        <v>,Total W2</v>
      </c>
      <c r="J318" s="335"/>
    </row>
    <row r="319" spans="1:10" x14ac:dyDescent="0.45">
      <c r="A319" s="340"/>
      <c r="B319" s="340"/>
      <c r="C319" s="333"/>
      <c r="D319" s="340"/>
      <c r="E319" s="340"/>
      <c r="F319" s="341"/>
      <c r="G319" s="340"/>
      <c r="H319" s="329"/>
      <c r="I319" s="330" t="str">
        <f t="shared" si="43"/>
        <v>,</v>
      </c>
      <c r="J319" s="335"/>
    </row>
    <row r="320" spans="1:10" x14ac:dyDescent="0.45">
      <c r="A320" s="340"/>
      <c r="B320" s="340"/>
      <c r="C320" s="333"/>
      <c r="D320" s="340"/>
      <c r="E320" s="340"/>
      <c r="F320" s="341"/>
      <c r="G320" s="340"/>
      <c r="H320" s="329"/>
      <c r="I320" s="330" t="str">
        <f t="shared" si="43"/>
        <v>,</v>
      </c>
      <c r="J320" s="335"/>
    </row>
    <row r="321" spans="1:10" x14ac:dyDescent="0.45">
      <c r="A321" s="383" t="s">
        <v>1368</v>
      </c>
      <c r="B321" s="383"/>
      <c r="C321" s="383"/>
      <c r="D321" s="383"/>
      <c r="E321" s="383"/>
      <c r="F321" s="383"/>
      <c r="G321" s="383"/>
      <c r="H321" s="329"/>
      <c r="I321" s="330" t="str">
        <f t="shared" si="43"/>
        <v>Wednesday, 25 February 2026,</v>
      </c>
      <c r="J321" s="335"/>
    </row>
    <row r="322" spans="1:10" x14ac:dyDescent="0.45">
      <c r="A322" s="383" t="str">
        <f>[6]SESSIONS!$K$3</f>
        <v>Session, 3 (11:45 AM - 12:45 PM)</v>
      </c>
      <c r="B322" s="383"/>
      <c r="C322" s="383"/>
      <c r="D322" s="383"/>
      <c r="E322" s="383"/>
      <c r="F322" s="383"/>
      <c r="G322" s="383"/>
      <c r="H322" s="329"/>
      <c r="I322" s="330" t="str">
        <f t="shared" si="43"/>
        <v>Session, 3 (11:45 AM - 12:45 PM),</v>
      </c>
      <c r="J322" s="335"/>
    </row>
    <row r="323" spans="1:10" x14ac:dyDescent="0.45">
      <c r="A323" s="332" t="s">
        <v>2</v>
      </c>
      <c r="B323" s="332" t="s">
        <v>3</v>
      </c>
      <c r="C323" s="333" t="s">
        <v>4</v>
      </c>
      <c r="D323" s="332" t="s">
        <v>5</v>
      </c>
      <c r="E323" s="332" t="s">
        <v>6</v>
      </c>
      <c r="F323" s="334" t="s">
        <v>7</v>
      </c>
      <c r="G323" s="332" t="s">
        <v>8</v>
      </c>
      <c r="H323" s="329"/>
      <c r="I323" s="330" t="str">
        <f t="shared" si="43"/>
        <v>CODE ,CLASS</v>
      </c>
      <c r="J323" s="335"/>
    </row>
    <row r="324" spans="1:10" x14ac:dyDescent="0.45">
      <c r="A324" s="303" t="s">
        <v>215</v>
      </c>
      <c r="B324" s="303" t="str" cm="1">
        <f t="array" ref="B324:B339">IFERROR(VLOOKUP(I324:I339,Lecturers!A2:G597,7,FALSE),0)</f>
        <v>ANALYTICAL CHEMISTRY FOR CHEMICAL ENGINEERS</v>
      </c>
      <c r="C324" s="304" t="str" cm="1">
        <f t="array" ref="C324:C339">IFERROR(VLOOKUP(I324:I339,Lecturers!A2:G597,2,FALSE),0)</f>
        <v>Boakye Patrick</v>
      </c>
      <c r="D324" s="303" t="s">
        <v>63</v>
      </c>
      <c r="E324" s="336" cm="1">
        <f t="array" ref="E324:E339">IFERROR(VLOOKUP(I324:I339,Lecturers!A2:G597,3,FALSE),0)</f>
        <v>154</v>
      </c>
      <c r="F324" s="355" t="s">
        <v>1535</v>
      </c>
      <c r="G324" s="338">
        <f>1.1*E324</f>
        <v>169.4</v>
      </c>
      <c r="H324" s="329" t="s">
        <v>1712</v>
      </c>
      <c r="I324" s="330" t="str">
        <f t="shared" si="43"/>
        <v>CHE 257,ED2-CHE</v>
      </c>
      <c r="J324" s="335"/>
    </row>
    <row r="325" spans="1:10" x14ac:dyDescent="0.45">
      <c r="A325" s="303" t="s">
        <v>215</v>
      </c>
      <c r="B325" s="303" t="str">
        <v>ANALYTICAL CHEMISTRY FOR CHEMICAL ENGINEERS</v>
      </c>
      <c r="C325" s="304" t="str">
        <v>Boakye Patrick</v>
      </c>
      <c r="D325" s="303" t="s">
        <v>64</v>
      </c>
      <c r="E325" s="336">
        <v>59</v>
      </c>
      <c r="F325" s="350" t="s">
        <v>1676</v>
      </c>
      <c r="G325" s="338">
        <f t="shared" ref="G325:G339" si="45">1.1*E325</f>
        <v>64.900000000000006</v>
      </c>
      <c r="H325" s="329" t="s">
        <v>1471</v>
      </c>
      <c r="I325" s="330" t="str">
        <f t="shared" si="43"/>
        <v>CHE 257,ED2-PCE</v>
      </c>
      <c r="J325" s="335"/>
    </row>
    <row r="326" spans="1:10" x14ac:dyDescent="0.45">
      <c r="A326" s="303" t="s">
        <v>201</v>
      </c>
      <c r="B326" s="303" t="str">
        <v>ENGINEERING MATERIALS I</v>
      </c>
      <c r="C326" s="354" t="str">
        <v>Boahen Samuel</v>
      </c>
      <c r="D326" s="303" t="s">
        <v>26</v>
      </c>
      <c r="E326" s="336">
        <v>77</v>
      </c>
      <c r="F326" s="350" t="s">
        <v>1445</v>
      </c>
      <c r="G326" s="338">
        <f t="shared" si="45"/>
        <v>84.7</v>
      </c>
      <c r="H326" s="329" t="s">
        <v>1713</v>
      </c>
      <c r="I326" s="330" t="str">
        <f>CONCATENATE(A326,",",D326)</f>
        <v>ME 281,ED2-AUTO</v>
      </c>
      <c r="J326" s="335"/>
    </row>
    <row r="327" spans="1:10" x14ac:dyDescent="0.45">
      <c r="A327" s="303" t="s">
        <v>216</v>
      </c>
      <c r="B327" s="303" t="str">
        <v>MARINE ENGINEERING MATERIALS</v>
      </c>
      <c r="C327" s="354" t="str">
        <v>Boahen Samuel</v>
      </c>
      <c r="D327" s="303" t="s">
        <v>24</v>
      </c>
      <c r="E327" s="336">
        <v>37</v>
      </c>
      <c r="F327" s="350" t="s">
        <v>1465</v>
      </c>
      <c r="G327" s="338">
        <f t="shared" si="45"/>
        <v>40.700000000000003</v>
      </c>
      <c r="H327" s="329" t="s">
        <v>1587</v>
      </c>
      <c r="I327" s="330" t="str">
        <f t="shared" si="43"/>
        <v>MME 281,ED2-MARI</v>
      </c>
      <c r="J327" s="335"/>
    </row>
    <row r="328" spans="1:10" x14ac:dyDescent="0.45">
      <c r="A328" s="303" t="s">
        <v>201</v>
      </c>
      <c r="B328" s="303" t="str">
        <v>ENGINEERING MATERIALS I</v>
      </c>
      <c r="C328" s="354" t="str">
        <v>Boahen Samuel</v>
      </c>
      <c r="D328" s="303" t="s">
        <v>25</v>
      </c>
      <c r="E328" s="336">
        <v>80</v>
      </c>
      <c r="F328" s="350" t="s">
        <v>1698</v>
      </c>
      <c r="G328" s="338">
        <f t="shared" si="45"/>
        <v>88</v>
      </c>
      <c r="H328" s="329" t="s">
        <v>1714</v>
      </c>
      <c r="I328" s="330" t="str">
        <f t="shared" si="43"/>
        <v>ME 281,ED2-IND</v>
      </c>
      <c r="J328" s="335"/>
    </row>
    <row r="329" spans="1:10" x14ac:dyDescent="0.45">
      <c r="A329" s="303" t="s">
        <v>38</v>
      </c>
      <c r="B329" s="303" t="str">
        <v>TECHNICAL DRAWING</v>
      </c>
      <c r="C329" s="304" t="str">
        <v>Sekyere Charles Kofi Kafui</v>
      </c>
      <c r="D329" s="303" t="s">
        <v>166</v>
      </c>
      <c r="E329" s="336">
        <v>88</v>
      </c>
      <c r="F329" s="362" t="s">
        <v>1699</v>
      </c>
      <c r="G329" s="338">
        <f t="shared" si="45"/>
        <v>96.800000000000011</v>
      </c>
      <c r="H329" s="329" t="s">
        <v>1705</v>
      </c>
      <c r="I329" s="330" t="str">
        <f t="shared" ref="I329:I331" si="46">CONCATENATE(A329,",",D329)</f>
        <v>ME 159,ED1-AUTO</v>
      </c>
      <c r="J329" s="335"/>
    </row>
    <row r="330" spans="1:10" x14ac:dyDescent="0.45">
      <c r="A330" s="303" t="s">
        <v>38</v>
      </c>
      <c r="B330" s="303" t="str">
        <v>TECHNICAL DRAWING</v>
      </c>
      <c r="C330" s="304" t="str">
        <v>Sekyere Charles Kofi Kafui</v>
      </c>
      <c r="D330" s="303" t="s">
        <v>161</v>
      </c>
      <c r="E330" s="336">
        <v>81</v>
      </c>
      <c r="F330" s="355" t="s">
        <v>479</v>
      </c>
      <c r="G330" s="338">
        <f t="shared" si="45"/>
        <v>89.100000000000009</v>
      </c>
      <c r="H330" s="329">
        <v>81</v>
      </c>
      <c r="I330" s="330" t="str">
        <f t="shared" si="46"/>
        <v>ME 159,ED1-IND</v>
      </c>
      <c r="J330" s="335"/>
    </row>
    <row r="331" spans="1:10" x14ac:dyDescent="0.45">
      <c r="A331" s="303" t="s">
        <v>38</v>
      </c>
      <c r="B331" s="303" t="str">
        <v>TECHNICAL DRAWING</v>
      </c>
      <c r="C331" s="339" t="str">
        <v>Afriyie Nyarko Frank Kwabena</v>
      </c>
      <c r="D331" s="303" t="s">
        <v>69</v>
      </c>
      <c r="E331" s="336">
        <v>261</v>
      </c>
      <c r="F331" s="355" t="s">
        <v>1639</v>
      </c>
      <c r="G331" s="338">
        <f t="shared" si="45"/>
        <v>287.10000000000002</v>
      </c>
      <c r="H331" s="329" t="s">
        <v>1706</v>
      </c>
      <c r="I331" s="330" t="str">
        <f t="shared" si="46"/>
        <v>ME 159,ED1-COE</v>
      </c>
      <c r="J331" s="335"/>
    </row>
    <row r="332" spans="1:10" x14ac:dyDescent="0.45">
      <c r="A332" s="303" t="s">
        <v>247</v>
      </c>
      <c r="B332" s="303" t="str">
        <v>RESERVOIR SIMULATION</v>
      </c>
      <c r="C332" s="339" t="str">
        <v>Ampomah William</v>
      </c>
      <c r="D332" s="303" t="s">
        <v>1385</v>
      </c>
      <c r="E332" s="336">
        <v>103</v>
      </c>
      <c r="F332" s="341" t="s">
        <v>1522</v>
      </c>
      <c r="G332" s="338">
        <f t="shared" si="45"/>
        <v>113.30000000000001</v>
      </c>
      <c r="H332" s="329" t="s">
        <v>1707</v>
      </c>
      <c r="I332" s="330" t="str">
        <f>CONCATENATE(A332,",",D332)</f>
        <v>PE 455,ED4-PE</v>
      </c>
      <c r="J332" s="335"/>
    </row>
    <row r="333" spans="1:10" x14ac:dyDescent="0.45">
      <c r="A333" s="303" t="s">
        <v>198</v>
      </c>
      <c r="B333" s="303" t="str">
        <v>ENGINEERING GEOLOGICAL INVESTIGATIONS</v>
      </c>
      <c r="C333" s="339" t="str">
        <v>Ali Bukari</v>
      </c>
      <c r="D333" s="303" t="s">
        <v>50</v>
      </c>
      <c r="E333" s="336">
        <v>102</v>
      </c>
      <c r="F333" s="355" t="s">
        <v>1700</v>
      </c>
      <c r="G333" s="338">
        <f t="shared" si="45"/>
        <v>112.2</v>
      </c>
      <c r="H333" s="329" t="s">
        <v>1708</v>
      </c>
      <c r="I333" s="330" t="str">
        <f>CONCATENATE(A333,",",D333)</f>
        <v>GED 465,ED4-GEOL</v>
      </c>
      <c r="J333" s="335"/>
    </row>
    <row r="334" spans="1:10" x14ac:dyDescent="0.45">
      <c r="A334" s="303" t="s">
        <v>220</v>
      </c>
      <c r="B334" s="303" t="str">
        <v>BASIC PHYSICAL GEODESY</v>
      </c>
      <c r="C334" s="352" t="str">
        <v>Dadzie Isaac</v>
      </c>
      <c r="D334" s="303" t="s">
        <v>84</v>
      </c>
      <c r="E334" s="336">
        <v>134</v>
      </c>
      <c r="F334" s="355" t="s">
        <v>1701</v>
      </c>
      <c r="G334" s="338">
        <f t="shared" si="45"/>
        <v>147.4</v>
      </c>
      <c r="H334" s="329" t="s">
        <v>1709</v>
      </c>
      <c r="I334" s="330" t="str">
        <f t="shared" si="43"/>
        <v>GE 281,ED2-GEOM</v>
      </c>
      <c r="J334" s="335"/>
    </row>
    <row r="335" spans="1:10" x14ac:dyDescent="0.45">
      <c r="A335" s="303" t="s">
        <v>235</v>
      </c>
      <c r="B335" s="303" t="str">
        <v>PETROLEUM ENGINEERING THERMODYNAMICS I</v>
      </c>
      <c r="C335" s="339" t="str">
        <v>Sokama-Neuyam Yen Adams</v>
      </c>
      <c r="D335" s="303" t="s">
        <v>1383</v>
      </c>
      <c r="E335" s="336">
        <v>97</v>
      </c>
      <c r="F335" s="350" t="s">
        <v>1702</v>
      </c>
      <c r="G335" s="338">
        <f t="shared" si="45"/>
        <v>106.7</v>
      </c>
      <c r="H335" s="329" t="s">
        <v>1710</v>
      </c>
      <c r="I335" s="330" t="str">
        <f>CONCATENATE(A335,",",D335)</f>
        <v>PE 257,ED2-PE</v>
      </c>
      <c r="J335" s="335"/>
    </row>
    <row r="336" spans="1:10" x14ac:dyDescent="0.45">
      <c r="A336" s="303" t="s">
        <v>221</v>
      </c>
      <c r="B336" s="303" t="str">
        <v>CHEMICAL PROCESS DESIGN AND ECONOMICS</v>
      </c>
      <c r="C336" s="352" t="str">
        <v>Afotey Benjamin</v>
      </c>
      <c r="D336" s="303" t="s">
        <v>86</v>
      </c>
      <c r="E336" s="336">
        <v>114</v>
      </c>
      <c r="F336" s="350" t="s">
        <v>1703</v>
      </c>
      <c r="G336" s="338">
        <f t="shared" si="45"/>
        <v>125.4</v>
      </c>
      <c r="H336" s="329" t="s">
        <v>1711</v>
      </c>
      <c r="I336" s="330" t="str">
        <f t="shared" si="43"/>
        <v>CHE 451,ED4-CHE</v>
      </c>
      <c r="J336" s="335"/>
    </row>
    <row r="337" spans="1:10" x14ac:dyDescent="0.45">
      <c r="A337" s="303" t="s">
        <v>221</v>
      </c>
      <c r="B337" s="303" t="str">
        <v>CHEMICAL PROCESS DESIGN AND ECONOMICS</v>
      </c>
      <c r="C337" s="352" t="str">
        <v>Afotey Benjamin</v>
      </c>
      <c r="D337" s="303" t="s">
        <v>87</v>
      </c>
      <c r="E337" s="336">
        <v>62</v>
      </c>
      <c r="F337" s="350" t="s">
        <v>1470</v>
      </c>
      <c r="G337" s="338">
        <f t="shared" si="45"/>
        <v>68.2</v>
      </c>
      <c r="H337" s="329" t="s">
        <v>1624</v>
      </c>
      <c r="I337" s="330" t="str">
        <f t="shared" si="43"/>
        <v>CHE 451,ED4-PCE</v>
      </c>
      <c r="J337" s="335"/>
    </row>
    <row r="338" spans="1:10" x14ac:dyDescent="0.45">
      <c r="A338" s="303" t="s">
        <v>240</v>
      </c>
      <c r="B338" s="303" t="str">
        <v>METALLURGICAL PLANT DESIGN/OPERATIONS</v>
      </c>
      <c r="C338" s="339" t="str">
        <v>Koomson Bennetta</v>
      </c>
      <c r="D338" s="303" t="s">
        <v>95</v>
      </c>
      <c r="E338" s="336">
        <v>49</v>
      </c>
      <c r="F338" s="350" t="s">
        <v>105</v>
      </c>
      <c r="G338" s="338">
        <f t="shared" si="45"/>
        <v>53.900000000000006</v>
      </c>
      <c r="H338" s="329">
        <v>49</v>
      </c>
      <c r="I338" s="330" t="str">
        <f>CONCATENATE(A338,",",D338)</f>
        <v>METE 451,ED4-METE</v>
      </c>
      <c r="J338" s="335"/>
    </row>
    <row r="339" spans="1:10" x14ac:dyDescent="0.45">
      <c r="A339" s="303" t="s">
        <v>223</v>
      </c>
      <c r="B339" s="303" t="str">
        <v>COSTING AND BREAK-EVEN ANALYSIS</v>
      </c>
      <c r="C339" s="352" t="str">
        <v>Mensah Lena Dzifa</v>
      </c>
      <c r="D339" s="303" t="s">
        <v>80</v>
      </c>
      <c r="E339" s="336">
        <v>67</v>
      </c>
      <c r="F339" s="350" t="s">
        <v>1704</v>
      </c>
      <c r="G339" s="338">
        <f t="shared" si="45"/>
        <v>73.7</v>
      </c>
      <c r="H339" s="329" t="s">
        <v>1622</v>
      </c>
      <c r="I339" s="330" t="str">
        <f t="shared" si="43"/>
        <v>IE 455,ED4-IND</v>
      </c>
      <c r="J339" s="335"/>
    </row>
    <row r="340" spans="1:10" x14ac:dyDescent="0.45">
      <c r="A340" s="340"/>
      <c r="B340" s="340"/>
      <c r="C340" s="333"/>
      <c r="D340" s="303" t="s">
        <v>225</v>
      </c>
      <c r="E340" s="332">
        <f>SUM(E324:E339)</f>
        <v>1565</v>
      </c>
      <c r="F340" s="341"/>
      <c r="G340" s="340"/>
      <c r="H340" s="329"/>
      <c r="I340" s="330" t="str">
        <f t="shared" si="43"/>
        <v>,Total W3</v>
      </c>
      <c r="J340" s="335"/>
    </row>
    <row r="341" spans="1:10" x14ac:dyDescent="0.45">
      <c r="A341" s="340"/>
      <c r="B341" s="340"/>
      <c r="C341" s="333"/>
      <c r="D341" s="340"/>
      <c r="E341" s="340"/>
      <c r="F341" s="341"/>
      <c r="G341" s="340"/>
      <c r="H341" s="329"/>
      <c r="I341" s="330" t="str">
        <f t="shared" si="43"/>
        <v>,</v>
      </c>
      <c r="J341" s="335"/>
    </row>
    <row r="342" spans="1:10" x14ac:dyDescent="0.45">
      <c r="A342" s="340"/>
      <c r="B342" s="340"/>
      <c r="C342" s="333"/>
      <c r="D342" s="340"/>
      <c r="E342" s="340"/>
      <c r="F342" s="341"/>
      <c r="G342" s="340"/>
      <c r="H342" s="329"/>
      <c r="I342" s="330" t="str">
        <f t="shared" si="43"/>
        <v>,</v>
      </c>
      <c r="J342" s="335"/>
    </row>
    <row r="343" spans="1:10" x14ac:dyDescent="0.45">
      <c r="A343" s="383" t="s">
        <v>1368</v>
      </c>
      <c r="B343" s="383"/>
      <c r="C343" s="383"/>
      <c r="D343" s="383"/>
      <c r="E343" s="383"/>
      <c r="F343" s="383"/>
      <c r="G343" s="383"/>
      <c r="H343" s="329"/>
      <c r="I343" s="330" t="str">
        <f t="shared" si="43"/>
        <v>Wednesday, 25 February 2026,</v>
      </c>
      <c r="J343" s="335"/>
    </row>
    <row r="344" spans="1:10" x14ac:dyDescent="0.45">
      <c r="A344" s="383" t="str">
        <f>[6]SESSIONS!$K$4</f>
        <v>Session, 4 (1:30 PM - 2:30 PM)</v>
      </c>
      <c r="B344" s="383"/>
      <c r="C344" s="383"/>
      <c r="D344" s="383"/>
      <c r="E344" s="383"/>
      <c r="F344" s="383"/>
      <c r="G344" s="383"/>
      <c r="H344" s="329"/>
      <c r="I344" s="330" t="str">
        <f t="shared" si="43"/>
        <v>Session, 4 (1:30 PM - 2:30 PM),</v>
      </c>
      <c r="J344" s="335"/>
    </row>
    <row r="345" spans="1:10" x14ac:dyDescent="0.45">
      <c r="A345" s="332" t="s">
        <v>2</v>
      </c>
      <c r="B345" s="332" t="s">
        <v>3</v>
      </c>
      <c r="C345" s="333" t="s">
        <v>4</v>
      </c>
      <c r="D345" s="332" t="s">
        <v>5</v>
      </c>
      <c r="E345" s="332" t="s">
        <v>6</v>
      </c>
      <c r="F345" s="334" t="s">
        <v>7</v>
      </c>
      <c r="G345" s="332" t="s">
        <v>8</v>
      </c>
      <c r="H345" s="329"/>
      <c r="I345" s="330" t="str">
        <f t="shared" si="43"/>
        <v>CODE ,CLASS</v>
      </c>
      <c r="J345" s="335"/>
    </row>
    <row r="346" spans="1:10" x14ac:dyDescent="0.45">
      <c r="A346" s="303" t="s">
        <v>226</v>
      </c>
      <c r="B346" s="303" t="str" cm="1">
        <f t="array" ref="B346:B362">IFERROR(VLOOKUP(I346:I362,Lecturers!A2:G597,7,FALSE),0)</f>
        <v>PROBABILITY AND STATISTICS</v>
      </c>
      <c r="C346" s="304" t="str" cm="1">
        <f t="array" ref="C346:C362">IFERROR(VLOOKUP(I346:I362,Lecturers!A2:G597,2,FALSE),0)</f>
        <v>Amoako-Yirenkyi Carole Fredua</v>
      </c>
      <c r="D346" s="303" t="s">
        <v>10</v>
      </c>
      <c r="E346" s="336" cm="1">
        <f t="array" ref="E346:E362">IFERROR(VLOOKUP(I346:I362,Lecturers!A2:G597,3,FALSE),0)</f>
        <v>230</v>
      </c>
      <c r="F346" s="350" t="s">
        <v>149</v>
      </c>
      <c r="G346" s="338">
        <f>1.1*E346</f>
        <v>253.00000000000003</v>
      </c>
      <c r="H346" s="329"/>
      <c r="I346" s="330" t="str">
        <f t="shared" si="43"/>
        <v>STAT 253,ED3-ME</v>
      </c>
      <c r="J346" s="335"/>
    </row>
    <row r="347" spans="1:10" x14ac:dyDescent="0.45">
      <c r="A347" s="303" t="s">
        <v>226</v>
      </c>
      <c r="B347" s="303" t="str">
        <v>PROBABILITY AND STATISTICS</v>
      </c>
      <c r="C347" s="304" t="str">
        <v>Amoako-Yirenkyi Carole Fredua</v>
      </c>
      <c r="D347" s="303" t="s">
        <v>17</v>
      </c>
      <c r="E347" s="336">
        <v>276</v>
      </c>
      <c r="F347" s="350" t="s">
        <v>149</v>
      </c>
      <c r="G347" s="338">
        <f t="shared" ref="G347:G362" si="47">1.1*E347</f>
        <v>303.60000000000002</v>
      </c>
      <c r="H347" s="329"/>
      <c r="I347" s="330" t="str">
        <f>CONCATENATE(A347,",",D347)</f>
        <v>STAT 253,ED3-COE</v>
      </c>
      <c r="J347" s="335"/>
    </row>
    <row r="348" spans="1:10" x14ac:dyDescent="0.45">
      <c r="A348" s="303" t="s">
        <v>226</v>
      </c>
      <c r="B348" s="303" t="str">
        <v>PROBABILITY AND STATISTICS</v>
      </c>
      <c r="C348" s="304" t="str">
        <v>Amoako-Yirenkyi Carole Fredua</v>
      </c>
      <c r="D348" s="303" t="s">
        <v>20</v>
      </c>
      <c r="E348" s="336">
        <v>72</v>
      </c>
      <c r="F348" s="350" t="s">
        <v>149</v>
      </c>
      <c r="G348" s="338">
        <f t="shared" si="47"/>
        <v>79.2</v>
      </c>
      <c r="H348" s="329"/>
      <c r="I348" s="330" t="str">
        <f t="shared" si="43"/>
        <v>STAT 253,ED3-IND</v>
      </c>
      <c r="J348" s="335"/>
    </row>
    <row r="349" spans="1:10" x14ac:dyDescent="0.45">
      <c r="A349" s="303" t="s">
        <v>226</v>
      </c>
      <c r="B349" s="303" t="str">
        <v>PROBABILITY AND STATISTICS</v>
      </c>
      <c r="C349" s="304" t="str">
        <v>C. F. A. Yirenkyi</v>
      </c>
      <c r="D349" s="303" t="s">
        <v>14</v>
      </c>
      <c r="E349" s="336">
        <v>76</v>
      </c>
      <c r="F349" s="350" t="s">
        <v>149</v>
      </c>
      <c r="G349" s="338">
        <f t="shared" si="47"/>
        <v>83.600000000000009</v>
      </c>
      <c r="H349" s="329"/>
      <c r="I349" s="330" t="str">
        <f t="shared" si="43"/>
        <v>STAT 253,ED3-AERO</v>
      </c>
      <c r="J349" s="335"/>
    </row>
    <row r="350" spans="1:10" x14ac:dyDescent="0.45">
      <c r="A350" s="303" t="s">
        <v>226</v>
      </c>
      <c r="B350" s="303" t="str">
        <v>PROBABILITY AND STATISTICS</v>
      </c>
      <c r="C350" s="304" t="str">
        <v>Amoako-Yirenkyi Carole Fredua</v>
      </c>
      <c r="D350" s="303" t="s">
        <v>34</v>
      </c>
      <c r="E350" s="336">
        <v>93</v>
      </c>
      <c r="F350" s="350" t="s">
        <v>149</v>
      </c>
      <c r="G350" s="338">
        <f t="shared" si="47"/>
        <v>102.30000000000001</v>
      </c>
      <c r="H350" s="329"/>
      <c r="I350" s="330" t="str">
        <f t="shared" si="43"/>
        <v>STAT 253,ED3-GEOM</v>
      </c>
      <c r="J350" s="335"/>
    </row>
    <row r="351" spans="1:10" x14ac:dyDescent="0.45">
      <c r="A351" s="303" t="s">
        <v>226</v>
      </c>
      <c r="B351" s="303" t="str">
        <v>PROBABILITY AND STATISTICS</v>
      </c>
      <c r="C351" s="339" t="str">
        <v>Okutu John Kwadey</v>
      </c>
      <c r="D351" s="303" t="s">
        <v>19</v>
      </c>
      <c r="E351" s="336">
        <v>254</v>
      </c>
      <c r="F351" s="350" t="s">
        <v>1639</v>
      </c>
      <c r="G351" s="338">
        <f t="shared" si="47"/>
        <v>279.40000000000003</v>
      </c>
      <c r="H351" s="329" t="s">
        <v>1719</v>
      </c>
      <c r="I351" s="330" t="str">
        <f t="shared" si="43"/>
        <v>STAT 253,ED3-EE</v>
      </c>
      <c r="J351" s="335"/>
    </row>
    <row r="352" spans="1:10" x14ac:dyDescent="0.45">
      <c r="A352" s="303" t="s">
        <v>226</v>
      </c>
      <c r="B352" s="303" t="str">
        <v>PROBABILITY AND STATISTICS</v>
      </c>
      <c r="C352" s="304" t="str">
        <v>David Benteh</v>
      </c>
      <c r="D352" s="303" t="s">
        <v>21</v>
      </c>
      <c r="E352" s="336">
        <v>40</v>
      </c>
      <c r="F352" s="350" t="s">
        <v>108</v>
      </c>
      <c r="G352" s="338">
        <f t="shared" si="47"/>
        <v>44</v>
      </c>
      <c r="H352" s="329">
        <v>40</v>
      </c>
      <c r="I352" s="330" t="str">
        <f t="shared" si="43"/>
        <v>STAT 253,ED3-MARI</v>
      </c>
      <c r="J352" s="335"/>
    </row>
    <row r="353" spans="1:10" x14ac:dyDescent="0.45">
      <c r="A353" s="303" t="s">
        <v>226</v>
      </c>
      <c r="B353" s="303" t="str">
        <v>PROBABILITY AND STATISTICS</v>
      </c>
      <c r="C353" s="304" t="str">
        <v>David Benteh</v>
      </c>
      <c r="D353" s="303" t="s">
        <v>16</v>
      </c>
      <c r="E353" s="336">
        <v>154</v>
      </c>
      <c r="F353" s="350" t="s">
        <v>1416</v>
      </c>
      <c r="G353" s="338">
        <f t="shared" si="47"/>
        <v>169.4</v>
      </c>
      <c r="H353" s="329" t="s">
        <v>1538</v>
      </c>
      <c r="I353" s="330" t="str">
        <f t="shared" si="43"/>
        <v>STAT 253,ED3-GEOL</v>
      </c>
      <c r="J353" s="335"/>
    </row>
    <row r="354" spans="1:10" x14ac:dyDescent="0.45">
      <c r="A354" s="303" t="s">
        <v>226</v>
      </c>
      <c r="B354" s="303" t="str">
        <v>PROBABILITY AND STATISTICS</v>
      </c>
      <c r="C354" s="304" t="str">
        <v>Okutu John Kwadey</v>
      </c>
      <c r="D354" s="303" t="s">
        <v>12</v>
      </c>
      <c r="E354" s="336">
        <v>47</v>
      </c>
      <c r="F354" s="350" t="s">
        <v>1686</v>
      </c>
      <c r="G354" s="338">
        <f t="shared" si="47"/>
        <v>51.7</v>
      </c>
      <c r="H354" s="329" t="s">
        <v>1666</v>
      </c>
      <c r="I354" s="330" t="str">
        <f t="shared" si="43"/>
        <v>STAT 253,ED3-AUTO</v>
      </c>
      <c r="J354" s="335"/>
    </row>
    <row r="355" spans="1:10" x14ac:dyDescent="0.45">
      <c r="A355" s="303" t="s">
        <v>226</v>
      </c>
      <c r="B355" s="303" t="str">
        <v>PROBABILITY AND STATISTICS</v>
      </c>
      <c r="C355" s="339" t="str">
        <v>David Benteh</v>
      </c>
      <c r="D355" s="303" t="s">
        <v>13</v>
      </c>
      <c r="E355" s="336">
        <v>94</v>
      </c>
      <c r="F355" s="350" t="s">
        <v>1459</v>
      </c>
      <c r="G355" s="338">
        <f t="shared" si="47"/>
        <v>103.4</v>
      </c>
      <c r="H355" s="329" t="s">
        <v>1720</v>
      </c>
      <c r="I355" s="330" t="str">
        <f t="shared" si="43"/>
        <v>STAT 253,ED3-BME</v>
      </c>
      <c r="J355" s="335"/>
    </row>
    <row r="356" spans="1:10" x14ac:dyDescent="0.45">
      <c r="A356" s="303" t="s">
        <v>226</v>
      </c>
      <c r="B356" s="303" t="str">
        <v>PROBABILITY AND STATISTICS</v>
      </c>
      <c r="C356" s="304" t="str">
        <v>Benteh David</v>
      </c>
      <c r="D356" s="303" t="s">
        <v>123</v>
      </c>
      <c r="E356" s="336">
        <v>89</v>
      </c>
      <c r="F356" s="350" t="s">
        <v>1715</v>
      </c>
      <c r="G356" s="338">
        <f t="shared" si="47"/>
        <v>97.9</v>
      </c>
      <c r="H356" s="329" t="s">
        <v>1721</v>
      </c>
      <c r="I356" s="330" t="str">
        <f t="shared" si="43"/>
        <v>STAT 253,ED3-MSE</v>
      </c>
      <c r="J356" s="335"/>
    </row>
    <row r="357" spans="1:10" x14ac:dyDescent="0.45">
      <c r="A357" s="303" t="s">
        <v>226</v>
      </c>
      <c r="B357" s="303" t="str">
        <v>PROBABILITY AND STATISTICS</v>
      </c>
      <c r="C357" s="304" t="str">
        <v>Benteh David</v>
      </c>
      <c r="D357" s="303" t="s">
        <v>31</v>
      </c>
      <c r="E357" s="336">
        <v>83</v>
      </c>
      <c r="F357" s="350" t="s">
        <v>1716</v>
      </c>
      <c r="G357" s="338">
        <f t="shared" si="47"/>
        <v>91.300000000000011</v>
      </c>
      <c r="H357" s="329" t="s">
        <v>1722</v>
      </c>
      <c r="I357" s="330" t="str">
        <f t="shared" si="43"/>
        <v>STAT 253,ED3-METE</v>
      </c>
      <c r="J357" s="335"/>
    </row>
    <row r="358" spans="1:10" x14ac:dyDescent="0.45">
      <c r="A358" s="303" t="s">
        <v>226</v>
      </c>
      <c r="B358" s="303" t="str">
        <v>PROBABILITY AND STATISTICS</v>
      </c>
      <c r="C358" s="304" t="str">
        <v>Awiakye-Marfo George</v>
      </c>
      <c r="D358" s="303" t="s">
        <v>22</v>
      </c>
      <c r="E358" s="336">
        <v>223</v>
      </c>
      <c r="F358" s="350" t="s">
        <v>1717</v>
      </c>
      <c r="G358" s="338">
        <f t="shared" si="47"/>
        <v>245.3</v>
      </c>
      <c r="H358" s="329" t="s">
        <v>1723</v>
      </c>
      <c r="I358" s="330" t="str">
        <f>CONCATENATE(A358,",",D358)</f>
        <v>STAT 253,ED3-CE</v>
      </c>
      <c r="J358" s="335"/>
    </row>
    <row r="359" spans="1:10" x14ac:dyDescent="0.45">
      <c r="A359" s="303" t="s">
        <v>222</v>
      </c>
      <c r="B359" s="303" t="str">
        <v>THEORY OF STRUCTURES</v>
      </c>
      <c r="C359" s="354" t="str">
        <v>Ampofo James Wiafe</v>
      </c>
      <c r="D359" s="303" t="s">
        <v>126</v>
      </c>
      <c r="E359" s="336">
        <v>154</v>
      </c>
      <c r="F359" s="355" t="s">
        <v>1668</v>
      </c>
      <c r="G359" s="338">
        <f t="shared" si="47"/>
        <v>169.4</v>
      </c>
      <c r="H359" s="329" t="s">
        <v>1724</v>
      </c>
      <c r="I359" s="330" t="str">
        <f>CONCATENATE(A359,",",D359)</f>
        <v>CE 255,ED2-GEOL</v>
      </c>
      <c r="J359" s="335"/>
    </row>
    <row r="360" spans="1:10" x14ac:dyDescent="0.45">
      <c r="A360" s="303" t="s">
        <v>222</v>
      </c>
      <c r="B360" s="303" t="str">
        <v>THEORY OF STRUCTURES</v>
      </c>
      <c r="C360" s="354" t="str">
        <v>Ampofo James Wiafe</v>
      </c>
      <c r="D360" s="303" t="s">
        <v>101</v>
      </c>
      <c r="E360" s="336">
        <v>260</v>
      </c>
      <c r="F360" s="350" t="s">
        <v>1718</v>
      </c>
      <c r="G360" s="338">
        <f t="shared" si="47"/>
        <v>286</v>
      </c>
      <c r="H360" s="341" t="s">
        <v>1725</v>
      </c>
      <c r="I360" s="330" t="str">
        <f>CONCATENATE(A360,",",D360)</f>
        <v>CE 255,ED2-CE</v>
      </c>
      <c r="J360" s="335"/>
    </row>
    <row r="361" spans="1:10" x14ac:dyDescent="0.45">
      <c r="A361" s="303" t="s">
        <v>238</v>
      </c>
      <c r="B361" s="303" t="str">
        <v>COMPOSITE MATERIALS</v>
      </c>
      <c r="C361" s="339" t="str">
        <v>Asare Eric Kwame Anokye</v>
      </c>
      <c r="D361" s="303" t="s">
        <v>97</v>
      </c>
      <c r="E361" s="336">
        <v>64</v>
      </c>
      <c r="F361" s="350" t="s">
        <v>1667</v>
      </c>
      <c r="G361" s="338">
        <f t="shared" si="47"/>
        <v>70.400000000000006</v>
      </c>
      <c r="H361" s="329" t="s">
        <v>1688</v>
      </c>
      <c r="I361" s="330" t="str">
        <f>CONCATENATE(A361,",",D361)</f>
        <v>MSE 451,ED4-MSE</v>
      </c>
      <c r="J361" s="335"/>
    </row>
    <row r="362" spans="1:10" x14ac:dyDescent="0.45">
      <c r="A362" s="303" t="s">
        <v>199</v>
      </c>
      <c r="B362" s="303" t="str">
        <v>DEVELOPMENT ENGINEERING</v>
      </c>
      <c r="C362" s="339" t="str">
        <v>Tuffour Yaw Adubofour</v>
      </c>
      <c r="D362" s="303" t="s">
        <v>68</v>
      </c>
      <c r="E362" s="336">
        <v>245</v>
      </c>
      <c r="F362" s="350" t="s">
        <v>1534</v>
      </c>
      <c r="G362" s="338">
        <f t="shared" si="47"/>
        <v>269.5</v>
      </c>
      <c r="H362" s="329" t="s">
        <v>1415</v>
      </c>
      <c r="I362" s="330" t="str">
        <f>CONCATENATE(A362,",",D362)</f>
        <v>CE 473,ED4-CE</v>
      </c>
      <c r="J362" s="335"/>
    </row>
    <row r="363" spans="1:10" x14ac:dyDescent="0.45">
      <c r="A363" s="340"/>
      <c r="B363" s="340"/>
      <c r="C363" s="333"/>
      <c r="D363" s="303" t="s">
        <v>229</v>
      </c>
      <c r="E363" s="332">
        <f>SUM(E351:E362)</f>
        <v>1707</v>
      </c>
      <c r="F363" s="341"/>
      <c r="G363" s="340"/>
      <c r="H363" s="329"/>
      <c r="I363" s="330" t="str">
        <f t="shared" si="43"/>
        <v>,Total W4</v>
      </c>
      <c r="J363" s="335"/>
    </row>
    <row r="364" spans="1:10" x14ac:dyDescent="0.45">
      <c r="A364" s="340"/>
      <c r="B364" s="340"/>
      <c r="C364" s="333"/>
      <c r="D364" s="340"/>
      <c r="E364" s="340"/>
      <c r="F364" s="341"/>
      <c r="G364" s="340"/>
      <c r="H364" s="329"/>
      <c r="I364" s="330" t="str">
        <f t="shared" si="43"/>
        <v>,</v>
      </c>
      <c r="J364" s="335"/>
    </row>
    <row r="365" spans="1:10" x14ac:dyDescent="0.45">
      <c r="A365" s="340"/>
      <c r="B365" s="340"/>
      <c r="C365" s="333"/>
      <c r="D365" s="340"/>
      <c r="E365" s="340"/>
      <c r="F365" s="341"/>
      <c r="G365" s="340"/>
      <c r="H365" s="329"/>
      <c r="I365" s="330" t="str">
        <f t="shared" si="43"/>
        <v>,</v>
      </c>
      <c r="J365" s="335"/>
    </row>
    <row r="366" spans="1:10" x14ac:dyDescent="0.45">
      <c r="A366" s="383" t="s">
        <v>1368</v>
      </c>
      <c r="B366" s="383"/>
      <c r="C366" s="383"/>
      <c r="D366" s="383"/>
      <c r="E366" s="383"/>
      <c r="F366" s="383"/>
      <c r="G366" s="383"/>
      <c r="H366" s="329"/>
      <c r="I366" s="330" t="str">
        <f t="shared" si="43"/>
        <v>Wednesday, 25 February 2026,</v>
      </c>
      <c r="J366" s="335"/>
    </row>
    <row r="367" spans="1:10" x14ac:dyDescent="0.45">
      <c r="A367" s="383" t="str">
        <f>[6]SESSIONS!$K$5</f>
        <v>Session, 5 (3:15 PM - 4:15 PM)</v>
      </c>
      <c r="B367" s="383"/>
      <c r="C367" s="383"/>
      <c r="D367" s="383"/>
      <c r="E367" s="383"/>
      <c r="F367" s="383"/>
      <c r="G367" s="383"/>
      <c r="H367" s="329"/>
      <c r="I367" s="330" t="str">
        <f t="shared" si="43"/>
        <v>Session, 5 (3:15 PM - 4:15 PM),</v>
      </c>
      <c r="J367" s="335"/>
    </row>
    <row r="368" spans="1:10" x14ac:dyDescent="0.45">
      <c r="A368" s="332" t="s">
        <v>2</v>
      </c>
      <c r="B368" s="332" t="s">
        <v>3</v>
      </c>
      <c r="C368" s="333" t="s">
        <v>4</v>
      </c>
      <c r="D368" s="332" t="s">
        <v>5</v>
      </c>
      <c r="E368" s="332" t="s">
        <v>6</v>
      </c>
      <c r="F368" s="334" t="s">
        <v>7</v>
      </c>
      <c r="G368" s="332" t="s">
        <v>8</v>
      </c>
      <c r="H368" s="329"/>
      <c r="I368" s="330" t="str">
        <f t="shared" si="43"/>
        <v>CODE ,CLASS</v>
      </c>
      <c r="J368" s="335"/>
    </row>
    <row r="369" spans="1:10" x14ac:dyDescent="0.45">
      <c r="A369" s="303" t="s">
        <v>231</v>
      </c>
      <c r="B369" s="303" t="str" cm="1">
        <f t="array" ref="B369:B383">IFERROR(VLOOKUP(I369:I383,Lecturers!A2:G597,7,FALSE),0)</f>
        <v>ORGANIC CHEMISTRY FOR ENGINEERS</v>
      </c>
      <c r="C369" s="304" t="str" cm="1">
        <f t="array" ref="C369:C383">IFERROR(VLOOKUP(I369:I383,Lecturers!A2:G597,2,FALSE),0)</f>
        <v>Laryea Michael Konney</v>
      </c>
      <c r="D369" s="303" t="s">
        <v>103</v>
      </c>
      <c r="E369" s="336" cm="1">
        <f t="array" ref="E369:E383">IFERROR(VLOOKUP(I369:I383,Lecturers!A2:G597,3,FALSE),0)</f>
        <v>120</v>
      </c>
      <c r="F369" s="341" t="s">
        <v>1516</v>
      </c>
      <c r="G369" s="338">
        <f>1.1*E369</f>
        <v>132</v>
      </c>
      <c r="H369" s="329" t="s">
        <v>1524</v>
      </c>
      <c r="I369" s="330" t="str">
        <f t="shared" ref="I369:I435" si="48">CONCATENATE(A369,",",D369)</f>
        <v>CHE 153,ED1-CHE</v>
      </c>
      <c r="J369" s="335"/>
    </row>
    <row r="370" spans="1:10" x14ac:dyDescent="0.45">
      <c r="A370" s="303" t="s">
        <v>231</v>
      </c>
      <c r="B370" s="303" t="str">
        <v>ORGANIC CHEMISTRY FOR ENGINEERS</v>
      </c>
      <c r="C370" s="304" t="str">
        <v>Laryea Michael Konney</v>
      </c>
      <c r="D370" s="303" t="s">
        <v>104</v>
      </c>
      <c r="E370" s="336">
        <v>56</v>
      </c>
      <c r="F370" s="350" t="s">
        <v>105</v>
      </c>
      <c r="G370" s="338">
        <f t="shared" ref="G370:G383" si="49">1.1*E370</f>
        <v>61.600000000000009</v>
      </c>
      <c r="H370" s="329">
        <v>56</v>
      </c>
      <c r="I370" s="330" t="str">
        <f t="shared" si="48"/>
        <v>CHE 153,ED1-PCE</v>
      </c>
      <c r="J370" s="335"/>
    </row>
    <row r="371" spans="1:10" x14ac:dyDescent="0.45">
      <c r="A371" s="303" t="s">
        <v>232</v>
      </c>
      <c r="B371" s="303" t="str">
        <v>ORGANIC CHEMISTRY FOR ENGINEERS</v>
      </c>
      <c r="C371" s="304" t="str">
        <v>Laryea Michael Konney</v>
      </c>
      <c r="D371" s="303" t="s">
        <v>1382</v>
      </c>
      <c r="E371" s="336">
        <v>129</v>
      </c>
      <c r="F371" s="350" t="s">
        <v>1745</v>
      </c>
      <c r="G371" s="338">
        <f t="shared" si="49"/>
        <v>141.9</v>
      </c>
      <c r="H371" s="329" t="s">
        <v>1746</v>
      </c>
      <c r="I371" s="330" t="str">
        <f t="shared" si="48"/>
        <v>PE 153,ED1-PE</v>
      </c>
      <c r="J371" s="335"/>
    </row>
    <row r="372" spans="1:10" x14ac:dyDescent="0.45">
      <c r="A372" s="303" t="s">
        <v>233</v>
      </c>
      <c r="B372" s="303" t="str">
        <v>INTRODUCTION TO INFORMATION TECHNOLOGY</v>
      </c>
      <c r="C372" s="339" t="str">
        <v>Okae James</v>
      </c>
      <c r="D372" s="303" t="s">
        <v>115</v>
      </c>
      <c r="E372" s="336">
        <v>98</v>
      </c>
      <c r="F372" s="350" t="s">
        <v>1517</v>
      </c>
      <c r="G372" s="338">
        <f t="shared" si="49"/>
        <v>107.80000000000001</v>
      </c>
      <c r="H372" s="329" t="s">
        <v>1526</v>
      </c>
      <c r="I372" s="330" t="str">
        <f t="shared" si="48"/>
        <v>MSE 153,ED1-MSE</v>
      </c>
      <c r="J372" s="335"/>
    </row>
    <row r="373" spans="1:10" x14ac:dyDescent="0.45">
      <c r="A373" s="303" t="s">
        <v>233</v>
      </c>
      <c r="B373" s="303" t="str">
        <v>INTRODUCTION TO INFORMATION TECHNOLOGY</v>
      </c>
      <c r="C373" s="339" t="str">
        <v>Okae James</v>
      </c>
      <c r="D373" s="303" t="s">
        <v>39</v>
      </c>
      <c r="E373" s="336">
        <v>72</v>
      </c>
      <c r="F373" s="350" t="s">
        <v>1518</v>
      </c>
      <c r="G373" s="338">
        <f t="shared" si="49"/>
        <v>79.2</v>
      </c>
      <c r="H373" s="329" t="s">
        <v>1432</v>
      </c>
      <c r="I373" s="330" t="str">
        <f t="shared" si="48"/>
        <v>MSE 153,ED1-METE</v>
      </c>
      <c r="J373" s="335"/>
    </row>
    <row r="374" spans="1:10" x14ac:dyDescent="0.45">
      <c r="A374" s="303" t="s">
        <v>219</v>
      </c>
      <c r="B374" s="303" t="str">
        <v>METALLURGICAL THERMODYNAMICS</v>
      </c>
      <c r="C374" s="352" t="str">
        <v>Gikunoo Emmanuel</v>
      </c>
      <c r="D374" s="303" t="s">
        <v>89</v>
      </c>
      <c r="E374" s="336">
        <v>59</v>
      </c>
      <c r="F374" s="350" t="s">
        <v>1519</v>
      </c>
      <c r="G374" s="338">
        <f t="shared" si="49"/>
        <v>64.900000000000006</v>
      </c>
      <c r="H374" s="329" t="s">
        <v>1527</v>
      </c>
      <c r="I374" s="330" t="str">
        <f>CONCATENATE(A374,",",D374)</f>
        <v>METE 251,ED2-METE</v>
      </c>
      <c r="J374" s="335"/>
    </row>
    <row r="375" spans="1:10" x14ac:dyDescent="0.45">
      <c r="A375" s="303" t="s">
        <v>227</v>
      </c>
      <c r="B375" s="303" t="str">
        <v>RANDOM VARIABLES AND STOCHASTIC PROCESSES</v>
      </c>
      <c r="C375" s="339" t="str">
        <v>Obour Agyekum Kwame Opuni-Boachie</v>
      </c>
      <c r="D375" s="303" t="s">
        <v>18</v>
      </c>
      <c r="E375" s="336">
        <v>147</v>
      </c>
      <c r="F375" s="350" t="s">
        <v>1419</v>
      </c>
      <c r="G375" s="338">
        <f t="shared" si="49"/>
        <v>161.70000000000002</v>
      </c>
      <c r="H375" s="329" t="s">
        <v>1528</v>
      </c>
      <c r="I375" s="330" t="str">
        <f>CONCATENATE(A375,",",D375)</f>
        <v>TE 353,ED3-TEL</v>
      </c>
      <c r="J375" s="335"/>
    </row>
    <row r="376" spans="1:10" x14ac:dyDescent="0.45">
      <c r="A376" s="303" t="s">
        <v>236</v>
      </c>
      <c r="B376" s="303" t="str">
        <v>STRENGTH OF MATERIALS II</v>
      </c>
      <c r="C376" s="339" t="str">
        <v>Agyei Agyemang Anthony</v>
      </c>
      <c r="D376" s="303" t="s">
        <v>15</v>
      </c>
      <c r="E376" s="336">
        <v>105</v>
      </c>
      <c r="F376" s="350" t="s">
        <v>1443</v>
      </c>
      <c r="G376" s="338">
        <f t="shared" si="49"/>
        <v>115.50000000000001</v>
      </c>
      <c r="H376" s="329" t="s">
        <v>1741</v>
      </c>
      <c r="I376" s="330" t="str">
        <f t="shared" si="48"/>
        <v>ME 355,ED3-AE</v>
      </c>
      <c r="J376" s="335"/>
    </row>
    <row r="377" spans="1:10" x14ac:dyDescent="0.45">
      <c r="A377" s="303" t="s">
        <v>217</v>
      </c>
      <c r="B377" s="303" t="str">
        <v>FARM STRUCTURES</v>
      </c>
      <c r="C377" s="352" t="str">
        <v>Bart Plange Ato</v>
      </c>
      <c r="D377" s="303" t="s">
        <v>131</v>
      </c>
      <c r="E377" s="336">
        <v>103</v>
      </c>
      <c r="F377" s="350" t="s">
        <v>1459</v>
      </c>
      <c r="G377" s="338">
        <f t="shared" si="49"/>
        <v>113.30000000000001</v>
      </c>
      <c r="H377" s="329" t="s">
        <v>1460</v>
      </c>
      <c r="I377" s="330" t="str">
        <f t="shared" ref="I377:I383" si="50">CONCATENATE(A377,",",D377)</f>
        <v>AE 471,ED4-AE</v>
      </c>
      <c r="J377" s="335"/>
    </row>
    <row r="378" spans="1:10" x14ac:dyDescent="0.45">
      <c r="A378" s="303" t="s">
        <v>224</v>
      </c>
      <c r="B378" s="303" t="str">
        <v>GEODETIC SURVEYING II</v>
      </c>
      <c r="C378" s="352" t="str">
        <v>Fosu Collins</v>
      </c>
      <c r="D378" s="303" t="s">
        <v>78</v>
      </c>
      <c r="E378" s="336">
        <v>93</v>
      </c>
      <c r="F378" s="341" t="s">
        <v>1517</v>
      </c>
      <c r="G378" s="338">
        <f t="shared" si="49"/>
        <v>102.30000000000001</v>
      </c>
      <c r="H378" s="329" t="s">
        <v>1529</v>
      </c>
      <c r="I378" s="330" t="str">
        <f t="shared" si="50"/>
        <v>GE 451,ED4-GEOM</v>
      </c>
      <c r="J378" s="335"/>
    </row>
    <row r="379" spans="1:10" x14ac:dyDescent="0.45">
      <c r="A379" s="303" t="s">
        <v>239</v>
      </c>
      <c r="B379" s="303" t="str">
        <v>OCCUPATIONAL HEALTH AND SAFETY</v>
      </c>
      <c r="C379" s="339" t="str">
        <v>Asiedu Charlotte</v>
      </c>
      <c r="D379" s="303" t="s">
        <v>58</v>
      </c>
      <c r="E379" s="336">
        <v>287</v>
      </c>
      <c r="F379" s="341" t="s">
        <v>1521</v>
      </c>
      <c r="G379" s="338">
        <f t="shared" si="49"/>
        <v>315.70000000000005</v>
      </c>
      <c r="H379" s="329" t="s">
        <v>1530</v>
      </c>
      <c r="I379" s="330" t="str">
        <f t="shared" si="50"/>
        <v>EE 167,ED1-EE</v>
      </c>
      <c r="J379" s="335"/>
    </row>
    <row r="380" spans="1:10" x14ac:dyDescent="0.45">
      <c r="A380" s="303" t="s">
        <v>185</v>
      </c>
      <c r="B380" s="303" t="str">
        <v>STATISTICS FOR PETROLEUM ENGINEERS</v>
      </c>
      <c r="C380" s="339" t="str">
        <v>Adjei Stephen</v>
      </c>
      <c r="D380" s="303" t="s">
        <v>1384</v>
      </c>
      <c r="E380" s="336">
        <v>82</v>
      </c>
      <c r="F380" s="350" t="s">
        <v>505</v>
      </c>
      <c r="G380" s="338">
        <f t="shared" si="49"/>
        <v>90.2</v>
      </c>
      <c r="H380" s="329">
        <v>82</v>
      </c>
      <c r="I380" s="330" t="str">
        <f t="shared" si="50"/>
        <v>PE 367,ED3-PE</v>
      </c>
      <c r="J380" s="335"/>
    </row>
    <row r="381" spans="1:10" x14ac:dyDescent="0.45">
      <c r="A381" s="303" t="s">
        <v>328</v>
      </c>
      <c r="B381" s="303" t="str">
        <v>BIOMATERIALS II</v>
      </c>
      <c r="C381" s="339" t="str">
        <v>Agyapong Dorothy Araba Yakoba</v>
      </c>
      <c r="D381" s="303" t="s">
        <v>46</v>
      </c>
      <c r="E381" s="336">
        <v>84</v>
      </c>
      <c r="F381" s="342" t="s">
        <v>505</v>
      </c>
      <c r="G381" s="338">
        <f t="shared" si="49"/>
        <v>92.4</v>
      </c>
      <c r="H381" s="329">
        <v>84</v>
      </c>
      <c r="I381" s="330" t="str">
        <f t="shared" si="50"/>
        <v>BME 463,ED4-BME</v>
      </c>
      <c r="J381" s="335"/>
    </row>
    <row r="382" spans="1:10" x14ac:dyDescent="0.45">
      <c r="A382" s="303" t="s">
        <v>193</v>
      </c>
      <c r="B382" s="303" t="str">
        <v>BASIC MECHANICS</v>
      </c>
      <c r="C382" s="354" t="str">
        <v>Oppong Tawiah Peter</v>
      </c>
      <c r="D382" s="303" t="s">
        <v>183</v>
      </c>
      <c r="E382" s="336">
        <v>129</v>
      </c>
      <c r="F382" s="342" t="s">
        <v>1745</v>
      </c>
      <c r="G382" s="338">
        <f t="shared" si="49"/>
        <v>141.9</v>
      </c>
      <c r="H382" s="329" t="s">
        <v>1746</v>
      </c>
      <c r="I382" s="330" t="str">
        <f t="shared" si="50"/>
        <v>ME 161,ED1-TEL</v>
      </c>
      <c r="J382" s="335"/>
    </row>
    <row r="383" spans="1:10" x14ac:dyDescent="0.45">
      <c r="A383" s="303" t="s">
        <v>261</v>
      </c>
      <c r="B383" s="303" t="str">
        <v>INFORMATION SCIENCE AND PROGRAMMING</v>
      </c>
      <c r="C383" s="339" t="str">
        <v>Tienaah Titus</v>
      </c>
      <c r="D383" s="303" t="s">
        <v>84</v>
      </c>
      <c r="E383" s="336">
        <v>134</v>
      </c>
      <c r="F383" s="342" t="s">
        <v>1523</v>
      </c>
      <c r="G383" s="338">
        <f t="shared" si="49"/>
        <v>147.4</v>
      </c>
      <c r="H383" s="329" t="s">
        <v>1531</v>
      </c>
      <c r="I383" s="330" t="str">
        <f t="shared" si="50"/>
        <v>GE 263,ED2-GEOM</v>
      </c>
      <c r="J383" s="335"/>
    </row>
    <row r="384" spans="1:10" x14ac:dyDescent="0.45">
      <c r="A384" s="340"/>
      <c r="B384" s="340"/>
      <c r="C384" s="333"/>
      <c r="D384" s="303" t="s">
        <v>241</v>
      </c>
      <c r="E384" s="332">
        <f>SUM(E369:E383)</f>
        <v>1698</v>
      </c>
      <c r="F384" s="341"/>
      <c r="G384" s="340"/>
      <c r="H384" s="329"/>
      <c r="I384" s="330" t="str">
        <f t="shared" si="48"/>
        <v>,Total W5</v>
      </c>
      <c r="J384" s="335"/>
    </row>
    <row r="385" spans="1:10" x14ac:dyDescent="0.45">
      <c r="A385" s="340"/>
      <c r="B385" s="340"/>
      <c r="C385" s="333"/>
      <c r="D385" s="340"/>
      <c r="E385" s="340"/>
      <c r="F385" s="341"/>
      <c r="G385" s="340"/>
      <c r="H385" s="329"/>
      <c r="I385" s="330" t="str">
        <f t="shared" si="48"/>
        <v>,</v>
      </c>
      <c r="J385" s="335"/>
    </row>
    <row r="386" spans="1:10" x14ac:dyDescent="0.45">
      <c r="A386" s="340"/>
      <c r="B386" s="340"/>
      <c r="C386" s="333"/>
      <c r="D386" s="340"/>
      <c r="E386" s="340"/>
      <c r="F386" s="341"/>
      <c r="G386" s="340"/>
      <c r="H386" s="329"/>
      <c r="I386" s="330" t="str">
        <f t="shared" si="48"/>
        <v>,</v>
      </c>
      <c r="J386" s="335"/>
    </row>
    <row r="387" spans="1:10" x14ac:dyDescent="0.45">
      <c r="A387" s="383" t="s">
        <v>1368</v>
      </c>
      <c r="B387" s="383"/>
      <c r="C387" s="383"/>
      <c r="D387" s="383"/>
      <c r="E387" s="383"/>
      <c r="F387" s="383"/>
      <c r="G387" s="328"/>
      <c r="H387" s="329"/>
      <c r="I387" s="330" t="str">
        <f t="shared" si="48"/>
        <v>Wednesday, 25 February 2026,</v>
      </c>
      <c r="J387" s="335"/>
    </row>
    <row r="388" spans="1:10" x14ac:dyDescent="0.45">
      <c r="A388" s="383" t="str">
        <f>[6]SESSIONS!$K$6</f>
        <v>Session, 6 (5:00 PM - 6:00 PM)</v>
      </c>
      <c r="B388" s="383"/>
      <c r="C388" s="383"/>
      <c r="D388" s="383"/>
      <c r="E388" s="383"/>
      <c r="F388" s="383"/>
      <c r="G388" s="383"/>
      <c r="H388" s="329"/>
      <c r="I388" s="330" t="str">
        <f t="shared" si="48"/>
        <v>Session, 6 (5:00 PM - 6:00 PM),</v>
      </c>
      <c r="J388" s="335"/>
    </row>
    <row r="389" spans="1:10" x14ac:dyDescent="0.45">
      <c r="A389" s="332" t="s">
        <v>2</v>
      </c>
      <c r="B389" s="332" t="s">
        <v>3</v>
      </c>
      <c r="C389" s="333" t="s">
        <v>4</v>
      </c>
      <c r="D389" s="332" t="s">
        <v>5</v>
      </c>
      <c r="E389" s="332" t="s">
        <v>6</v>
      </c>
      <c r="F389" s="360" t="s">
        <v>242</v>
      </c>
      <c r="G389" s="332" t="s">
        <v>8</v>
      </c>
      <c r="H389" s="329"/>
      <c r="I389" s="330" t="str">
        <f t="shared" si="48"/>
        <v>CODE ,CLASS</v>
      </c>
      <c r="J389" s="335"/>
    </row>
    <row r="390" spans="1:10" x14ac:dyDescent="0.45">
      <c r="A390" s="303" t="s">
        <v>23</v>
      </c>
      <c r="B390" s="303" t="str" cm="1">
        <f t="array" ref="B390:B409">IFERROR(VLOOKUP(I390:I409,Lecturers!A2:G597,7,FALSE),0)</f>
        <v>STRENGTH OF MATERIALS I</v>
      </c>
      <c r="C390" s="304" t="str" cm="1">
        <f t="array" ref="C390:C409">IFERROR(VLOOKUP(I390:I409,Lecturers!A2:G597,2,FALSE),0)</f>
        <v>Andoh Prince Yaw</v>
      </c>
      <c r="D390" s="303" t="s">
        <v>141</v>
      </c>
      <c r="E390" s="336" cm="1">
        <f t="array" ref="E390:E409">IFERROR(VLOOKUP(I390:I409,Lecturers!A2:G597,3,FALSE),0)</f>
        <v>242</v>
      </c>
      <c r="F390" s="350" t="s">
        <v>149</v>
      </c>
      <c r="G390" s="338">
        <f>1.1*E390</f>
        <v>266.20000000000005</v>
      </c>
      <c r="H390" s="341"/>
      <c r="I390" s="330" t="str">
        <f t="shared" si="48"/>
        <v>ME 255,ED2-ME</v>
      </c>
      <c r="J390" s="335"/>
    </row>
    <row r="391" spans="1:10" x14ac:dyDescent="0.45">
      <c r="A391" s="303" t="s">
        <v>23</v>
      </c>
      <c r="B391" s="303" t="str">
        <v>STRENGTH OF MATERIALS I</v>
      </c>
      <c r="C391" s="339" t="str">
        <v>Andoh Prince Yaw</v>
      </c>
      <c r="D391" s="303" t="s">
        <v>1383</v>
      </c>
      <c r="E391" s="336">
        <v>97</v>
      </c>
      <c r="F391" s="350" t="s">
        <v>149</v>
      </c>
      <c r="G391" s="338">
        <f t="shared" ref="G391:G397" si="51">1.1*E391</f>
        <v>106.7</v>
      </c>
      <c r="H391" s="329"/>
      <c r="I391" s="330" t="str">
        <f t="shared" si="48"/>
        <v>ME 255,ED2-PE</v>
      </c>
      <c r="J391" s="335"/>
    </row>
    <row r="392" spans="1:10" x14ac:dyDescent="0.45">
      <c r="A392" s="303" t="s">
        <v>23</v>
      </c>
      <c r="B392" s="303" t="str">
        <v>STRENGTH OF MATERIALS I</v>
      </c>
      <c r="C392" s="339" t="str">
        <v>Agyei Agyemang Anthony</v>
      </c>
      <c r="D392" s="303" t="s">
        <v>140</v>
      </c>
      <c r="E392" s="336">
        <v>74</v>
      </c>
      <c r="F392" s="350" t="s">
        <v>1445</v>
      </c>
      <c r="G392" s="338">
        <f>E392*1.1</f>
        <v>81.400000000000006</v>
      </c>
      <c r="H392" s="329" t="s">
        <v>1537</v>
      </c>
      <c r="I392" s="330" t="str">
        <f>CONCATENATE(A392,",",D392)</f>
        <v>ME 255,ED2-AERO</v>
      </c>
      <c r="J392" s="335"/>
    </row>
    <row r="393" spans="1:10" x14ac:dyDescent="0.45">
      <c r="A393" s="303" t="s">
        <v>23</v>
      </c>
      <c r="B393" s="303" t="str">
        <v>STRENGTH OF MATERIALS I</v>
      </c>
      <c r="C393" s="339" t="str">
        <v>Boahen Samuel</v>
      </c>
      <c r="D393" s="303" t="s">
        <v>142</v>
      </c>
      <c r="E393" s="336">
        <v>155</v>
      </c>
      <c r="F393" s="350" t="s">
        <v>1532</v>
      </c>
      <c r="G393" s="338">
        <f t="shared" si="51"/>
        <v>170.5</v>
      </c>
      <c r="H393" s="329" t="s">
        <v>1538</v>
      </c>
      <c r="I393" s="330" t="str">
        <f t="shared" si="48"/>
        <v>ME 255,ED2-AE</v>
      </c>
      <c r="J393" s="335"/>
    </row>
    <row r="394" spans="1:10" x14ac:dyDescent="0.45">
      <c r="A394" s="303" t="s">
        <v>243</v>
      </c>
      <c r="B394" s="303" t="str">
        <v>INTRODUCTORY ECONOMICS I</v>
      </c>
      <c r="C394" s="339" t="str">
        <v>Takyi Paul Owusu</v>
      </c>
      <c r="D394" s="303" t="s">
        <v>165</v>
      </c>
      <c r="E394" s="336">
        <v>32</v>
      </c>
      <c r="F394" s="350" t="s">
        <v>42</v>
      </c>
      <c r="G394" s="338">
        <f t="shared" si="51"/>
        <v>35.200000000000003</v>
      </c>
      <c r="H394" s="329">
        <v>32</v>
      </c>
      <c r="I394" s="330" t="str">
        <f t="shared" si="48"/>
        <v>ECON 151,ED1-CE</v>
      </c>
      <c r="J394" s="335"/>
    </row>
    <row r="395" spans="1:10" x14ac:dyDescent="0.45">
      <c r="A395" s="303" t="s">
        <v>243</v>
      </c>
      <c r="B395" s="303" t="str">
        <v>INTRODUCTORY ECONOMICS I</v>
      </c>
      <c r="C395" s="339" t="str">
        <v>Takyi Paul Owusu</v>
      </c>
      <c r="D395" s="303" t="s">
        <v>36</v>
      </c>
      <c r="E395" s="336">
        <v>34</v>
      </c>
      <c r="F395" s="363" t="s">
        <v>469</v>
      </c>
      <c r="G395" s="338">
        <f t="shared" si="51"/>
        <v>37.400000000000006</v>
      </c>
      <c r="H395" s="329">
        <v>34</v>
      </c>
      <c r="I395" s="330" t="str">
        <f t="shared" si="48"/>
        <v>ECON 151,ED1-GEOL</v>
      </c>
      <c r="J395" s="335"/>
    </row>
    <row r="396" spans="1:10" x14ac:dyDescent="0.45">
      <c r="A396" s="303" t="s">
        <v>243</v>
      </c>
      <c r="B396" s="303" t="str">
        <v>INTRODUCTORY ECONOMICS I</v>
      </c>
      <c r="C396" s="339" t="str">
        <v>Takyi Paul Owusu</v>
      </c>
      <c r="D396" s="303" t="s">
        <v>33</v>
      </c>
      <c r="E396" s="336">
        <v>13</v>
      </c>
      <c r="F396" s="350">
        <v>303</v>
      </c>
      <c r="G396" s="338">
        <f t="shared" si="51"/>
        <v>14.3</v>
      </c>
      <c r="H396" s="329">
        <v>13</v>
      </c>
      <c r="I396" s="330" t="str">
        <f t="shared" si="48"/>
        <v>ECON 151,ED2-MSE</v>
      </c>
      <c r="J396" s="335"/>
    </row>
    <row r="397" spans="1:10" x14ac:dyDescent="0.45">
      <c r="A397" s="303" t="s">
        <v>243</v>
      </c>
      <c r="B397" s="303" t="str">
        <v>INTRODUCTORY ECONOMICS I</v>
      </c>
      <c r="C397" s="339" t="str">
        <v>Takyi Paul Owusu</v>
      </c>
      <c r="D397" s="303" t="s">
        <v>29</v>
      </c>
      <c r="E397" s="336">
        <v>17</v>
      </c>
      <c r="F397" s="350" t="s">
        <v>470</v>
      </c>
      <c r="G397" s="338">
        <f t="shared" si="51"/>
        <v>18.700000000000003</v>
      </c>
      <c r="H397" s="329">
        <v>17</v>
      </c>
      <c r="I397" s="330" t="str">
        <f t="shared" si="48"/>
        <v>ECON 151,ED2-BME</v>
      </c>
      <c r="J397" s="335"/>
    </row>
    <row r="398" spans="1:10" x14ac:dyDescent="0.45">
      <c r="A398" s="303" t="s">
        <v>243</v>
      </c>
      <c r="B398" s="303" t="str">
        <v xml:space="preserve">INTRODUCTION TO ECONOMICS </v>
      </c>
      <c r="C398" s="339" t="str">
        <v>Takyi Paul Owusu</v>
      </c>
      <c r="D398" s="303" t="s">
        <v>166</v>
      </c>
      <c r="E398" s="336">
        <v>88</v>
      </c>
      <c r="F398" s="350" t="s">
        <v>1533</v>
      </c>
      <c r="G398" s="338">
        <f>1.1*E398</f>
        <v>96.800000000000011</v>
      </c>
      <c r="H398" s="329" t="s">
        <v>1540</v>
      </c>
      <c r="I398" s="330" t="str">
        <f t="shared" si="48"/>
        <v>ECON 151,ED1-AUTO</v>
      </c>
      <c r="J398" s="335"/>
    </row>
    <row r="399" spans="1:10" x14ac:dyDescent="0.45">
      <c r="A399" s="303" t="s">
        <v>243</v>
      </c>
      <c r="B399" s="303" t="str">
        <v>ELEMENTS OF ECONOMICS I</v>
      </c>
      <c r="C399" s="339" t="str">
        <v>Takyi Paul Owusu</v>
      </c>
      <c r="D399" s="303" t="s">
        <v>82</v>
      </c>
      <c r="E399" s="336">
        <v>142</v>
      </c>
      <c r="F399" s="350" t="s">
        <v>1532</v>
      </c>
      <c r="G399" s="338">
        <f t="shared" ref="G399:G409" si="52">1.1*E399</f>
        <v>156.20000000000002</v>
      </c>
      <c r="H399" s="329" t="s">
        <v>1541</v>
      </c>
      <c r="I399" s="330" t="str">
        <f t="shared" si="48"/>
        <v>ECON 151,ED2-EE</v>
      </c>
      <c r="J399" s="335"/>
    </row>
    <row r="400" spans="1:10" x14ac:dyDescent="0.45">
      <c r="A400" s="303" t="s">
        <v>243</v>
      </c>
      <c r="B400" s="303" t="str">
        <v>INTRODUCTORY ECONOMICS I</v>
      </c>
      <c r="C400" s="339" t="str">
        <v>Takyi Paul Owusu</v>
      </c>
      <c r="D400" s="303" t="s">
        <v>32</v>
      </c>
      <c r="E400" s="336">
        <v>30</v>
      </c>
      <c r="F400" s="363">
        <v>303</v>
      </c>
      <c r="G400" s="338">
        <f t="shared" si="52"/>
        <v>33</v>
      </c>
      <c r="H400" s="329">
        <v>30</v>
      </c>
      <c r="I400" s="330" t="str">
        <f t="shared" si="48"/>
        <v>ECON 151,ED2-TEL</v>
      </c>
      <c r="J400" s="335"/>
    </row>
    <row r="401" spans="1:10" x14ac:dyDescent="0.45">
      <c r="A401" s="303" t="s">
        <v>243</v>
      </c>
      <c r="B401" s="303" t="str">
        <v>ELEMENTS OF ECONOMICS I</v>
      </c>
      <c r="C401" s="339" t="str">
        <v>Takyi Paul Owusu</v>
      </c>
      <c r="D401" s="303" t="s">
        <v>30</v>
      </c>
      <c r="E401" s="336">
        <v>36</v>
      </c>
      <c r="F401" s="350" t="s">
        <v>468</v>
      </c>
      <c r="G401" s="338">
        <f t="shared" si="52"/>
        <v>39.6</v>
      </c>
      <c r="H401" s="329">
        <v>36</v>
      </c>
      <c r="I401" s="330" t="str">
        <f t="shared" si="48"/>
        <v>ECON 151,ED2-COE</v>
      </c>
      <c r="J401" s="335"/>
    </row>
    <row r="402" spans="1:10" x14ac:dyDescent="0.45">
      <c r="A402" s="303" t="s">
        <v>1369</v>
      </c>
      <c r="B402" s="303" t="str">
        <v>ELEMENTS OF ECONOMICS I</v>
      </c>
      <c r="C402" s="339" t="str">
        <v>Takyi Paul Owusu</v>
      </c>
      <c r="D402" s="303" t="s">
        <v>34</v>
      </c>
      <c r="E402" s="336">
        <v>16</v>
      </c>
      <c r="F402" s="350" t="s">
        <v>470</v>
      </c>
      <c r="G402" s="338">
        <f t="shared" si="52"/>
        <v>17.600000000000001</v>
      </c>
      <c r="H402" s="329">
        <v>16</v>
      </c>
      <c r="I402" s="330" t="str">
        <f t="shared" si="48"/>
        <v>ECON151,ED3-GEOM</v>
      </c>
      <c r="J402" s="335"/>
    </row>
    <row r="403" spans="1:10" x14ac:dyDescent="0.45">
      <c r="A403" s="303" t="s">
        <v>243</v>
      </c>
      <c r="B403" s="303" t="str">
        <v>INTRODUCTORY ECONOMICS I</v>
      </c>
      <c r="C403" s="339" t="str">
        <v>Takyi Paul Owusu</v>
      </c>
      <c r="D403" s="303" t="s">
        <v>71</v>
      </c>
      <c r="E403" s="336">
        <v>26</v>
      </c>
      <c r="F403" s="350" t="s">
        <v>472</v>
      </c>
      <c r="G403" s="338">
        <f t="shared" si="52"/>
        <v>28.6</v>
      </c>
      <c r="H403" s="329">
        <v>26</v>
      </c>
      <c r="I403" s="330" t="str">
        <f t="shared" si="48"/>
        <v>ECON 151,ED3-PCE</v>
      </c>
      <c r="J403" s="335"/>
    </row>
    <row r="404" spans="1:10" x14ac:dyDescent="0.45">
      <c r="A404" s="303" t="s">
        <v>243</v>
      </c>
      <c r="B404" s="303" t="str">
        <v>INTRODUCTION TO ECONOMICS I</v>
      </c>
      <c r="C404" s="339" t="str">
        <v>Takyi Paul Owusu</v>
      </c>
      <c r="D404" s="303" t="s">
        <v>10</v>
      </c>
      <c r="E404" s="336">
        <v>230</v>
      </c>
      <c r="F404" s="350" t="s">
        <v>1534</v>
      </c>
      <c r="G404" s="338">
        <f t="shared" si="52"/>
        <v>253.00000000000003</v>
      </c>
      <c r="H404" s="329" t="s">
        <v>1542</v>
      </c>
      <c r="I404" s="330" t="str">
        <f t="shared" si="48"/>
        <v>ECON 151,ED3-ME</v>
      </c>
      <c r="J404" s="335"/>
    </row>
    <row r="405" spans="1:10" x14ac:dyDescent="0.45">
      <c r="A405" s="303" t="s">
        <v>243</v>
      </c>
      <c r="B405" s="303" t="str">
        <v>INTRODUCTORY ECONOMICS I</v>
      </c>
      <c r="C405" s="339" t="str">
        <v>Takyi Paul Owusu</v>
      </c>
      <c r="D405" s="303" t="s">
        <v>92</v>
      </c>
      <c r="E405" s="336">
        <v>32</v>
      </c>
      <c r="F405" s="350" t="s">
        <v>471</v>
      </c>
      <c r="G405" s="338">
        <f t="shared" si="52"/>
        <v>35.200000000000003</v>
      </c>
      <c r="H405" s="329" t="s">
        <v>1539</v>
      </c>
      <c r="I405" s="330" t="str">
        <f t="shared" si="48"/>
        <v>ECON 151,ED3-CHE</v>
      </c>
      <c r="J405" s="335"/>
    </row>
    <row r="406" spans="1:10" x14ac:dyDescent="0.45">
      <c r="A406" s="303" t="s">
        <v>243</v>
      </c>
      <c r="B406" s="303" t="str">
        <v>INTRODUCTION TO ECONOMICS I</v>
      </c>
      <c r="C406" s="339" t="str">
        <v>Takyi Paul Owusu</v>
      </c>
      <c r="D406" s="303" t="s">
        <v>14</v>
      </c>
      <c r="E406" s="336">
        <v>76</v>
      </c>
      <c r="F406" s="350" t="s">
        <v>1451</v>
      </c>
      <c r="G406" s="338">
        <f t="shared" si="52"/>
        <v>83.600000000000009</v>
      </c>
      <c r="H406" s="329" t="s">
        <v>1543</v>
      </c>
      <c r="I406" s="330" t="str">
        <f t="shared" si="48"/>
        <v>ECON 151,ED3-AERO</v>
      </c>
      <c r="J406" s="335"/>
    </row>
    <row r="407" spans="1:10" x14ac:dyDescent="0.45">
      <c r="A407" s="303" t="s">
        <v>1380</v>
      </c>
      <c r="B407" s="303" t="str">
        <v>MICROWAVE ENGINEERING</v>
      </c>
      <c r="C407" s="352" t="str">
        <v>Abdul-Rahman Ahmed</v>
      </c>
      <c r="D407" s="303" t="s">
        <v>52</v>
      </c>
      <c r="E407" s="336">
        <v>142</v>
      </c>
      <c r="F407" s="350" t="s">
        <v>1535</v>
      </c>
      <c r="G407" s="338">
        <f t="shared" si="52"/>
        <v>156.20000000000002</v>
      </c>
      <c r="H407" s="329" t="s">
        <v>1544</v>
      </c>
      <c r="I407" s="330" t="str">
        <f>CONCATENATE(A407,",",D407)</f>
        <v>TE 455,ED4-TEL</v>
      </c>
      <c r="J407" s="335"/>
    </row>
    <row r="408" spans="1:10" x14ac:dyDescent="0.45">
      <c r="A408" s="303" t="s">
        <v>208</v>
      </c>
      <c r="B408" s="303" t="str">
        <v>PROJECT MANAGEMENT</v>
      </c>
      <c r="C408" s="339" t="str">
        <v>Asiedu Charlotte</v>
      </c>
      <c r="D408" s="303" t="s">
        <v>20</v>
      </c>
      <c r="E408" s="336">
        <v>72</v>
      </c>
      <c r="F408" s="342" t="s">
        <v>1536</v>
      </c>
      <c r="G408" s="338">
        <f t="shared" si="52"/>
        <v>79.2</v>
      </c>
      <c r="H408" s="329" t="s">
        <v>1545</v>
      </c>
      <c r="I408" s="330" t="str">
        <f>CONCATENATE(A408,",",D408)</f>
        <v>IE 357,ED3-IND</v>
      </c>
      <c r="J408" s="335"/>
    </row>
    <row r="409" spans="1:10" x14ac:dyDescent="0.45">
      <c r="A409" s="303" t="s">
        <v>237</v>
      </c>
      <c r="B409" s="303" t="str">
        <v>STRUCTURAL ENGINEERING I</v>
      </c>
      <c r="C409" s="339" t="str">
        <v>Osei Jack Banahene</v>
      </c>
      <c r="D409" s="303" t="s">
        <v>68</v>
      </c>
      <c r="E409" s="336">
        <v>245</v>
      </c>
      <c r="F409" s="350" t="s">
        <v>1727</v>
      </c>
      <c r="G409" s="338">
        <f t="shared" si="52"/>
        <v>269.5</v>
      </c>
      <c r="H409" s="329" t="s">
        <v>1726</v>
      </c>
      <c r="I409" s="330" t="str">
        <f>CONCATENATE(A409,",",D409)</f>
        <v>CE 451,ED4-CE</v>
      </c>
      <c r="J409" s="335"/>
    </row>
    <row r="410" spans="1:10" x14ac:dyDescent="0.45">
      <c r="A410" s="340"/>
      <c r="B410" s="340"/>
      <c r="C410" s="339"/>
      <c r="D410" s="303" t="s">
        <v>249</v>
      </c>
      <c r="E410" s="361">
        <f>SUM(E392:E409)</f>
        <v>1460</v>
      </c>
      <c r="F410" s="341"/>
      <c r="G410" s="340"/>
      <c r="H410" s="329"/>
      <c r="I410" s="330" t="str">
        <f t="shared" si="48"/>
        <v>,Total W6</v>
      </c>
      <c r="J410" s="335"/>
    </row>
    <row r="411" spans="1:10" x14ac:dyDescent="0.45">
      <c r="A411" s="340"/>
      <c r="B411" s="340"/>
      <c r="C411" s="333"/>
      <c r="D411" s="340"/>
      <c r="E411" s="340"/>
      <c r="F411" s="341"/>
      <c r="G411" s="340"/>
      <c r="H411" s="329"/>
      <c r="I411" s="330" t="str">
        <f t="shared" si="48"/>
        <v>,</v>
      </c>
      <c r="J411" s="335"/>
    </row>
    <row r="412" spans="1:10" x14ac:dyDescent="0.45">
      <c r="A412" s="340"/>
      <c r="B412" s="340"/>
      <c r="C412" s="333"/>
      <c r="D412" s="340"/>
      <c r="E412" s="340"/>
      <c r="F412" s="341"/>
      <c r="G412" s="340"/>
      <c r="H412" s="329"/>
      <c r="I412" s="330" t="str">
        <f t="shared" si="48"/>
        <v>,</v>
      </c>
      <c r="J412" s="335"/>
    </row>
    <row r="413" spans="1:10" x14ac:dyDescent="0.45">
      <c r="A413" s="383" t="s">
        <v>1364</v>
      </c>
      <c r="B413" s="383"/>
      <c r="C413" s="383"/>
      <c r="D413" s="383"/>
      <c r="E413" s="383"/>
      <c r="F413" s="383"/>
      <c r="G413" s="383"/>
      <c r="H413" s="329"/>
      <c r="I413" s="330" t="str">
        <f t="shared" si="48"/>
        <v>Thursday, 26 February 2026,</v>
      </c>
      <c r="J413" s="335"/>
    </row>
    <row r="414" spans="1:10" x14ac:dyDescent="0.45">
      <c r="A414" s="383" t="str">
        <f>[6]SESSIONS!$K$1</f>
        <v>Session, 1 (8:15 AM - 9:15 AM)</v>
      </c>
      <c r="B414" s="383"/>
      <c r="C414" s="383"/>
      <c r="D414" s="383"/>
      <c r="E414" s="383"/>
      <c r="F414" s="383"/>
      <c r="G414" s="383"/>
      <c r="H414" s="329"/>
      <c r="I414" s="330" t="str">
        <f t="shared" si="48"/>
        <v>Session, 1 (8:15 AM - 9:15 AM),</v>
      </c>
      <c r="J414" s="335"/>
    </row>
    <row r="415" spans="1:10" x14ac:dyDescent="0.45">
      <c r="A415" s="332" t="s">
        <v>2</v>
      </c>
      <c r="B415" s="332" t="s">
        <v>3</v>
      </c>
      <c r="C415" s="333" t="s">
        <v>4</v>
      </c>
      <c r="D415" s="332" t="s">
        <v>5</v>
      </c>
      <c r="E415" s="332" t="s">
        <v>6</v>
      </c>
      <c r="F415" s="342" t="s">
        <v>7</v>
      </c>
      <c r="G415" s="332" t="s">
        <v>8</v>
      </c>
      <c r="H415" s="329"/>
      <c r="I415" s="330" t="str">
        <f t="shared" si="48"/>
        <v>CODE ,CLASS</v>
      </c>
      <c r="J415" s="335"/>
    </row>
    <row r="416" spans="1:10" x14ac:dyDescent="0.45">
      <c r="A416" s="303" t="s">
        <v>1372</v>
      </c>
      <c r="B416" s="303" t="str" cm="1">
        <f t="array" ref="B416:B429">IFERROR(VLOOKUP(I416:I429,Lecturers!A2:G597,7,FALSE),0)</f>
        <v>PROGRAMMING AND PROBLEM SOLIVING</v>
      </c>
      <c r="C416" s="339" t="str" cm="1">
        <f t="array" ref="C416:C429">IFERROR(VLOOKUP(I416:I429,Lecturers!A2:G597,2,FALSE),0)</f>
        <v>Adjaidoo Theresa-Samuelle Maame Atwemaah</v>
      </c>
      <c r="D416" s="303" t="s">
        <v>30</v>
      </c>
      <c r="E416" s="336" cm="1">
        <f t="array" ref="E416:E429">IFERROR(VLOOKUP(I416:I429,Lecturers!A2:G597,3,FALSE),0)</f>
        <v>253</v>
      </c>
      <c r="F416" s="342" t="s">
        <v>149</v>
      </c>
      <c r="G416" s="364">
        <f>1.1*E416</f>
        <v>278.3</v>
      </c>
      <c r="H416" s="329"/>
      <c r="I416" s="330" t="str">
        <f t="shared" ref="I416" si="53">CONCATENATE(A416,",",D416)</f>
        <v>COE 281,ED2-COE</v>
      </c>
      <c r="J416" s="335"/>
    </row>
    <row r="417" spans="1:10" x14ac:dyDescent="0.45">
      <c r="A417" s="303" t="s">
        <v>250</v>
      </c>
      <c r="B417" s="303" t="str">
        <v>APPLICATIONS OF COMPUTER GRAPHICS</v>
      </c>
      <c r="C417" s="339" t="str">
        <v>Sackey Michael Nii</v>
      </c>
      <c r="D417" s="303" t="s">
        <v>141</v>
      </c>
      <c r="E417" s="336">
        <v>242</v>
      </c>
      <c r="F417" s="353" t="s">
        <v>1534</v>
      </c>
      <c r="G417" s="364">
        <f t="shared" ref="G417:G429" si="54">1.1*E417</f>
        <v>266.20000000000005</v>
      </c>
      <c r="H417" s="329" t="s">
        <v>1549</v>
      </c>
      <c r="I417" s="330" t="str">
        <f t="shared" si="48"/>
        <v>ME 259,ED2-ME</v>
      </c>
      <c r="J417" s="335"/>
    </row>
    <row r="418" spans="1:10" x14ac:dyDescent="0.45">
      <c r="A418" s="303" t="s">
        <v>250</v>
      </c>
      <c r="B418" s="303" t="str">
        <v>APPLICATIONS OF COMPUTER GRAPHICS</v>
      </c>
      <c r="C418" s="339" t="str">
        <v>Asante Eric Amoah</v>
      </c>
      <c r="D418" s="303" t="s">
        <v>142</v>
      </c>
      <c r="E418" s="336">
        <v>155</v>
      </c>
      <c r="F418" s="365" t="s">
        <v>1532</v>
      </c>
      <c r="G418" s="364">
        <f t="shared" si="54"/>
        <v>170.5</v>
      </c>
      <c r="H418" s="329" t="s">
        <v>1538</v>
      </c>
      <c r="I418" s="330" t="str">
        <f t="shared" si="48"/>
        <v>ME 259,ED2-AE</v>
      </c>
      <c r="J418" s="335"/>
    </row>
    <row r="419" spans="1:10" x14ac:dyDescent="0.45">
      <c r="A419" s="303" t="s">
        <v>251</v>
      </c>
      <c r="B419" s="303" t="str">
        <v>ELECTRICAL AND MAGNETIC BEHAVIOUR OF MATERIALS</v>
      </c>
      <c r="C419" s="304" t="str">
        <v>Dzikunu Perseverance</v>
      </c>
      <c r="D419" s="303" t="s">
        <v>33</v>
      </c>
      <c r="E419" s="336">
        <v>80</v>
      </c>
      <c r="F419" s="365" t="s">
        <v>1522</v>
      </c>
      <c r="G419" s="364">
        <f t="shared" si="54"/>
        <v>88</v>
      </c>
      <c r="H419" s="329" t="s">
        <v>1550</v>
      </c>
      <c r="I419" s="330" t="str">
        <f t="shared" si="48"/>
        <v>MSE 255,ED2-MSE</v>
      </c>
      <c r="J419" s="335"/>
    </row>
    <row r="420" spans="1:10" x14ac:dyDescent="0.45">
      <c r="A420" s="303" t="s">
        <v>251</v>
      </c>
      <c r="B420" s="303" t="str">
        <v>ELECTRICAL AND MAGNETIC BEHAVIOUR OF MATERIALS</v>
      </c>
      <c r="C420" s="304" t="str">
        <v>Dzikunu Perseverance</v>
      </c>
      <c r="D420" s="303" t="s">
        <v>89</v>
      </c>
      <c r="E420" s="336">
        <v>59</v>
      </c>
      <c r="F420" s="353" t="s">
        <v>479</v>
      </c>
      <c r="G420" s="364">
        <f t="shared" si="54"/>
        <v>64.900000000000006</v>
      </c>
      <c r="H420" s="329">
        <v>59</v>
      </c>
      <c r="I420" s="330" t="str">
        <f t="shared" si="48"/>
        <v>MSE 255,ED2-METE</v>
      </c>
      <c r="J420" s="335"/>
    </row>
    <row r="421" spans="1:10" x14ac:dyDescent="0.45">
      <c r="A421" s="303" t="s">
        <v>252</v>
      </c>
      <c r="B421" s="303" t="str">
        <v>ELEMENTARY STRUCTURES</v>
      </c>
      <c r="C421" s="304" t="str">
        <v>Afrifa Russel Owusu</v>
      </c>
      <c r="D421" s="303" t="s">
        <v>36</v>
      </c>
      <c r="E421" s="336">
        <v>119</v>
      </c>
      <c r="F421" s="353" t="s">
        <v>1546</v>
      </c>
      <c r="G421" s="364">
        <f t="shared" si="54"/>
        <v>130.9</v>
      </c>
      <c r="H421" s="329" t="s">
        <v>1551</v>
      </c>
      <c r="I421" s="330" t="str">
        <f t="shared" si="48"/>
        <v>CE 151,ED1-GEOL</v>
      </c>
      <c r="J421" s="335"/>
    </row>
    <row r="422" spans="1:10" x14ac:dyDescent="0.45">
      <c r="A422" s="303" t="s">
        <v>254</v>
      </c>
      <c r="B422" s="303" t="str">
        <v>FIRE AND SAFETY ENGINEERING</v>
      </c>
      <c r="C422" s="339" t="str">
        <v>Momade Zsuzsanna Gál</v>
      </c>
      <c r="D422" s="303" t="s">
        <v>71</v>
      </c>
      <c r="E422" s="336">
        <v>51</v>
      </c>
      <c r="F422" s="353" t="s">
        <v>1445</v>
      </c>
      <c r="G422" s="364">
        <f t="shared" si="54"/>
        <v>56.1</v>
      </c>
      <c r="H422" s="329" t="s">
        <v>1466</v>
      </c>
      <c r="I422" s="330" t="str">
        <f t="shared" si="48"/>
        <v>PCE 355,ED3-PCE</v>
      </c>
      <c r="J422" s="335"/>
    </row>
    <row r="423" spans="1:10" x14ac:dyDescent="0.45">
      <c r="A423" s="303" t="s">
        <v>358</v>
      </c>
      <c r="B423" s="303" t="str">
        <v>SAFETY AND POLLUTION CONTROL</v>
      </c>
      <c r="C423" s="339" t="str">
        <v>Ohemeng-Boahen Godfred</v>
      </c>
      <c r="D423" s="303" t="s">
        <v>86</v>
      </c>
      <c r="E423" s="336">
        <v>114</v>
      </c>
      <c r="F423" s="366" t="s">
        <v>1546</v>
      </c>
      <c r="G423" s="364">
        <f t="shared" si="54"/>
        <v>125.4</v>
      </c>
      <c r="H423" s="329" t="s">
        <v>1552</v>
      </c>
      <c r="I423" s="330" t="str">
        <f>CONCATENATE(A423,",",D423)</f>
        <v>CHE 459,ED4-CHE</v>
      </c>
      <c r="J423" s="335"/>
    </row>
    <row r="424" spans="1:10" x14ac:dyDescent="0.45">
      <c r="A424" s="303" t="s">
        <v>330</v>
      </c>
      <c r="B424" s="303" t="str">
        <v>COMPUTER PROGRAMMING</v>
      </c>
      <c r="C424" s="339" t="str">
        <v>Kwaw Albert Kwame</v>
      </c>
      <c r="D424" s="303" t="s">
        <v>126</v>
      </c>
      <c r="E424" s="336">
        <v>154</v>
      </c>
      <c r="F424" s="342" t="s">
        <v>1532</v>
      </c>
      <c r="G424" s="364">
        <f t="shared" si="54"/>
        <v>169.4</v>
      </c>
      <c r="H424" s="329" t="s">
        <v>1538</v>
      </c>
      <c r="I424" s="330" t="str">
        <f>CONCATENATE(A424,",",D424)</f>
        <v>GED 267,ED2-GEOL</v>
      </c>
      <c r="J424" s="335"/>
    </row>
    <row r="425" spans="1:10" x14ac:dyDescent="0.45">
      <c r="A425" s="303" t="s">
        <v>255</v>
      </c>
      <c r="B425" s="303" t="str">
        <v>CLASSICAL CONTROL SYSTEMS</v>
      </c>
      <c r="C425" s="339" t="str">
        <v>Opoku Daniel</v>
      </c>
      <c r="D425" s="303" t="s">
        <v>19</v>
      </c>
      <c r="E425" s="336">
        <v>254</v>
      </c>
      <c r="F425" s="353" t="s">
        <v>1547</v>
      </c>
      <c r="G425" s="364">
        <f t="shared" si="54"/>
        <v>279.40000000000003</v>
      </c>
      <c r="H425" s="329" t="s">
        <v>1553</v>
      </c>
      <c r="I425" s="330" t="str">
        <f t="shared" si="48"/>
        <v>EE 387,ED3-EE</v>
      </c>
      <c r="J425" s="335"/>
    </row>
    <row r="426" spans="1:10" x14ac:dyDescent="0.45">
      <c r="A426" s="303" t="s">
        <v>327</v>
      </c>
      <c r="B426" s="303" t="str">
        <v>MARINE ELECTRICAL TECHNOLOGY</v>
      </c>
      <c r="C426" s="339" t="str">
        <v>Frimpong Emmanuel Asuming</v>
      </c>
      <c r="D426" s="303" t="s">
        <v>21</v>
      </c>
      <c r="E426" s="336">
        <v>40</v>
      </c>
      <c r="F426" s="342" t="s">
        <v>1422</v>
      </c>
      <c r="G426" s="364">
        <f t="shared" si="54"/>
        <v>44</v>
      </c>
      <c r="H426" s="329" t="s">
        <v>1554</v>
      </c>
      <c r="I426" s="330" t="str">
        <f>CONCATENATE(A426,",",D426)</f>
        <v>MME 353,ED3-MARI</v>
      </c>
      <c r="J426" s="335"/>
    </row>
    <row r="427" spans="1:10" x14ac:dyDescent="0.45">
      <c r="A427" s="303" t="s">
        <v>234</v>
      </c>
      <c r="B427" s="303" t="str">
        <v>APPLIED OPTICS</v>
      </c>
      <c r="C427" s="339" t="str">
        <v>Andam-Akorful Samuel Ato</v>
      </c>
      <c r="D427" s="303" t="s">
        <v>66</v>
      </c>
      <c r="E427" s="336">
        <v>100</v>
      </c>
      <c r="F427" s="350" t="s">
        <v>1548</v>
      </c>
      <c r="G427" s="364">
        <f t="shared" si="54"/>
        <v>110.00000000000001</v>
      </c>
      <c r="H427" s="329" t="s">
        <v>1555</v>
      </c>
      <c r="I427" s="330" t="str">
        <f>CONCATENATE(A427,",",D427)</f>
        <v>GE 171,ED1-GEOM</v>
      </c>
      <c r="J427" s="335"/>
    </row>
    <row r="428" spans="1:10" x14ac:dyDescent="0.45">
      <c r="A428" s="303" t="s">
        <v>257</v>
      </c>
      <c r="B428" s="303" t="str">
        <v>CLASSICAL CONTROL SYSTEMS</v>
      </c>
      <c r="C428" s="339" t="str">
        <v>Klogo Griffith Selorm</v>
      </c>
      <c r="D428" s="303" t="s">
        <v>13</v>
      </c>
      <c r="E428" s="336">
        <v>94</v>
      </c>
      <c r="F428" s="353" t="s">
        <v>1548</v>
      </c>
      <c r="G428" s="364">
        <f t="shared" si="54"/>
        <v>103.4</v>
      </c>
      <c r="H428" s="329" t="s">
        <v>1556</v>
      </c>
      <c r="I428" s="330" t="str">
        <f t="shared" si="48"/>
        <v>COE 387,ED3-BME</v>
      </c>
      <c r="J428" s="335"/>
    </row>
    <row r="429" spans="1:10" x14ac:dyDescent="0.45">
      <c r="A429" s="303" t="s">
        <v>257</v>
      </c>
      <c r="B429" s="303" t="str">
        <v>CLASSICAL CONTROL SYSTEMS</v>
      </c>
      <c r="C429" s="339" t="str">
        <v>Klogo Griffith Selorm</v>
      </c>
      <c r="D429" s="303" t="s">
        <v>17</v>
      </c>
      <c r="E429" s="336">
        <v>276</v>
      </c>
      <c r="F429" s="353" t="s">
        <v>1436</v>
      </c>
      <c r="G429" s="364">
        <f t="shared" si="54"/>
        <v>303.60000000000002</v>
      </c>
      <c r="H429" s="329" t="s">
        <v>1557</v>
      </c>
      <c r="I429" s="330" t="str">
        <f t="shared" si="48"/>
        <v>COE 387,ED3-COE</v>
      </c>
      <c r="J429" s="335"/>
    </row>
    <row r="430" spans="1:10" x14ac:dyDescent="0.45">
      <c r="A430" s="340"/>
      <c r="B430" s="340"/>
      <c r="C430" s="333"/>
      <c r="D430" s="303" t="s">
        <v>259</v>
      </c>
      <c r="E430" s="332">
        <f>SUM(E417:E429)</f>
        <v>1738</v>
      </c>
      <c r="F430" s="341"/>
      <c r="G430" s="340"/>
      <c r="H430" s="329"/>
      <c r="I430" s="330" t="str">
        <f t="shared" si="48"/>
        <v>,Total H1</v>
      </c>
      <c r="J430" s="335"/>
    </row>
    <row r="431" spans="1:10" x14ac:dyDescent="0.45">
      <c r="A431" s="340"/>
      <c r="B431" s="340"/>
      <c r="C431" s="333"/>
      <c r="D431" s="303"/>
      <c r="E431" s="332"/>
      <c r="F431" s="341"/>
      <c r="G431" s="340"/>
      <c r="H431" s="329"/>
      <c r="I431" s="330" t="str">
        <f t="shared" si="48"/>
        <v>,</v>
      </c>
      <c r="J431" s="335"/>
    </row>
    <row r="432" spans="1:10" x14ac:dyDescent="0.45">
      <c r="A432" s="340"/>
      <c r="B432" s="340"/>
      <c r="C432" s="333"/>
      <c r="D432" s="303"/>
      <c r="E432" s="332"/>
      <c r="F432" s="341"/>
      <c r="G432" s="340"/>
      <c r="H432" s="329"/>
      <c r="I432" s="330" t="str">
        <f t="shared" si="48"/>
        <v>,</v>
      </c>
      <c r="J432" s="335"/>
    </row>
    <row r="433" spans="1:10" x14ac:dyDescent="0.45">
      <c r="A433" s="383" t="s">
        <v>1364</v>
      </c>
      <c r="B433" s="383"/>
      <c r="C433" s="383"/>
      <c r="D433" s="383"/>
      <c r="E433" s="383"/>
      <c r="F433" s="383"/>
      <c r="G433" s="383"/>
      <c r="H433" s="329"/>
      <c r="I433" s="330" t="str">
        <f t="shared" si="48"/>
        <v>Thursday, 26 February 2026,</v>
      </c>
      <c r="J433" s="335"/>
    </row>
    <row r="434" spans="1:10" x14ac:dyDescent="0.45">
      <c r="A434" s="383" t="str">
        <f>[6]SESSIONS!$K$2</f>
        <v>Session, 2 (10:00 AM - 11:00 AM)</v>
      </c>
      <c r="B434" s="383"/>
      <c r="C434" s="383"/>
      <c r="D434" s="383"/>
      <c r="E434" s="383"/>
      <c r="F434" s="383"/>
      <c r="G434" s="383"/>
      <c r="H434" s="329"/>
      <c r="I434" s="330" t="str">
        <f t="shared" si="48"/>
        <v>Session, 2 (10:00 AM - 11:00 AM),</v>
      </c>
      <c r="J434" s="335"/>
    </row>
    <row r="435" spans="1:10" x14ac:dyDescent="0.45">
      <c r="A435" s="332" t="s">
        <v>2</v>
      </c>
      <c r="B435" s="332" t="s">
        <v>3</v>
      </c>
      <c r="C435" s="333" t="s">
        <v>4</v>
      </c>
      <c r="D435" s="332" t="s">
        <v>5</v>
      </c>
      <c r="E435" s="332" t="s">
        <v>6</v>
      </c>
      <c r="F435" s="334" t="s">
        <v>7</v>
      </c>
      <c r="G435" s="332" t="s">
        <v>8</v>
      </c>
      <c r="H435" s="329"/>
      <c r="I435" s="330" t="str">
        <f t="shared" si="48"/>
        <v>CODE ,CLASS</v>
      </c>
      <c r="J435" s="335"/>
    </row>
    <row r="436" spans="1:10" x14ac:dyDescent="0.45">
      <c r="A436" s="303" t="s">
        <v>260</v>
      </c>
      <c r="B436" s="303" t="str" cm="1">
        <f t="array" ref="B436:B449">IFERROR(VLOOKUP(I436:I449,Lecturers!A2:G597,7,FALSE),0)</f>
        <v>COMPUTER APPLICATIONS FOR ENGINEERS</v>
      </c>
      <c r="C436" s="304" t="str" cm="1">
        <f t="array" ref="C436:C449">IFERROR(VLOOKUP(I436:I449,Lecturers!A2:G597,2,FALSE),0)</f>
        <v>Bonsu Jude Kwaku</v>
      </c>
      <c r="D436" s="303" t="s">
        <v>64</v>
      </c>
      <c r="E436" s="336" cm="1">
        <f t="array" ref="E436:E449">IFERROR(VLOOKUP(I436:I449,Lecturers!A2:G597,3,FALSE),0)</f>
        <v>59</v>
      </c>
      <c r="F436" s="342" t="s">
        <v>149</v>
      </c>
      <c r="G436" s="338">
        <f>1.1*E436</f>
        <v>64.900000000000006</v>
      </c>
      <c r="H436" s="329"/>
      <c r="I436" s="330" t="str">
        <f t="shared" ref="I436:I504" si="55">CONCATENATE(A436,",",D436)</f>
        <v>CHE 261,ED2-PCE</v>
      </c>
      <c r="J436" s="335"/>
    </row>
    <row r="437" spans="1:10" x14ac:dyDescent="0.45">
      <c r="A437" s="303" t="s">
        <v>260</v>
      </c>
      <c r="B437" s="303" t="str">
        <v>COMPUTER APPLICATIONS FOR ENGINEERS</v>
      </c>
      <c r="C437" s="339" t="str">
        <v>Anang Daniel Adjah</v>
      </c>
      <c r="D437" s="303" t="s">
        <v>63</v>
      </c>
      <c r="E437" s="336">
        <v>154</v>
      </c>
      <c r="F437" s="342" t="s">
        <v>1532</v>
      </c>
      <c r="G437" s="338">
        <f t="shared" ref="G437:G449" si="56">1.1*E437</f>
        <v>169.4</v>
      </c>
      <c r="H437" s="329" t="s">
        <v>1538</v>
      </c>
      <c r="I437" s="330" t="str">
        <f t="shared" si="55"/>
        <v>CHE 261,ED2-CHE</v>
      </c>
      <c r="J437" s="335"/>
    </row>
    <row r="438" spans="1:10" x14ac:dyDescent="0.45">
      <c r="A438" s="303" t="s">
        <v>252</v>
      </c>
      <c r="B438" s="303" t="str">
        <v>ELEMENTARY STRUCTURES</v>
      </c>
      <c r="C438" s="304" t="str">
        <v>Afrifa Russel Owusu</v>
      </c>
      <c r="D438" s="303" t="s">
        <v>165</v>
      </c>
      <c r="E438" s="336">
        <v>242</v>
      </c>
      <c r="F438" s="353" t="s">
        <v>1750</v>
      </c>
      <c r="G438" s="338">
        <f t="shared" si="56"/>
        <v>266.20000000000005</v>
      </c>
      <c r="H438" s="329" t="s">
        <v>1473</v>
      </c>
      <c r="I438" s="330" t="str">
        <f>CONCATENATE(A438,",",D438)</f>
        <v>CE 151,ED1-CE</v>
      </c>
      <c r="J438" s="335"/>
    </row>
    <row r="439" spans="1:10" x14ac:dyDescent="0.45">
      <c r="A439" s="303" t="s">
        <v>209</v>
      </c>
      <c r="B439" s="303" t="str">
        <v>PRINCIPLES OF MATERIALS SCIENCE</v>
      </c>
      <c r="C439" s="339" t="str">
        <v>Nartey Martinson Addo</v>
      </c>
      <c r="D439" s="303" t="s">
        <v>39</v>
      </c>
      <c r="E439" s="336">
        <v>72</v>
      </c>
      <c r="F439" s="353" t="s">
        <v>1747</v>
      </c>
      <c r="G439" s="338">
        <f t="shared" si="56"/>
        <v>79.2</v>
      </c>
      <c r="H439" s="329" t="s">
        <v>1560</v>
      </c>
      <c r="I439" s="330" t="str">
        <f>CONCATENATE(A439,",",D439)</f>
        <v>MSE 155,ED1-METE</v>
      </c>
      <c r="J439" s="335"/>
    </row>
    <row r="440" spans="1:10" x14ac:dyDescent="0.45">
      <c r="A440" s="303" t="s">
        <v>209</v>
      </c>
      <c r="B440" s="303" t="str">
        <v>PRINCIPLES OF MATERIALS SCIENCE</v>
      </c>
      <c r="C440" s="339" t="str">
        <v>Nartey Martinson Addo</v>
      </c>
      <c r="D440" s="303" t="s">
        <v>115</v>
      </c>
      <c r="E440" s="336">
        <v>98</v>
      </c>
      <c r="F440" s="342" t="s">
        <v>1752</v>
      </c>
      <c r="G440" s="338">
        <f t="shared" si="56"/>
        <v>107.80000000000001</v>
      </c>
      <c r="H440" s="329" t="s">
        <v>1753</v>
      </c>
      <c r="I440" s="330" t="str">
        <f>CONCATENATE(A440,",",D440)</f>
        <v>MSE 155,ED1-MSE</v>
      </c>
      <c r="J440" s="335"/>
    </row>
    <row r="441" spans="1:10" x14ac:dyDescent="0.45">
      <c r="A441" s="303" t="s">
        <v>263</v>
      </c>
      <c r="B441" s="303" t="str">
        <v>THERMODYNAMICS  II</v>
      </c>
      <c r="C441" s="304" t="str">
        <v>Forson Francis Kofi</v>
      </c>
      <c r="D441" s="303" t="s">
        <v>15</v>
      </c>
      <c r="E441" s="336">
        <v>105</v>
      </c>
      <c r="F441" s="342" t="s">
        <v>1495</v>
      </c>
      <c r="G441" s="338">
        <f t="shared" si="56"/>
        <v>115.50000000000001</v>
      </c>
      <c r="H441" s="329" t="s">
        <v>1561</v>
      </c>
      <c r="I441" s="330" t="str">
        <f t="shared" si="55"/>
        <v>ME 365,ED3-AE</v>
      </c>
      <c r="J441" s="335"/>
    </row>
    <row r="442" spans="1:10" x14ac:dyDescent="0.45">
      <c r="A442" s="303" t="s">
        <v>263</v>
      </c>
      <c r="B442" s="303" t="str">
        <v>THERMODYNAMICS  II</v>
      </c>
      <c r="C442" s="304" t="str">
        <v>Forson Francis Kofi</v>
      </c>
      <c r="D442" s="303" t="s">
        <v>10</v>
      </c>
      <c r="E442" s="336">
        <v>230</v>
      </c>
      <c r="F442" s="342" t="s">
        <v>1751</v>
      </c>
      <c r="G442" s="338">
        <f t="shared" si="56"/>
        <v>253.00000000000003</v>
      </c>
      <c r="H442" s="329" t="s">
        <v>1754</v>
      </c>
      <c r="I442" s="330" t="str">
        <f t="shared" si="55"/>
        <v>ME 365,ED3-ME</v>
      </c>
      <c r="J442" s="335"/>
    </row>
    <row r="443" spans="1:10" x14ac:dyDescent="0.45">
      <c r="A443" s="303" t="s">
        <v>264</v>
      </c>
      <c r="B443" s="303" t="str">
        <v>WATER AND WASTE WATER ENGINEERING</v>
      </c>
      <c r="C443" s="339" t="str">
        <v>Buamah Richard Akwasi</v>
      </c>
      <c r="D443" s="303" t="s">
        <v>68</v>
      </c>
      <c r="E443" s="336">
        <v>245</v>
      </c>
      <c r="F443" s="342" t="s">
        <v>1534</v>
      </c>
      <c r="G443" s="338">
        <f t="shared" si="56"/>
        <v>269.5</v>
      </c>
      <c r="H443" s="329" t="s">
        <v>1563</v>
      </c>
      <c r="I443" s="330" t="str">
        <f t="shared" si="55"/>
        <v>CE 463,ED4-CE</v>
      </c>
      <c r="J443" s="335"/>
    </row>
    <row r="444" spans="1:10" s="340" customFormat="1" x14ac:dyDescent="0.45">
      <c r="A444" s="303" t="s">
        <v>1372</v>
      </c>
      <c r="B444" s="303" t="str">
        <v>PROGRAMMING AND PROBLEM SOLIVING</v>
      </c>
      <c r="C444" s="339" t="str">
        <v>Adjei Prince Ebenezer</v>
      </c>
      <c r="D444" s="303" t="s">
        <v>29</v>
      </c>
      <c r="E444" s="336">
        <v>87</v>
      </c>
      <c r="F444" s="342" t="s">
        <v>1453</v>
      </c>
      <c r="G444" s="338">
        <f t="shared" si="56"/>
        <v>95.7</v>
      </c>
      <c r="H444" s="329" t="s">
        <v>1564</v>
      </c>
      <c r="I444" s="340" t="str">
        <f t="shared" si="55"/>
        <v>COE 281,ED2-BME</v>
      </c>
      <c r="J444" s="335"/>
    </row>
    <row r="445" spans="1:10" x14ac:dyDescent="0.45">
      <c r="A445" s="303" t="s">
        <v>1376</v>
      </c>
      <c r="B445" s="303" t="str">
        <v>ANALOG COMMUNICATION SYSTEMS</v>
      </c>
      <c r="C445" s="339" t="str">
        <v>Affum Emmanuel Ampoma</v>
      </c>
      <c r="D445" s="303" t="s">
        <v>32</v>
      </c>
      <c r="E445" s="336">
        <v>179</v>
      </c>
      <c r="F445" s="353" t="s">
        <v>1748</v>
      </c>
      <c r="G445" s="338">
        <f t="shared" si="56"/>
        <v>196.9</v>
      </c>
      <c r="H445" s="329" t="s">
        <v>1749</v>
      </c>
      <c r="I445" s="330" t="str">
        <f>CONCATENATE(A445,",",D445)</f>
        <v>TE 251,ED2-TEL</v>
      </c>
      <c r="J445" s="335"/>
    </row>
    <row r="446" spans="1:10" x14ac:dyDescent="0.45">
      <c r="A446" s="303" t="s">
        <v>266</v>
      </c>
      <c r="B446" s="303" t="str">
        <v>PRINCIPLES OF HYDROMETALLURGY</v>
      </c>
      <c r="C446" s="339" t="str">
        <v>Koomson Bennetta</v>
      </c>
      <c r="D446" s="303" t="s">
        <v>31</v>
      </c>
      <c r="E446" s="336">
        <v>83</v>
      </c>
      <c r="F446" s="342" t="s">
        <v>1559</v>
      </c>
      <c r="G446" s="338">
        <f t="shared" si="56"/>
        <v>91.300000000000011</v>
      </c>
      <c r="H446" s="329" t="s">
        <v>1565</v>
      </c>
      <c r="I446" s="330" t="str">
        <f t="shared" si="55"/>
        <v>METE 351,ED3-METE</v>
      </c>
      <c r="J446" s="335"/>
    </row>
    <row r="447" spans="1:10" x14ac:dyDescent="0.45">
      <c r="A447" s="303" t="s">
        <v>268</v>
      </c>
      <c r="B447" s="303" t="str">
        <v>POLYMER PROCESSING</v>
      </c>
      <c r="C447" s="339" t="str">
        <v>Asare Eric Kwame Anokye</v>
      </c>
      <c r="D447" s="303" t="s">
        <v>123</v>
      </c>
      <c r="E447" s="336">
        <v>89</v>
      </c>
      <c r="F447" s="342" t="s">
        <v>1558</v>
      </c>
      <c r="G447" s="338">
        <f t="shared" si="56"/>
        <v>97.9</v>
      </c>
      <c r="H447" s="329" t="s">
        <v>1566</v>
      </c>
      <c r="I447" s="330" t="str">
        <f t="shared" si="55"/>
        <v>MSE 355,ED3-MSE</v>
      </c>
      <c r="J447" s="335"/>
    </row>
    <row r="448" spans="1:10" x14ac:dyDescent="0.45">
      <c r="A448" s="303" t="s">
        <v>269</v>
      </c>
      <c r="B448" s="303" t="str">
        <v>PROCESS CONTROL AND INSTRUMENTATION</v>
      </c>
      <c r="C448" s="339" t="str">
        <v>Baidoo Martina Francisca</v>
      </c>
      <c r="D448" s="303" t="s">
        <v>87</v>
      </c>
      <c r="E448" s="336">
        <v>62</v>
      </c>
      <c r="F448" s="342" t="s">
        <v>505</v>
      </c>
      <c r="G448" s="338">
        <f t="shared" si="56"/>
        <v>68.2</v>
      </c>
      <c r="H448" s="329">
        <v>62</v>
      </c>
      <c r="I448" s="330" t="str">
        <f t="shared" si="55"/>
        <v>CHE 455,ED4-PCE</v>
      </c>
      <c r="J448" s="335"/>
    </row>
    <row r="449" spans="1:10" x14ac:dyDescent="0.45">
      <c r="A449" s="303" t="s">
        <v>270</v>
      </c>
      <c r="B449" s="303" t="str">
        <v>PETROLEUM PRODUCTION ENGINEERING I</v>
      </c>
      <c r="C449" s="339" t="str">
        <v>Sarkodie Kwame</v>
      </c>
      <c r="D449" s="303" t="s">
        <v>1384</v>
      </c>
      <c r="E449" s="336">
        <v>82</v>
      </c>
      <c r="F449" s="342" t="s">
        <v>479</v>
      </c>
      <c r="G449" s="338">
        <f t="shared" si="56"/>
        <v>90.2</v>
      </c>
      <c r="H449" s="329">
        <v>82</v>
      </c>
      <c r="I449" s="330" t="str">
        <f t="shared" si="55"/>
        <v>PE 357,ED3-PE</v>
      </c>
      <c r="J449" s="335"/>
    </row>
    <row r="450" spans="1:10" x14ac:dyDescent="0.45">
      <c r="A450" s="340"/>
      <c r="B450" s="340"/>
      <c r="C450" s="333"/>
      <c r="D450" s="303" t="s">
        <v>271</v>
      </c>
      <c r="E450" s="332">
        <f>SUM(E437:E449)</f>
        <v>1728</v>
      </c>
      <c r="F450" s="341"/>
      <c r="G450" s="340"/>
      <c r="H450" s="329"/>
      <c r="I450" s="330" t="str">
        <f t="shared" si="55"/>
        <v>,Total H2</v>
      </c>
      <c r="J450" s="335"/>
    </row>
    <row r="451" spans="1:10" x14ac:dyDescent="0.45">
      <c r="A451" s="340"/>
      <c r="B451" s="340"/>
      <c r="C451" s="333"/>
      <c r="D451" s="340"/>
      <c r="E451" s="340"/>
      <c r="F451" s="341"/>
      <c r="G451" s="340"/>
      <c r="H451" s="329"/>
      <c r="I451" s="330" t="str">
        <f t="shared" si="55"/>
        <v>,</v>
      </c>
      <c r="J451" s="335"/>
    </row>
    <row r="452" spans="1:10" x14ac:dyDescent="0.45">
      <c r="A452" s="340"/>
      <c r="B452" s="340"/>
      <c r="C452" s="333"/>
      <c r="D452" s="340"/>
      <c r="E452" s="340"/>
      <c r="F452" s="341"/>
      <c r="G452" s="340"/>
      <c r="H452" s="329"/>
      <c r="I452" s="330" t="str">
        <f t="shared" si="55"/>
        <v>,</v>
      </c>
      <c r="J452" s="335"/>
    </row>
    <row r="453" spans="1:10" x14ac:dyDescent="0.45">
      <c r="A453" s="383" t="s">
        <v>1364</v>
      </c>
      <c r="B453" s="383"/>
      <c r="C453" s="383"/>
      <c r="D453" s="383"/>
      <c r="E453" s="383"/>
      <c r="F453" s="383"/>
      <c r="G453" s="383"/>
      <c r="H453" s="329"/>
      <c r="I453" s="330" t="str">
        <f t="shared" si="55"/>
        <v>Thursday, 26 February 2026,</v>
      </c>
      <c r="J453" s="335"/>
    </row>
    <row r="454" spans="1:10" x14ac:dyDescent="0.45">
      <c r="A454" s="383" t="str">
        <f>[6]SESSIONS!$K$3</f>
        <v>Session, 3 (11:45 AM - 12:45 PM)</v>
      </c>
      <c r="B454" s="383"/>
      <c r="C454" s="383"/>
      <c r="D454" s="383"/>
      <c r="E454" s="383"/>
      <c r="F454" s="383"/>
      <c r="G454" s="383"/>
      <c r="H454" s="329"/>
      <c r="I454" s="330" t="str">
        <f t="shared" si="55"/>
        <v>Session, 3 (11:45 AM - 12:45 PM),</v>
      </c>
      <c r="J454" s="335"/>
    </row>
    <row r="455" spans="1:10" x14ac:dyDescent="0.45">
      <c r="A455" s="332" t="s">
        <v>2</v>
      </c>
      <c r="B455" s="332" t="s">
        <v>3</v>
      </c>
      <c r="C455" s="333" t="s">
        <v>4</v>
      </c>
      <c r="D455" s="332" t="s">
        <v>5</v>
      </c>
      <c r="E455" s="332" t="s">
        <v>6</v>
      </c>
      <c r="F455" s="334" t="s">
        <v>7</v>
      </c>
      <c r="G455" s="332" t="s">
        <v>8</v>
      </c>
      <c r="H455" s="329"/>
      <c r="I455" s="330" t="str">
        <f t="shared" si="55"/>
        <v>CODE ,CLASS</v>
      </c>
      <c r="J455" s="335"/>
    </row>
    <row r="456" spans="1:10" x14ac:dyDescent="0.45">
      <c r="A456" s="303" t="s">
        <v>250</v>
      </c>
      <c r="B456" s="303" t="str" cm="1">
        <f t="array" ref="B456:B474">IFERROR(VLOOKUP(I456:I474,Lecturers!A2:G597,7,FALSE),0)</f>
        <v>APPLICATIONS OF COMPUTER GRAPHICS</v>
      </c>
      <c r="C456" s="304" t="str" cm="1">
        <f t="array" ref="C456:C474">IFERROR(VLOOKUP(I456:I474,Lecturers!A2:G597,2,FALSE),0)</f>
        <v>Ayetor Godwin Kafui Kwesi</v>
      </c>
      <c r="D456" s="303" t="s">
        <v>24</v>
      </c>
      <c r="E456" s="336" cm="1">
        <f t="array" ref="E456:E474">IFERROR(VLOOKUP(I456:I474,Lecturers!A2:G597,3,FALSE),0)</f>
        <v>37</v>
      </c>
      <c r="F456" s="342" t="s">
        <v>11</v>
      </c>
      <c r="G456" s="338">
        <f>1.1*E456</f>
        <v>40.700000000000003</v>
      </c>
      <c r="H456" s="329"/>
      <c r="I456" s="330" t="str">
        <f t="shared" si="55"/>
        <v>ME 259,ED2-MARI</v>
      </c>
      <c r="J456" s="335"/>
    </row>
    <row r="457" spans="1:10" x14ac:dyDescent="0.45">
      <c r="A457" s="303" t="s">
        <v>250</v>
      </c>
      <c r="B457" s="303" t="str">
        <v>APPLICATIONS OF COMPUTER GRAPHICS</v>
      </c>
      <c r="C457" s="304" t="str">
        <v>Ayetor Godwin Kafui Kwesi</v>
      </c>
      <c r="D457" s="303" t="s">
        <v>26</v>
      </c>
      <c r="E457" s="336">
        <v>77</v>
      </c>
      <c r="F457" s="342" t="s">
        <v>11</v>
      </c>
      <c r="G457" s="338">
        <f t="shared" ref="G457:G474" si="57">1.1*E457</f>
        <v>84.7</v>
      </c>
      <c r="H457" s="329"/>
      <c r="I457" s="330" t="str">
        <f t="shared" si="55"/>
        <v>ME 259,ED2-AUTO</v>
      </c>
      <c r="J457" s="335"/>
    </row>
    <row r="458" spans="1:10" x14ac:dyDescent="0.45">
      <c r="A458" s="303" t="s">
        <v>250</v>
      </c>
      <c r="B458" s="303" t="str">
        <v>APPLICATIONS OF COMPUTER GRAPHICS</v>
      </c>
      <c r="C458" s="367" t="str">
        <v>Ayetor Godwin Kafui Kwesi</v>
      </c>
      <c r="D458" s="303" t="s">
        <v>25</v>
      </c>
      <c r="E458" s="336">
        <v>80</v>
      </c>
      <c r="F458" s="342" t="s">
        <v>11</v>
      </c>
      <c r="G458" s="338">
        <f t="shared" si="57"/>
        <v>88</v>
      </c>
      <c r="H458" s="329"/>
      <c r="I458" s="330" t="str">
        <f t="shared" si="55"/>
        <v>ME 259,ED2-IND</v>
      </c>
      <c r="J458" s="335"/>
    </row>
    <row r="459" spans="1:10" x14ac:dyDescent="0.45">
      <c r="A459" s="303" t="s">
        <v>272</v>
      </c>
      <c r="B459" s="303" t="str">
        <v>AERODYNAMICS I</v>
      </c>
      <c r="C459" s="339" t="str">
        <v>Bofah Kwasi Kete</v>
      </c>
      <c r="D459" s="303" t="s">
        <v>14</v>
      </c>
      <c r="E459" s="336">
        <v>76</v>
      </c>
      <c r="F459" s="342" t="s">
        <v>1567</v>
      </c>
      <c r="G459" s="338">
        <f t="shared" si="57"/>
        <v>83.600000000000009</v>
      </c>
      <c r="H459" s="329" t="s">
        <v>1569</v>
      </c>
      <c r="I459" s="330" t="str">
        <f t="shared" si="55"/>
        <v>AERO 351,ED3-AERO</v>
      </c>
      <c r="J459" s="335"/>
    </row>
    <row r="460" spans="1:10" x14ac:dyDescent="0.45">
      <c r="A460" s="303" t="s">
        <v>1373</v>
      </c>
      <c r="B460" s="303" t="str">
        <v>PHOTOGEOLOGY AND REMOTE SENSING</v>
      </c>
      <c r="C460" s="339" t="str">
        <v>Nuamah Daniel Oduro Boatey</v>
      </c>
      <c r="D460" s="303" t="s">
        <v>16</v>
      </c>
      <c r="E460" s="336">
        <v>154</v>
      </c>
      <c r="F460" s="342" t="s">
        <v>1532</v>
      </c>
      <c r="G460" s="338">
        <f t="shared" si="57"/>
        <v>169.4</v>
      </c>
      <c r="H460" s="329" t="s">
        <v>1538</v>
      </c>
      <c r="I460" s="330" t="str">
        <f>CONCATENATE(A460,",",D460)</f>
        <v>GED 369,ED3-GEOL</v>
      </c>
      <c r="J460" s="335"/>
    </row>
    <row r="461" spans="1:10" x14ac:dyDescent="0.45">
      <c r="A461" s="303" t="s">
        <v>273</v>
      </c>
      <c r="B461" s="303" t="str">
        <v>IMAGE PROCESSING AND INTERPRETATION</v>
      </c>
      <c r="C461" s="339" t="str">
        <v xml:space="preserve">Asare Yaw Mensah </v>
      </c>
      <c r="D461" s="303" t="s">
        <v>34</v>
      </c>
      <c r="E461" s="336">
        <v>115</v>
      </c>
      <c r="F461" s="342" t="s">
        <v>1523</v>
      </c>
      <c r="G461" s="338">
        <f t="shared" si="57"/>
        <v>126.50000000000001</v>
      </c>
      <c r="H461" s="329" t="s">
        <v>1570</v>
      </c>
      <c r="I461" s="330" t="str">
        <f t="shared" si="55"/>
        <v>GE 361,ED3-GEOM</v>
      </c>
      <c r="J461" s="335"/>
    </row>
    <row r="462" spans="1:10" x14ac:dyDescent="0.45">
      <c r="A462" s="303" t="s">
        <v>256</v>
      </c>
      <c r="B462" s="303" t="str">
        <v>EXPLORATION GEOPHYSICS</v>
      </c>
      <c r="C462" s="339" t="str">
        <v>Ali Bukari</v>
      </c>
      <c r="D462" s="303" t="s">
        <v>50</v>
      </c>
      <c r="E462" s="336">
        <v>102</v>
      </c>
      <c r="F462" s="353" t="s">
        <v>1520</v>
      </c>
      <c r="G462" s="338">
        <f t="shared" si="57"/>
        <v>112.2</v>
      </c>
      <c r="H462" s="329" t="s">
        <v>1571</v>
      </c>
      <c r="I462" s="330" t="str">
        <f>CONCATENATE(A462,",",D462)</f>
        <v>GED 461,ED4-GEOL</v>
      </c>
      <c r="J462" s="335"/>
    </row>
    <row r="463" spans="1:10" x14ac:dyDescent="0.45">
      <c r="A463" s="303" t="s">
        <v>274</v>
      </c>
      <c r="B463" s="303" t="str">
        <v>ENGINEERING GEOLOGY</v>
      </c>
      <c r="C463" s="339" t="str">
        <v>Acquaah Vincent Kofi Abaka</v>
      </c>
      <c r="D463" s="303" t="s">
        <v>101</v>
      </c>
      <c r="E463" s="336">
        <v>260</v>
      </c>
      <c r="F463" s="342" t="s">
        <v>1436</v>
      </c>
      <c r="G463" s="338">
        <f t="shared" si="57"/>
        <v>286</v>
      </c>
      <c r="H463" s="329" t="s">
        <v>1572</v>
      </c>
      <c r="I463" s="330" t="str">
        <f t="shared" si="55"/>
        <v>CE 259,ED2-CE</v>
      </c>
      <c r="J463" s="335"/>
    </row>
    <row r="464" spans="1:10" x14ac:dyDescent="0.45">
      <c r="A464" s="303" t="s">
        <v>275</v>
      </c>
      <c r="B464" s="303" t="str">
        <v>ENGINEERING ECONOMY AND MANAGEMENT</v>
      </c>
      <c r="C464" s="367" t="str">
        <v>Mensah Lena Dzifa</v>
      </c>
      <c r="D464" s="303" t="s">
        <v>48</v>
      </c>
      <c r="E464" s="336">
        <v>144</v>
      </c>
      <c r="F464" s="342" t="s">
        <v>1532</v>
      </c>
      <c r="G464" s="338">
        <f t="shared" si="57"/>
        <v>158.4</v>
      </c>
      <c r="H464" s="329" t="s">
        <v>1573</v>
      </c>
      <c r="I464" s="330" t="str">
        <f t="shared" si="55"/>
        <v>ME 491,ED4-ME</v>
      </c>
      <c r="J464" s="335"/>
    </row>
    <row r="465" spans="1:10" x14ac:dyDescent="0.45">
      <c r="A465" s="303" t="s">
        <v>275</v>
      </c>
      <c r="B465" s="303" t="str">
        <v>ENGINEERING ECONOMICS AND MANAGEMENT</v>
      </c>
      <c r="C465" s="367" t="str">
        <v>Mensah Lena Dzifa</v>
      </c>
      <c r="D465" s="303" t="s">
        <v>56</v>
      </c>
      <c r="E465" s="336">
        <v>224</v>
      </c>
      <c r="F465" s="342" t="s">
        <v>1462</v>
      </c>
      <c r="G465" s="338">
        <f t="shared" si="57"/>
        <v>246.40000000000003</v>
      </c>
      <c r="H465" s="329" t="s">
        <v>1472</v>
      </c>
      <c r="I465" s="330" t="str">
        <f t="shared" si="55"/>
        <v>ME 491,ED4-EE</v>
      </c>
      <c r="J465" s="335"/>
    </row>
    <row r="466" spans="1:10" x14ac:dyDescent="0.45">
      <c r="A466" s="303" t="s">
        <v>275</v>
      </c>
      <c r="B466" s="303" t="str">
        <v>ENGINEERING ECONOMY AND MANAGEMENT</v>
      </c>
      <c r="C466" s="367" t="str">
        <v>Mensah Lena Dzifa</v>
      </c>
      <c r="D466" s="303" t="s">
        <v>80</v>
      </c>
      <c r="E466" s="336">
        <v>67</v>
      </c>
      <c r="F466" s="342" t="s">
        <v>505</v>
      </c>
      <c r="G466" s="338">
        <f t="shared" si="57"/>
        <v>73.7</v>
      </c>
      <c r="H466" s="329">
        <v>67</v>
      </c>
      <c r="I466" s="330" t="str">
        <f t="shared" si="55"/>
        <v>ME 491,ED4-IND</v>
      </c>
      <c r="J466" s="335"/>
    </row>
    <row r="467" spans="1:10" x14ac:dyDescent="0.45">
      <c r="A467" s="303" t="s">
        <v>275</v>
      </c>
      <c r="B467" s="303" t="str">
        <v>ENGINEERING ECONOMY AND MANAGEMENT</v>
      </c>
      <c r="C467" s="367" t="str">
        <v>Mensah Lena Dzifa</v>
      </c>
      <c r="D467" s="303" t="s">
        <v>97</v>
      </c>
      <c r="E467" s="336">
        <v>64</v>
      </c>
      <c r="F467" s="342" t="s">
        <v>1445</v>
      </c>
      <c r="G467" s="338">
        <f t="shared" si="57"/>
        <v>70.400000000000006</v>
      </c>
      <c r="H467" s="329" t="s">
        <v>1574</v>
      </c>
      <c r="I467" s="330" t="str">
        <f t="shared" si="55"/>
        <v>ME 491,ED4-MSE</v>
      </c>
      <c r="J467" s="335"/>
    </row>
    <row r="468" spans="1:10" x14ac:dyDescent="0.45">
      <c r="A468" s="303" t="s">
        <v>275</v>
      </c>
      <c r="B468" s="303" t="str">
        <v>ENGINEERING ECONOMY AND MANAGEMENT</v>
      </c>
      <c r="C468" s="367" t="str">
        <v>Mensah Lena Dzifa</v>
      </c>
      <c r="D468" s="303" t="s">
        <v>95</v>
      </c>
      <c r="E468" s="336">
        <v>49</v>
      </c>
      <c r="F468" s="342" t="s">
        <v>1568</v>
      </c>
      <c r="G468" s="338">
        <f t="shared" si="57"/>
        <v>53.900000000000006</v>
      </c>
      <c r="H468" s="329" t="s">
        <v>1575</v>
      </c>
      <c r="I468" s="330" t="str">
        <f t="shared" si="55"/>
        <v>ME 491,ED4-METE</v>
      </c>
      <c r="J468" s="335"/>
    </row>
    <row r="469" spans="1:10" x14ac:dyDescent="0.45">
      <c r="A469" s="303" t="s">
        <v>276</v>
      </c>
      <c r="B469" s="303" t="str">
        <v>MARINE ENGINEERING ECONOMY, ACCOUNTING AND MANAGEMENT</v>
      </c>
      <c r="C469" s="367" t="str">
        <v>Mensah Lena Dzifa</v>
      </c>
      <c r="D469" s="303" t="s">
        <v>113</v>
      </c>
      <c r="E469" s="336">
        <v>23</v>
      </c>
      <c r="F469" s="342" t="s">
        <v>37</v>
      </c>
      <c r="G469" s="338">
        <f t="shared" si="57"/>
        <v>25.3</v>
      </c>
      <c r="H469" s="329">
        <v>23</v>
      </c>
      <c r="I469" s="330" t="str">
        <f t="shared" si="55"/>
        <v>MME 491,ED4-MARI</v>
      </c>
      <c r="J469" s="335"/>
    </row>
    <row r="470" spans="1:10" x14ac:dyDescent="0.45">
      <c r="A470" s="303" t="s">
        <v>281</v>
      </c>
      <c r="B470" s="303" t="str">
        <v>AVIATION BUSINESS MANAGEMENT</v>
      </c>
      <c r="C470" s="339" t="str">
        <v>Takyi Gabriel</v>
      </c>
      <c r="D470" s="303" t="s">
        <v>44</v>
      </c>
      <c r="E470" s="336">
        <v>61</v>
      </c>
      <c r="F470" s="353" t="s">
        <v>1420</v>
      </c>
      <c r="G470" s="338">
        <f t="shared" si="57"/>
        <v>67.100000000000009</v>
      </c>
      <c r="H470" s="329" t="s">
        <v>1576</v>
      </c>
      <c r="I470" s="330" t="str">
        <f>CONCATENATE(A470,",",D470)</f>
        <v>AERO 491,ED4-AERO</v>
      </c>
      <c r="J470" s="335"/>
    </row>
    <row r="471" spans="1:10" x14ac:dyDescent="0.45">
      <c r="A471" s="303" t="s">
        <v>275</v>
      </c>
      <c r="B471" s="303" t="str">
        <v>ENGINEERING ECONOMY AND MANAGEMENT</v>
      </c>
      <c r="C471" s="367" t="str">
        <v>Asiedu Charlotte</v>
      </c>
      <c r="D471" s="303" t="s">
        <v>75</v>
      </c>
      <c r="E471" s="336">
        <v>32</v>
      </c>
      <c r="F471" s="342" t="s">
        <v>470</v>
      </c>
      <c r="G471" s="338">
        <f t="shared" si="57"/>
        <v>35.200000000000003</v>
      </c>
      <c r="H471" s="329">
        <v>32</v>
      </c>
      <c r="I471" s="330" t="str">
        <f t="shared" si="55"/>
        <v>ME 491,ED4-AUTO</v>
      </c>
      <c r="J471" s="335"/>
    </row>
    <row r="472" spans="1:10" x14ac:dyDescent="0.45">
      <c r="A472" s="303" t="s">
        <v>275</v>
      </c>
      <c r="B472" s="303" t="str">
        <v>ENGINEERING ECONOMICS AND MANAGEMENT</v>
      </c>
      <c r="C472" s="367" t="str">
        <v>Mensah Lena Dzifa</v>
      </c>
      <c r="D472" s="303" t="s">
        <v>60</v>
      </c>
      <c r="E472" s="336">
        <v>170</v>
      </c>
      <c r="F472" s="342" t="s">
        <v>1535</v>
      </c>
      <c r="G472" s="338">
        <f t="shared" si="57"/>
        <v>187.00000000000003</v>
      </c>
      <c r="H472" s="329" t="s">
        <v>1577</v>
      </c>
      <c r="I472" s="330" t="str">
        <f t="shared" si="55"/>
        <v>ME 491,ED4-COE</v>
      </c>
      <c r="J472" s="335"/>
    </row>
    <row r="473" spans="1:10" x14ac:dyDescent="0.45">
      <c r="A473" s="303" t="s">
        <v>275</v>
      </c>
      <c r="B473" s="303" t="str">
        <v>ENGINEERING ECONOMICS AND MANAGEMENT</v>
      </c>
      <c r="C473" s="367" t="str">
        <v>Aikins Stephen Hill Mends</v>
      </c>
      <c r="D473" s="303" t="s">
        <v>131</v>
      </c>
      <c r="E473" s="336">
        <v>103</v>
      </c>
      <c r="F473" s="342" t="s">
        <v>1520</v>
      </c>
      <c r="G473" s="338">
        <f t="shared" si="57"/>
        <v>113.30000000000001</v>
      </c>
      <c r="H473" s="329" t="s">
        <v>1578</v>
      </c>
      <c r="I473" s="330" t="str">
        <f t="shared" si="55"/>
        <v>ME 491,ED4-AE</v>
      </c>
      <c r="J473" s="335"/>
    </row>
    <row r="474" spans="1:10" x14ac:dyDescent="0.45">
      <c r="A474" s="303" t="s">
        <v>275</v>
      </c>
      <c r="B474" s="303" t="str">
        <v>ENGINEERING ECONOMICS AND MANAGEMENT</v>
      </c>
      <c r="C474" s="368" t="str">
        <v>Mensah Lena Dzifa</v>
      </c>
      <c r="D474" s="303" t="s">
        <v>46</v>
      </c>
      <c r="E474" s="336">
        <v>84</v>
      </c>
      <c r="F474" s="342" t="s">
        <v>1567</v>
      </c>
      <c r="G474" s="338">
        <f t="shared" si="57"/>
        <v>92.4</v>
      </c>
      <c r="H474" s="329" t="s">
        <v>1579</v>
      </c>
      <c r="I474" s="330" t="str">
        <f t="shared" si="55"/>
        <v>ME 491,ED4-BME</v>
      </c>
      <c r="J474" s="335"/>
    </row>
    <row r="475" spans="1:10" x14ac:dyDescent="0.45">
      <c r="A475" s="340"/>
      <c r="B475" s="340"/>
      <c r="C475" s="333"/>
      <c r="D475" s="303" t="s">
        <v>277</v>
      </c>
      <c r="E475" s="332">
        <f>SUM(E459:E474)</f>
        <v>1728</v>
      </c>
      <c r="F475" s="341"/>
      <c r="G475" s="340"/>
      <c r="H475" s="329"/>
      <c r="I475" s="330" t="str">
        <f t="shared" si="55"/>
        <v>,Total H3</v>
      </c>
      <c r="J475" s="335"/>
    </row>
    <row r="476" spans="1:10" x14ac:dyDescent="0.45">
      <c r="A476" s="340"/>
      <c r="B476" s="340"/>
      <c r="C476" s="333"/>
      <c r="D476" s="340"/>
      <c r="E476" s="340"/>
      <c r="F476" s="341"/>
      <c r="G476" s="340"/>
      <c r="H476" s="329"/>
      <c r="I476" s="330" t="str">
        <f t="shared" si="55"/>
        <v>,</v>
      </c>
      <c r="J476" s="335"/>
    </row>
    <row r="477" spans="1:10" x14ac:dyDescent="0.45">
      <c r="A477" s="340"/>
      <c r="B477" s="340"/>
      <c r="C477" s="333"/>
      <c r="D477" s="340"/>
      <c r="E477" s="340"/>
      <c r="F477" s="341"/>
      <c r="G477" s="340"/>
      <c r="H477" s="329"/>
      <c r="I477" s="330" t="str">
        <f t="shared" si="55"/>
        <v>,</v>
      </c>
      <c r="J477" s="335"/>
    </row>
    <row r="478" spans="1:10" x14ac:dyDescent="0.45">
      <c r="A478" s="383" t="s">
        <v>1364</v>
      </c>
      <c r="B478" s="383"/>
      <c r="C478" s="383"/>
      <c r="D478" s="383"/>
      <c r="E478" s="383"/>
      <c r="F478" s="383"/>
      <c r="G478" s="383"/>
      <c r="H478" s="329"/>
      <c r="I478" s="330" t="str">
        <f t="shared" si="55"/>
        <v>Thursday, 26 February 2026,</v>
      </c>
      <c r="J478" s="335"/>
    </row>
    <row r="479" spans="1:10" x14ac:dyDescent="0.45">
      <c r="A479" s="383" t="str">
        <f>[6]SESSIONS!$K$4</f>
        <v>Session, 4 (1:30 PM - 2:30 PM)</v>
      </c>
      <c r="B479" s="383"/>
      <c r="C479" s="383"/>
      <c r="D479" s="383"/>
      <c r="E479" s="383"/>
      <c r="F479" s="383"/>
      <c r="G479" s="383"/>
      <c r="H479" s="329"/>
      <c r="I479" s="330" t="str">
        <f t="shared" si="55"/>
        <v>Session, 4 (1:30 PM - 2:30 PM),</v>
      </c>
      <c r="J479" s="335"/>
    </row>
    <row r="480" spans="1:10" x14ac:dyDescent="0.45">
      <c r="A480" s="332" t="s">
        <v>2</v>
      </c>
      <c r="B480" s="332" t="s">
        <v>3</v>
      </c>
      <c r="C480" s="333" t="s">
        <v>4</v>
      </c>
      <c r="D480" s="332" t="s">
        <v>5</v>
      </c>
      <c r="E480" s="332" t="s">
        <v>6</v>
      </c>
      <c r="F480" s="334" t="s">
        <v>7</v>
      </c>
      <c r="G480" s="332" t="s">
        <v>8</v>
      </c>
      <c r="H480" s="329"/>
      <c r="I480" s="330" t="str">
        <f t="shared" si="55"/>
        <v>CODE ,CLASS</v>
      </c>
      <c r="J480" s="335"/>
    </row>
    <row r="481" spans="1:10" x14ac:dyDescent="0.45">
      <c r="A481" s="303" t="s">
        <v>278</v>
      </c>
      <c r="B481" s="303" t="str" cm="1">
        <f t="array" ref="B481:B495">IFERROR(VLOOKUP(I481:I495,Lecturers!A2:G597,7,FALSE),0)</f>
        <v>APPLIED ELECTRICITY</v>
      </c>
      <c r="C481" s="304" t="str" cm="1">
        <f t="array" ref="C481:C495">IFERROR(VLOOKUP(I481:I495,Lecturers!A2:G597,2,FALSE),0)</f>
        <v>Abdul-Rahman Ahmed</v>
      </c>
      <c r="D481" s="303" t="s">
        <v>183</v>
      </c>
      <c r="E481" s="336" cm="1">
        <f t="array" ref="E481:E495">IFERROR(VLOOKUP(I481:I495,Lecturers!A2:G597,3,FALSE),0)</f>
        <v>129</v>
      </c>
      <c r="F481" s="369" t="s">
        <v>1516</v>
      </c>
      <c r="G481" s="364">
        <f>1.1*E481</f>
        <v>141.9</v>
      </c>
      <c r="H481" s="329" t="s">
        <v>1605</v>
      </c>
      <c r="I481" s="330" t="str">
        <f t="shared" si="55"/>
        <v>EE 151,ED1-TEL</v>
      </c>
      <c r="J481" s="335"/>
    </row>
    <row r="482" spans="1:10" x14ac:dyDescent="0.45">
      <c r="A482" s="303" t="s">
        <v>278</v>
      </c>
      <c r="B482" s="303" t="str">
        <v>APPLIED ELECTRICITY</v>
      </c>
      <c r="C482" s="304" t="str">
        <v>Acheampong Francisca Adoma</v>
      </c>
      <c r="D482" s="303" t="s">
        <v>166</v>
      </c>
      <c r="E482" s="336">
        <v>88</v>
      </c>
      <c r="F482" s="353" t="s">
        <v>1598</v>
      </c>
      <c r="G482" s="364">
        <f t="shared" ref="G482:G495" si="58">1.1*E482</f>
        <v>96.800000000000011</v>
      </c>
      <c r="H482" s="329" t="s">
        <v>1509</v>
      </c>
      <c r="I482" s="330" t="str">
        <f t="shared" si="55"/>
        <v>EE 151,ED1-AUTO</v>
      </c>
      <c r="J482" s="335"/>
    </row>
    <row r="483" spans="1:10" x14ac:dyDescent="0.45">
      <c r="A483" s="303" t="s">
        <v>278</v>
      </c>
      <c r="B483" s="303" t="str">
        <v>APPLIED ELECTRICITY</v>
      </c>
      <c r="C483" s="339" t="str">
        <v>Acheampong Francisca Adoma</v>
      </c>
      <c r="D483" s="303" t="s">
        <v>41</v>
      </c>
      <c r="E483" s="336">
        <v>46</v>
      </c>
      <c r="F483" s="353" t="s">
        <v>1599</v>
      </c>
      <c r="G483" s="364">
        <f t="shared" si="58"/>
        <v>50.6</v>
      </c>
      <c r="H483" s="329" t="s">
        <v>1606</v>
      </c>
      <c r="I483" s="330" t="str">
        <f t="shared" si="55"/>
        <v>EE 151,ED1-MARI</v>
      </c>
      <c r="J483" s="335"/>
    </row>
    <row r="484" spans="1:10" x14ac:dyDescent="0.45">
      <c r="A484" s="303" t="s">
        <v>278</v>
      </c>
      <c r="B484" s="303" t="str">
        <v>APPLIED ELECTRICITY</v>
      </c>
      <c r="C484" s="339" t="str">
        <v>Affum Emmanuel Ampoma</v>
      </c>
      <c r="D484" s="303" t="s">
        <v>164</v>
      </c>
      <c r="E484" s="336">
        <v>223</v>
      </c>
      <c r="F484" s="350" t="s">
        <v>1600</v>
      </c>
      <c r="G484" s="364">
        <f t="shared" si="58"/>
        <v>245.3</v>
      </c>
      <c r="H484" s="329" t="s">
        <v>1607</v>
      </c>
      <c r="I484" s="330" t="str">
        <f t="shared" si="55"/>
        <v>EE 151,ED1-ME</v>
      </c>
      <c r="J484" s="335"/>
    </row>
    <row r="485" spans="1:10" x14ac:dyDescent="0.45">
      <c r="A485" s="303" t="s">
        <v>278</v>
      </c>
      <c r="B485" s="303" t="str">
        <v>APPLIED ELECTRICITY</v>
      </c>
      <c r="C485" s="339" t="str">
        <v>Evils Twumasi</v>
      </c>
      <c r="D485" s="303" t="s">
        <v>39</v>
      </c>
      <c r="E485" s="336">
        <v>72</v>
      </c>
      <c r="F485" s="369" t="s">
        <v>1445</v>
      </c>
      <c r="G485" s="364">
        <f t="shared" si="58"/>
        <v>79.2</v>
      </c>
      <c r="H485" s="329" t="s">
        <v>1560</v>
      </c>
      <c r="I485" s="330" t="str">
        <f t="shared" si="55"/>
        <v>EE 151,ED1-METE</v>
      </c>
      <c r="J485" s="335"/>
    </row>
    <row r="486" spans="1:10" x14ac:dyDescent="0.45">
      <c r="A486" s="303" t="s">
        <v>278</v>
      </c>
      <c r="B486" s="303" t="str">
        <v>APPLIED ELECTRICITY</v>
      </c>
      <c r="C486" s="339" t="str">
        <v>Ellis Sani Mubarak</v>
      </c>
      <c r="D486" s="303" t="s">
        <v>1382</v>
      </c>
      <c r="E486" s="336">
        <v>129</v>
      </c>
      <c r="F486" s="353" t="s">
        <v>1495</v>
      </c>
      <c r="G486" s="364">
        <f t="shared" si="58"/>
        <v>141.9</v>
      </c>
      <c r="H486" s="329" t="s">
        <v>1605</v>
      </c>
      <c r="I486" s="330" t="str">
        <f t="shared" si="55"/>
        <v>EE 151,ED1-PE</v>
      </c>
      <c r="J486" s="335"/>
    </row>
    <row r="487" spans="1:10" x14ac:dyDescent="0.45">
      <c r="A487" s="303" t="s">
        <v>278</v>
      </c>
      <c r="B487" s="303" t="str">
        <v>APPLIED ELECTRICITY</v>
      </c>
      <c r="C487" s="339" t="str">
        <v>Evils Twumasi</v>
      </c>
      <c r="D487" s="303" t="s">
        <v>103</v>
      </c>
      <c r="E487" s="336">
        <v>120</v>
      </c>
      <c r="F487" s="342" t="s">
        <v>1443</v>
      </c>
      <c r="G487" s="364">
        <f t="shared" si="58"/>
        <v>132</v>
      </c>
      <c r="H487" s="329" t="s">
        <v>1608</v>
      </c>
      <c r="I487" s="330" t="str">
        <f t="shared" si="55"/>
        <v>EE 151,ED1-CHE</v>
      </c>
      <c r="J487" s="335"/>
    </row>
    <row r="488" spans="1:10" x14ac:dyDescent="0.45">
      <c r="A488" s="303" t="s">
        <v>278</v>
      </c>
      <c r="B488" s="303" t="str">
        <v>APPLIED ELECTRICITY</v>
      </c>
      <c r="C488" s="339" t="str">
        <v>Prah II Nicholas Kwesi</v>
      </c>
      <c r="D488" s="303" t="s">
        <v>163</v>
      </c>
      <c r="E488" s="336">
        <v>126</v>
      </c>
      <c r="F488" s="342" t="s">
        <v>1601</v>
      </c>
      <c r="G488" s="364">
        <f t="shared" si="58"/>
        <v>138.60000000000002</v>
      </c>
      <c r="H488" s="329" t="s">
        <v>1609</v>
      </c>
      <c r="I488" s="330" t="str">
        <f>CONCATENATE(A488,",",D488)</f>
        <v>EE 151,ED1-AE</v>
      </c>
      <c r="J488" s="335"/>
    </row>
    <row r="489" spans="1:10" x14ac:dyDescent="0.45">
      <c r="A489" s="303" t="s">
        <v>279</v>
      </c>
      <c r="B489" s="303" t="str">
        <v>APPLIED ELECTRICITY</v>
      </c>
      <c r="C489" s="339" t="str">
        <v>Oteng Gyasi Kwame</v>
      </c>
      <c r="D489" s="303" t="s">
        <v>69</v>
      </c>
      <c r="E489" s="336">
        <v>261</v>
      </c>
      <c r="F489" s="341" t="s">
        <v>1500</v>
      </c>
      <c r="G489" s="364">
        <f t="shared" si="58"/>
        <v>287.10000000000002</v>
      </c>
      <c r="H489" s="329" t="s">
        <v>1610</v>
      </c>
      <c r="I489" s="330" t="str">
        <f t="shared" si="55"/>
        <v>COE 181,ED1-COE</v>
      </c>
      <c r="J489" s="335"/>
    </row>
    <row r="490" spans="1:10" x14ac:dyDescent="0.45">
      <c r="A490" s="303" t="s">
        <v>278</v>
      </c>
      <c r="B490" s="303" t="str">
        <v>APPLIED ELECTRICITY</v>
      </c>
      <c r="C490" s="339" t="str">
        <v>Effah Francis Boafo</v>
      </c>
      <c r="D490" s="303" t="s">
        <v>58</v>
      </c>
      <c r="E490" s="336">
        <v>287</v>
      </c>
      <c r="F490" s="341" t="s">
        <v>1521</v>
      </c>
      <c r="G490" s="364">
        <f t="shared" si="58"/>
        <v>315.70000000000005</v>
      </c>
      <c r="H490" s="329" t="s">
        <v>1611</v>
      </c>
      <c r="I490" s="330" t="str">
        <f>CONCATENATE(A490,",",D490)</f>
        <v>EE 151,ED1-EE</v>
      </c>
      <c r="J490" s="335"/>
    </row>
    <row r="491" spans="1:10" x14ac:dyDescent="0.45">
      <c r="A491" s="303" t="s">
        <v>278</v>
      </c>
      <c r="B491" s="303" t="str">
        <v>APPLIED ELECTRICITY</v>
      </c>
      <c r="C491" s="339" t="str">
        <v>Evils Twumasi</v>
      </c>
      <c r="D491" s="303" t="s">
        <v>104</v>
      </c>
      <c r="E491" s="336">
        <v>56</v>
      </c>
      <c r="F491" s="353" t="s">
        <v>1602</v>
      </c>
      <c r="G491" s="364">
        <f t="shared" si="58"/>
        <v>61.600000000000009</v>
      </c>
      <c r="H491" s="329" t="s">
        <v>1503</v>
      </c>
      <c r="I491" s="330" t="str">
        <f t="shared" si="55"/>
        <v>EE 151,ED1-PCE</v>
      </c>
      <c r="J491" s="335"/>
    </row>
    <row r="492" spans="1:10" x14ac:dyDescent="0.45">
      <c r="A492" s="303" t="s">
        <v>278</v>
      </c>
      <c r="B492" s="303" t="str">
        <v>APPLIED ELECTRICITY</v>
      </c>
      <c r="C492" s="339" t="str">
        <v>Obeng Kwakye Kingsford Sarkodie</v>
      </c>
      <c r="D492" s="303" t="s">
        <v>161</v>
      </c>
      <c r="E492" s="336">
        <v>81</v>
      </c>
      <c r="F492" s="353" t="s">
        <v>505</v>
      </c>
      <c r="G492" s="364">
        <f t="shared" si="58"/>
        <v>89.100000000000009</v>
      </c>
      <c r="H492" s="329">
        <v>81</v>
      </c>
      <c r="I492" s="330" t="str">
        <f t="shared" si="55"/>
        <v>EE 151,ED1-IND</v>
      </c>
      <c r="J492" s="335"/>
    </row>
    <row r="493" spans="1:10" x14ac:dyDescent="0.45">
      <c r="A493" s="303" t="s">
        <v>278</v>
      </c>
      <c r="B493" s="303" t="str">
        <v>APPLIED ELECTRICITY</v>
      </c>
      <c r="C493" s="339" t="str">
        <v>Oteng Gyasi Kwame</v>
      </c>
      <c r="D493" s="303" t="s">
        <v>40</v>
      </c>
      <c r="E493" s="336">
        <v>70</v>
      </c>
      <c r="F493" s="369" t="s">
        <v>1465</v>
      </c>
      <c r="G493" s="364">
        <f t="shared" si="58"/>
        <v>77</v>
      </c>
      <c r="H493" s="329" t="s">
        <v>1612</v>
      </c>
      <c r="I493" s="330" t="str">
        <f t="shared" si="55"/>
        <v>EE 151,ED1-AERO</v>
      </c>
      <c r="J493" s="335"/>
    </row>
    <row r="494" spans="1:10" x14ac:dyDescent="0.45">
      <c r="A494" s="303" t="s">
        <v>278</v>
      </c>
      <c r="B494" s="303" t="str">
        <v>APPLIED ELECTRICITY</v>
      </c>
      <c r="C494" s="339" t="str">
        <v>Obeng Kwakye Kingsford Sarkodie</v>
      </c>
      <c r="D494" s="303" t="s">
        <v>162</v>
      </c>
      <c r="E494" s="336">
        <v>136</v>
      </c>
      <c r="F494" s="342" t="s">
        <v>1603</v>
      </c>
      <c r="G494" s="364">
        <f t="shared" si="58"/>
        <v>149.60000000000002</v>
      </c>
      <c r="H494" s="329" t="s">
        <v>1613</v>
      </c>
      <c r="I494" s="330" t="str">
        <f t="shared" si="55"/>
        <v>EE 151,ED1-BME</v>
      </c>
      <c r="J494" s="335"/>
    </row>
    <row r="495" spans="1:10" x14ac:dyDescent="0.45">
      <c r="A495" s="303" t="s">
        <v>278</v>
      </c>
      <c r="B495" s="303" t="str">
        <v>APPLIED ELECTRICITY</v>
      </c>
      <c r="C495" s="339" t="str">
        <v>Oteng Gyasi Kwame</v>
      </c>
      <c r="D495" s="303" t="s">
        <v>115</v>
      </c>
      <c r="E495" s="336">
        <v>98</v>
      </c>
      <c r="F495" s="353" t="s">
        <v>1604</v>
      </c>
      <c r="G495" s="364">
        <f t="shared" si="58"/>
        <v>107.80000000000001</v>
      </c>
      <c r="H495" s="329" t="s">
        <v>1614</v>
      </c>
      <c r="I495" s="330" t="str">
        <f t="shared" si="55"/>
        <v>EE 151,ED1-MSE</v>
      </c>
      <c r="J495" s="335"/>
    </row>
    <row r="496" spans="1:10" x14ac:dyDescent="0.45">
      <c r="A496" s="340"/>
      <c r="B496" s="340"/>
      <c r="C496" s="333"/>
      <c r="D496" s="303" t="s">
        <v>282</v>
      </c>
      <c r="E496" s="332">
        <f>SUM(E481:E495)</f>
        <v>1922</v>
      </c>
      <c r="F496" s="341"/>
      <c r="G496" s="340"/>
      <c r="H496" s="329"/>
      <c r="I496" s="330" t="str">
        <f t="shared" si="55"/>
        <v>,Total H4</v>
      </c>
      <c r="J496" s="335"/>
    </row>
    <row r="497" spans="1:10" x14ac:dyDescent="0.45">
      <c r="A497" s="340"/>
      <c r="B497" s="340"/>
      <c r="C497" s="333"/>
      <c r="D497" s="340"/>
      <c r="E497" s="340"/>
      <c r="F497" s="341"/>
      <c r="G497" s="340"/>
      <c r="H497" s="329"/>
      <c r="I497" s="330" t="str">
        <f t="shared" si="55"/>
        <v>,</v>
      </c>
      <c r="J497" s="335"/>
    </row>
    <row r="498" spans="1:10" x14ac:dyDescent="0.45">
      <c r="A498" s="340"/>
      <c r="B498" s="340"/>
      <c r="C498" s="333"/>
      <c r="D498" s="340"/>
      <c r="E498" s="340"/>
      <c r="F498" s="341"/>
      <c r="G498" s="340"/>
      <c r="H498" s="329"/>
      <c r="I498" s="330" t="str">
        <f t="shared" si="55"/>
        <v>,</v>
      </c>
      <c r="J498" s="335"/>
    </row>
    <row r="499" spans="1:10" x14ac:dyDescent="0.45">
      <c r="A499" s="383" t="s">
        <v>1364</v>
      </c>
      <c r="B499" s="383"/>
      <c r="C499" s="383"/>
      <c r="D499" s="383"/>
      <c r="E499" s="383"/>
      <c r="F499" s="383"/>
      <c r="G499" s="383"/>
      <c r="H499" s="329"/>
      <c r="I499" s="330" t="str">
        <f t="shared" si="55"/>
        <v>Thursday, 26 February 2026,</v>
      </c>
      <c r="J499" s="335"/>
    </row>
    <row r="500" spans="1:10" x14ac:dyDescent="0.45">
      <c r="A500" s="383" t="str">
        <f>[6]SESSIONS!$K$5</f>
        <v>Session, 5 (3:15 PM - 4:15 PM)</v>
      </c>
      <c r="B500" s="383"/>
      <c r="C500" s="383"/>
      <c r="D500" s="383"/>
      <c r="E500" s="383"/>
      <c r="F500" s="383"/>
      <c r="G500" s="383"/>
      <c r="H500" s="329"/>
      <c r="I500" s="330" t="str">
        <f t="shared" si="55"/>
        <v>Session, 5 (3:15 PM - 4:15 PM),</v>
      </c>
      <c r="J500" s="335"/>
    </row>
    <row r="501" spans="1:10" x14ac:dyDescent="0.45">
      <c r="A501" s="332" t="s">
        <v>2</v>
      </c>
      <c r="B501" s="332" t="s">
        <v>3</v>
      </c>
      <c r="C501" s="333" t="s">
        <v>4</v>
      </c>
      <c r="D501" s="332" t="s">
        <v>5</v>
      </c>
      <c r="E501" s="332" t="s">
        <v>6</v>
      </c>
      <c r="F501" s="334" t="s">
        <v>7</v>
      </c>
      <c r="G501" s="332" t="s">
        <v>8</v>
      </c>
      <c r="H501" s="329"/>
      <c r="I501" s="330" t="str">
        <f t="shared" si="55"/>
        <v>CODE ,CLASS</v>
      </c>
      <c r="J501" s="335"/>
    </row>
    <row r="502" spans="1:10" x14ac:dyDescent="0.45">
      <c r="A502" s="303" t="s">
        <v>283</v>
      </c>
      <c r="B502" s="303" t="str" cm="1">
        <f t="array" ref="B502:B519">IFERROR(VLOOKUP(I502:I519,Lecturers!A2:G597,7,FALSE),0)</f>
        <v>COMPUTER NETWORKING</v>
      </c>
      <c r="C502" s="304" t="str" cm="1">
        <f t="array" ref="C502:C519">IFERROR(VLOOKUP(I502:I519,Lecturers!A2:G597,2,FALSE),0)</f>
        <v>Akowuah Emmanuel Kofi</v>
      </c>
      <c r="D502" s="303" t="s">
        <v>60</v>
      </c>
      <c r="E502" s="336" cm="1">
        <f t="array" ref="E502:E519">IFERROR(VLOOKUP(I502:I519,Lecturers!A2:G597,3,FALSE),0)</f>
        <v>170</v>
      </c>
      <c r="F502" s="350" t="s">
        <v>149</v>
      </c>
      <c r="G502" s="338">
        <f>1.1*E502</f>
        <v>187.00000000000003</v>
      </c>
      <c r="H502" s="329"/>
      <c r="I502" s="330" t="str">
        <f t="shared" si="55"/>
        <v>COE 475,ED4-COE</v>
      </c>
      <c r="J502" s="335"/>
    </row>
    <row r="503" spans="1:10" x14ac:dyDescent="0.45">
      <c r="A503" s="303" t="s">
        <v>284</v>
      </c>
      <c r="B503" s="303" t="str">
        <v>ENGINEERING MECHANICS II:DYNAMICS</v>
      </c>
      <c r="C503" s="304" t="str">
        <v>Ampofo Joshua</v>
      </c>
      <c r="D503" s="303" t="s">
        <v>140</v>
      </c>
      <c r="E503" s="336">
        <v>74</v>
      </c>
      <c r="F503" s="353" t="s">
        <v>1807</v>
      </c>
      <c r="G503" s="338">
        <f t="shared" ref="G503:G519" si="59">1.1*E503</f>
        <v>81.400000000000006</v>
      </c>
      <c r="H503" s="329" t="s">
        <v>1806</v>
      </c>
      <c r="I503" s="330" t="str">
        <f t="shared" si="55"/>
        <v>ME 261,ED2-AERO</v>
      </c>
      <c r="J503" s="335"/>
    </row>
    <row r="504" spans="1:10" x14ac:dyDescent="0.45">
      <c r="A504" s="303" t="s">
        <v>284</v>
      </c>
      <c r="B504" s="303" t="str">
        <v>ENGINEERING MECHANICS II: DYNAMICS</v>
      </c>
      <c r="C504" s="354" t="str">
        <v>Ampofo Joshua</v>
      </c>
      <c r="D504" s="303" t="s">
        <v>141</v>
      </c>
      <c r="E504" s="336">
        <v>242</v>
      </c>
      <c r="F504" s="342" t="s">
        <v>1534</v>
      </c>
      <c r="G504" s="338">
        <f t="shared" si="59"/>
        <v>266.20000000000005</v>
      </c>
      <c r="H504" s="329" t="s">
        <v>1586</v>
      </c>
      <c r="I504" s="330" t="str">
        <f t="shared" si="55"/>
        <v>ME 261,ED2-ME</v>
      </c>
      <c r="J504" s="335"/>
    </row>
    <row r="505" spans="1:10" x14ac:dyDescent="0.45">
      <c r="A505" s="303" t="s">
        <v>284</v>
      </c>
      <c r="B505" s="303" t="str">
        <v>ENGINEERING MECHANICS II:DYNAMICS</v>
      </c>
      <c r="C505" s="354" t="str">
        <v>Ampofo Joshua</v>
      </c>
      <c r="D505" s="303" t="s">
        <v>24</v>
      </c>
      <c r="E505" s="336">
        <v>37</v>
      </c>
      <c r="F505" s="353" t="s">
        <v>1580</v>
      </c>
      <c r="G505" s="338">
        <f t="shared" si="59"/>
        <v>40.700000000000003</v>
      </c>
      <c r="H505" s="329" t="s">
        <v>1587</v>
      </c>
      <c r="I505" s="330" t="str">
        <f t="shared" ref="I505:I553" si="60">CONCATENATE(A505,",",D505)</f>
        <v>ME 261,ED2-MARI</v>
      </c>
      <c r="J505" s="335"/>
    </row>
    <row r="506" spans="1:10" x14ac:dyDescent="0.45">
      <c r="A506" s="303" t="s">
        <v>284</v>
      </c>
      <c r="B506" s="303" t="str">
        <v>ENGINEERING MECHANICS II:DYNAMICS</v>
      </c>
      <c r="C506" s="354" t="str">
        <v>Ampofo Joshua</v>
      </c>
      <c r="D506" s="303" t="s">
        <v>25</v>
      </c>
      <c r="E506" s="336">
        <v>80</v>
      </c>
      <c r="F506" s="353" t="s">
        <v>1451</v>
      </c>
      <c r="G506" s="338">
        <f t="shared" si="59"/>
        <v>88</v>
      </c>
      <c r="H506" s="329" t="s">
        <v>1588</v>
      </c>
      <c r="I506" s="330" t="str">
        <f t="shared" si="60"/>
        <v>ME 261,ED2-IND</v>
      </c>
      <c r="J506" s="335"/>
    </row>
    <row r="507" spans="1:10" x14ac:dyDescent="0.45">
      <c r="A507" s="303" t="s">
        <v>284</v>
      </c>
      <c r="B507" s="303" t="str">
        <v>ENGINEERING MECHANICS II:DYNAMICS</v>
      </c>
      <c r="C507" s="354" t="str">
        <v>Ampofo Joshua</v>
      </c>
      <c r="D507" s="303" t="s">
        <v>26</v>
      </c>
      <c r="E507" s="336">
        <v>77</v>
      </c>
      <c r="F507" s="353" t="s">
        <v>1581</v>
      </c>
      <c r="G507" s="338">
        <f t="shared" si="59"/>
        <v>84.7</v>
      </c>
      <c r="H507" s="329" t="s">
        <v>1589</v>
      </c>
      <c r="I507" s="330" t="str">
        <f t="shared" si="60"/>
        <v>ME 261,ED2-AUTO</v>
      </c>
      <c r="J507" s="335"/>
    </row>
    <row r="508" spans="1:10" x14ac:dyDescent="0.45">
      <c r="A508" s="303" t="s">
        <v>285</v>
      </c>
      <c r="B508" s="303" t="str">
        <v>STRESS AND STRAIN ANALYSIS OF RIGID BODIES</v>
      </c>
      <c r="C508" s="354" t="str">
        <v>Mensah-Darkwa Kwadwo</v>
      </c>
      <c r="D508" s="303" t="s">
        <v>123</v>
      </c>
      <c r="E508" s="336">
        <v>89</v>
      </c>
      <c r="F508" s="342" t="s">
        <v>1582</v>
      </c>
      <c r="G508" s="338">
        <f t="shared" si="59"/>
        <v>97.9</v>
      </c>
      <c r="H508" s="329" t="s">
        <v>1590</v>
      </c>
      <c r="I508" s="330" t="str">
        <f t="shared" si="60"/>
        <v>MSE 361,ED3-MSE</v>
      </c>
      <c r="J508" s="335"/>
    </row>
    <row r="509" spans="1:10" x14ac:dyDescent="0.45">
      <c r="A509" s="303" t="s">
        <v>286</v>
      </c>
      <c r="B509" s="303" t="str">
        <v>STRENGTH OF MATERIALS</v>
      </c>
      <c r="C509" s="354" t="str">
        <v>Mensah-Darkwa Kwadwo</v>
      </c>
      <c r="D509" s="303" t="s">
        <v>31</v>
      </c>
      <c r="E509" s="336">
        <v>83</v>
      </c>
      <c r="F509" s="370" t="s">
        <v>1583</v>
      </c>
      <c r="G509" s="338">
        <f t="shared" si="59"/>
        <v>91.300000000000011</v>
      </c>
      <c r="H509" s="329" t="s">
        <v>1591</v>
      </c>
      <c r="I509" s="330" t="str">
        <f t="shared" si="60"/>
        <v>METE 353,ED3-METE</v>
      </c>
      <c r="J509" s="335"/>
    </row>
    <row r="510" spans="1:10" x14ac:dyDescent="0.45">
      <c r="A510" s="303" t="s">
        <v>287</v>
      </c>
      <c r="B510" s="303" t="str">
        <v>ETHICS, CONTRACT &amp; PRODUCT LIABILITY LAW</v>
      </c>
      <c r="C510" s="339" t="str">
        <v>Asiedu Charlotte</v>
      </c>
      <c r="D510" s="303" t="s">
        <v>20</v>
      </c>
      <c r="E510" s="336">
        <v>72</v>
      </c>
      <c r="F510" s="353" t="s">
        <v>1519</v>
      </c>
      <c r="G510" s="338">
        <f t="shared" si="59"/>
        <v>79.2</v>
      </c>
      <c r="H510" s="329" t="s">
        <v>1464</v>
      </c>
      <c r="I510" s="330" t="str">
        <f t="shared" si="60"/>
        <v>IE 367,ED3-IND</v>
      </c>
      <c r="J510" s="335"/>
    </row>
    <row r="511" spans="1:10" x14ac:dyDescent="0.45">
      <c r="A511" s="303" t="s">
        <v>1374</v>
      </c>
      <c r="B511" s="303" t="str">
        <v>MATERIALS PROCESSING</v>
      </c>
      <c r="C511" s="304" t="str">
        <v>Agyemang Frank Ofori</v>
      </c>
      <c r="D511" s="303" t="s">
        <v>33</v>
      </c>
      <c r="E511" s="336">
        <v>80</v>
      </c>
      <c r="F511" s="353" t="s">
        <v>1582</v>
      </c>
      <c r="G511" s="338">
        <f t="shared" si="59"/>
        <v>88</v>
      </c>
      <c r="H511" s="329" t="s">
        <v>1592</v>
      </c>
      <c r="I511" s="330" t="str">
        <f t="shared" si="60"/>
        <v>MSE 257,ED2-MSE</v>
      </c>
      <c r="J511" s="335"/>
    </row>
    <row r="512" spans="1:10" x14ac:dyDescent="0.45">
      <c r="A512" s="303" t="s">
        <v>301</v>
      </c>
      <c r="B512" s="303" t="str">
        <v>CORROSION ENGINEERING</v>
      </c>
      <c r="C512" s="339" t="str">
        <v>Anang Daniel Adjah</v>
      </c>
      <c r="D512" s="303" t="s">
        <v>87</v>
      </c>
      <c r="E512" s="336">
        <v>62</v>
      </c>
      <c r="F512" s="342" t="s">
        <v>1584</v>
      </c>
      <c r="G512" s="338">
        <f t="shared" si="59"/>
        <v>68.2</v>
      </c>
      <c r="H512" s="341" t="s">
        <v>1593</v>
      </c>
      <c r="I512" s="330" t="str">
        <f>CONCATENATE(A512,",",D512)</f>
        <v>PCE 457,ED4-PCE</v>
      </c>
      <c r="J512" s="335"/>
    </row>
    <row r="513" spans="1:10" x14ac:dyDescent="0.45">
      <c r="A513" s="303" t="s">
        <v>200</v>
      </c>
      <c r="B513" s="303" t="str">
        <v>SOIL AND WATER ENGINEERING</v>
      </c>
      <c r="C513" s="339" t="str">
        <v>Kyei-Baffour Nicholas</v>
      </c>
      <c r="D513" s="303" t="s">
        <v>15</v>
      </c>
      <c r="E513" s="336">
        <v>105</v>
      </c>
      <c r="F513" s="342" t="s">
        <v>1520</v>
      </c>
      <c r="G513" s="338">
        <f t="shared" si="59"/>
        <v>115.50000000000001</v>
      </c>
      <c r="H513" s="329" t="s">
        <v>1594</v>
      </c>
      <c r="I513" s="330" t="str">
        <f>CONCATENATE(A513,",",D513)</f>
        <v>AE 351,ED3-AE</v>
      </c>
      <c r="J513" s="335"/>
    </row>
    <row r="514" spans="1:10" x14ac:dyDescent="0.45">
      <c r="A514" s="303" t="s">
        <v>296</v>
      </c>
      <c r="B514" s="303" t="str">
        <v>ANALOG COMMUNICATION SYSTEMS</v>
      </c>
      <c r="C514" s="352" t="str">
        <v>Ellis Sani Mubarak</v>
      </c>
      <c r="D514" s="303" t="s">
        <v>19</v>
      </c>
      <c r="E514" s="336">
        <v>254</v>
      </c>
      <c r="F514" s="342" t="s">
        <v>1534</v>
      </c>
      <c r="G514" s="338">
        <f t="shared" si="59"/>
        <v>279.40000000000003</v>
      </c>
      <c r="H514" s="329" t="s">
        <v>1595</v>
      </c>
      <c r="I514" s="330" t="str">
        <f>CONCATENATE(A514,",",D514)</f>
        <v>TE 271,ED3-EE</v>
      </c>
      <c r="J514" s="335"/>
    </row>
    <row r="515" spans="1:10" x14ac:dyDescent="0.45">
      <c r="A515" s="303" t="s">
        <v>1800</v>
      </c>
      <c r="B515" s="303" t="str">
        <v>NATURAL GAS PROCESSING TECHNOLOGY</v>
      </c>
      <c r="C515" s="339" t="str">
        <v>Benjamin Asante</v>
      </c>
      <c r="D515" s="303" t="s">
        <v>92</v>
      </c>
      <c r="E515" s="336">
        <v>50</v>
      </c>
      <c r="F515" s="366" t="s">
        <v>1439</v>
      </c>
      <c r="G515" s="358">
        <f>ROUNDUP(1.1*E515,0)</f>
        <v>55</v>
      </c>
      <c r="H515" s="329" t="s">
        <v>1804</v>
      </c>
      <c r="I515" s="330" t="str">
        <f>CONCATENATE(A515,",",D515)</f>
        <v>CHE 371,ED3-CHE</v>
      </c>
      <c r="J515" s="335"/>
    </row>
    <row r="516" spans="1:10" x14ac:dyDescent="0.45">
      <c r="A516" s="303" t="s">
        <v>1381</v>
      </c>
      <c r="B516" s="303" t="str">
        <v>MOBILE AND WIRELESS COMMUNICATIONS</v>
      </c>
      <c r="C516" s="339" t="str">
        <v>Agyekum Kwame Agyeman-Prempeh</v>
      </c>
      <c r="D516" s="303" t="s">
        <v>52</v>
      </c>
      <c r="E516" s="336">
        <v>142</v>
      </c>
      <c r="F516" s="350" t="s">
        <v>1419</v>
      </c>
      <c r="G516" s="338">
        <f t="shared" si="59"/>
        <v>156.20000000000002</v>
      </c>
      <c r="H516" s="329" t="s">
        <v>1596</v>
      </c>
      <c r="I516" s="330" t="str">
        <f>CONCATENATE(A516,",",D516)</f>
        <v>TE 453,ED4-TEL</v>
      </c>
      <c r="J516" s="335"/>
    </row>
    <row r="517" spans="1:10" x14ac:dyDescent="0.45">
      <c r="A517" s="303" t="s">
        <v>288</v>
      </c>
      <c r="B517" s="303" t="str">
        <v>DYNAMICS OF MACHINERY</v>
      </c>
      <c r="C517" s="304" t="str">
        <v>Ampofo Joshua</v>
      </c>
      <c r="D517" s="303" t="s">
        <v>21</v>
      </c>
      <c r="E517" s="336">
        <v>40</v>
      </c>
      <c r="F517" s="353" t="s">
        <v>1805</v>
      </c>
      <c r="G517" s="338">
        <f t="shared" si="59"/>
        <v>44</v>
      </c>
      <c r="H517" s="329" t="s">
        <v>1554</v>
      </c>
      <c r="I517" s="330" t="str">
        <f t="shared" si="60"/>
        <v>ME 361,ED3-MARI</v>
      </c>
      <c r="J517" s="335"/>
    </row>
    <row r="518" spans="1:10" x14ac:dyDescent="0.45">
      <c r="A518" s="303" t="s">
        <v>288</v>
      </c>
      <c r="B518" s="303" t="str">
        <v>DYNAMICS OF MACHINERY</v>
      </c>
      <c r="C518" s="304" t="str">
        <v>Ampofo Joshua</v>
      </c>
      <c r="D518" s="303" t="s">
        <v>12</v>
      </c>
      <c r="E518" s="336">
        <v>47</v>
      </c>
      <c r="F518" s="353" t="s">
        <v>1580</v>
      </c>
      <c r="G518" s="338">
        <f t="shared" si="59"/>
        <v>51.7</v>
      </c>
      <c r="H518" s="329" t="s">
        <v>1597</v>
      </c>
      <c r="I518" s="330" t="str">
        <f t="shared" si="60"/>
        <v>ME 361,ED3-AUTO</v>
      </c>
      <c r="J518" s="335"/>
    </row>
    <row r="519" spans="1:10" x14ac:dyDescent="0.45">
      <c r="A519" s="303" t="s">
        <v>288</v>
      </c>
      <c r="B519" s="303" t="str">
        <v>DYNAMICS OF MACHINERY</v>
      </c>
      <c r="C519" s="339" t="str">
        <v>Sackey Samuel Mensah</v>
      </c>
      <c r="D519" s="303" t="s">
        <v>10</v>
      </c>
      <c r="E519" s="336">
        <v>230</v>
      </c>
      <c r="F519" s="342" t="s">
        <v>1418</v>
      </c>
      <c r="G519" s="338">
        <f t="shared" si="59"/>
        <v>253.00000000000003</v>
      </c>
      <c r="H519" s="329" t="s">
        <v>1562</v>
      </c>
      <c r="I519" s="330" t="str">
        <f t="shared" si="60"/>
        <v>ME 361,ED3-ME</v>
      </c>
      <c r="J519" s="335"/>
    </row>
    <row r="520" spans="1:10" x14ac:dyDescent="0.45">
      <c r="A520" s="340"/>
      <c r="B520" s="340"/>
      <c r="C520" s="333"/>
      <c r="D520" s="303" t="s">
        <v>289</v>
      </c>
      <c r="E520" s="332">
        <f>SUM(E503:E519)</f>
        <v>1764</v>
      </c>
      <c r="F520" s="341"/>
      <c r="G520" s="340"/>
      <c r="H520" s="329"/>
      <c r="I520" s="330" t="str">
        <f t="shared" si="60"/>
        <v>,Total H5</v>
      </c>
      <c r="J520" s="335"/>
    </row>
    <row r="521" spans="1:10" x14ac:dyDescent="0.45">
      <c r="A521" s="340"/>
      <c r="B521" s="340"/>
      <c r="C521" s="333"/>
      <c r="D521" s="340"/>
      <c r="E521" s="340"/>
      <c r="F521" s="341"/>
      <c r="G521" s="340"/>
      <c r="H521" s="329"/>
      <c r="I521" s="330" t="str">
        <f t="shared" si="60"/>
        <v>,</v>
      </c>
      <c r="J521" s="335"/>
    </row>
    <row r="522" spans="1:10" x14ac:dyDescent="0.45">
      <c r="A522" s="340"/>
      <c r="B522" s="340"/>
      <c r="C522" s="333"/>
      <c r="D522" s="340"/>
      <c r="E522" s="340"/>
      <c r="F522" s="341"/>
      <c r="G522" s="340"/>
      <c r="H522" s="329"/>
      <c r="I522" s="330" t="str">
        <f t="shared" si="60"/>
        <v>,</v>
      </c>
      <c r="J522" s="335"/>
    </row>
    <row r="523" spans="1:10" x14ac:dyDescent="0.45">
      <c r="A523" s="383" t="s">
        <v>1364</v>
      </c>
      <c r="B523" s="383"/>
      <c r="C523" s="383"/>
      <c r="D523" s="383"/>
      <c r="E523" s="383"/>
      <c r="F523" s="383"/>
      <c r="G523" s="383"/>
      <c r="H523" s="329"/>
      <c r="I523" s="330" t="str">
        <f t="shared" si="60"/>
        <v>Thursday, 26 February 2026,</v>
      </c>
      <c r="J523" s="335"/>
    </row>
    <row r="524" spans="1:10" x14ac:dyDescent="0.45">
      <c r="A524" s="383" t="str">
        <f>[6]SESSIONS!$K$6</f>
        <v>Session, 6 (5:00 PM - 6:00 PM)</v>
      </c>
      <c r="B524" s="383"/>
      <c r="C524" s="383"/>
      <c r="D524" s="383"/>
      <c r="E524" s="383"/>
      <c r="F524" s="383"/>
      <c r="G524" s="383"/>
      <c r="H524" s="329"/>
      <c r="I524" s="330" t="str">
        <f t="shared" si="60"/>
        <v>Session, 6 (5:00 PM - 6:00 PM),</v>
      </c>
      <c r="J524" s="335"/>
    </row>
    <row r="525" spans="1:10" x14ac:dyDescent="0.45">
      <c r="A525" s="332" t="s">
        <v>2</v>
      </c>
      <c r="B525" s="332" t="s">
        <v>3</v>
      </c>
      <c r="C525" s="333" t="s">
        <v>4</v>
      </c>
      <c r="D525" s="332" t="s">
        <v>5</v>
      </c>
      <c r="E525" s="332" t="s">
        <v>6</v>
      </c>
      <c r="F525" s="334" t="s">
        <v>7</v>
      </c>
      <c r="G525" s="332" t="s">
        <v>8</v>
      </c>
      <c r="H525" s="329"/>
      <c r="I525" s="330" t="str">
        <f t="shared" si="60"/>
        <v>CODE ,CLASS</v>
      </c>
      <c r="J525" s="335"/>
    </row>
    <row r="526" spans="1:10" x14ac:dyDescent="0.45">
      <c r="A526" s="303" t="s">
        <v>290</v>
      </c>
      <c r="B526" s="303" t="str" cm="1">
        <f t="array" ref="B526:B540">IFERROR(VLOOKUP(I526:I540,Lecturers!A2:G597,7,FALSE),0)</f>
        <v>SURVEY ADJUSTMENT I</v>
      </c>
      <c r="C526" s="304" t="str" cm="1">
        <f t="array" ref="C526:C540">IFERROR(VLOOKUP(I526:I540,Lecturers!A2:G597,2,FALSE),0)</f>
        <v>Fosu Collins</v>
      </c>
      <c r="D526" s="303" t="s">
        <v>34</v>
      </c>
      <c r="E526" s="336" cm="1">
        <f t="array" ref="E526:E540">IFERROR(VLOOKUP(I526:I540,Lecturers!A2:G597,3,FALSE),0)</f>
        <v>115</v>
      </c>
      <c r="F526" s="342" t="s">
        <v>149</v>
      </c>
      <c r="G526" s="338">
        <f>1.1*E526</f>
        <v>126.50000000000001</v>
      </c>
      <c r="H526" s="329"/>
      <c r="I526" s="330" t="str">
        <f t="shared" si="60"/>
        <v>GE 371,ED3-GEOM</v>
      </c>
      <c r="J526" s="335"/>
    </row>
    <row r="527" spans="1:10" x14ac:dyDescent="0.45">
      <c r="A527" s="303" t="s">
        <v>291</v>
      </c>
      <c r="B527" s="303" t="str">
        <v>ENGINEERING SURVEYING I</v>
      </c>
      <c r="C527" s="304" t="str">
        <v>Arko-Adjei Anthony</v>
      </c>
      <c r="D527" s="303" t="s">
        <v>84</v>
      </c>
      <c r="E527" s="336">
        <v>134</v>
      </c>
      <c r="F527" s="342" t="s">
        <v>1739</v>
      </c>
      <c r="G527" s="338">
        <f t="shared" ref="G527:G540" si="61">1.1*E527</f>
        <v>147.4</v>
      </c>
      <c r="H527" s="329" t="s">
        <v>1740</v>
      </c>
      <c r="I527" s="330" t="str">
        <f t="shared" si="60"/>
        <v>GE 271,ED2-GEOM</v>
      </c>
      <c r="J527" s="335"/>
    </row>
    <row r="528" spans="1:10" x14ac:dyDescent="0.45">
      <c r="A528" s="303" t="s">
        <v>292</v>
      </c>
      <c r="B528" s="303" t="str">
        <v>CHEMICAL PROCESS CALCULATIONS I</v>
      </c>
      <c r="C528" s="339" t="str">
        <v>Rockson Mizpah Ama Dziedzorm</v>
      </c>
      <c r="D528" s="303" t="s">
        <v>63</v>
      </c>
      <c r="E528" s="336">
        <v>154</v>
      </c>
      <c r="F528" s="342" t="s">
        <v>1532</v>
      </c>
      <c r="G528" s="338">
        <f t="shared" si="61"/>
        <v>169.4</v>
      </c>
      <c r="H528" s="329" t="s">
        <v>1538</v>
      </c>
      <c r="I528" s="330" t="str">
        <f t="shared" si="60"/>
        <v>CHE 251,ED2-CHE</v>
      </c>
      <c r="J528" s="335"/>
    </row>
    <row r="529" spans="1:10" x14ac:dyDescent="0.45">
      <c r="A529" s="303" t="s">
        <v>292</v>
      </c>
      <c r="B529" s="303" t="str">
        <v>CHEMICAL PROCESS CALCULATIONS I</v>
      </c>
      <c r="C529" s="339" t="str">
        <v>Ohemeng-Boahen Godfred</v>
      </c>
      <c r="D529" s="303" t="s">
        <v>64</v>
      </c>
      <c r="E529" s="336">
        <v>59</v>
      </c>
      <c r="F529" s="342" t="s">
        <v>1439</v>
      </c>
      <c r="G529" s="338">
        <f t="shared" si="61"/>
        <v>64.900000000000006</v>
      </c>
      <c r="H529" s="329" t="s">
        <v>1423</v>
      </c>
      <c r="I529" s="330" t="str">
        <f t="shared" si="60"/>
        <v>CHE 251,ED2-PCE</v>
      </c>
      <c r="J529" s="335"/>
    </row>
    <row r="530" spans="1:10" x14ac:dyDescent="0.45">
      <c r="A530" s="303" t="s">
        <v>293</v>
      </c>
      <c r="B530" s="303" t="str">
        <v>CLIMATE AND ARCHITECTURE</v>
      </c>
      <c r="C530" s="339" t="str">
        <v>Amos-Abanyie Samuel</v>
      </c>
      <c r="D530" s="303" t="s">
        <v>165</v>
      </c>
      <c r="E530" s="336">
        <v>74</v>
      </c>
      <c r="F530" s="342" t="s">
        <v>1445</v>
      </c>
      <c r="G530" s="338">
        <f t="shared" si="61"/>
        <v>81.400000000000006</v>
      </c>
      <c r="H530" s="329" t="s">
        <v>1537</v>
      </c>
      <c r="I530" s="330" t="str">
        <f t="shared" si="60"/>
        <v>ARC 155,ED1-CE</v>
      </c>
      <c r="J530" s="335"/>
    </row>
    <row r="531" spans="1:10" x14ac:dyDescent="0.45">
      <c r="A531" s="303" t="s">
        <v>294</v>
      </c>
      <c r="B531" s="303" t="str">
        <v>RESERVOIR PETROPHYSICS</v>
      </c>
      <c r="C531" s="339" t="str">
        <v>Erzuah Samuel</v>
      </c>
      <c r="D531" s="303" t="s">
        <v>1384</v>
      </c>
      <c r="E531" s="336">
        <v>82</v>
      </c>
      <c r="F531" s="342" t="s">
        <v>479</v>
      </c>
      <c r="G531" s="338">
        <f t="shared" si="61"/>
        <v>90.2</v>
      </c>
      <c r="H531" s="329">
        <v>82</v>
      </c>
      <c r="I531" s="330" t="str">
        <f t="shared" si="60"/>
        <v>PE 359,ED3-PE</v>
      </c>
      <c r="J531" s="335"/>
    </row>
    <row r="532" spans="1:10" x14ac:dyDescent="0.45">
      <c r="A532" s="303" t="s">
        <v>295</v>
      </c>
      <c r="B532" s="303" t="str">
        <v>ENGINEERING AND ENVIRONMENTAL GEOPHYSICS</v>
      </c>
      <c r="C532" s="304" t="str">
        <v>Owusu-Nimo Frederick</v>
      </c>
      <c r="D532" s="303" t="s">
        <v>68</v>
      </c>
      <c r="E532" s="336">
        <v>245</v>
      </c>
      <c r="F532" s="342" t="s">
        <v>1734</v>
      </c>
      <c r="G532" s="338">
        <f t="shared" si="61"/>
        <v>269.5</v>
      </c>
      <c r="H532" s="329" t="s">
        <v>1735</v>
      </c>
      <c r="I532" s="330" t="str">
        <f t="shared" si="60"/>
        <v>CE 479,ED4-CE</v>
      </c>
      <c r="J532" s="335"/>
    </row>
    <row r="533" spans="1:10" x14ac:dyDescent="0.45">
      <c r="A533" s="303" t="s">
        <v>297</v>
      </c>
      <c r="B533" s="303" t="str">
        <v>PETROLEUM ECONOMICS</v>
      </c>
      <c r="C533" s="352" t="str">
        <v>Quaye Jonathan Atuquaye</v>
      </c>
      <c r="D533" s="303" t="s">
        <v>1385</v>
      </c>
      <c r="E533" s="336">
        <v>103</v>
      </c>
      <c r="F533" s="342" t="s">
        <v>1443</v>
      </c>
      <c r="G533" s="338">
        <f t="shared" si="61"/>
        <v>113.30000000000001</v>
      </c>
      <c r="H533" s="329" t="s">
        <v>1741</v>
      </c>
      <c r="I533" s="330" t="str">
        <f t="shared" si="60"/>
        <v>PE 451,ED4-PE</v>
      </c>
      <c r="J533" s="335"/>
    </row>
    <row r="534" spans="1:10" x14ac:dyDescent="0.45">
      <c r="A534" s="303" t="s">
        <v>280</v>
      </c>
      <c r="B534" s="303" t="str">
        <v>FLUID MECHANICS</v>
      </c>
      <c r="C534" s="339" t="str">
        <v>Adjei Stephen</v>
      </c>
      <c r="D534" s="303" t="s">
        <v>1383</v>
      </c>
      <c r="E534" s="336">
        <v>97</v>
      </c>
      <c r="F534" s="353" t="s">
        <v>505</v>
      </c>
      <c r="G534" s="338">
        <f t="shared" si="61"/>
        <v>106.7</v>
      </c>
      <c r="H534" s="329">
        <v>97</v>
      </c>
      <c r="I534" s="330" t="str">
        <f>CONCATENATE(A534,",",D534)</f>
        <v>PE 255,ED2-PE</v>
      </c>
      <c r="J534" s="335"/>
    </row>
    <row r="535" spans="1:10" x14ac:dyDescent="0.45">
      <c r="A535" s="303" t="s">
        <v>298</v>
      </c>
      <c r="B535" s="303" t="str">
        <v>DIGITAL SYSTEMS</v>
      </c>
      <c r="C535" s="339" t="str">
        <v>Obour Agyekum Kwame Opuni-Boachie</v>
      </c>
      <c r="D535" s="303" t="s">
        <v>32</v>
      </c>
      <c r="E535" s="336">
        <v>179</v>
      </c>
      <c r="F535" s="342" t="s">
        <v>1463</v>
      </c>
      <c r="G535" s="338">
        <f t="shared" si="61"/>
        <v>196.9</v>
      </c>
      <c r="H535" s="329" t="s">
        <v>1738</v>
      </c>
      <c r="I535" s="330" t="str">
        <f t="shared" si="60"/>
        <v>TE 253,ED2-TEL</v>
      </c>
      <c r="J535" s="335"/>
    </row>
    <row r="536" spans="1:10" x14ac:dyDescent="0.45">
      <c r="A536" s="303" t="s">
        <v>299</v>
      </c>
      <c r="B536" s="303" t="str">
        <v>SIGNALS AND SYSTEMS</v>
      </c>
      <c r="C536" s="339" t="str">
        <v>Agyekum Kwame Agyeman-Prempeh</v>
      </c>
      <c r="D536" s="303" t="s">
        <v>18</v>
      </c>
      <c r="E536" s="336">
        <v>147</v>
      </c>
      <c r="F536" s="342" t="str">
        <f>$F$528</f>
        <v>NAF1/EA/A110/ECR/VCR</v>
      </c>
      <c r="G536" s="338">
        <f t="shared" si="61"/>
        <v>161.70000000000002</v>
      </c>
      <c r="H536" s="329" t="s">
        <v>1737</v>
      </c>
      <c r="I536" s="330" t="str">
        <f t="shared" si="60"/>
        <v>TE 355,ED3-TEL</v>
      </c>
      <c r="J536" s="335"/>
    </row>
    <row r="537" spans="1:10" x14ac:dyDescent="0.45">
      <c r="A537" s="303" t="s">
        <v>300</v>
      </c>
      <c r="B537" s="303" t="str">
        <v>ORGANIC AND PETROCHEMICAL SYNTHESIS</v>
      </c>
      <c r="C537" s="339" t="str">
        <v>Mensah Mary</v>
      </c>
      <c r="D537" s="303" t="s">
        <v>71</v>
      </c>
      <c r="E537" s="336">
        <v>51</v>
      </c>
      <c r="F537" s="342" t="s">
        <v>505</v>
      </c>
      <c r="G537" s="338">
        <f t="shared" si="61"/>
        <v>56.1</v>
      </c>
      <c r="H537" s="329">
        <v>51</v>
      </c>
      <c r="I537" s="330" t="str">
        <f t="shared" si="60"/>
        <v>PCE 357,ED3-PCE</v>
      </c>
      <c r="J537" s="335"/>
    </row>
    <row r="538" spans="1:10" x14ac:dyDescent="0.45">
      <c r="A538" s="303" t="s">
        <v>302</v>
      </c>
      <c r="B538" s="303" t="str">
        <v>REINFORCED CONCRETE DESIGN</v>
      </c>
      <c r="C538" s="339" t="str">
        <v>Owusu Twumasi Jones</v>
      </c>
      <c r="D538" s="303" t="s">
        <v>22</v>
      </c>
      <c r="E538" s="336">
        <v>223</v>
      </c>
      <c r="F538" s="342" t="str">
        <f>$F$519</f>
        <v>PB001/PB020/PB014/PB201/PB214/PB212</v>
      </c>
      <c r="G538" s="338">
        <f t="shared" si="61"/>
        <v>245.3</v>
      </c>
      <c r="H538" s="329" t="s">
        <v>1736</v>
      </c>
      <c r="I538" s="330" t="str">
        <f t="shared" si="60"/>
        <v>CE 353,ED3-CE</v>
      </c>
      <c r="J538" s="335"/>
    </row>
    <row r="539" spans="1:10" x14ac:dyDescent="0.45">
      <c r="A539" s="303" t="s">
        <v>305</v>
      </c>
      <c r="B539" s="303" t="str">
        <v>BASIC SURVEY PRINCIPLES I</v>
      </c>
      <c r="C539" s="339" t="str">
        <v>Ayer John Wise Divine</v>
      </c>
      <c r="D539" s="303" t="s">
        <v>66</v>
      </c>
      <c r="E539" s="336">
        <v>100</v>
      </c>
      <c r="F539" s="342" t="s">
        <v>1601</v>
      </c>
      <c r="G539" s="338">
        <f t="shared" si="61"/>
        <v>110.00000000000001</v>
      </c>
      <c r="H539" s="329" t="s">
        <v>1742</v>
      </c>
      <c r="I539" s="330" t="str">
        <f t="shared" si="60"/>
        <v>GE 161,ED1-GEOM</v>
      </c>
      <c r="J539" s="335"/>
    </row>
    <row r="540" spans="1:10" x14ac:dyDescent="0.45">
      <c r="A540" s="303" t="s">
        <v>303</v>
      </c>
      <c r="B540" s="303" t="str">
        <v>RESEARCH METHODS</v>
      </c>
      <c r="C540" s="339" t="str">
        <v>Duker Alfred Alan</v>
      </c>
      <c r="D540" s="303" t="s">
        <v>78</v>
      </c>
      <c r="E540" s="336">
        <v>93</v>
      </c>
      <c r="F540" s="353" t="s">
        <v>1743</v>
      </c>
      <c r="G540" s="338">
        <f t="shared" si="61"/>
        <v>102.30000000000001</v>
      </c>
      <c r="H540" s="329" t="s">
        <v>1744</v>
      </c>
      <c r="I540" s="330" t="str">
        <f t="shared" si="60"/>
        <v>GE 475,ED4-GEOM</v>
      </c>
      <c r="J540" s="335"/>
    </row>
    <row r="541" spans="1:10" x14ac:dyDescent="0.45">
      <c r="A541" s="340"/>
      <c r="B541" s="340"/>
      <c r="C541" s="333"/>
      <c r="D541" s="303" t="s">
        <v>304</v>
      </c>
      <c r="E541" s="332">
        <f>SUM(E527:E540)</f>
        <v>1741</v>
      </c>
      <c r="F541" s="341"/>
      <c r="G541" s="340"/>
      <c r="H541" s="329"/>
      <c r="I541" s="330" t="str">
        <f t="shared" si="60"/>
        <v>,Total H6</v>
      </c>
      <c r="J541" s="335"/>
    </row>
    <row r="542" spans="1:10" x14ac:dyDescent="0.45">
      <c r="A542" s="340"/>
      <c r="B542" s="340"/>
      <c r="C542" s="333"/>
      <c r="D542" s="340"/>
      <c r="E542" s="340"/>
      <c r="F542" s="341"/>
      <c r="G542" s="340"/>
      <c r="H542" s="329"/>
      <c r="I542" s="330" t="str">
        <f t="shared" si="60"/>
        <v>,</v>
      </c>
      <c r="J542" s="335"/>
    </row>
    <row r="543" spans="1:10" x14ac:dyDescent="0.45">
      <c r="A543" s="340"/>
      <c r="B543" s="340"/>
      <c r="C543" s="333"/>
      <c r="D543" s="340"/>
      <c r="E543" s="340"/>
      <c r="F543" s="341"/>
      <c r="G543" s="340"/>
      <c r="H543" s="329"/>
      <c r="I543" s="330" t="str">
        <f t="shared" si="60"/>
        <v>,</v>
      </c>
      <c r="J543" s="335"/>
    </row>
    <row r="544" spans="1:10" x14ac:dyDescent="0.45">
      <c r="A544" s="383" t="s">
        <v>1365</v>
      </c>
      <c r="B544" s="383"/>
      <c r="C544" s="383"/>
      <c r="D544" s="383"/>
      <c r="E544" s="383"/>
      <c r="F544" s="383"/>
      <c r="G544" s="383"/>
      <c r="H544" s="329"/>
      <c r="I544" s="330" t="str">
        <f t="shared" si="60"/>
        <v>Friday, 27 February 2026,</v>
      </c>
      <c r="J544" s="335"/>
    </row>
    <row r="545" spans="1:10" x14ac:dyDescent="0.45">
      <c r="A545" s="383" t="str">
        <f>[6]SESSIONS!$K$1</f>
        <v>Session, 1 (8:15 AM - 9:15 AM)</v>
      </c>
      <c r="B545" s="383"/>
      <c r="C545" s="383"/>
      <c r="D545" s="383"/>
      <c r="E545" s="383"/>
      <c r="F545" s="383"/>
      <c r="G545" s="383"/>
      <c r="H545" s="329"/>
      <c r="I545" s="330" t="str">
        <f t="shared" si="60"/>
        <v>Session, 1 (8:15 AM - 9:15 AM),</v>
      </c>
      <c r="J545" s="335"/>
    </row>
    <row r="546" spans="1:10" x14ac:dyDescent="0.45">
      <c r="A546" s="332" t="s">
        <v>2</v>
      </c>
      <c r="B546" s="332" t="s">
        <v>3</v>
      </c>
      <c r="C546" s="333" t="s">
        <v>4</v>
      </c>
      <c r="D546" s="332" t="s">
        <v>5</v>
      </c>
      <c r="E546" s="332" t="s">
        <v>6</v>
      </c>
      <c r="F546" s="342" t="s">
        <v>7</v>
      </c>
      <c r="G546" s="358" t="s">
        <v>8</v>
      </c>
      <c r="H546" s="329"/>
      <c r="I546" s="330" t="str">
        <f t="shared" si="60"/>
        <v>CODE ,CLASS</v>
      </c>
      <c r="J546" s="335"/>
    </row>
    <row r="547" spans="1:10" x14ac:dyDescent="0.45">
      <c r="A547" s="303" t="s">
        <v>306</v>
      </c>
      <c r="B547" s="303" t="str" cm="1">
        <f t="array" ref="B547:B556">IFERROR(VLOOKUP(I547:I556,Lecturers!A2:G597,7,FALSE),0)</f>
        <v>INTRODUCTION TO INFORMATION TECHNOLOGY</v>
      </c>
      <c r="C547" s="304" t="str" cm="1">
        <f t="array" ref="C547:C556">IFERROR(VLOOKUP(I547:I556,Lecturers!A2:G597,2,FALSE),0)</f>
        <v>Sackey Michael Nii</v>
      </c>
      <c r="D547" s="303" t="s">
        <v>40</v>
      </c>
      <c r="E547" s="336" cm="1">
        <f t="array" ref="E547:E556">IFERROR(VLOOKUP(I547:I556,Lecturers!A2:G597,3,FALSE),0)</f>
        <v>70</v>
      </c>
      <c r="F547" s="342" t="str">
        <f>'[7]TT '!F553</f>
        <v>NAF1/A110</v>
      </c>
      <c r="G547" s="358">
        <f t="shared" ref="G547:G556" si="62">ROUNDUP(1.1*E547,0)</f>
        <v>77</v>
      </c>
      <c r="H547" s="329" t="str">
        <f>'[7]TT '!H553</f>
        <v>42/28</v>
      </c>
      <c r="I547" s="330" t="str">
        <f t="shared" si="60"/>
        <v>ME 157,ED1-AERO</v>
      </c>
      <c r="J547" s="335"/>
    </row>
    <row r="548" spans="1:10" x14ac:dyDescent="0.45">
      <c r="A548" s="303" t="s">
        <v>306</v>
      </c>
      <c r="B548" s="303" t="str">
        <v>INTRODUCTION TO INFORMATION TECHNOLOGY</v>
      </c>
      <c r="C548" s="304" t="str">
        <v>Sackey Michael Nii</v>
      </c>
      <c r="D548" s="303" t="s">
        <v>164</v>
      </c>
      <c r="E548" s="336">
        <v>223</v>
      </c>
      <c r="F548" s="342" t="str">
        <f>'[7]TT '!F554</f>
        <v>VSLA/LT/303/304/N1/RMA/RMB/206/N2</v>
      </c>
      <c r="G548" s="358">
        <f t="shared" si="62"/>
        <v>246</v>
      </c>
      <c r="H548" s="329" t="str">
        <f>'[7]TT '!H554</f>
        <v>44/26/26/22/22/21/21/21/20</v>
      </c>
      <c r="I548" s="330" t="str">
        <f t="shared" si="60"/>
        <v>ME 157,ED1-ME</v>
      </c>
      <c r="J548" s="335"/>
    </row>
    <row r="549" spans="1:10" x14ac:dyDescent="0.45">
      <c r="A549" s="303" t="s">
        <v>306</v>
      </c>
      <c r="B549" s="303" t="str">
        <v>INTRODUCTION TO INFORMATION TECHNOLOGY</v>
      </c>
      <c r="C549" s="304" t="str">
        <v>Sekyere Charles Kofi Kafui</v>
      </c>
      <c r="D549" s="303" t="s">
        <v>41</v>
      </c>
      <c r="E549" s="336">
        <v>46</v>
      </c>
      <c r="F549" s="342" t="s">
        <v>1826</v>
      </c>
      <c r="G549" s="358">
        <f t="shared" si="62"/>
        <v>51</v>
      </c>
      <c r="H549" s="329" t="s">
        <v>1606</v>
      </c>
      <c r="I549" s="330" t="str">
        <f t="shared" si="60"/>
        <v>ME 157,ED1-MARI</v>
      </c>
      <c r="J549" s="335"/>
    </row>
    <row r="550" spans="1:10" x14ac:dyDescent="0.45">
      <c r="A550" s="303" t="s">
        <v>306</v>
      </c>
      <c r="B550" s="303" t="str">
        <v>INTRODUCTION TO INFORMATION TECHNOLOGY</v>
      </c>
      <c r="C550" s="304" t="str">
        <v>Sekyere Charles Kofi Kafui</v>
      </c>
      <c r="D550" s="303" t="s">
        <v>161</v>
      </c>
      <c r="E550" s="336">
        <v>81</v>
      </c>
      <c r="F550" s="342" t="s">
        <v>1794</v>
      </c>
      <c r="G550" s="358">
        <f t="shared" si="62"/>
        <v>90</v>
      </c>
      <c r="H550" s="329" t="s">
        <v>1825</v>
      </c>
      <c r="I550" s="330" t="str">
        <f t="shared" si="60"/>
        <v>ME 157,ED1-IND</v>
      </c>
      <c r="J550" s="335"/>
    </row>
    <row r="551" spans="1:10" x14ac:dyDescent="0.45">
      <c r="A551" s="303" t="s">
        <v>308</v>
      </c>
      <c r="B551" s="303" t="str">
        <v>SEMICONDUCTOR DEVICES</v>
      </c>
      <c r="C551" s="339" t="str">
        <v>Sekyere Yaw Opoku Mensah</v>
      </c>
      <c r="D551" s="303" t="s">
        <v>82</v>
      </c>
      <c r="E551" s="336">
        <v>340</v>
      </c>
      <c r="F551" s="371" t="s">
        <v>1812</v>
      </c>
      <c r="G551" s="358">
        <f t="shared" si="62"/>
        <v>374</v>
      </c>
      <c r="H551" s="329" t="s">
        <v>1770</v>
      </c>
      <c r="I551" s="330" t="str">
        <f t="shared" si="60"/>
        <v>EE 271,ED2-EE</v>
      </c>
      <c r="J551" s="335"/>
    </row>
    <row r="552" spans="1:10" x14ac:dyDescent="0.45">
      <c r="A552" s="303" t="s">
        <v>309</v>
      </c>
      <c r="B552" s="303" t="str">
        <v>SEMICONDUCTOR DEVICES</v>
      </c>
      <c r="C552" s="339" t="str">
        <v>Kommey Benjamin</v>
      </c>
      <c r="D552" s="303" t="s">
        <v>29</v>
      </c>
      <c r="E552" s="336">
        <v>87</v>
      </c>
      <c r="F552" s="342" t="s">
        <v>1453</v>
      </c>
      <c r="G552" s="358">
        <f t="shared" si="62"/>
        <v>96</v>
      </c>
      <c r="H552" s="329" t="s">
        <v>1824</v>
      </c>
      <c r="I552" s="330" t="str">
        <f>CONCATENATE(A552,",",D552)</f>
        <v>COE 271,ED2-BME</v>
      </c>
      <c r="J552" s="335"/>
    </row>
    <row r="553" spans="1:10" x14ac:dyDescent="0.45">
      <c r="A553" s="303" t="s">
        <v>309</v>
      </c>
      <c r="B553" s="303" t="str">
        <v>SEMICONDUCTOR DEVICES</v>
      </c>
      <c r="C553" s="339" t="str">
        <v>Kommey Benjamin</v>
      </c>
      <c r="D553" s="303" t="s">
        <v>30</v>
      </c>
      <c r="E553" s="336">
        <v>253</v>
      </c>
      <c r="F553" s="342" t="str">
        <f>'[7]TT '!F559</f>
        <v>NEB-SF/NEB-TF/NEB-FF1/NEB-FF2</v>
      </c>
      <c r="G553" s="358">
        <f t="shared" si="62"/>
        <v>279</v>
      </c>
      <c r="H553" s="329" t="str">
        <f>'[7]TT '!H559</f>
        <v>85/85/55/28</v>
      </c>
      <c r="I553" s="330" t="str">
        <f t="shared" si="60"/>
        <v>COE 271,ED2-COE</v>
      </c>
      <c r="J553" s="335"/>
    </row>
    <row r="554" spans="1:10" x14ac:dyDescent="0.45">
      <c r="A554" s="303" t="s">
        <v>212</v>
      </c>
      <c r="B554" s="303" t="str">
        <v>LINEAR ELECTRONIC CIRCUITS</v>
      </c>
      <c r="C554" s="304" t="str">
        <v>Sekyere Yaw Opoku Mensah</v>
      </c>
      <c r="D554" s="303" t="s">
        <v>19</v>
      </c>
      <c r="E554" s="336">
        <v>254</v>
      </c>
      <c r="F554" s="342" t="str">
        <f>'[7]TT '!F560</f>
        <v>NEB-SF/NEB-TF/NEB-FF1/NEB-FF2</v>
      </c>
      <c r="G554" s="358">
        <f t="shared" si="62"/>
        <v>280</v>
      </c>
      <c r="H554" s="329" t="str">
        <f>'[7]TT '!H560</f>
        <v>85/85/55/29</v>
      </c>
      <c r="I554" s="330" t="str">
        <f>CONCATENATE(A554,",",D554)</f>
        <v>EE 371,ED3-EE</v>
      </c>
      <c r="J554" s="335"/>
    </row>
    <row r="555" spans="1:10" x14ac:dyDescent="0.45">
      <c r="A555" s="303" t="s">
        <v>317</v>
      </c>
      <c r="B555" s="303" t="str">
        <v>ENGINEERING WORK STUDY</v>
      </c>
      <c r="C555" s="339" t="str">
        <v>Takyi Gabriel</v>
      </c>
      <c r="D555" s="303" t="s">
        <v>20</v>
      </c>
      <c r="E555" s="336">
        <v>72</v>
      </c>
      <c r="F555" s="342" t="s">
        <v>1632</v>
      </c>
      <c r="G555" s="358">
        <f t="shared" si="62"/>
        <v>80</v>
      </c>
      <c r="H555" s="329" t="s">
        <v>1616</v>
      </c>
      <c r="I555" s="330" t="str">
        <f>CONCATENATE(A555,",",D555)</f>
        <v>IE 365,ED3-IND</v>
      </c>
      <c r="J555" s="335"/>
    </row>
    <row r="556" spans="1:10" x14ac:dyDescent="0.45">
      <c r="A556" s="303" t="s">
        <v>341</v>
      </c>
      <c r="B556" s="303" t="str">
        <v>ELECTRICAL ENGINEERING TECHNOLOGY WITH MATLAB</v>
      </c>
      <c r="C556" s="339" t="str">
        <v>Prah II Nicholas Kwesi</v>
      </c>
      <c r="D556" s="303" t="s">
        <v>58</v>
      </c>
      <c r="E556" s="336">
        <v>287</v>
      </c>
      <c r="F556" s="342" t="s">
        <v>1823</v>
      </c>
      <c r="G556" s="358">
        <f t="shared" si="62"/>
        <v>316</v>
      </c>
      <c r="H556" s="329" t="s">
        <v>1683</v>
      </c>
      <c r="I556" s="330" t="str">
        <f>CONCATENATE(A556,",",D556)</f>
        <v>EE 153,ED1-EE</v>
      </c>
      <c r="J556" s="335"/>
    </row>
    <row r="557" spans="1:10" x14ac:dyDescent="0.45">
      <c r="A557" s="340"/>
      <c r="B557" s="340"/>
      <c r="C557" s="333"/>
      <c r="D557" s="303" t="s">
        <v>311</v>
      </c>
      <c r="E557" s="332">
        <f>SUM(E547:E556)</f>
        <v>1713</v>
      </c>
      <c r="F557" s="341"/>
      <c r="G557" s="358"/>
      <c r="H557" s="329"/>
      <c r="J557" s="335"/>
    </row>
    <row r="558" spans="1:10" x14ac:dyDescent="0.45">
      <c r="A558" s="340"/>
      <c r="B558" s="340"/>
      <c r="C558" s="333"/>
      <c r="D558" s="340"/>
      <c r="E558" s="340"/>
      <c r="F558" s="341"/>
      <c r="G558" s="358"/>
      <c r="H558" s="329"/>
      <c r="J558" s="335"/>
    </row>
    <row r="559" spans="1:10" x14ac:dyDescent="0.45">
      <c r="A559" s="340"/>
      <c r="B559" s="340"/>
      <c r="C559" s="333"/>
      <c r="D559" s="340"/>
      <c r="E559" s="340"/>
      <c r="F559" s="342"/>
      <c r="G559" s="358"/>
      <c r="H559" s="329"/>
      <c r="J559" s="335"/>
    </row>
    <row r="560" spans="1:10" x14ac:dyDescent="0.45">
      <c r="A560" s="383" t="s">
        <v>1365</v>
      </c>
      <c r="B560" s="383"/>
      <c r="C560" s="383"/>
      <c r="D560" s="383"/>
      <c r="E560" s="383"/>
      <c r="F560" s="383"/>
      <c r="G560" s="383"/>
      <c r="H560" s="329"/>
      <c r="I560" s="330" t="str">
        <f t="shared" ref="I560:I578" si="63">CONCATENATE(A560,",",D560)</f>
        <v>Friday, 27 February 2026,</v>
      </c>
      <c r="J560" s="335"/>
    </row>
    <row r="561" spans="1:10" s="340" customFormat="1" x14ac:dyDescent="0.45">
      <c r="A561" s="383" t="str">
        <f>[6]SESSIONS!$K$2</f>
        <v>Session, 2 (10:00 AM - 11:00 AM)</v>
      </c>
      <c r="B561" s="383"/>
      <c r="C561" s="383"/>
      <c r="D561" s="383"/>
      <c r="E561" s="383"/>
      <c r="F561" s="383"/>
      <c r="G561" s="383"/>
      <c r="H561" s="329"/>
      <c r="I561" s="340" t="str">
        <f t="shared" si="63"/>
        <v>Session, 2 (10:00 AM - 11:00 AM),</v>
      </c>
      <c r="J561" s="335"/>
    </row>
    <row r="562" spans="1:10" x14ac:dyDescent="0.45">
      <c r="A562" s="332" t="s">
        <v>2</v>
      </c>
      <c r="B562" s="332" t="s">
        <v>3</v>
      </c>
      <c r="C562" s="333" t="s">
        <v>4</v>
      </c>
      <c r="D562" s="332" t="s">
        <v>5</v>
      </c>
      <c r="E562" s="332" t="s">
        <v>6</v>
      </c>
      <c r="F562" s="334" t="s">
        <v>7</v>
      </c>
      <c r="G562" s="332" t="s">
        <v>8</v>
      </c>
      <c r="H562" s="329"/>
      <c r="I562" s="330" t="str">
        <f t="shared" si="63"/>
        <v>CODE ,CLASS</v>
      </c>
      <c r="J562" s="335"/>
    </row>
    <row r="563" spans="1:10" x14ac:dyDescent="0.45">
      <c r="A563" s="303" t="s">
        <v>312</v>
      </c>
      <c r="B563" s="303" t="str" cm="1">
        <f t="array" ref="B563:B577">IFERROR(VLOOKUP(I563:I577,Lecturers!A2:G597,7,FALSE),0)</f>
        <v>BASIC GEOLOGY</v>
      </c>
      <c r="C563" s="304" t="str" cm="1">
        <f t="array" ref="C563:C577">IFERROR(VLOOKUP(I563:I577,Lecturers!A2:G597,2,FALSE),0)</f>
        <v>Gawu Simon Kafui Yawo</v>
      </c>
      <c r="D563" s="303" t="s">
        <v>36</v>
      </c>
      <c r="E563" s="336" cm="1">
        <f t="array" ref="E563:E577">IFERROR(VLOOKUP(I563:I577,Lecturers!A2:G597,3,FALSE),0)</f>
        <v>119</v>
      </c>
      <c r="F563" s="342" t="str">
        <f>'[7]TT '!F569</f>
        <v>VSLA/RMA/303/N2</v>
      </c>
      <c r="G563" s="364">
        <f>1.1*E563</f>
        <v>130.9</v>
      </c>
      <c r="H563" s="329" t="str">
        <f>'[7]TT '!H569</f>
        <v>50/30/24/15</v>
      </c>
      <c r="I563" s="330" t="str">
        <f t="shared" si="63"/>
        <v>GED 151,ED1-GEOL</v>
      </c>
      <c r="J563" s="335"/>
    </row>
    <row r="564" spans="1:10" x14ac:dyDescent="0.45">
      <c r="A564" s="303" t="s">
        <v>313</v>
      </c>
      <c r="B564" s="303" t="str">
        <v>BASIC GEOLOGY</v>
      </c>
      <c r="C564" s="304" t="str">
        <v>Quaye Jonathan Atuquaye</v>
      </c>
      <c r="D564" s="303" t="s">
        <v>1383</v>
      </c>
      <c r="E564" s="336">
        <v>97</v>
      </c>
      <c r="F564" s="342" t="str">
        <f>'[7]TT '!F570</f>
        <v>LT/304/RMA/206</v>
      </c>
      <c r="G564" s="364">
        <f t="shared" ref="G564:G577" si="64">1.1*E564</f>
        <v>106.7</v>
      </c>
      <c r="H564" s="329" t="str">
        <f>'[7]TT '!H570</f>
        <v>30/25/24/18</v>
      </c>
      <c r="I564" s="330" t="str">
        <f t="shared" si="63"/>
        <v>PE 253,ED2-PE</v>
      </c>
      <c r="J564" s="335"/>
    </row>
    <row r="565" spans="1:10" x14ac:dyDescent="0.45">
      <c r="A565" s="303" t="s">
        <v>314</v>
      </c>
      <c r="B565" s="303" t="str">
        <v>MACHINE DESIGN I</v>
      </c>
      <c r="C565" s="339" t="str">
        <v>Aveyire Joseph</v>
      </c>
      <c r="D565" s="303" t="s">
        <v>15</v>
      </c>
      <c r="E565" s="336">
        <v>105</v>
      </c>
      <c r="F565" s="342" t="str">
        <f>'[7]TT '!F571</f>
        <v>VSLA/304/RMB/N2</v>
      </c>
      <c r="G565" s="364">
        <f t="shared" si="64"/>
        <v>115.50000000000001</v>
      </c>
      <c r="H565" s="329" t="str">
        <f>'[7]TT '!H571</f>
        <v>50/25/24/6</v>
      </c>
      <c r="I565" s="330" t="str">
        <f t="shared" si="63"/>
        <v>AE 373,ED3-AE</v>
      </c>
      <c r="J565" s="335"/>
    </row>
    <row r="566" spans="1:10" x14ac:dyDescent="0.45">
      <c r="A566" s="303" t="s">
        <v>315</v>
      </c>
      <c r="B566" s="303" t="str">
        <v>INTRODUCTION TO INFORMATION TECHNOLOGY</v>
      </c>
      <c r="C566" s="339" t="str">
        <v>Sokama-Neuyam Yen Adams</v>
      </c>
      <c r="D566" s="303" t="s">
        <v>1382</v>
      </c>
      <c r="E566" s="336">
        <v>129</v>
      </c>
      <c r="F566" s="342" t="str">
        <f>'[7]TT '!F572</f>
        <v>PB020/PB201/PB008/PB212</v>
      </c>
      <c r="G566" s="364">
        <f t="shared" si="64"/>
        <v>141.9</v>
      </c>
      <c r="H566" s="329" t="str">
        <f>'[7]TT '!H572</f>
        <v>45/45/30/9</v>
      </c>
      <c r="I566" s="330" t="str">
        <f t="shared" si="63"/>
        <v>PE 155,ED1-PE</v>
      </c>
      <c r="J566" s="335"/>
    </row>
    <row r="567" spans="1:10" x14ac:dyDescent="0.45">
      <c r="A567" s="303" t="s">
        <v>316</v>
      </c>
      <c r="B567" s="303" t="str">
        <v>CHEMICAL ENGINEERING THERMODYNAMICS I</v>
      </c>
      <c r="C567" s="339" t="str">
        <v>Bonsu Jude Kwaku</v>
      </c>
      <c r="D567" s="303" t="s">
        <v>63</v>
      </c>
      <c r="E567" s="336">
        <v>154</v>
      </c>
      <c r="F567" s="342" t="str">
        <f>'[7]TT '!F573</f>
        <v>PB001/PB014/PB214/PB208</v>
      </c>
      <c r="G567" s="364">
        <f t="shared" si="64"/>
        <v>169.4</v>
      </c>
      <c r="H567" s="329" t="str">
        <f>'[7]TT '!H573</f>
        <v>45/45/45/19</v>
      </c>
      <c r="I567" s="330" t="str">
        <f t="shared" si="63"/>
        <v>CHE 253,ED2-CHE</v>
      </c>
      <c r="J567" s="335"/>
    </row>
    <row r="568" spans="1:10" x14ac:dyDescent="0.45">
      <c r="A568" s="303" t="s">
        <v>316</v>
      </c>
      <c r="B568" s="303" t="str">
        <v>CHEMICAL ENGINEERING THERMODYNAMICS I</v>
      </c>
      <c r="C568" s="339" t="str">
        <v>Dogbe Eunice Sefakor Aku</v>
      </c>
      <c r="D568" s="303" t="s">
        <v>64</v>
      </c>
      <c r="E568" s="336">
        <v>59</v>
      </c>
      <c r="F568" s="342" t="str">
        <f>'[7]TT '!F574</f>
        <v>NAF1/A110</v>
      </c>
      <c r="G568" s="364">
        <f t="shared" si="64"/>
        <v>64.900000000000006</v>
      </c>
      <c r="H568" s="329" t="str">
        <f>'[7]TT '!H574</f>
        <v>39/20</v>
      </c>
      <c r="I568" s="330" t="str">
        <f t="shared" si="63"/>
        <v>CHE 253,ED2-PCE</v>
      </c>
      <c r="J568" s="335"/>
    </row>
    <row r="569" spans="1:10" s="340" customFormat="1" x14ac:dyDescent="0.45">
      <c r="A569" s="303" t="s">
        <v>319</v>
      </c>
      <c r="B569" s="303" t="str">
        <v>AEROSPACE INDUSTRY AND ENGINEERING</v>
      </c>
      <c r="C569" s="339" t="str">
        <v>K. K. Bofah</v>
      </c>
      <c r="D569" s="303" t="s">
        <v>14</v>
      </c>
      <c r="E569" s="336">
        <v>76</v>
      </c>
      <c r="F569" s="342" t="s">
        <v>505</v>
      </c>
      <c r="G569" s="364">
        <f t="shared" si="64"/>
        <v>83.600000000000009</v>
      </c>
      <c r="H569" s="329" t="s">
        <v>1873</v>
      </c>
      <c r="I569" s="340" t="str">
        <f t="shared" si="63"/>
        <v>AERO 391,ED3-AERO</v>
      </c>
      <c r="J569" s="335"/>
    </row>
    <row r="570" spans="1:10" x14ac:dyDescent="0.45">
      <c r="A570" s="303" t="s">
        <v>325</v>
      </c>
      <c r="B570" s="303" t="str">
        <v>MECHANICAL BEHAVIOUR OF MATERIALS</v>
      </c>
      <c r="C570" s="304" t="str">
        <v>Kwofie Samuel</v>
      </c>
      <c r="D570" s="303" t="s">
        <v>33</v>
      </c>
      <c r="E570" s="336">
        <v>80</v>
      </c>
      <c r="F570" s="342" t="str">
        <f>'[7]TT '!F576</f>
        <v>LT/N1/RMB</v>
      </c>
      <c r="G570" s="364">
        <f t="shared" si="64"/>
        <v>88</v>
      </c>
      <c r="H570" s="329" t="str">
        <f>'[7]TT '!H576</f>
        <v>30/25/25</v>
      </c>
      <c r="I570" s="330" t="str">
        <f>CONCATENATE(A570,",",D570)</f>
        <v>MSE 253,ED2-MSE</v>
      </c>
      <c r="J570" s="335"/>
    </row>
    <row r="571" spans="1:10" x14ac:dyDescent="0.45">
      <c r="A571" s="303" t="s">
        <v>325</v>
      </c>
      <c r="B571" s="303" t="str">
        <v>MECHANICAL BEHAVIOUR OF MATERIALS</v>
      </c>
      <c r="C571" s="304" t="str">
        <v>Kwofie Samuel</v>
      </c>
      <c r="D571" s="303" t="s">
        <v>89</v>
      </c>
      <c r="E571" s="336">
        <v>59</v>
      </c>
      <c r="F571" s="342" t="s">
        <v>1784</v>
      </c>
      <c r="G571" s="364">
        <f t="shared" si="64"/>
        <v>64.900000000000006</v>
      </c>
      <c r="H571" s="329" t="s">
        <v>1471</v>
      </c>
      <c r="I571" s="330" t="str">
        <f>CONCATENATE(A571,",",D571)</f>
        <v>MSE 253,ED2-METE</v>
      </c>
      <c r="J571" s="335"/>
    </row>
    <row r="572" spans="1:10" x14ac:dyDescent="0.45">
      <c r="A572" s="303" t="s">
        <v>320</v>
      </c>
      <c r="B572" s="303" t="str">
        <v>PRINCIPLES OF PHOTOGRAMMETRY</v>
      </c>
      <c r="C572" s="339" t="str">
        <v>Ahorsu Harriet Atsufui</v>
      </c>
      <c r="D572" s="303" t="s">
        <v>84</v>
      </c>
      <c r="E572" s="336">
        <v>134</v>
      </c>
      <c r="F572" s="342" t="str">
        <f>'[7]TT '!F578</f>
        <v>PB020/PB201/PB008/PB212</v>
      </c>
      <c r="G572" s="364">
        <f t="shared" si="64"/>
        <v>147.4</v>
      </c>
      <c r="H572" s="329" t="str">
        <f>'[7]TT '!H578</f>
        <v>45/45/30/14</v>
      </c>
      <c r="I572" s="330" t="str">
        <f t="shared" si="63"/>
        <v>GE 251,ED2-GEOM</v>
      </c>
      <c r="J572" s="335"/>
    </row>
    <row r="573" spans="1:10" x14ac:dyDescent="0.45">
      <c r="A573" s="303" t="s">
        <v>321</v>
      </c>
      <c r="B573" s="303" t="str">
        <v>ENGINEERING PRACTICE AND TECHNOLOGY</v>
      </c>
      <c r="C573" s="339" t="str">
        <v>Acquaah Vincent Kofi Abaka</v>
      </c>
      <c r="D573" s="303" t="s">
        <v>165</v>
      </c>
      <c r="E573" s="336">
        <v>242</v>
      </c>
      <c r="F573" s="342" t="s">
        <v>1785</v>
      </c>
      <c r="G573" s="364">
        <f t="shared" si="64"/>
        <v>266.20000000000005</v>
      </c>
      <c r="H573" s="329" t="s">
        <v>1786</v>
      </c>
      <c r="I573" s="330" t="str">
        <f t="shared" si="63"/>
        <v>CE 153,ED1-CE</v>
      </c>
      <c r="J573" s="335"/>
    </row>
    <row r="574" spans="1:10" s="374" customFormat="1" x14ac:dyDescent="0.45">
      <c r="A574" s="372" t="s">
        <v>460</v>
      </c>
      <c r="B574" s="340" t="str">
        <v>STRENGTH OF MATERIALS</v>
      </c>
      <c r="C574" s="352" t="str">
        <v>Amponsah Evans</v>
      </c>
      <c r="D574" s="372" t="s">
        <v>101</v>
      </c>
      <c r="E574" s="373">
        <v>260</v>
      </c>
      <c r="F574" s="342" t="s">
        <v>1882</v>
      </c>
      <c r="G574" s="364">
        <f t="shared" si="64"/>
        <v>286</v>
      </c>
      <c r="H574" s="329" t="s">
        <v>1881</v>
      </c>
      <c r="I574" s="374" t="str">
        <f t="shared" si="63"/>
        <v>CE 251,ED2-CE</v>
      </c>
    </row>
    <row r="575" spans="1:10" s="374" customFormat="1" x14ac:dyDescent="0.45">
      <c r="A575" s="372" t="s">
        <v>460</v>
      </c>
      <c r="B575" s="372" t="str">
        <v>STRENGTH OF MATERIALS</v>
      </c>
      <c r="C575" s="352" t="str">
        <v>Kankam Charles Kwame</v>
      </c>
      <c r="D575" s="372" t="s">
        <v>126</v>
      </c>
      <c r="E575" s="373">
        <v>154</v>
      </c>
      <c r="F575" s="342" t="str">
        <f>'[7]TT '!F581</f>
        <v>PB001/PB014/PB214/PB208</v>
      </c>
      <c r="G575" s="364">
        <f t="shared" si="64"/>
        <v>169.4</v>
      </c>
      <c r="H575" s="329" t="str">
        <f>'[7]TT '!H581</f>
        <v>45/45/45/19</v>
      </c>
      <c r="I575" s="374" t="str">
        <f t="shared" si="63"/>
        <v>CE 251,ED2-GEOL</v>
      </c>
    </row>
    <row r="576" spans="1:10" s="374" customFormat="1" x14ac:dyDescent="0.45">
      <c r="A576" s="372" t="s">
        <v>318</v>
      </c>
      <c r="B576" s="372" t="str">
        <v>POLYMER TECHNOLOGY</v>
      </c>
      <c r="C576" s="352" t="str">
        <v>Boakye Patrick</v>
      </c>
      <c r="D576" s="372" t="s">
        <v>92</v>
      </c>
      <c r="E576" s="373">
        <v>36</v>
      </c>
      <c r="F576" s="342" t="s">
        <v>1602</v>
      </c>
      <c r="G576" s="364">
        <f t="shared" si="64"/>
        <v>39.6</v>
      </c>
      <c r="H576" s="329" t="s">
        <v>1808</v>
      </c>
      <c r="I576" s="374" t="str">
        <f t="shared" si="63"/>
        <v>CHE 363,ED3-CHE</v>
      </c>
    </row>
    <row r="577" spans="1:10" x14ac:dyDescent="0.45">
      <c r="A577" s="303" t="s">
        <v>318</v>
      </c>
      <c r="B577" s="303" t="str">
        <v>POLYMER TECHNOLOGY</v>
      </c>
      <c r="C577" s="304" t="str">
        <v>Boakye Patrick</v>
      </c>
      <c r="D577" s="303" t="s">
        <v>71</v>
      </c>
      <c r="E577" s="336">
        <v>51</v>
      </c>
      <c r="F577" s="342" t="s">
        <v>1580</v>
      </c>
      <c r="G577" s="364">
        <f t="shared" si="64"/>
        <v>56.1</v>
      </c>
      <c r="H577" s="329" t="s">
        <v>1466</v>
      </c>
      <c r="I577" s="330" t="str">
        <f>CONCATENATE(A577,",",D577)</f>
        <v>CHE 363,ED3-PCE</v>
      </c>
      <c r="J577" s="335"/>
    </row>
    <row r="578" spans="1:10" x14ac:dyDescent="0.45">
      <c r="A578" s="340"/>
      <c r="B578" s="340"/>
      <c r="C578" s="333"/>
      <c r="D578" s="303" t="s">
        <v>322</v>
      </c>
      <c r="E578" s="332">
        <f>SUM(E563:E577)</f>
        <v>1755</v>
      </c>
      <c r="F578" s="341"/>
      <c r="G578" s="340"/>
      <c r="H578" s="329"/>
      <c r="I578" s="330" t="str">
        <f t="shared" si="63"/>
        <v>,Total F2</v>
      </c>
      <c r="J578" s="335"/>
    </row>
    <row r="579" spans="1:10" x14ac:dyDescent="0.45">
      <c r="A579" s="340"/>
      <c r="B579" s="340"/>
      <c r="C579" s="333"/>
      <c r="D579" s="340"/>
      <c r="E579" s="340"/>
      <c r="F579" s="341"/>
      <c r="G579" s="340"/>
      <c r="H579" s="329"/>
      <c r="J579" s="335"/>
    </row>
    <row r="580" spans="1:10" x14ac:dyDescent="0.45">
      <c r="A580" s="340"/>
      <c r="B580" s="340"/>
      <c r="C580" s="333"/>
      <c r="D580" s="340"/>
      <c r="E580" s="340"/>
      <c r="F580" s="341"/>
      <c r="G580" s="340"/>
      <c r="H580" s="329"/>
      <c r="J580" s="335"/>
    </row>
    <row r="581" spans="1:10" x14ac:dyDescent="0.45">
      <c r="A581" s="383" t="s">
        <v>1365</v>
      </c>
      <c r="B581" s="383"/>
      <c r="C581" s="383"/>
      <c r="D581" s="383"/>
      <c r="E581" s="383"/>
      <c r="F581" s="383"/>
      <c r="G581" s="383"/>
      <c r="H581" s="329"/>
      <c r="I581" s="330" t="str">
        <f t="shared" ref="I581:I599" si="65">CONCATENATE(A581,",",D581)</f>
        <v>Friday, 27 February 2026,</v>
      </c>
      <c r="J581" s="335"/>
    </row>
    <row r="582" spans="1:10" x14ac:dyDescent="0.45">
      <c r="A582" s="383" t="str">
        <f>[6]SESSIONS!$K$3</f>
        <v>Session, 3 (11:45 AM - 12:45 PM)</v>
      </c>
      <c r="B582" s="383"/>
      <c r="C582" s="383"/>
      <c r="D582" s="383"/>
      <c r="E582" s="383"/>
      <c r="F582" s="383"/>
      <c r="G582" s="383"/>
      <c r="H582" s="329"/>
      <c r="I582" s="330" t="str">
        <f t="shared" si="65"/>
        <v>Session, 3 (11:45 AM - 12:45 PM),</v>
      </c>
      <c r="J582" s="335"/>
    </row>
    <row r="583" spans="1:10" x14ac:dyDescent="0.45">
      <c r="A583" s="332" t="s">
        <v>2</v>
      </c>
      <c r="B583" s="332" t="s">
        <v>3</v>
      </c>
      <c r="C583" s="333" t="s">
        <v>4</v>
      </c>
      <c r="D583" s="332" t="s">
        <v>5</v>
      </c>
      <c r="E583" s="332" t="s">
        <v>6</v>
      </c>
      <c r="F583" s="334" t="s">
        <v>7</v>
      </c>
      <c r="G583" s="332" t="s">
        <v>8</v>
      </c>
      <c r="H583" s="329"/>
      <c r="I583" s="330" t="str">
        <f t="shared" si="65"/>
        <v>CODE ,CLASS</v>
      </c>
      <c r="J583" s="335"/>
    </row>
    <row r="584" spans="1:10" x14ac:dyDescent="0.45">
      <c r="A584" s="303" t="s">
        <v>81</v>
      </c>
      <c r="B584" s="303" t="str" cm="1">
        <f t="array" ref="B584:B598">IFERROR(VLOOKUP(I584:I598,Lecturers!A2:G597,7,FALSE),0)</f>
        <v>CIRCUIT THEORY</v>
      </c>
      <c r="C584" s="304" t="str" cm="1">
        <f t="array" ref="C584:C598">IFERROR(VLOOKUP(I584:I598,Lecturers!A2:G597,2,FALSE),0)</f>
        <v>Gadze James Dzisi</v>
      </c>
      <c r="D584" s="303" t="s">
        <v>32</v>
      </c>
      <c r="E584" s="336" cm="1">
        <f t="array" ref="E584:E598">IFERROR(VLOOKUP(I584:I598,Lecturers!A2:G597,3,FALSE),0)</f>
        <v>179</v>
      </c>
      <c r="F584" s="342" t="str">
        <f>'[7]TT '!F589</f>
        <v>PB001/PB014/PB214/PB208/PB212</v>
      </c>
      <c r="G584" s="358">
        <f>ROUNDUP(1.1*E584,0)</f>
        <v>197</v>
      </c>
      <c r="H584" s="329" t="str">
        <f>'[7]TT '!H589</f>
        <v>45/45/45/38/9</v>
      </c>
      <c r="I584" s="330" t="str">
        <f t="shared" si="65"/>
        <v>EE 287,ED2-TEL</v>
      </c>
      <c r="J584" s="335"/>
    </row>
    <row r="585" spans="1:10" x14ac:dyDescent="0.45">
      <c r="A585" s="303" t="s">
        <v>283</v>
      </c>
      <c r="B585" s="303" t="str">
        <v>COMPUTER NETWORKING</v>
      </c>
      <c r="C585" s="304" t="str">
        <v>Adrah Charles Mawutor</v>
      </c>
      <c r="D585" s="303" t="s">
        <v>56</v>
      </c>
      <c r="E585" s="336">
        <v>224</v>
      </c>
      <c r="F585" s="353" t="str">
        <f>'[7]TT '!F590</f>
        <v>PB001/PB020/PB014/PB201/PB008/PB212</v>
      </c>
      <c r="G585" s="358">
        <f t="shared" ref="G585:G597" si="66">ROUNDUP(1.1*E585,0)</f>
        <v>247</v>
      </c>
      <c r="H585" s="329" t="str">
        <f>'[7]TT '!H590</f>
        <v>45/45/45/45/30/14</v>
      </c>
      <c r="I585" s="330" t="str">
        <f>CONCATENATE(A585,",",D585)</f>
        <v>COE 475,ED4-EE</v>
      </c>
      <c r="J585" s="335"/>
    </row>
    <row r="586" spans="1:10" x14ac:dyDescent="0.45">
      <c r="A586" s="303" t="s">
        <v>1367</v>
      </c>
      <c r="B586" s="303" t="str">
        <v>DIGITAL INTEGRATED CIRCUITS</v>
      </c>
      <c r="C586" s="339" t="str">
        <v>Affum Emmanuel Ampoma</v>
      </c>
      <c r="D586" s="303" t="s">
        <v>52</v>
      </c>
      <c r="E586" s="336">
        <v>142</v>
      </c>
      <c r="F586" s="342" t="str">
        <f>'[7]TT '!F591</f>
        <v>PB020/PB201/PB008/PB208</v>
      </c>
      <c r="G586" s="358">
        <f t="shared" si="66"/>
        <v>157</v>
      </c>
      <c r="H586" s="329" t="str">
        <f>'[7]TT '!H591</f>
        <v>45/45/30/22</v>
      </c>
      <c r="I586" s="330" t="str">
        <f>CONCATENATE(A586,",",D586)</f>
        <v>TE 465,ED4-TEL</v>
      </c>
      <c r="J586" s="335"/>
    </row>
    <row r="587" spans="1:10" x14ac:dyDescent="0.45">
      <c r="A587" s="303" t="s">
        <v>323</v>
      </c>
      <c r="B587" s="303" t="str">
        <v>ADVANCED MANUFACTURING TECHNOLOGY II</v>
      </c>
      <c r="C587" s="339" t="str">
        <v>Takyi Gabriel</v>
      </c>
      <c r="D587" s="303" t="s">
        <v>80</v>
      </c>
      <c r="E587" s="336">
        <v>67</v>
      </c>
      <c r="F587" s="342" t="str">
        <f>'[7]TT '!F592</f>
        <v>PB214/PB212</v>
      </c>
      <c r="G587" s="358">
        <f t="shared" si="66"/>
        <v>74</v>
      </c>
      <c r="H587" s="329" t="str">
        <f>'[7]TT '!H592</f>
        <v>45/22</v>
      </c>
      <c r="I587" s="330" t="str">
        <f t="shared" si="65"/>
        <v>IE 457,ED4-IND</v>
      </c>
      <c r="J587" s="335"/>
    </row>
    <row r="588" spans="1:10" x14ac:dyDescent="0.45">
      <c r="A588" s="303" t="s">
        <v>324</v>
      </c>
      <c r="B588" s="303" t="str">
        <v>ENGINEERING SURVEYING I</v>
      </c>
      <c r="C588" s="339" t="str">
        <v>Obeng Kwame</v>
      </c>
      <c r="D588" s="303" t="s">
        <v>22</v>
      </c>
      <c r="E588" s="336">
        <v>223</v>
      </c>
      <c r="F588" s="342" t="str">
        <f>'[7]TT '!F593</f>
        <v>NEB-SF/NEB-TF/NEB-FF1</v>
      </c>
      <c r="G588" s="358">
        <f t="shared" si="66"/>
        <v>246</v>
      </c>
      <c r="H588" s="329" t="str">
        <f>'[7]TT '!H593</f>
        <v>85/85/53</v>
      </c>
      <c r="I588" s="330" t="str">
        <f t="shared" si="65"/>
        <v>GE 381,ED3-CE</v>
      </c>
      <c r="J588" s="335"/>
    </row>
    <row r="589" spans="1:10" x14ac:dyDescent="0.45">
      <c r="A589" s="303" t="s">
        <v>345</v>
      </c>
      <c r="B589" s="303" t="str">
        <v>METALWORKING PROCESSES</v>
      </c>
      <c r="C589" s="339" t="str">
        <v>Kwofie Samuel</v>
      </c>
      <c r="D589" s="303" t="s">
        <v>97</v>
      </c>
      <c r="E589" s="336">
        <v>64</v>
      </c>
      <c r="F589" s="342" t="str">
        <f>'[7]TT '!F594</f>
        <v>304/RMA/N2</v>
      </c>
      <c r="G589" s="358">
        <f t="shared" si="66"/>
        <v>71</v>
      </c>
      <c r="H589" s="329" t="str">
        <f>'[7]TT '!H594</f>
        <v>25/24/15</v>
      </c>
      <c r="I589" s="330" t="str">
        <f>CONCATENATE(A589,",",D589)</f>
        <v>MSE 457,ED4-MSE</v>
      </c>
      <c r="J589" s="335"/>
    </row>
    <row r="590" spans="1:10" x14ac:dyDescent="0.45">
      <c r="A590" s="303" t="s">
        <v>345</v>
      </c>
      <c r="B590" s="303" t="str">
        <v>METAL FORMING PROCESSES</v>
      </c>
      <c r="C590" s="339" t="str">
        <v>Kwofie Samuel</v>
      </c>
      <c r="D590" s="303" t="s">
        <v>95</v>
      </c>
      <c r="E590" s="336">
        <v>49</v>
      </c>
      <c r="F590" s="342" t="s">
        <v>1580</v>
      </c>
      <c r="G590" s="358">
        <f t="shared" si="66"/>
        <v>54</v>
      </c>
      <c r="H590" s="329" t="s">
        <v>1827</v>
      </c>
      <c r="I590" s="330" t="str">
        <f>CONCATENATE(A590,",",D590)</f>
        <v>MSE 457,ED4-METE</v>
      </c>
      <c r="J590" s="335"/>
    </row>
    <row r="591" spans="1:10" s="340" customFormat="1" x14ac:dyDescent="0.45">
      <c r="A591" s="303" t="s">
        <v>307</v>
      </c>
      <c r="B591" s="303" t="str">
        <v>ELECTROCHEMICAL TECHNOLOGY</v>
      </c>
      <c r="C591" s="339" t="str">
        <v>Anang Daniel Adjah</v>
      </c>
      <c r="D591" s="303" t="s">
        <v>87</v>
      </c>
      <c r="E591" s="336">
        <v>18</v>
      </c>
      <c r="F591" s="342" t="str">
        <f>'[7]TT '!F596</f>
        <v>A110</v>
      </c>
      <c r="G591" s="358">
        <f t="shared" si="66"/>
        <v>20</v>
      </c>
      <c r="H591" s="329">
        <f>'[7]TT '!H596</f>
        <v>18</v>
      </c>
      <c r="I591" s="340" t="str">
        <f>CONCATENATE(A591,",",D591)</f>
        <v>CHE 463,ED4-PCE</v>
      </c>
      <c r="J591" s="335"/>
    </row>
    <row r="592" spans="1:10" s="340" customFormat="1" x14ac:dyDescent="0.45">
      <c r="A592" s="303" t="s">
        <v>307</v>
      </c>
      <c r="B592" s="303" t="str">
        <v>ELECTROCHEMICAL TECHNOLOGY</v>
      </c>
      <c r="C592" s="339" t="str">
        <v>Anang Daniel Adjah</v>
      </c>
      <c r="D592" s="303" t="s">
        <v>86</v>
      </c>
      <c r="E592" s="336">
        <v>40</v>
      </c>
      <c r="F592" s="342" t="s">
        <v>144</v>
      </c>
      <c r="G592" s="358">
        <f t="shared" si="66"/>
        <v>44</v>
      </c>
      <c r="H592" s="329">
        <f>'[7]TT '!H597</f>
        <v>40</v>
      </c>
      <c r="I592" s="340" t="str">
        <f>CONCATENATE(A592,",",D592)</f>
        <v>CHE 463,ED4-CHE</v>
      </c>
      <c r="J592" s="335"/>
    </row>
    <row r="593" spans="1:10" x14ac:dyDescent="0.45">
      <c r="A593" s="303" t="s">
        <v>326</v>
      </c>
      <c r="B593" s="303" t="str">
        <v>GEOTECHNICAL ENGINEERING I</v>
      </c>
      <c r="C593" s="304" t="str">
        <v>Ayeh Felix Jojo Fianko</v>
      </c>
      <c r="D593" s="303" t="s">
        <v>68</v>
      </c>
      <c r="E593" s="336">
        <v>245</v>
      </c>
      <c r="F593" s="342" t="str">
        <f>'[7]TT '!F598</f>
        <v>NEB-SF/NEB-TF/NEB-FF1/NEB-FF2</v>
      </c>
      <c r="G593" s="358">
        <f t="shared" si="66"/>
        <v>270</v>
      </c>
      <c r="H593" s="329" t="s">
        <v>1415</v>
      </c>
      <c r="I593" s="330" t="str">
        <f t="shared" si="65"/>
        <v>CE 477,ED4-CE</v>
      </c>
      <c r="J593" s="335"/>
    </row>
    <row r="594" spans="1:10" x14ac:dyDescent="0.45">
      <c r="A594" s="303" t="s">
        <v>326</v>
      </c>
      <c r="B594" s="303" t="str">
        <v>GEOTECHNICAL ENGINEERING I</v>
      </c>
      <c r="C594" s="304" t="str">
        <v>Ampadu Samuel Innocent Kofi</v>
      </c>
      <c r="D594" s="303" t="s">
        <v>50</v>
      </c>
      <c r="E594" s="336">
        <v>102</v>
      </c>
      <c r="F594" s="342" t="str">
        <f>'[7]TT '!F599</f>
        <v>LT/303/RMA/206</v>
      </c>
      <c r="G594" s="358">
        <f t="shared" si="66"/>
        <v>113</v>
      </c>
      <c r="H594" s="329" t="str">
        <f>'[7]TT '!H599</f>
        <v>30/30/24/18</v>
      </c>
      <c r="I594" s="330" t="str">
        <f t="shared" si="65"/>
        <v>CE 477,ED4-GEOL</v>
      </c>
      <c r="J594" s="335"/>
    </row>
    <row r="595" spans="1:10" x14ac:dyDescent="0.45">
      <c r="A595" s="303" t="s">
        <v>338</v>
      </c>
      <c r="B595" s="303" t="str">
        <v>IRRIGATION AND DRAINAGE</v>
      </c>
      <c r="C595" s="339" t="str">
        <v>Agodzo Sampson Kwaku</v>
      </c>
      <c r="D595" s="303" t="s">
        <v>131</v>
      </c>
      <c r="E595" s="336">
        <v>103</v>
      </c>
      <c r="F595" s="342" t="str">
        <f>'[7]TT '!F600</f>
        <v>VSLA/N1/RMB/N2</v>
      </c>
      <c r="G595" s="358">
        <f t="shared" si="66"/>
        <v>114</v>
      </c>
      <c r="H595" s="329" t="str">
        <f>'[7]TT '!H600</f>
        <v>45/25/24/9</v>
      </c>
      <c r="I595" s="330" t="str">
        <f>CONCATENATE(A595,",",D595)</f>
        <v>AE 451,ED4-AE</v>
      </c>
      <c r="J595" s="335"/>
    </row>
    <row r="596" spans="1:10" x14ac:dyDescent="0.45">
      <c r="A596" s="303" t="s">
        <v>339</v>
      </c>
      <c r="B596" s="303" t="str">
        <v>RESERVOIR ENGINEERING II</v>
      </c>
      <c r="C596" s="339" t="str">
        <v>Adenutsi Caspar Daniel</v>
      </c>
      <c r="D596" s="303" t="s">
        <v>1384</v>
      </c>
      <c r="E596" s="336">
        <v>82</v>
      </c>
      <c r="F596" s="342" t="str">
        <f>'[7]TT '!F601</f>
        <v>303/N1/206</v>
      </c>
      <c r="G596" s="358">
        <f t="shared" si="66"/>
        <v>91</v>
      </c>
      <c r="H596" s="329" t="str">
        <f>'[7]TT '!H601</f>
        <v>30/25/27</v>
      </c>
      <c r="I596" s="330" t="str">
        <f>CONCATENATE(A596,",",D596)</f>
        <v>PE 361,ED3-PE</v>
      </c>
      <c r="J596" s="335"/>
    </row>
    <row r="597" spans="1:10" x14ac:dyDescent="0.45">
      <c r="A597" s="303" t="s">
        <v>193</v>
      </c>
      <c r="B597" s="303" t="str">
        <v>BASIC MECHANICS</v>
      </c>
      <c r="C597" s="352" t="str">
        <v>Amoabeng Kofi Owura</v>
      </c>
      <c r="D597" s="303" t="s">
        <v>162</v>
      </c>
      <c r="E597" s="336">
        <v>136</v>
      </c>
      <c r="F597" s="342" t="str">
        <f>'[7]TT '!F602</f>
        <v>VSLA/LT/304/RMB/N2</v>
      </c>
      <c r="G597" s="358">
        <f t="shared" si="66"/>
        <v>150</v>
      </c>
      <c r="H597" s="329" t="str">
        <f>'[7]TT '!H602</f>
        <v>50/30/25/24/7</v>
      </c>
      <c r="I597" s="330" t="str">
        <f>CONCATENATE(A597,",",D597)</f>
        <v>ME 161,ED1-BME</v>
      </c>
      <c r="J597" s="335"/>
    </row>
    <row r="598" spans="1:10" x14ac:dyDescent="0.45">
      <c r="A598" s="340" t="s">
        <v>329</v>
      </c>
      <c r="B598" s="340" t="str">
        <v>MARINE MACHINERY SYSTEM DESIGN</v>
      </c>
      <c r="C598" s="333" t="str">
        <v>Sackey Michael Nii</v>
      </c>
      <c r="D598" s="340" t="s">
        <v>113</v>
      </c>
      <c r="E598" s="336">
        <v>23</v>
      </c>
      <c r="F598" s="342" t="s">
        <v>475</v>
      </c>
      <c r="G598" s="358">
        <f t="shared" ref="G598" si="67">ROUNDUP(1.1*E598,0)</f>
        <v>26</v>
      </c>
      <c r="H598" s="329" t="s">
        <v>1461</v>
      </c>
      <c r="I598" s="330" t="str">
        <f>CONCATENATE(A598,",",D598)</f>
        <v>MME 473,ED4-MARI</v>
      </c>
      <c r="J598" s="335"/>
    </row>
    <row r="599" spans="1:10" x14ac:dyDescent="0.45">
      <c r="A599" s="340"/>
      <c r="B599" s="340"/>
      <c r="C599" s="333"/>
      <c r="D599" s="303" t="s">
        <v>331</v>
      </c>
      <c r="E599" s="332">
        <f>SUM(E584:E598)</f>
        <v>1697</v>
      </c>
      <c r="F599" s="341"/>
      <c r="G599" s="340"/>
      <c r="H599" s="329"/>
      <c r="I599" s="330" t="str">
        <f t="shared" si="65"/>
        <v>,Total F3</v>
      </c>
      <c r="J599" s="335"/>
    </row>
    <row r="600" spans="1:10" x14ac:dyDescent="0.45">
      <c r="A600" s="340"/>
      <c r="B600" s="340"/>
      <c r="C600" s="333"/>
      <c r="D600" s="340"/>
      <c r="E600" s="340"/>
      <c r="F600" s="341"/>
      <c r="G600" s="340"/>
      <c r="H600" s="329"/>
      <c r="J600" s="335"/>
    </row>
    <row r="601" spans="1:10" x14ac:dyDescent="0.45">
      <c r="A601" s="340"/>
      <c r="B601" s="340"/>
      <c r="C601" s="333"/>
      <c r="D601" s="340"/>
      <c r="E601" s="340"/>
      <c r="F601" s="341"/>
      <c r="G601" s="340"/>
      <c r="H601" s="329"/>
      <c r="J601" s="335"/>
    </row>
    <row r="602" spans="1:10" x14ac:dyDescent="0.45">
      <c r="A602" s="383" t="s">
        <v>1365</v>
      </c>
      <c r="B602" s="383"/>
      <c r="C602" s="383"/>
      <c r="D602" s="383"/>
      <c r="E602" s="383"/>
      <c r="F602" s="383"/>
      <c r="G602" s="383"/>
      <c r="H602" s="329"/>
      <c r="I602" s="330" t="str">
        <f t="shared" ref="I602:I618" si="68">CONCATENATE(A602,",",D602)</f>
        <v>Friday, 27 February 2026,</v>
      </c>
      <c r="J602" s="335"/>
    </row>
    <row r="603" spans="1:10" x14ac:dyDescent="0.45">
      <c r="A603" s="383" t="str">
        <f>[6]SESSIONS!$K$4</f>
        <v>Session, 4 (1:30 PM - 2:30 PM)</v>
      </c>
      <c r="B603" s="383"/>
      <c r="C603" s="383"/>
      <c r="D603" s="383"/>
      <c r="E603" s="383"/>
      <c r="F603" s="383"/>
      <c r="G603" s="383"/>
      <c r="H603" s="329"/>
      <c r="I603" s="330" t="str">
        <f t="shared" si="68"/>
        <v>Session, 4 (1:30 PM - 2:30 PM),</v>
      </c>
      <c r="J603" s="335"/>
    </row>
    <row r="604" spans="1:10" x14ac:dyDescent="0.45">
      <c r="A604" s="332" t="s">
        <v>2</v>
      </c>
      <c r="B604" s="332" t="s">
        <v>3</v>
      </c>
      <c r="C604" s="333" t="s">
        <v>4</v>
      </c>
      <c r="D604" s="332" t="s">
        <v>5</v>
      </c>
      <c r="E604" s="332" t="s">
        <v>6</v>
      </c>
      <c r="F604" s="334" t="s">
        <v>7</v>
      </c>
      <c r="G604" s="332" t="s">
        <v>8</v>
      </c>
      <c r="H604" s="329"/>
      <c r="I604" s="330" t="str">
        <f t="shared" si="68"/>
        <v>CODE ,CLASS</v>
      </c>
      <c r="J604" s="335"/>
    </row>
    <row r="605" spans="1:10" x14ac:dyDescent="0.45">
      <c r="A605" s="303" t="s">
        <v>332</v>
      </c>
      <c r="B605" s="303" t="str" cm="1">
        <f t="array" ref="B605:B617">IFERROR(VLOOKUP(I605:I617,Lecturers!A2:G597,7,FALSE),0)</f>
        <v>DISCRETE STRUCTURES</v>
      </c>
      <c r="C605" s="304" t="str" cm="1">
        <f t="array" ref="C605:C617">IFERROR(VLOOKUP(I605:I617,Lecturers!A2:G597,2,FALSE),0)</f>
        <v>Kwabi Prince Amponsah</v>
      </c>
      <c r="D605" s="303" t="s">
        <v>30</v>
      </c>
      <c r="E605" s="336" cm="1">
        <f t="array" ref="E605:E617">IFERROR(VLOOKUP(I605:I617,Lecturers!A2:G597,3,FALSE),0)</f>
        <v>253</v>
      </c>
      <c r="F605" s="342" t="str">
        <f>'[7]TT '!F610</f>
        <v>NEB-SF/NEB-TF/NEB-FF1/NEB-FF2</v>
      </c>
      <c r="G605" s="358">
        <f>ROUNDUP(1.1*E605,0)</f>
        <v>279</v>
      </c>
      <c r="H605" s="329" t="s">
        <v>1809</v>
      </c>
      <c r="I605" s="330" t="str">
        <f>CONCATENATE(A605,",",D605)</f>
        <v>COE 253,ED2-COE</v>
      </c>
      <c r="J605" s="335"/>
    </row>
    <row r="606" spans="1:10" x14ac:dyDescent="0.45">
      <c r="A606" s="303" t="s">
        <v>336</v>
      </c>
      <c r="B606" s="303" t="str">
        <v>BEHAVIOUR OF REAL FLUIDS</v>
      </c>
      <c r="C606" s="339" t="str">
        <v>Opoku Richard</v>
      </c>
      <c r="D606" s="303" t="s">
        <v>48</v>
      </c>
      <c r="E606" s="336">
        <v>144</v>
      </c>
      <c r="F606" s="350" t="s">
        <v>1416</v>
      </c>
      <c r="G606" s="358">
        <f t="shared" ref="G606:G617" si="69">ROUNDUP(1.1*E606,0)</f>
        <v>159</v>
      </c>
      <c r="H606" s="329" t="s">
        <v>1811</v>
      </c>
      <c r="I606" s="330" t="str">
        <f>CONCATENATE(A606,",",D606)</f>
        <v>ME 451,ED4-ME</v>
      </c>
      <c r="J606" s="335"/>
    </row>
    <row r="607" spans="1:10" x14ac:dyDescent="0.45">
      <c r="A607" s="303" t="s">
        <v>336</v>
      </c>
      <c r="B607" s="303" t="str">
        <v>BEHAVIOUR OF REAL FLUIDS</v>
      </c>
      <c r="C607" s="339" t="str">
        <v>Opoku Richard</v>
      </c>
      <c r="D607" s="303" t="s">
        <v>44</v>
      </c>
      <c r="E607" s="336">
        <v>61</v>
      </c>
      <c r="F607" s="342" t="s">
        <v>1536</v>
      </c>
      <c r="G607" s="358">
        <f t="shared" si="69"/>
        <v>68</v>
      </c>
      <c r="H607" s="329" t="s">
        <v>1816</v>
      </c>
      <c r="I607" s="330" t="str">
        <f t="shared" si="68"/>
        <v>ME 451,ED4-AERO</v>
      </c>
      <c r="J607" s="335"/>
    </row>
    <row r="608" spans="1:10" x14ac:dyDescent="0.45">
      <c r="A608" s="303" t="s">
        <v>38</v>
      </c>
      <c r="B608" s="303" t="str">
        <v>TECHNICAL DRAWING</v>
      </c>
      <c r="C608" s="304" t="str">
        <v>Sunnu Albert Kojo</v>
      </c>
      <c r="D608" s="303" t="s">
        <v>115</v>
      </c>
      <c r="E608" s="336">
        <v>98</v>
      </c>
      <c r="F608" s="342" t="s">
        <v>1807</v>
      </c>
      <c r="G608" s="358">
        <f t="shared" si="69"/>
        <v>108</v>
      </c>
      <c r="H608" s="329" t="s">
        <v>1813</v>
      </c>
      <c r="I608" s="330" t="str">
        <f t="shared" ref="I608:I617" si="70">CONCATENATE(A608,",",D608)</f>
        <v>ME 159,ED1-MSE</v>
      </c>
      <c r="J608" s="335"/>
    </row>
    <row r="609" spans="1:10" x14ac:dyDescent="0.45">
      <c r="A609" s="303" t="s">
        <v>38</v>
      </c>
      <c r="B609" s="303" t="str">
        <v>TECHNICAL DRAWING</v>
      </c>
      <c r="C609" s="304" t="str">
        <v>Sunnu Albert Kojo</v>
      </c>
      <c r="D609" s="303" t="s">
        <v>183</v>
      </c>
      <c r="E609" s="336">
        <v>129</v>
      </c>
      <c r="F609" s="375" t="s">
        <v>1651</v>
      </c>
      <c r="G609" s="358">
        <f t="shared" si="69"/>
        <v>142</v>
      </c>
      <c r="H609" s="329" t="s">
        <v>1817</v>
      </c>
      <c r="I609" s="330" t="str">
        <f t="shared" si="70"/>
        <v>ME 159,ED1-TEL</v>
      </c>
      <c r="J609" s="335"/>
    </row>
    <row r="610" spans="1:10" x14ac:dyDescent="0.45">
      <c r="A610" s="303" t="s">
        <v>38</v>
      </c>
      <c r="B610" s="303" t="str">
        <v>TECHNICAL DRAWING</v>
      </c>
      <c r="C610" s="304" t="str">
        <v>Sunnu Albert Kojo</v>
      </c>
      <c r="D610" s="303" t="s">
        <v>41</v>
      </c>
      <c r="E610" s="336">
        <v>46</v>
      </c>
      <c r="F610" s="375" t="s">
        <v>1805</v>
      </c>
      <c r="G610" s="358">
        <f t="shared" si="69"/>
        <v>51</v>
      </c>
      <c r="H610" s="329" t="s">
        <v>1606</v>
      </c>
      <c r="I610" s="330" t="str">
        <f t="shared" si="70"/>
        <v>ME 159,ED1-MARI</v>
      </c>
      <c r="J610" s="335"/>
    </row>
    <row r="611" spans="1:10" x14ac:dyDescent="0.45">
      <c r="A611" s="303" t="s">
        <v>38</v>
      </c>
      <c r="B611" s="303" t="str">
        <v>TECHNICAL DRAWING</v>
      </c>
      <c r="C611" s="339" t="str">
        <v>Sunnu Albert Kojo</v>
      </c>
      <c r="D611" s="303" t="s">
        <v>164</v>
      </c>
      <c r="E611" s="336">
        <v>223</v>
      </c>
      <c r="F611" s="371" t="s">
        <v>1820</v>
      </c>
      <c r="G611" s="358">
        <f t="shared" si="69"/>
        <v>246</v>
      </c>
      <c r="H611" s="329" t="s">
        <v>1819</v>
      </c>
      <c r="I611" s="330" t="str">
        <f t="shared" si="70"/>
        <v>ME 159,ED1-ME</v>
      </c>
      <c r="J611" s="335"/>
    </row>
    <row r="612" spans="1:10" x14ac:dyDescent="0.45">
      <c r="A612" s="303" t="s">
        <v>354</v>
      </c>
      <c r="B612" s="303" t="str">
        <v>FUNDAMENTALS OF ACQUATIC SKILLS</v>
      </c>
      <c r="C612" s="339" t="str">
        <v>Afrifa Daniel</v>
      </c>
      <c r="D612" s="303" t="s">
        <v>24</v>
      </c>
      <c r="E612" s="336">
        <v>40</v>
      </c>
      <c r="F612" s="366" t="s">
        <v>472</v>
      </c>
      <c r="G612" s="358">
        <f t="shared" si="69"/>
        <v>44</v>
      </c>
      <c r="H612" s="329" t="s">
        <v>1756</v>
      </c>
      <c r="I612" s="330" t="str">
        <f t="shared" si="70"/>
        <v>SES 171,ED2-MARI</v>
      </c>
      <c r="J612" s="335"/>
    </row>
    <row r="613" spans="1:10" x14ac:dyDescent="0.45">
      <c r="A613" s="303" t="s">
        <v>335</v>
      </c>
      <c r="B613" s="303" t="str">
        <v>INTRODUCTION TO FLUID MECHANICS</v>
      </c>
      <c r="C613" s="339" t="str">
        <v>Fiagbe Yesuenyeagbe Atsu Kwabla</v>
      </c>
      <c r="D613" s="303" t="s">
        <v>141</v>
      </c>
      <c r="E613" s="336">
        <v>242</v>
      </c>
      <c r="F613" s="342" t="s">
        <v>1407</v>
      </c>
      <c r="G613" s="349">
        <f>1.1*E613</f>
        <v>266.20000000000005</v>
      </c>
      <c r="H613" s="329" t="s">
        <v>1810</v>
      </c>
      <c r="I613" s="330" t="str">
        <f t="shared" ref="I613" si="71">CONCATENATE(A613,",",D613)</f>
        <v>ME 251,ED2-ME</v>
      </c>
      <c r="J613" s="335"/>
    </row>
    <row r="614" spans="1:10" x14ac:dyDescent="0.45">
      <c r="A614" s="303" t="s">
        <v>335</v>
      </c>
      <c r="B614" s="303" t="str">
        <v>INTRODUCTION TO FLUID MECHANICS</v>
      </c>
      <c r="C614" s="339" t="str">
        <v>Fiagbe Yesuenyeagbe Atsu Kwabla</v>
      </c>
      <c r="D614" s="303" t="s">
        <v>140</v>
      </c>
      <c r="E614" s="336">
        <v>74</v>
      </c>
      <c r="F614" s="350" t="s">
        <v>1814</v>
      </c>
      <c r="G614" s="349">
        <f>1.1*E614</f>
        <v>81.400000000000006</v>
      </c>
      <c r="H614" s="329" t="s">
        <v>1815</v>
      </c>
      <c r="I614" s="330" t="str">
        <f>CONCATENATE(A614,",",D614)</f>
        <v>ME 251,ED2-AERO</v>
      </c>
      <c r="J614" s="335"/>
    </row>
    <row r="615" spans="1:10" x14ac:dyDescent="0.45">
      <c r="A615" s="303" t="s">
        <v>335</v>
      </c>
      <c r="B615" s="303" t="str">
        <v>FLUID MECHANICS I</v>
      </c>
      <c r="C615" s="339" t="str">
        <v>Fiagbe Yesuenyeagbe Atsu Kwabla</v>
      </c>
      <c r="D615" s="303" t="s">
        <v>142</v>
      </c>
      <c r="E615" s="336">
        <v>155</v>
      </c>
      <c r="F615" s="371" t="s">
        <v>1821</v>
      </c>
      <c r="G615" s="349">
        <f>1.1*E615</f>
        <v>170.5</v>
      </c>
      <c r="H615" s="329" t="s">
        <v>1822</v>
      </c>
      <c r="I615" s="330" t="str">
        <f>CONCATENATE(A615,",",D615)</f>
        <v>ME 251,ED2-AE</v>
      </c>
      <c r="J615" s="335"/>
    </row>
    <row r="616" spans="1:10" x14ac:dyDescent="0.45">
      <c r="A616" s="303" t="s">
        <v>342</v>
      </c>
      <c r="B616" s="303" t="str">
        <v>LAND VEHICLE DESIGN</v>
      </c>
      <c r="C616" s="339" t="str">
        <v>Ayetor Godwin Kafui Kwesi</v>
      </c>
      <c r="D616" s="303" t="s">
        <v>12</v>
      </c>
      <c r="E616" s="336">
        <v>47</v>
      </c>
      <c r="F616" s="342" t="s">
        <v>1686</v>
      </c>
      <c r="G616" s="358">
        <f t="shared" si="69"/>
        <v>52</v>
      </c>
      <c r="H616" s="329" t="s">
        <v>1818</v>
      </c>
      <c r="I616" s="330" t="str">
        <f t="shared" si="70"/>
        <v>AME 371,ED3-AUTO</v>
      </c>
      <c r="J616" s="335"/>
    </row>
    <row r="617" spans="1:10" x14ac:dyDescent="0.45">
      <c r="A617" s="303" t="s">
        <v>340</v>
      </c>
      <c r="B617" s="303" t="str">
        <v>DC MACHINES</v>
      </c>
      <c r="C617" s="339" t="str">
        <v>Effah Francis Boafo</v>
      </c>
      <c r="D617" s="303" t="s">
        <v>82</v>
      </c>
      <c r="E617" s="336">
        <v>340</v>
      </c>
      <c r="F617" s="342" t="s">
        <v>1812</v>
      </c>
      <c r="G617" s="358">
        <f t="shared" si="69"/>
        <v>374</v>
      </c>
      <c r="H617" s="329" t="s">
        <v>1770</v>
      </c>
      <c r="I617" s="330" t="str">
        <f t="shared" si="70"/>
        <v>EE 261,ED2-EE</v>
      </c>
      <c r="J617" s="335"/>
    </row>
    <row r="618" spans="1:10" x14ac:dyDescent="0.45">
      <c r="A618" s="340"/>
      <c r="B618" s="340"/>
      <c r="C618" s="333"/>
      <c r="D618" s="303" t="s">
        <v>343</v>
      </c>
      <c r="E618" s="332">
        <f>SUM(E605:E617)</f>
        <v>1852</v>
      </c>
      <c r="F618" s="341"/>
      <c r="G618" s="340"/>
      <c r="H618" s="329"/>
      <c r="I618" s="330" t="str">
        <f t="shared" si="68"/>
        <v>,Total F4</v>
      </c>
      <c r="J618" s="335"/>
    </row>
    <row r="619" spans="1:10" x14ac:dyDescent="0.45">
      <c r="A619" s="340"/>
      <c r="B619" s="340"/>
      <c r="C619" s="333"/>
      <c r="D619" s="340"/>
      <c r="E619" s="340"/>
      <c r="F619" s="341"/>
      <c r="G619" s="340"/>
      <c r="H619" s="329"/>
      <c r="J619" s="335"/>
    </row>
    <row r="620" spans="1:10" x14ac:dyDescent="0.45">
      <c r="A620" s="340"/>
      <c r="B620" s="340"/>
      <c r="C620" s="333"/>
      <c r="D620" s="340"/>
      <c r="E620" s="340"/>
      <c r="F620" s="342"/>
      <c r="G620" s="340"/>
      <c r="H620" s="329"/>
    </row>
    <row r="621" spans="1:10" x14ac:dyDescent="0.45">
      <c r="A621" s="383" t="s">
        <v>1365</v>
      </c>
      <c r="B621" s="383"/>
      <c r="C621" s="383"/>
      <c r="D621" s="383"/>
      <c r="E621" s="383"/>
      <c r="F621" s="383"/>
      <c r="G621" s="383"/>
      <c r="H621" s="329"/>
      <c r="I621" s="330" t="str">
        <f t="shared" ref="I621:I636" si="72">CONCATENATE(A621,",",D621)</f>
        <v>Friday, 27 February 2026,</v>
      </c>
      <c r="J621" s="335"/>
    </row>
    <row r="622" spans="1:10" x14ac:dyDescent="0.45">
      <c r="A622" s="383" t="str">
        <f>[6]SESSIONS!$K$5</f>
        <v>Session, 5 (3:15 PM - 4:15 PM)</v>
      </c>
      <c r="B622" s="383"/>
      <c r="C622" s="383"/>
      <c r="D622" s="383"/>
      <c r="E622" s="383"/>
      <c r="F622" s="383"/>
      <c r="G622" s="383"/>
      <c r="H622" s="329"/>
      <c r="I622" s="330" t="str">
        <f t="shared" si="72"/>
        <v>Session, 5 (3:15 PM - 4:15 PM),</v>
      </c>
      <c r="J622" s="335"/>
    </row>
    <row r="623" spans="1:10" x14ac:dyDescent="0.45">
      <c r="A623" s="332" t="s">
        <v>2</v>
      </c>
      <c r="B623" s="332" t="s">
        <v>3</v>
      </c>
      <c r="C623" s="333" t="s">
        <v>4</v>
      </c>
      <c r="D623" s="332" t="s">
        <v>5</v>
      </c>
      <c r="E623" s="332" t="s">
        <v>6</v>
      </c>
      <c r="F623" s="334" t="s">
        <v>7</v>
      </c>
      <c r="G623" s="332" t="s">
        <v>8</v>
      </c>
      <c r="H623" s="329"/>
      <c r="I623" s="330" t="str">
        <f t="shared" si="72"/>
        <v>CODE ,CLASS</v>
      </c>
      <c r="J623" s="335"/>
    </row>
    <row r="624" spans="1:10" x14ac:dyDescent="0.45">
      <c r="A624" s="303" t="s">
        <v>344</v>
      </c>
      <c r="B624" s="303" t="str" cm="1">
        <f t="array" ref="B624:B636">IFERROR(VLOOKUP(I624:I636,Lecturers!A2:G597,7,FALSE),0)</f>
        <v>PROCESS PLANNING SYSTEMS</v>
      </c>
      <c r="C624" s="304" t="str" cm="1">
        <f t="array" ref="C624:C636">IFERROR(VLOOKUP(I624:I636,Lecturers!A2:G597,2,FALSE),0)</f>
        <v>Sackey Samuel Mensah</v>
      </c>
      <c r="D624" s="303" t="s">
        <v>20</v>
      </c>
      <c r="E624" s="336" cm="1">
        <f t="array" ref="E624:E636">IFERROR(VLOOKUP(I624:I636,Lecturers!A2:G597,3,FALSE),0)</f>
        <v>72</v>
      </c>
      <c r="F624" s="342" t="s">
        <v>1832</v>
      </c>
      <c r="G624" s="376">
        <f>ROUNDUP(1.1*E624,0)</f>
        <v>80</v>
      </c>
      <c r="H624" s="329" t="s">
        <v>1833</v>
      </c>
      <c r="I624" s="330" t="str">
        <f>CONCATENATE(A624,",",D624)</f>
        <v>IE 363,ED3-IND</v>
      </c>
      <c r="J624" s="335"/>
    </row>
    <row r="625" spans="1:10" x14ac:dyDescent="0.45">
      <c r="A625" s="303" t="s">
        <v>346</v>
      </c>
      <c r="B625" s="303" t="str">
        <v>MATERIALS CHARACTERIZATION TECHNIQUE</v>
      </c>
      <c r="C625" s="304" t="str">
        <v>Arthur Emmanuel Kwesi</v>
      </c>
      <c r="D625" s="303" t="s">
        <v>31</v>
      </c>
      <c r="E625" s="336">
        <v>83</v>
      </c>
      <c r="F625" s="342" t="s">
        <v>1836</v>
      </c>
      <c r="G625" s="376">
        <f t="shared" ref="G625:G636" si="73">ROUNDUP(1.1*E625,0)</f>
        <v>92</v>
      </c>
      <c r="H625" s="329" t="s">
        <v>1837</v>
      </c>
      <c r="I625" s="330" t="str">
        <f>CONCATENATE(A625,",",D625)</f>
        <v>MSE 363,ED3-METE</v>
      </c>
      <c r="J625" s="335"/>
    </row>
    <row r="626" spans="1:10" x14ac:dyDescent="0.45">
      <c r="A626" s="303" t="s">
        <v>346</v>
      </c>
      <c r="B626" s="303" t="str">
        <v>MATERIALS CHARACTERIZATION TECHNIQUE</v>
      </c>
      <c r="C626" s="304" t="str">
        <v>Arthur Emmanuel Kwesi</v>
      </c>
      <c r="D626" s="303" t="s">
        <v>123</v>
      </c>
      <c r="E626" s="336">
        <v>89</v>
      </c>
      <c r="F626" s="342" t="s">
        <v>1522</v>
      </c>
      <c r="G626" s="376">
        <f t="shared" si="73"/>
        <v>98</v>
      </c>
      <c r="H626" s="329" t="s">
        <v>1834</v>
      </c>
      <c r="I626" s="330" t="str">
        <f>CONCATENATE(A626,",",D626)</f>
        <v>MSE 363,ED3-MSE</v>
      </c>
      <c r="J626" s="335"/>
    </row>
    <row r="627" spans="1:10" x14ac:dyDescent="0.45">
      <c r="A627" s="303" t="s">
        <v>347</v>
      </c>
      <c r="B627" s="303" t="str">
        <v>MICROPROCESSORS</v>
      </c>
      <c r="C627" s="339" t="str">
        <v>Keelson Eliel</v>
      </c>
      <c r="D627" s="303" t="s">
        <v>17</v>
      </c>
      <c r="E627" s="336">
        <v>276</v>
      </c>
      <c r="F627" s="342" t="s">
        <v>1500</v>
      </c>
      <c r="G627" s="376">
        <f t="shared" si="73"/>
        <v>304</v>
      </c>
      <c r="H627" s="329" t="s">
        <v>1557</v>
      </c>
      <c r="I627" s="330" t="str">
        <f t="shared" si="72"/>
        <v>COE 381,ED3-COE</v>
      </c>
      <c r="J627" s="335"/>
    </row>
    <row r="628" spans="1:10" x14ac:dyDescent="0.45">
      <c r="A628" s="303" t="s">
        <v>347</v>
      </c>
      <c r="B628" s="303" t="str">
        <v>MICROPROCESSORS</v>
      </c>
      <c r="C628" s="339" t="str">
        <v>Keelson Eliel</v>
      </c>
      <c r="D628" s="303" t="s">
        <v>13</v>
      </c>
      <c r="E628" s="336">
        <v>94</v>
      </c>
      <c r="F628" s="342" t="s">
        <v>1582</v>
      </c>
      <c r="G628" s="376">
        <f t="shared" si="73"/>
        <v>104</v>
      </c>
      <c r="H628" s="329" t="s">
        <v>1831</v>
      </c>
      <c r="I628" s="330" t="str">
        <f t="shared" si="72"/>
        <v>COE 381,ED3-BME</v>
      </c>
      <c r="J628" s="335"/>
    </row>
    <row r="629" spans="1:10" x14ac:dyDescent="0.45">
      <c r="A629" s="303" t="s">
        <v>347</v>
      </c>
      <c r="B629" s="303" t="str">
        <v>MICROPROCESSORS</v>
      </c>
      <c r="C629" s="304" t="str">
        <v>Keelson Eliel</v>
      </c>
      <c r="D629" s="303" t="s">
        <v>19</v>
      </c>
      <c r="E629" s="336">
        <v>254</v>
      </c>
      <c r="F629" s="342" t="s">
        <v>1750</v>
      </c>
      <c r="G629" s="376">
        <f t="shared" si="73"/>
        <v>280</v>
      </c>
      <c r="H629" s="329" t="s">
        <v>1438</v>
      </c>
      <c r="I629" s="330" t="str">
        <f t="shared" si="72"/>
        <v>COE 381,ED3-EE</v>
      </c>
      <c r="J629" s="335"/>
    </row>
    <row r="630" spans="1:10" x14ac:dyDescent="0.45">
      <c r="A630" s="303" t="s">
        <v>349</v>
      </c>
      <c r="B630" s="303" t="str">
        <v>MASS TRANSFER PROCESSES</v>
      </c>
      <c r="C630" s="339" t="str">
        <v>Ankudey Emmanuel Godwin</v>
      </c>
      <c r="D630" s="303" t="s">
        <v>92</v>
      </c>
      <c r="E630" s="336">
        <v>100</v>
      </c>
      <c r="F630" s="371" t="s">
        <v>1459</v>
      </c>
      <c r="G630" s="376">
        <f t="shared" si="73"/>
        <v>110</v>
      </c>
      <c r="H630" s="329" t="s">
        <v>1830</v>
      </c>
      <c r="I630" s="330" t="str">
        <f>CONCATENATE(A630,",",D630)</f>
        <v>CHE 351,ED3-CHE</v>
      </c>
      <c r="J630" s="335"/>
    </row>
    <row r="631" spans="1:10" x14ac:dyDescent="0.45">
      <c r="A631" s="303" t="s">
        <v>38</v>
      </c>
      <c r="B631" s="303" t="str">
        <v>TECHNICAL DRAWING</v>
      </c>
      <c r="C631" s="304" t="str">
        <v>Boahen Samuel</v>
      </c>
      <c r="D631" s="303" t="s">
        <v>36</v>
      </c>
      <c r="E631" s="336">
        <v>119</v>
      </c>
      <c r="F631" s="342" t="s">
        <v>1650</v>
      </c>
      <c r="G631" s="376">
        <f t="shared" si="73"/>
        <v>131</v>
      </c>
      <c r="H631" s="329" t="s">
        <v>1829</v>
      </c>
      <c r="I631" s="330" t="str">
        <f t="shared" si="72"/>
        <v>ME 159,ED1-GEOL</v>
      </c>
      <c r="J631" s="335"/>
    </row>
    <row r="632" spans="1:10" x14ac:dyDescent="0.45">
      <c r="A632" s="303" t="s">
        <v>1371</v>
      </c>
      <c r="B632" s="303" t="str">
        <v>BIOLOGICAL TRANSPORT PHENOMENA</v>
      </c>
      <c r="C632" s="304" t="str">
        <v>Odame Prince</v>
      </c>
      <c r="D632" s="303" t="s">
        <v>29</v>
      </c>
      <c r="E632" s="336">
        <v>87</v>
      </c>
      <c r="F632" s="342" t="s">
        <v>1490</v>
      </c>
      <c r="G632" s="376">
        <f t="shared" si="73"/>
        <v>96</v>
      </c>
      <c r="H632" s="329" t="s">
        <v>1835</v>
      </c>
      <c r="I632" s="330" t="str">
        <f t="shared" si="72"/>
        <v>BME 265,ED2-BME</v>
      </c>
      <c r="J632" s="335"/>
    </row>
    <row r="633" spans="1:10" x14ac:dyDescent="0.45">
      <c r="A633" s="303" t="s">
        <v>38</v>
      </c>
      <c r="B633" s="303" t="str">
        <v>TECHNICAL DRAWING</v>
      </c>
      <c r="C633" s="339" t="str">
        <v>Boahen Samuel</v>
      </c>
      <c r="D633" s="303" t="s">
        <v>104</v>
      </c>
      <c r="E633" s="336">
        <v>56</v>
      </c>
      <c r="F633" s="342" t="s">
        <v>1439</v>
      </c>
      <c r="G633" s="376">
        <f t="shared" si="73"/>
        <v>62</v>
      </c>
      <c r="H633" s="329" t="s">
        <v>1525</v>
      </c>
      <c r="I633" s="330" t="str">
        <f>CONCATENATE(A633,",",D633)</f>
        <v>ME 159,ED1-PCE</v>
      </c>
      <c r="J633" s="335"/>
    </row>
    <row r="634" spans="1:10" x14ac:dyDescent="0.45">
      <c r="A634" s="303" t="s">
        <v>38</v>
      </c>
      <c r="B634" s="303" t="str">
        <v>TECHNICAL DRAWING</v>
      </c>
      <c r="C634" s="304" t="str">
        <v>Asante Eric Amoah</v>
      </c>
      <c r="D634" s="303" t="s">
        <v>103</v>
      </c>
      <c r="E634" s="336">
        <v>120</v>
      </c>
      <c r="F634" s="342" t="s">
        <v>1650</v>
      </c>
      <c r="G634" s="376">
        <f t="shared" si="73"/>
        <v>132</v>
      </c>
      <c r="H634" s="329" t="s">
        <v>1524</v>
      </c>
      <c r="I634" s="330" t="str">
        <f t="shared" si="72"/>
        <v>ME 159,ED1-CHE</v>
      </c>
      <c r="J634" s="335"/>
    </row>
    <row r="635" spans="1:10" s="374" customFormat="1" x14ac:dyDescent="0.45">
      <c r="A635" s="372" t="s">
        <v>38</v>
      </c>
      <c r="B635" s="372" t="str">
        <v>TECHNICAL DRAWING</v>
      </c>
      <c r="C635" s="354" t="str">
        <v>Aveyire Joseph</v>
      </c>
      <c r="D635" s="372" t="s">
        <v>165</v>
      </c>
      <c r="E635" s="373">
        <v>242</v>
      </c>
      <c r="F635" s="342" t="s">
        <v>1407</v>
      </c>
      <c r="G635" s="376">
        <f t="shared" si="73"/>
        <v>267</v>
      </c>
      <c r="H635" s="329" t="s">
        <v>1828</v>
      </c>
      <c r="I635" s="374" t="str">
        <f t="shared" si="72"/>
        <v>ME 159,ED1-CE</v>
      </c>
    </row>
    <row r="636" spans="1:10" s="374" customFormat="1" x14ac:dyDescent="0.45">
      <c r="A636" s="372" t="s">
        <v>38</v>
      </c>
      <c r="B636" s="372" t="str">
        <v>TECHNICAL DRAWING</v>
      </c>
      <c r="C636" s="354" t="str">
        <v>Aveyire Joseph</v>
      </c>
      <c r="D636" s="372" t="s">
        <v>163</v>
      </c>
      <c r="E636" s="373">
        <v>126</v>
      </c>
      <c r="F636" s="342" t="s">
        <v>1523</v>
      </c>
      <c r="G636" s="376">
        <f t="shared" si="73"/>
        <v>139</v>
      </c>
      <c r="H636" s="329" t="s">
        <v>1680</v>
      </c>
      <c r="I636" s="374" t="str">
        <f t="shared" si="72"/>
        <v>ME 159,ED1-AE</v>
      </c>
    </row>
    <row r="637" spans="1:10" x14ac:dyDescent="0.45">
      <c r="A637" s="340"/>
      <c r="B637" s="340"/>
      <c r="C637" s="333"/>
      <c r="D637" s="303" t="s">
        <v>350</v>
      </c>
      <c r="E637" s="332">
        <f>SUM(E624:E636)</f>
        <v>1718</v>
      </c>
      <c r="F637" s="341"/>
      <c r="G637" s="340"/>
      <c r="H637" s="329"/>
      <c r="J637" s="335"/>
    </row>
    <row r="638" spans="1:10" x14ac:dyDescent="0.45">
      <c r="A638" s="340"/>
      <c r="B638" s="340"/>
      <c r="C638" s="333"/>
      <c r="D638" s="340"/>
      <c r="E638" s="340"/>
      <c r="F638" s="341"/>
      <c r="G638" s="340"/>
      <c r="H638" s="329"/>
    </row>
    <row r="639" spans="1:10" x14ac:dyDescent="0.45">
      <c r="A639" s="340"/>
      <c r="B639" s="340"/>
      <c r="C639" s="333"/>
      <c r="D639" s="340"/>
      <c r="E639" s="340"/>
      <c r="F639" s="342"/>
      <c r="G639" s="340"/>
      <c r="H639" s="329"/>
    </row>
    <row r="640" spans="1:10" x14ac:dyDescent="0.45">
      <c r="A640" s="383" t="s">
        <v>1365</v>
      </c>
      <c r="B640" s="383"/>
      <c r="C640" s="383"/>
      <c r="D640" s="383"/>
      <c r="E640" s="383"/>
      <c r="F640" s="383"/>
      <c r="G640" s="383"/>
      <c r="H640" s="329"/>
      <c r="I640" s="330" t="str">
        <f t="shared" ref="I640:I655" si="74">CONCATENATE(A640,",",D640)</f>
        <v>Friday, 27 February 2026,</v>
      </c>
      <c r="J640" s="335"/>
    </row>
    <row r="641" spans="1:10" x14ac:dyDescent="0.45">
      <c r="A641" s="383" t="str">
        <f>[6]SESSIONS!$K$6</f>
        <v>Session, 6 (5:00 PM - 6:00 PM)</v>
      </c>
      <c r="B641" s="383"/>
      <c r="C641" s="383"/>
      <c r="D641" s="383"/>
      <c r="E641" s="383"/>
      <c r="F641" s="383"/>
      <c r="G641" s="383"/>
      <c r="H641" s="329"/>
      <c r="I641" s="330" t="str">
        <f t="shared" si="74"/>
        <v>Session, 6 (5:00 PM - 6:00 PM),</v>
      </c>
      <c r="J641" s="335"/>
    </row>
    <row r="642" spans="1:10" x14ac:dyDescent="0.45">
      <c r="A642" s="332" t="s">
        <v>2</v>
      </c>
      <c r="B642" s="332" t="s">
        <v>3</v>
      </c>
      <c r="C642" s="333" t="s">
        <v>4</v>
      </c>
      <c r="D642" s="332" t="s">
        <v>5</v>
      </c>
      <c r="E642" s="332" t="s">
        <v>6</v>
      </c>
      <c r="F642" s="334" t="s">
        <v>7</v>
      </c>
      <c r="G642" s="332" t="s">
        <v>8</v>
      </c>
      <c r="H642" s="329"/>
      <c r="I642" s="330" t="str">
        <f t="shared" si="74"/>
        <v>CODE ,CLASS</v>
      </c>
      <c r="J642" s="335"/>
    </row>
    <row r="643" spans="1:10" x14ac:dyDescent="0.45">
      <c r="A643" s="303" t="s">
        <v>351</v>
      </c>
      <c r="B643" s="303" t="str" cm="1">
        <f t="array" ref="B643:B654">IFERROR(VLOOKUP(I643:I654,Lecturers!A2:G597,7,FALSE),0)</f>
        <v>SOIL MECHANICS</v>
      </c>
      <c r="C643" s="304" t="str" cm="1">
        <f t="array" ref="C643:C654">IFERROR(VLOOKUP(I643:I654,Lecturers!A2:G597,2,FALSE),0)</f>
        <v>Charkley Frederick Nai</v>
      </c>
      <c r="D643" s="303" t="s">
        <v>22</v>
      </c>
      <c r="E643" s="336" cm="1">
        <f t="array" ref="E643:E654">IFERROR(VLOOKUP(I643:I654,Lecturers!A2:G597,3,FALSE),0)</f>
        <v>223</v>
      </c>
      <c r="F643" s="366" t="s">
        <v>1407</v>
      </c>
      <c r="G643" s="358">
        <f>ROUNDUP(1.1*E643,0)</f>
        <v>246</v>
      </c>
      <c r="H643" s="329" t="s">
        <v>1623</v>
      </c>
      <c r="I643" s="330" t="str">
        <f t="shared" si="74"/>
        <v>CE 359,ED3-CE</v>
      </c>
      <c r="J643" s="335"/>
    </row>
    <row r="644" spans="1:10" x14ac:dyDescent="0.45">
      <c r="A644" s="303" t="s">
        <v>352</v>
      </c>
      <c r="B644" s="303" t="str">
        <v>SOIL MECHANICS</v>
      </c>
      <c r="C644" s="304" t="str">
        <v>Amenuvor Andrew Cudzo</v>
      </c>
      <c r="D644" s="303" t="s">
        <v>16</v>
      </c>
      <c r="E644" s="336">
        <v>154</v>
      </c>
      <c r="F644" s="366" t="s">
        <v>1838</v>
      </c>
      <c r="G644" s="358">
        <f t="shared" ref="G644:G654" si="75">ROUNDUP(1.1*E644,0)</f>
        <v>170</v>
      </c>
      <c r="H644" s="329" t="s">
        <v>1839</v>
      </c>
      <c r="I644" s="330" t="str">
        <f t="shared" si="74"/>
        <v>GED 379,ED3-GEOL</v>
      </c>
      <c r="J644" s="335"/>
    </row>
    <row r="645" spans="1:10" x14ac:dyDescent="0.45">
      <c r="A645" s="303" t="s">
        <v>353</v>
      </c>
      <c r="B645" s="303" t="str">
        <v>SURVIVAL SWIMMING TECHNIQUES</v>
      </c>
      <c r="C645" s="304" t="str">
        <v>Gyamfi Isaac</v>
      </c>
      <c r="D645" s="303" t="s">
        <v>1383</v>
      </c>
      <c r="E645" s="336">
        <v>97</v>
      </c>
      <c r="F645" s="366" t="s">
        <v>1838</v>
      </c>
      <c r="G645" s="358">
        <f t="shared" si="75"/>
        <v>107</v>
      </c>
      <c r="H645" s="329" t="s">
        <v>1842</v>
      </c>
      <c r="I645" s="330" t="str">
        <f t="shared" si="74"/>
        <v>PE 259,ED2-PE</v>
      </c>
      <c r="J645" s="335"/>
    </row>
    <row r="646" spans="1:10" x14ac:dyDescent="0.45">
      <c r="A646" s="303" t="s">
        <v>337</v>
      </c>
      <c r="B646" s="303" t="str">
        <v>CATALYSIS</v>
      </c>
      <c r="C646" s="339" t="str">
        <v>Baidoo Martina Francisca</v>
      </c>
      <c r="D646" s="303" t="s">
        <v>87</v>
      </c>
      <c r="E646" s="336">
        <v>62</v>
      </c>
      <c r="F646" s="366" t="s">
        <v>1843</v>
      </c>
      <c r="G646" s="358">
        <f t="shared" si="75"/>
        <v>69</v>
      </c>
      <c r="H646" s="329" t="s">
        <v>1624</v>
      </c>
      <c r="I646" s="330" t="str">
        <f>CONCATENATE(A646,",",D646)</f>
        <v>PCE 451,ED4-PCE</v>
      </c>
      <c r="J646" s="335"/>
    </row>
    <row r="647" spans="1:10" x14ac:dyDescent="0.45">
      <c r="A647" s="303" t="s">
        <v>355</v>
      </c>
      <c r="B647" s="303" t="str">
        <v>MACHINE ELEMENTS DESIGN I</v>
      </c>
      <c r="C647" s="339" t="str">
        <v>Davis Francis</v>
      </c>
      <c r="D647" s="303" t="s">
        <v>10</v>
      </c>
      <c r="E647" s="336">
        <v>230</v>
      </c>
      <c r="F647" s="366" t="s">
        <v>1407</v>
      </c>
      <c r="G647" s="358">
        <f t="shared" si="75"/>
        <v>253</v>
      </c>
      <c r="H647" s="329" t="s">
        <v>1442</v>
      </c>
      <c r="I647" s="330" t="str">
        <f t="shared" si="74"/>
        <v>ME 373,ED3-ME</v>
      </c>
      <c r="J647" s="335"/>
    </row>
    <row r="648" spans="1:10" x14ac:dyDescent="0.45">
      <c r="A648" s="303" t="s">
        <v>357</v>
      </c>
      <c r="B648" s="303" t="str">
        <v>STEREO PHOTOGRAMMETRY</v>
      </c>
      <c r="C648" s="339" t="str">
        <v>Tienaah Titus</v>
      </c>
      <c r="D648" s="303" t="s">
        <v>34</v>
      </c>
      <c r="E648" s="336">
        <v>115</v>
      </c>
      <c r="F648" s="366" t="s">
        <v>1516</v>
      </c>
      <c r="G648" s="358">
        <f t="shared" si="75"/>
        <v>127</v>
      </c>
      <c r="H648" s="329" t="s">
        <v>1840</v>
      </c>
      <c r="I648" s="330" t="str">
        <f t="shared" si="74"/>
        <v>GE 351,ED3-GEOM</v>
      </c>
      <c r="J648" s="335"/>
    </row>
    <row r="649" spans="1:10" x14ac:dyDescent="0.45">
      <c r="A649" s="303" t="s">
        <v>193</v>
      </c>
      <c r="B649" s="303" t="str">
        <v>BASIC MECHANICS</v>
      </c>
      <c r="C649" s="339" t="str">
        <v>Tay Godwin Fabiola Kwaku</v>
      </c>
      <c r="D649" s="303" t="s">
        <v>69</v>
      </c>
      <c r="E649" s="336">
        <v>261</v>
      </c>
      <c r="F649" s="366" t="s">
        <v>1436</v>
      </c>
      <c r="G649" s="358">
        <f t="shared" si="75"/>
        <v>288</v>
      </c>
      <c r="H649" s="329" t="s">
        <v>1755</v>
      </c>
      <c r="I649" s="330" t="str">
        <f>CONCATENATE(A649,",",D649)</f>
        <v>ME 161,ED1-COE</v>
      </c>
      <c r="J649" s="335"/>
    </row>
    <row r="650" spans="1:10" x14ac:dyDescent="0.45">
      <c r="A650" s="303" t="s">
        <v>359</v>
      </c>
      <c r="B650" s="303" t="str">
        <v>ENGINEERING THERMODYNAMICS</v>
      </c>
      <c r="C650" s="339" t="str">
        <v>Amoabeng Kofi Owura</v>
      </c>
      <c r="D650" s="303" t="s">
        <v>21</v>
      </c>
      <c r="E650" s="336">
        <v>40</v>
      </c>
      <c r="F650" s="366" t="s">
        <v>1602</v>
      </c>
      <c r="G650" s="358">
        <f t="shared" si="75"/>
        <v>44</v>
      </c>
      <c r="H650" s="329" t="s">
        <v>1554</v>
      </c>
      <c r="I650" s="330" t="str">
        <f>CONCATENATE(A650,",",D650)</f>
        <v>MME 365,ED3-MARI</v>
      </c>
      <c r="J650" s="335"/>
    </row>
    <row r="651" spans="1:10" x14ac:dyDescent="0.45">
      <c r="A651" s="303" t="s">
        <v>348</v>
      </c>
      <c r="B651" s="303" t="str">
        <v>AUTOMATIC POWER TRAIN</v>
      </c>
      <c r="C651" s="339" t="str">
        <v>Abu Frimpong Solomon</v>
      </c>
      <c r="D651" s="303" t="s">
        <v>75</v>
      </c>
      <c r="E651" s="336">
        <v>32</v>
      </c>
      <c r="F651" s="375" t="s">
        <v>1844</v>
      </c>
      <c r="G651" s="358">
        <f t="shared" si="75"/>
        <v>36</v>
      </c>
      <c r="H651" s="329" t="s">
        <v>1625</v>
      </c>
      <c r="I651" s="330" t="str">
        <f>CONCATENATE(A651,",",D651)</f>
        <v>AME 485,ED4-AUTO</v>
      </c>
      <c r="J651" s="335"/>
    </row>
    <row r="652" spans="1:10" x14ac:dyDescent="0.45">
      <c r="A652" s="303" t="s">
        <v>360</v>
      </c>
      <c r="B652" s="303" t="str">
        <v>ENG ECONOMY AND ENTERPRENEURSHIP DEVELOPMENT</v>
      </c>
      <c r="C652" s="339" t="str">
        <v>Appiah-Effah Eugene</v>
      </c>
      <c r="D652" s="303" t="s">
        <v>78</v>
      </c>
      <c r="E652" s="336">
        <v>93</v>
      </c>
      <c r="F652" s="366" t="s">
        <v>1459</v>
      </c>
      <c r="G652" s="358">
        <f t="shared" si="75"/>
        <v>103</v>
      </c>
      <c r="H652" s="329" t="s">
        <v>1841</v>
      </c>
      <c r="I652" s="330" t="str">
        <f>CONCATENATE(A652,",",D652)</f>
        <v>CE 461,ED4-GEOM</v>
      </c>
      <c r="J652" s="335"/>
    </row>
    <row r="653" spans="1:10" x14ac:dyDescent="0.45">
      <c r="A653" s="303" t="s">
        <v>360</v>
      </c>
      <c r="B653" s="303" t="str">
        <v>ENGINEERING ECONOMY AND ENTERPRENEURSHIP</v>
      </c>
      <c r="C653" s="304" t="str">
        <v>Appiah-Effah Eugene</v>
      </c>
      <c r="D653" s="303" t="s">
        <v>68</v>
      </c>
      <c r="E653" s="336">
        <v>245</v>
      </c>
      <c r="F653" s="366" t="s">
        <v>1418</v>
      </c>
      <c r="G653" s="358">
        <f>ROUNDUP(1.1*E653,0)</f>
        <v>270</v>
      </c>
      <c r="H653" s="329" t="s">
        <v>1473</v>
      </c>
      <c r="I653" s="330" t="str">
        <f>CONCATENATE(A653,",",D653)</f>
        <v>CE 461,ED4-CE</v>
      </c>
      <c r="J653" s="335"/>
    </row>
    <row r="654" spans="1:10" x14ac:dyDescent="0.45">
      <c r="A654" s="303" t="s">
        <v>356</v>
      </c>
      <c r="B654" s="303" t="str">
        <v>FINITE ELEMENT METHODS</v>
      </c>
      <c r="C654" s="339" t="str">
        <v>Andoh Prince Yaw</v>
      </c>
      <c r="D654" s="303" t="s">
        <v>48</v>
      </c>
      <c r="E654" s="336">
        <v>144</v>
      </c>
      <c r="F654" s="366" t="s">
        <v>149</v>
      </c>
      <c r="G654" s="358">
        <f t="shared" si="75"/>
        <v>159</v>
      </c>
      <c r="H654" s="341"/>
      <c r="I654" s="330" t="str">
        <f t="shared" si="74"/>
        <v>ME 455,ED4-ME</v>
      </c>
      <c r="J654" s="335"/>
    </row>
    <row r="655" spans="1:10" x14ac:dyDescent="0.45">
      <c r="A655" s="340"/>
      <c r="B655" s="340"/>
      <c r="C655" s="333"/>
      <c r="D655" s="303" t="s">
        <v>361</v>
      </c>
      <c r="E655" s="332">
        <f>SUM(E643:E653)</f>
        <v>1552</v>
      </c>
      <c r="F655" s="377"/>
      <c r="G655" s="358">
        <f t="shared" ref="G655" si="76">ROUNDUP(1.1*E655,0)</f>
        <v>1708</v>
      </c>
      <c r="H655" s="329"/>
      <c r="I655" s="330" t="str">
        <f t="shared" si="74"/>
        <v>,Total F6</v>
      </c>
      <c r="J655" s="335"/>
    </row>
    <row r="656" spans="1:10" x14ac:dyDescent="0.45">
      <c r="H656" s="380"/>
    </row>
  </sheetData>
  <autoFilter ref="L2" xr:uid="{00000000-0009-0000-0000-000001000000}"/>
  <mergeCells count="60">
    <mergeCell ref="A1:G1"/>
    <mergeCell ref="A2:G2"/>
    <mergeCell ref="A35:G35"/>
    <mergeCell ref="A36:G36"/>
    <mergeCell ref="A53:G53"/>
    <mergeCell ref="A131:G131"/>
    <mergeCell ref="A151:G151"/>
    <mergeCell ref="A152:G152"/>
    <mergeCell ref="A177:G177"/>
    <mergeCell ref="A54:G54"/>
    <mergeCell ref="A82:G82"/>
    <mergeCell ref="A83:G83"/>
    <mergeCell ref="A109:G109"/>
    <mergeCell ref="A110:G110"/>
    <mergeCell ref="A130:G130"/>
    <mergeCell ref="A178:G178"/>
    <mergeCell ref="A201:G201"/>
    <mergeCell ref="A322:G322"/>
    <mergeCell ref="A220:G220"/>
    <mergeCell ref="A221:G221"/>
    <mergeCell ref="A239:G239"/>
    <mergeCell ref="A240:G240"/>
    <mergeCell ref="A261:G261"/>
    <mergeCell ref="A262:G262"/>
    <mergeCell ref="A280:G280"/>
    <mergeCell ref="A202:G202"/>
    <mergeCell ref="A281:G281"/>
    <mergeCell ref="A298:G298"/>
    <mergeCell ref="A299:G299"/>
    <mergeCell ref="A321:G321"/>
    <mergeCell ref="A343:G343"/>
    <mergeCell ref="A344:G344"/>
    <mergeCell ref="A366:G366"/>
    <mergeCell ref="A367:G367"/>
    <mergeCell ref="A523:G523"/>
    <mergeCell ref="A524:G524"/>
    <mergeCell ref="A544:G544"/>
    <mergeCell ref="A545:G545"/>
    <mergeCell ref="A387:F387"/>
    <mergeCell ref="A388:G388"/>
    <mergeCell ref="A413:G413"/>
    <mergeCell ref="A414:G414"/>
    <mergeCell ref="A433:G433"/>
    <mergeCell ref="A434:G434"/>
    <mergeCell ref="A454:G454"/>
    <mergeCell ref="A478:G478"/>
    <mergeCell ref="A479:G479"/>
    <mergeCell ref="A499:G499"/>
    <mergeCell ref="A500:G500"/>
    <mergeCell ref="A453:G453"/>
    <mergeCell ref="A560:G560"/>
    <mergeCell ref="A561:G561"/>
    <mergeCell ref="A641:G641"/>
    <mergeCell ref="A582:G582"/>
    <mergeCell ref="A602:G602"/>
    <mergeCell ref="A603:G603"/>
    <mergeCell ref="A621:G621"/>
    <mergeCell ref="A622:G622"/>
    <mergeCell ref="A640:G640"/>
    <mergeCell ref="A581:G581"/>
  </mergeCells>
  <phoneticPr fontId="9" type="noConversion"/>
  <conditionalFormatting sqref="I90">
    <cfRule type="duplicateValues" dxfId="90" priority="7"/>
    <cfRule type="duplicateValues" dxfId="89" priority="8"/>
  </conditionalFormatting>
  <conditionalFormatting sqref="I103">
    <cfRule type="duplicateValues" dxfId="88" priority="3"/>
    <cfRule type="duplicateValues" dxfId="87" priority="4"/>
  </conditionalFormatting>
  <conditionalFormatting sqref="I274">
    <cfRule type="duplicateValues" dxfId="86" priority="1"/>
    <cfRule type="duplicateValues" dxfId="85" priority="2"/>
  </conditionalFormatting>
  <conditionalFormatting sqref="I416">
    <cfRule type="duplicateValues" dxfId="84" priority="11"/>
    <cfRule type="duplicateValues" dxfId="83" priority="12"/>
  </conditionalFormatting>
  <conditionalFormatting sqref="I591">
    <cfRule type="duplicateValues" dxfId="82" priority="9"/>
    <cfRule type="duplicateValues" dxfId="81" priority="10"/>
  </conditionalFormatting>
  <conditionalFormatting sqref="I592:I612 I1:I89 I91:I102 I104:I273 I275:I415 I614:I1048576 I417:I590">
    <cfRule type="duplicateValues" dxfId="80" priority="350"/>
    <cfRule type="duplicateValues" dxfId="79" priority="351"/>
  </conditionalFormatting>
  <conditionalFormatting sqref="I613">
    <cfRule type="duplicateValues" dxfId="78" priority="5"/>
    <cfRule type="duplicateValues" dxfId="77" priority="6"/>
  </conditionalFormatting>
  <pageMargins left="0.23622047244094491" right="0.23622047244094491" top="0.74803149606299213" bottom="0.74803149606299213" header="0.31496062992125984" footer="0.31496062992125984"/>
  <pageSetup paperSize="9" scale="50" fitToHeight="0" orientation="landscape" r:id="rId1"/>
  <headerFooter>
    <oddHeader xml:space="preserve">&amp;C&amp;"Times New Roman,Bold"&amp;18COLLEGE OF ENGINEERING             
FINAL MID SEMESTER EXAMINATION TIMETABLE FOR THE FIRST SEMESTER, 2025/2026 ACADEMIC YEAR
&amp;G
</oddHeader>
  </headerFooter>
  <rowBreaks count="29" manualBreakCount="29">
    <brk id="33" max="6" man="1"/>
    <brk id="51" max="6" man="1"/>
    <brk id="80" max="6" man="1"/>
    <brk id="107" max="6" man="1"/>
    <brk id="128" max="6" man="1"/>
    <brk id="149" max="6" man="1"/>
    <brk id="175" max="6" man="1"/>
    <brk id="199" max="6" man="1"/>
    <brk id="218" max="6" man="1"/>
    <brk id="237" max="6" man="1"/>
    <brk id="259" max="6" man="1"/>
    <brk id="278" max="6" man="1"/>
    <brk id="296" max="6" man="1"/>
    <brk id="319" max="6" man="1"/>
    <brk id="341" max="6" man="1"/>
    <brk id="364" max="6" man="1"/>
    <brk id="385" max="6" man="1"/>
    <brk id="411" max="6" man="1"/>
    <brk id="431" max="6" man="1"/>
    <brk id="451" max="6" man="1"/>
    <brk id="476" max="6" man="1"/>
    <brk id="497" max="6" man="1"/>
    <brk id="521" max="6" man="1"/>
    <brk id="542" max="6" man="1"/>
    <brk id="558" max="6" man="1"/>
    <brk id="579" max="6" man="1"/>
    <brk id="600" max="6" man="1"/>
    <brk id="619" max="6" man="1"/>
    <brk id="638" max="16383" man="1"/>
  </rowBreaks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B16BBF-2C84-43D5-9465-534D12D2D171}">
  <dimension ref="A1:H655"/>
  <sheetViews>
    <sheetView tabSelected="1" workbookViewId="0">
      <selection activeCell="B2" sqref="B2"/>
    </sheetView>
  </sheetViews>
  <sheetFormatPr defaultRowHeight="14.5" x14ac:dyDescent="0.35"/>
  <sheetData>
    <row r="1" spans="1:8" x14ac:dyDescent="0.35">
      <c r="A1" t="s">
        <v>1362</v>
      </c>
    </row>
    <row r="2" spans="1:8" x14ac:dyDescent="0.35">
      <c r="A2" t="s">
        <v>0</v>
      </c>
    </row>
    <row r="3" spans="1:8" x14ac:dyDescent="0.35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</row>
    <row r="4" spans="1:8" x14ac:dyDescent="0.35">
      <c r="A4" t="s">
        <v>9</v>
      </c>
      <c r="B4" t="s">
        <v>446</v>
      </c>
      <c r="C4" t="s">
        <v>1883</v>
      </c>
      <c r="D4" t="s">
        <v>10</v>
      </c>
      <c r="E4">
        <v>230</v>
      </c>
      <c r="F4" t="s">
        <v>11</v>
      </c>
      <c r="G4">
        <v>253.00000000000003</v>
      </c>
    </row>
    <row r="5" spans="1:8" x14ac:dyDescent="0.35">
      <c r="A5" t="s">
        <v>9</v>
      </c>
      <c r="B5" t="s">
        <v>446</v>
      </c>
      <c r="C5" t="s">
        <v>1883</v>
      </c>
      <c r="D5" t="s">
        <v>12</v>
      </c>
      <c r="E5">
        <v>47</v>
      </c>
      <c r="F5" t="s">
        <v>11</v>
      </c>
      <c r="G5">
        <v>51.7</v>
      </c>
    </row>
    <row r="6" spans="1:8" x14ac:dyDescent="0.35">
      <c r="A6" t="s">
        <v>9</v>
      </c>
      <c r="B6" t="s">
        <v>1884</v>
      </c>
      <c r="C6" t="s">
        <v>1883</v>
      </c>
      <c r="D6" t="s">
        <v>13</v>
      </c>
      <c r="E6">
        <v>94</v>
      </c>
      <c r="F6" t="s">
        <v>11</v>
      </c>
      <c r="G6">
        <v>103.4</v>
      </c>
    </row>
    <row r="7" spans="1:8" x14ac:dyDescent="0.35">
      <c r="A7" t="s">
        <v>9</v>
      </c>
      <c r="B7" t="s">
        <v>446</v>
      </c>
      <c r="C7" t="s">
        <v>445</v>
      </c>
      <c r="D7" t="s">
        <v>14</v>
      </c>
      <c r="E7">
        <v>76</v>
      </c>
      <c r="F7" t="s">
        <v>11</v>
      </c>
      <c r="G7">
        <v>83.600000000000009</v>
      </c>
    </row>
    <row r="8" spans="1:8" x14ac:dyDescent="0.35">
      <c r="A8" t="s">
        <v>9</v>
      </c>
      <c r="B8" t="s">
        <v>446</v>
      </c>
      <c r="C8" t="s">
        <v>445</v>
      </c>
      <c r="D8" t="s">
        <v>15</v>
      </c>
      <c r="E8">
        <v>105</v>
      </c>
      <c r="F8" t="s">
        <v>11</v>
      </c>
      <c r="G8">
        <v>115.50000000000001</v>
      </c>
    </row>
    <row r="9" spans="1:8" x14ac:dyDescent="0.35">
      <c r="A9" t="s">
        <v>9</v>
      </c>
      <c r="B9" t="s">
        <v>446</v>
      </c>
      <c r="C9" t="s">
        <v>445</v>
      </c>
      <c r="D9" t="s">
        <v>16</v>
      </c>
      <c r="E9">
        <v>154</v>
      </c>
      <c r="F9" t="s">
        <v>11</v>
      </c>
      <c r="G9">
        <v>169.4</v>
      </c>
    </row>
    <row r="10" spans="1:8" x14ac:dyDescent="0.35">
      <c r="A10" t="s">
        <v>9</v>
      </c>
      <c r="B10" t="s">
        <v>446</v>
      </c>
      <c r="C10" t="s">
        <v>445</v>
      </c>
      <c r="D10" t="s">
        <v>17</v>
      </c>
      <c r="E10">
        <v>276</v>
      </c>
      <c r="F10" t="s">
        <v>11</v>
      </c>
      <c r="G10">
        <v>303.60000000000002</v>
      </c>
    </row>
    <row r="11" spans="1:8" x14ac:dyDescent="0.35">
      <c r="A11" t="s">
        <v>9</v>
      </c>
      <c r="B11" t="s">
        <v>446</v>
      </c>
      <c r="C11" t="s">
        <v>1885</v>
      </c>
      <c r="D11" t="s">
        <v>18</v>
      </c>
      <c r="E11">
        <v>147</v>
      </c>
      <c r="F11" t="s">
        <v>11</v>
      </c>
      <c r="G11">
        <v>161.70000000000002</v>
      </c>
    </row>
    <row r="12" spans="1:8" x14ac:dyDescent="0.35">
      <c r="A12" t="s">
        <v>9</v>
      </c>
      <c r="B12" t="s">
        <v>446</v>
      </c>
      <c r="C12" t="s">
        <v>1885</v>
      </c>
      <c r="D12" t="s">
        <v>19</v>
      </c>
      <c r="E12">
        <v>254</v>
      </c>
      <c r="F12" t="s">
        <v>11</v>
      </c>
      <c r="G12">
        <v>279.40000000000003</v>
      </c>
    </row>
    <row r="13" spans="1:8" x14ac:dyDescent="0.35">
      <c r="A13" t="s">
        <v>9</v>
      </c>
      <c r="B13" t="s">
        <v>446</v>
      </c>
      <c r="C13" t="s">
        <v>1885</v>
      </c>
      <c r="D13" t="s">
        <v>20</v>
      </c>
      <c r="E13">
        <v>72</v>
      </c>
      <c r="F13" t="s">
        <v>11</v>
      </c>
      <c r="G13">
        <v>79.2</v>
      </c>
    </row>
    <row r="14" spans="1:8" x14ac:dyDescent="0.35">
      <c r="A14" t="s">
        <v>9</v>
      </c>
      <c r="B14" t="s">
        <v>446</v>
      </c>
      <c r="C14" t="s">
        <v>1885</v>
      </c>
      <c r="D14" t="s">
        <v>21</v>
      </c>
      <c r="E14">
        <v>40</v>
      </c>
      <c r="F14" t="s">
        <v>11</v>
      </c>
      <c r="G14">
        <v>44</v>
      </c>
    </row>
    <row r="15" spans="1:8" x14ac:dyDescent="0.35">
      <c r="A15" t="s">
        <v>9</v>
      </c>
      <c r="B15" t="s">
        <v>446</v>
      </c>
      <c r="C15" t="s">
        <v>445</v>
      </c>
      <c r="D15" t="s">
        <v>22</v>
      </c>
      <c r="E15">
        <v>223</v>
      </c>
      <c r="F15" t="s">
        <v>11</v>
      </c>
      <c r="G15">
        <v>245.3</v>
      </c>
    </row>
    <row r="16" spans="1:8" x14ac:dyDescent="0.35">
      <c r="A16" t="s">
        <v>27</v>
      </c>
      <c r="B16" t="s">
        <v>1886</v>
      </c>
      <c r="C16" t="s">
        <v>1887</v>
      </c>
      <c r="D16" t="s">
        <v>1384</v>
      </c>
      <c r="E16">
        <v>82</v>
      </c>
      <c r="F16" t="s">
        <v>1638</v>
      </c>
      <c r="G16">
        <v>90.2</v>
      </c>
      <c r="H16" t="s">
        <v>1855</v>
      </c>
    </row>
    <row r="17" spans="1:8" x14ac:dyDescent="0.35">
      <c r="A17" t="s">
        <v>28</v>
      </c>
      <c r="B17" t="s">
        <v>1888</v>
      </c>
      <c r="C17" t="s">
        <v>1889</v>
      </c>
      <c r="D17" t="s">
        <v>29</v>
      </c>
      <c r="E17">
        <v>16</v>
      </c>
      <c r="F17" t="s">
        <v>61</v>
      </c>
      <c r="G17">
        <v>17.600000000000001</v>
      </c>
      <c r="H17">
        <v>16</v>
      </c>
    </row>
    <row r="18" spans="1:8" x14ac:dyDescent="0.35">
      <c r="A18" t="s">
        <v>28</v>
      </c>
      <c r="B18" t="s">
        <v>1888</v>
      </c>
      <c r="C18" t="s">
        <v>1889</v>
      </c>
      <c r="D18" t="s">
        <v>30</v>
      </c>
      <c r="E18">
        <v>61</v>
      </c>
      <c r="F18" t="s">
        <v>1478</v>
      </c>
      <c r="G18">
        <v>67.100000000000009</v>
      </c>
      <c r="H18" t="s">
        <v>1856</v>
      </c>
    </row>
    <row r="19" spans="1:8" x14ac:dyDescent="0.35">
      <c r="A19" t="s">
        <v>28</v>
      </c>
      <c r="B19" t="s">
        <v>1888</v>
      </c>
      <c r="C19" t="s">
        <v>1889</v>
      </c>
      <c r="D19" t="s">
        <v>32</v>
      </c>
      <c r="E19">
        <v>35</v>
      </c>
      <c r="F19" t="s">
        <v>1410</v>
      </c>
      <c r="G19">
        <v>38.5</v>
      </c>
      <c r="H19" t="s">
        <v>1412</v>
      </c>
    </row>
    <row r="20" spans="1:8" x14ac:dyDescent="0.35">
      <c r="A20" t="s">
        <v>28</v>
      </c>
      <c r="B20" t="s">
        <v>1888</v>
      </c>
      <c r="C20" t="s">
        <v>1889</v>
      </c>
      <c r="D20" t="s">
        <v>33</v>
      </c>
      <c r="E20">
        <v>13</v>
      </c>
      <c r="F20" t="s">
        <v>61</v>
      </c>
      <c r="G20">
        <v>14.3</v>
      </c>
      <c r="H20" t="s">
        <v>1409</v>
      </c>
    </row>
    <row r="21" spans="1:8" x14ac:dyDescent="0.35">
      <c r="A21" t="s">
        <v>28</v>
      </c>
      <c r="B21" t="s">
        <v>1888</v>
      </c>
      <c r="C21" t="s">
        <v>1889</v>
      </c>
      <c r="D21" t="s">
        <v>34</v>
      </c>
      <c r="E21">
        <v>34</v>
      </c>
      <c r="F21" t="s">
        <v>1411</v>
      </c>
      <c r="G21">
        <v>37.400000000000006</v>
      </c>
      <c r="H21" t="s">
        <v>1857</v>
      </c>
    </row>
    <row r="22" spans="1:8" x14ac:dyDescent="0.35">
      <c r="A22" t="s">
        <v>28</v>
      </c>
      <c r="B22" t="s">
        <v>1888</v>
      </c>
      <c r="C22" t="s">
        <v>1889</v>
      </c>
      <c r="D22" t="s">
        <v>36</v>
      </c>
      <c r="E22">
        <v>3</v>
      </c>
      <c r="F22" t="s">
        <v>156</v>
      </c>
      <c r="G22">
        <v>3.3000000000000003</v>
      </c>
      <c r="H22" t="s">
        <v>1408</v>
      </c>
    </row>
    <row r="23" spans="1:8" x14ac:dyDescent="0.35">
      <c r="A23" t="s">
        <v>114</v>
      </c>
      <c r="B23" t="s">
        <v>1890</v>
      </c>
      <c r="C23" t="s">
        <v>1891</v>
      </c>
      <c r="D23" t="s">
        <v>115</v>
      </c>
      <c r="E23">
        <v>98</v>
      </c>
      <c r="F23" t="s">
        <v>1850</v>
      </c>
      <c r="G23">
        <v>107.80000000000001</v>
      </c>
      <c r="H23" t="s">
        <v>1858</v>
      </c>
    </row>
    <row r="24" spans="1:8" x14ac:dyDescent="0.35">
      <c r="A24" t="s">
        <v>334</v>
      </c>
      <c r="B24" t="s">
        <v>1892</v>
      </c>
      <c r="C24" t="s">
        <v>1893</v>
      </c>
      <c r="D24" t="s">
        <v>162</v>
      </c>
      <c r="E24">
        <v>136</v>
      </c>
      <c r="F24" t="s">
        <v>1406</v>
      </c>
      <c r="G24">
        <v>149.60000000000002</v>
      </c>
      <c r="H24" t="s">
        <v>1859</v>
      </c>
    </row>
    <row r="25" spans="1:8" x14ac:dyDescent="0.35">
      <c r="A25" t="s">
        <v>83</v>
      </c>
      <c r="B25" t="s">
        <v>1894</v>
      </c>
      <c r="C25" t="s">
        <v>1895</v>
      </c>
      <c r="D25" t="s">
        <v>84</v>
      </c>
      <c r="E25">
        <v>134</v>
      </c>
      <c r="F25" t="s">
        <v>1851</v>
      </c>
      <c r="G25">
        <v>147.4</v>
      </c>
      <c r="H25" t="s">
        <v>1860</v>
      </c>
    </row>
    <row r="26" spans="1:8" x14ac:dyDescent="0.35">
      <c r="A26" t="s">
        <v>65</v>
      </c>
      <c r="B26" t="s">
        <v>1896</v>
      </c>
      <c r="C26" t="s">
        <v>1897</v>
      </c>
      <c r="D26" t="s">
        <v>66</v>
      </c>
      <c r="E26">
        <v>100</v>
      </c>
      <c r="F26" t="s">
        <v>1852</v>
      </c>
      <c r="G26">
        <v>110.00000000000001</v>
      </c>
      <c r="H26" t="s">
        <v>1861</v>
      </c>
    </row>
    <row r="27" spans="1:8" x14ac:dyDescent="0.35">
      <c r="A27" t="s">
        <v>57</v>
      </c>
      <c r="B27" t="s">
        <v>1898</v>
      </c>
      <c r="C27" t="s">
        <v>1899</v>
      </c>
      <c r="D27" t="s">
        <v>58</v>
      </c>
      <c r="E27">
        <v>287</v>
      </c>
      <c r="F27" t="s">
        <v>1413</v>
      </c>
      <c r="G27">
        <v>315.70000000000005</v>
      </c>
      <c r="H27" t="s">
        <v>1493</v>
      </c>
    </row>
    <row r="28" spans="1:8" x14ac:dyDescent="0.35">
      <c r="A28" t="s">
        <v>49</v>
      </c>
      <c r="B28" t="s">
        <v>1900</v>
      </c>
      <c r="C28" t="s">
        <v>1901</v>
      </c>
      <c r="D28" t="s">
        <v>50</v>
      </c>
      <c r="E28">
        <v>102</v>
      </c>
      <c r="F28" t="s">
        <v>1459</v>
      </c>
      <c r="G28">
        <v>112.2</v>
      </c>
      <c r="H28" t="s">
        <v>1448</v>
      </c>
    </row>
    <row r="29" spans="1:8" x14ac:dyDescent="0.35">
      <c r="A29" t="s">
        <v>51</v>
      </c>
      <c r="B29" t="s">
        <v>1902</v>
      </c>
      <c r="C29" t="s">
        <v>1903</v>
      </c>
      <c r="D29" t="s">
        <v>1385</v>
      </c>
      <c r="E29">
        <v>103</v>
      </c>
      <c r="F29" t="s">
        <v>1414</v>
      </c>
      <c r="G29">
        <v>113.30000000000001</v>
      </c>
      <c r="H29" t="s">
        <v>1862</v>
      </c>
    </row>
    <row r="30" spans="1:8" x14ac:dyDescent="0.35">
      <c r="A30" t="s">
        <v>461</v>
      </c>
      <c r="B30" t="s">
        <v>1904</v>
      </c>
      <c r="C30" t="s">
        <v>1905</v>
      </c>
      <c r="D30" t="s">
        <v>101</v>
      </c>
      <c r="E30">
        <v>260</v>
      </c>
      <c r="F30" t="s">
        <v>1853</v>
      </c>
      <c r="G30">
        <v>286</v>
      </c>
      <c r="H30" t="s">
        <v>1863</v>
      </c>
    </row>
    <row r="31" spans="1:8" x14ac:dyDescent="0.35">
      <c r="A31" t="s">
        <v>265</v>
      </c>
      <c r="B31" t="s">
        <v>1906</v>
      </c>
      <c r="C31" t="s">
        <v>1907</v>
      </c>
      <c r="D31" t="s">
        <v>126</v>
      </c>
      <c r="E31">
        <v>154</v>
      </c>
      <c r="F31" t="s">
        <v>1854</v>
      </c>
      <c r="G31">
        <v>169.4</v>
      </c>
      <c r="H31" t="s">
        <v>1864</v>
      </c>
    </row>
    <row r="32" spans="1:8" x14ac:dyDescent="0.35">
      <c r="D32" t="s">
        <v>53</v>
      </c>
      <c r="E32">
        <v>1618</v>
      </c>
    </row>
    <row r="35" spans="1:8" x14ac:dyDescent="0.35">
      <c r="A35" t="s">
        <v>1362</v>
      </c>
    </row>
    <row r="36" spans="1:8" x14ac:dyDescent="0.35">
      <c r="A36" t="s">
        <v>54</v>
      </c>
    </row>
    <row r="37" spans="1:8" x14ac:dyDescent="0.35">
      <c r="A37" t="s">
        <v>2</v>
      </c>
      <c r="B37" t="s">
        <v>3</v>
      </c>
      <c r="C37" t="s">
        <v>4</v>
      </c>
      <c r="D37" t="s">
        <v>5</v>
      </c>
      <c r="E37" t="s">
        <v>6</v>
      </c>
      <c r="F37" t="s">
        <v>7</v>
      </c>
      <c r="G37" t="s">
        <v>8</v>
      </c>
    </row>
    <row r="38" spans="1:8" x14ac:dyDescent="0.35">
      <c r="A38" t="s">
        <v>55</v>
      </c>
      <c r="B38" t="s">
        <v>1908</v>
      </c>
      <c r="C38" t="s">
        <v>1909</v>
      </c>
      <c r="D38" t="s">
        <v>56</v>
      </c>
      <c r="E38">
        <v>224</v>
      </c>
      <c r="F38" t="s">
        <v>1773</v>
      </c>
      <c r="G38">
        <v>246.40000000000003</v>
      </c>
      <c r="H38" t="s">
        <v>1795</v>
      </c>
    </row>
    <row r="39" spans="1:8" x14ac:dyDescent="0.35">
      <c r="A39" t="s">
        <v>59</v>
      </c>
      <c r="B39" t="s">
        <v>1910</v>
      </c>
      <c r="C39" t="s">
        <v>1911</v>
      </c>
      <c r="D39" t="s">
        <v>60</v>
      </c>
      <c r="E39">
        <v>170</v>
      </c>
      <c r="F39" t="s">
        <v>1424</v>
      </c>
      <c r="G39">
        <v>187.00000000000003</v>
      </c>
      <c r="H39" t="s">
        <v>1763</v>
      </c>
    </row>
    <row r="40" spans="1:8" x14ac:dyDescent="0.35">
      <c r="A40" t="s">
        <v>62</v>
      </c>
      <c r="B40" t="s">
        <v>456</v>
      </c>
      <c r="C40" t="s">
        <v>1912</v>
      </c>
      <c r="D40" t="s">
        <v>63</v>
      </c>
      <c r="E40">
        <v>154</v>
      </c>
      <c r="F40" t="s">
        <v>1424</v>
      </c>
      <c r="G40">
        <v>169.4</v>
      </c>
      <c r="H40" t="s">
        <v>1764</v>
      </c>
    </row>
    <row r="41" spans="1:8" x14ac:dyDescent="0.35">
      <c r="A41" t="s">
        <v>62</v>
      </c>
      <c r="B41" t="s">
        <v>456</v>
      </c>
      <c r="C41" t="s">
        <v>1913</v>
      </c>
      <c r="D41" t="s">
        <v>64</v>
      </c>
      <c r="E41">
        <v>59</v>
      </c>
      <c r="F41" t="s">
        <v>1478</v>
      </c>
      <c r="G41">
        <v>64.900000000000006</v>
      </c>
      <c r="H41" t="s">
        <v>1866</v>
      </c>
    </row>
    <row r="42" spans="1:8" x14ac:dyDescent="0.35">
      <c r="A42" t="s">
        <v>67</v>
      </c>
      <c r="B42" t="s">
        <v>1914</v>
      </c>
      <c r="C42" t="s">
        <v>1915</v>
      </c>
      <c r="D42" t="s">
        <v>68</v>
      </c>
      <c r="E42">
        <v>245</v>
      </c>
      <c r="F42" t="s">
        <v>1418</v>
      </c>
      <c r="G42">
        <v>269.5</v>
      </c>
      <c r="H42" t="s">
        <v>1473</v>
      </c>
    </row>
    <row r="43" spans="1:8" x14ac:dyDescent="0.35">
      <c r="A43" t="s">
        <v>45</v>
      </c>
      <c r="B43" t="s">
        <v>1916</v>
      </c>
      <c r="C43" t="s">
        <v>1917</v>
      </c>
      <c r="D43" t="s">
        <v>46</v>
      </c>
      <c r="E43">
        <v>84</v>
      </c>
      <c r="F43" t="s">
        <v>1420</v>
      </c>
      <c r="G43">
        <v>92.4</v>
      </c>
      <c r="H43" t="s">
        <v>1585</v>
      </c>
    </row>
    <row r="44" spans="1:8" x14ac:dyDescent="0.35">
      <c r="A44" t="s">
        <v>122</v>
      </c>
      <c r="B44" t="s">
        <v>1918</v>
      </c>
      <c r="C44" t="s">
        <v>1919</v>
      </c>
      <c r="D44" t="s">
        <v>31</v>
      </c>
      <c r="E44">
        <v>83</v>
      </c>
      <c r="F44" t="s">
        <v>1776</v>
      </c>
      <c r="G44">
        <v>91.300000000000011</v>
      </c>
      <c r="H44" t="s">
        <v>1867</v>
      </c>
    </row>
    <row r="45" spans="1:8" x14ac:dyDescent="0.35">
      <c r="A45" t="s">
        <v>122</v>
      </c>
      <c r="B45" t="s">
        <v>1918</v>
      </c>
      <c r="C45" t="s">
        <v>1919</v>
      </c>
      <c r="D45" t="s">
        <v>123</v>
      </c>
      <c r="E45">
        <v>89</v>
      </c>
      <c r="F45" t="s">
        <v>1792</v>
      </c>
      <c r="G45">
        <v>97.9</v>
      </c>
      <c r="H45" t="s">
        <v>1793</v>
      </c>
    </row>
    <row r="46" spans="1:8" x14ac:dyDescent="0.35">
      <c r="A46" t="s">
        <v>70</v>
      </c>
      <c r="B46" t="s">
        <v>1920</v>
      </c>
      <c r="C46" t="s">
        <v>1913</v>
      </c>
      <c r="D46" t="s">
        <v>71</v>
      </c>
      <c r="E46">
        <v>51</v>
      </c>
      <c r="F46" t="s">
        <v>1865</v>
      </c>
      <c r="G46">
        <v>56.1</v>
      </c>
      <c r="H46" t="s">
        <v>1466</v>
      </c>
    </row>
    <row r="47" spans="1:8" x14ac:dyDescent="0.35">
      <c r="A47" t="s">
        <v>1789</v>
      </c>
      <c r="B47" t="s">
        <v>1921</v>
      </c>
      <c r="C47" t="s">
        <v>1922</v>
      </c>
      <c r="D47" t="s">
        <v>82</v>
      </c>
      <c r="E47">
        <v>340</v>
      </c>
      <c r="F47" t="s">
        <v>1791</v>
      </c>
      <c r="G47">
        <v>374.00000000000006</v>
      </c>
      <c r="H47" t="s">
        <v>1790</v>
      </c>
    </row>
    <row r="48" spans="1:8" x14ac:dyDescent="0.35">
      <c r="A48" t="s">
        <v>1377</v>
      </c>
      <c r="B48" t="s">
        <v>1923</v>
      </c>
      <c r="C48" t="s">
        <v>1924</v>
      </c>
      <c r="D48" t="s">
        <v>52</v>
      </c>
      <c r="E48">
        <v>142</v>
      </c>
      <c r="F48" t="s">
        <v>505</v>
      </c>
      <c r="G48">
        <v>156.20000000000002</v>
      </c>
      <c r="H48" t="s">
        <v>1762</v>
      </c>
    </row>
    <row r="49" spans="1:8" x14ac:dyDescent="0.35">
      <c r="A49" t="s">
        <v>451</v>
      </c>
      <c r="B49" t="s">
        <v>1925</v>
      </c>
      <c r="C49" t="s">
        <v>1926</v>
      </c>
      <c r="D49" t="s">
        <v>131</v>
      </c>
      <c r="E49">
        <v>103</v>
      </c>
      <c r="F49" t="s">
        <v>1516</v>
      </c>
      <c r="G49">
        <v>113.30000000000001</v>
      </c>
      <c r="H49" t="s">
        <v>1512</v>
      </c>
    </row>
    <row r="50" spans="1:8" x14ac:dyDescent="0.35">
      <c r="D50" t="s">
        <v>72</v>
      </c>
      <c r="E50">
        <v>1744</v>
      </c>
    </row>
    <row r="53" spans="1:8" x14ac:dyDescent="0.35">
      <c r="A53" t="s">
        <v>1362</v>
      </c>
    </row>
    <row r="54" spans="1:8" x14ac:dyDescent="0.35">
      <c r="A54" t="s">
        <v>73</v>
      </c>
    </row>
    <row r="55" spans="1:8" x14ac:dyDescent="0.35">
      <c r="A55" t="s">
        <v>2</v>
      </c>
      <c r="B55" t="s">
        <v>3</v>
      </c>
      <c r="C55" t="s">
        <v>4</v>
      </c>
      <c r="D55" t="s">
        <v>5</v>
      </c>
      <c r="E55" t="s">
        <v>6</v>
      </c>
      <c r="F55" t="s">
        <v>7</v>
      </c>
      <c r="G55" t="s">
        <v>8</v>
      </c>
    </row>
    <row r="56" spans="1:8" x14ac:dyDescent="0.35">
      <c r="A56" t="s">
        <v>412</v>
      </c>
      <c r="B56" t="s">
        <v>413</v>
      </c>
      <c r="C56" t="s">
        <v>1848</v>
      </c>
      <c r="D56" t="s">
        <v>41</v>
      </c>
      <c r="E56">
        <v>46</v>
      </c>
      <c r="F56" t="s">
        <v>149</v>
      </c>
      <c r="G56">
        <v>50.6</v>
      </c>
    </row>
    <row r="57" spans="1:8" x14ac:dyDescent="0.35">
      <c r="A57" t="s">
        <v>412</v>
      </c>
      <c r="B57" t="s">
        <v>413</v>
      </c>
      <c r="C57" t="s">
        <v>1848</v>
      </c>
      <c r="D57" t="s">
        <v>164</v>
      </c>
      <c r="E57">
        <v>223</v>
      </c>
      <c r="F57" t="s">
        <v>149</v>
      </c>
      <c r="G57">
        <v>245.3</v>
      </c>
    </row>
    <row r="58" spans="1:8" x14ac:dyDescent="0.35">
      <c r="A58" t="s">
        <v>412</v>
      </c>
      <c r="B58" t="s">
        <v>413</v>
      </c>
      <c r="C58" t="s">
        <v>1848</v>
      </c>
      <c r="D58" t="s">
        <v>36</v>
      </c>
      <c r="E58">
        <v>119</v>
      </c>
      <c r="F58" t="s">
        <v>149</v>
      </c>
      <c r="G58">
        <v>130.9</v>
      </c>
    </row>
    <row r="59" spans="1:8" x14ac:dyDescent="0.35">
      <c r="A59" t="s">
        <v>412</v>
      </c>
      <c r="B59" t="s">
        <v>413</v>
      </c>
      <c r="C59" t="s">
        <v>1927</v>
      </c>
      <c r="D59" t="s">
        <v>183</v>
      </c>
      <c r="E59">
        <v>129</v>
      </c>
      <c r="F59" t="s">
        <v>149</v>
      </c>
      <c r="G59">
        <v>141.9</v>
      </c>
    </row>
    <row r="60" spans="1:8" x14ac:dyDescent="0.35">
      <c r="A60" t="s">
        <v>412</v>
      </c>
      <c r="B60" t="s">
        <v>413</v>
      </c>
      <c r="C60" t="s">
        <v>1848</v>
      </c>
      <c r="D60" t="s">
        <v>161</v>
      </c>
      <c r="E60">
        <v>81</v>
      </c>
      <c r="F60" t="s">
        <v>149</v>
      </c>
      <c r="G60">
        <v>89.100000000000009</v>
      </c>
    </row>
    <row r="61" spans="1:8" x14ac:dyDescent="0.35">
      <c r="A61" t="s">
        <v>412</v>
      </c>
      <c r="B61" t="s">
        <v>413</v>
      </c>
      <c r="C61" t="s">
        <v>1928</v>
      </c>
      <c r="D61" t="s">
        <v>166</v>
      </c>
      <c r="E61">
        <v>88</v>
      </c>
      <c r="F61" t="s">
        <v>149</v>
      </c>
      <c r="G61">
        <v>96.800000000000011</v>
      </c>
    </row>
    <row r="62" spans="1:8" x14ac:dyDescent="0.35">
      <c r="A62" t="s">
        <v>412</v>
      </c>
      <c r="B62" t="s">
        <v>413</v>
      </c>
      <c r="C62" t="s">
        <v>1927</v>
      </c>
      <c r="D62" t="s">
        <v>165</v>
      </c>
      <c r="E62">
        <v>242</v>
      </c>
      <c r="F62" t="s">
        <v>149</v>
      </c>
      <c r="G62">
        <v>266.20000000000005</v>
      </c>
    </row>
    <row r="63" spans="1:8" x14ac:dyDescent="0.35">
      <c r="A63" t="s">
        <v>74</v>
      </c>
      <c r="B63" t="s">
        <v>1929</v>
      </c>
      <c r="C63" t="s">
        <v>1930</v>
      </c>
      <c r="D63" t="s">
        <v>75</v>
      </c>
      <c r="E63">
        <v>32</v>
      </c>
      <c r="F63" t="s">
        <v>466</v>
      </c>
      <c r="G63">
        <v>35.200000000000003</v>
      </c>
      <c r="H63" t="s">
        <v>1426</v>
      </c>
    </row>
    <row r="64" spans="1:8" x14ac:dyDescent="0.35">
      <c r="A64" t="s">
        <v>76</v>
      </c>
      <c r="B64" t="s">
        <v>1931</v>
      </c>
      <c r="C64" t="s">
        <v>1932</v>
      </c>
      <c r="D64" t="s">
        <v>1383</v>
      </c>
      <c r="E64">
        <v>97</v>
      </c>
      <c r="F64" t="s">
        <v>1868</v>
      </c>
      <c r="G64">
        <v>106.7</v>
      </c>
      <c r="H64" t="s">
        <v>1526</v>
      </c>
    </row>
    <row r="65" spans="1:8" x14ac:dyDescent="0.35">
      <c r="A65" t="s">
        <v>77</v>
      </c>
      <c r="B65" t="s">
        <v>1933</v>
      </c>
      <c r="C65" t="s">
        <v>1934</v>
      </c>
      <c r="D65" t="s">
        <v>78</v>
      </c>
      <c r="E65">
        <v>93</v>
      </c>
      <c r="F65" t="s">
        <v>1700</v>
      </c>
      <c r="G65">
        <v>102.30000000000001</v>
      </c>
      <c r="H65" t="s">
        <v>1665</v>
      </c>
    </row>
    <row r="66" spans="1:8" x14ac:dyDescent="0.35">
      <c r="A66" t="s">
        <v>79</v>
      </c>
      <c r="B66" t="s">
        <v>1935</v>
      </c>
      <c r="C66" t="s">
        <v>1936</v>
      </c>
      <c r="D66" t="s">
        <v>80</v>
      </c>
      <c r="E66">
        <v>67</v>
      </c>
      <c r="F66" t="s">
        <v>1814</v>
      </c>
      <c r="G66">
        <v>73.7</v>
      </c>
      <c r="H66" t="s">
        <v>1622</v>
      </c>
    </row>
    <row r="67" spans="1:8" x14ac:dyDescent="0.35">
      <c r="A67" t="s">
        <v>85</v>
      </c>
      <c r="B67" t="s">
        <v>1937</v>
      </c>
      <c r="C67" t="s">
        <v>1938</v>
      </c>
      <c r="D67" t="s">
        <v>86</v>
      </c>
      <c r="E67">
        <v>114</v>
      </c>
      <c r="F67" t="s">
        <v>1431</v>
      </c>
      <c r="G67">
        <v>125.4</v>
      </c>
      <c r="H67" t="s">
        <v>1874</v>
      </c>
    </row>
    <row r="68" spans="1:8" x14ac:dyDescent="0.35">
      <c r="A68" t="s">
        <v>85</v>
      </c>
      <c r="B68" t="s">
        <v>1937</v>
      </c>
      <c r="C68" t="s">
        <v>1938</v>
      </c>
      <c r="D68" t="s">
        <v>87</v>
      </c>
      <c r="E68">
        <v>8</v>
      </c>
      <c r="F68">
        <v>206</v>
      </c>
      <c r="G68">
        <v>8.8000000000000007</v>
      </c>
      <c r="H68" t="s">
        <v>1427</v>
      </c>
    </row>
    <row r="69" spans="1:8" x14ac:dyDescent="0.35">
      <c r="A69" t="s">
        <v>88</v>
      </c>
      <c r="B69" t="s">
        <v>1939</v>
      </c>
      <c r="C69" t="s">
        <v>1940</v>
      </c>
      <c r="D69" t="s">
        <v>33</v>
      </c>
      <c r="E69">
        <v>80</v>
      </c>
      <c r="F69" t="s">
        <v>1429</v>
      </c>
      <c r="G69">
        <v>88</v>
      </c>
      <c r="H69" t="s">
        <v>1430</v>
      </c>
    </row>
    <row r="70" spans="1:8" x14ac:dyDescent="0.35">
      <c r="A70" t="s">
        <v>88</v>
      </c>
      <c r="B70" t="s">
        <v>1939</v>
      </c>
      <c r="C70" t="s">
        <v>1940</v>
      </c>
      <c r="D70" t="s">
        <v>89</v>
      </c>
      <c r="E70">
        <v>59</v>
      </c>
      <c r="F70" t="s">
        <v>1869</v>
      </c>
      <c r="G70">
        <v>64.900000000000006</v>
      </c>
      <c r="H70" t="s">
        <v>1875</v>
      </c>
    </row>
    <row r="71" spans="1:8" x14ac:dyDescent="0.35">
      <c r="A71" t="s">
        <v>90</v>
      </c>
      <c r="B71" t="s">
        <v>1941</v>
      </c>
      <c r="C71" t="s">
        <v>1942</v>
      </c>
      <c r="D71" t="s">
        <v>44</v>
      </c>
      <c r="E71">
        <v>61</v>
      </c>
      <c r="F71" t="s">
        <v>1433</v>
      </c>
      <c r="G71">
        <v>67.100000000000009</v>
      </c>
      <c r="H71" t="s">
        <v>1435</v>
      </c>
    </row>
    <row r="72" spans="1:8" x14ac:dyDescent="0.35">
      <c r="A72" t="s">
        <v>90</v>
      </c>
      <c r="B72" t="s">
        <v>1941</v>
      </c>
      <c r="C72" t="s">
        <v>1942</v>
      </c>
      <c r="D72" t="s">
        <v>48</v>
      </c>
      <c r="E72">
        <v>144</v>
      </c>
      <c r="F72" t="s">
        <v>1424</v>
      </c>
      <c r="G72">
        <v>158.4</v>
      </c>
      <c r="H72" t="s">
        <v>1425</v>
      </c>
    </row>
    <row r="73" spans="1:8" x14ac:dyDescent="0.35">
      <c r="A73" t="s">
        <v>38</v>
      </c>
      <c r="B73" t="s">
        <v>418</v>
      </c>
      <c r="C73" t="s">
        <v>1943</v>
      </c>
      <c r="D73" t="s">
        <v>1382</v>
      </c>
      <c r="E73">
        <v>129</v>
      </c>
      <c r="F73" t="s">
        <v>1424</v>
      </c>
      <c r="G73">
        <v>141.9</v>
      </c>
      <c r="H73" t="s">
        <v>1876</v>
      </c>
    </row>
    <row r="74" spans="1:8" x14ac:dyDescent="0.35">
      <c r="A74" t="s">
        <v>38</v>
      </c>
      <c r="B74" t="s">
        <v>418</v>
      </c>
      <c r="C74" t="s">
        <v>1943</v>
      </c>
      <c r="D74" t="s">
        <v>39</v>
      </c>
      <c r="E74">
        <v>72</v>
      </c>
      <c r="F74" t="s">
        <v>1870</v>
      </c>
      <c r="G74">
        <v>79.2</v>
      </c>
      <c r="H74" t="s">
        <v>1877</v>
      </c>
    </row>
    <row r="75" spans="1:8" x14ac:dyDescent="0.35">
      <c r="A75" t="s">
        <v>38</v>
      </c>
      <c r="B75" t="s">
        <v>418</v>
      </c>
      <c r="C75" t="s">
        <v>1943</v>
      </c>
      <c r="D75" t="s">
        <v>40</v>
      </c>
      <c r="E75">
        <v>70</v>
      </c>
      <c r="F75" t="s">
        <v>1871</v>
      </c>
      <c r="G75">
        <v>77</v>
      </c>
      <c r="H75" t="s">
        <v>1421</v>
      </c>
    </row>
    <row r="76" spans="1:8" x14ac:dyDescent="0.35">
      <c r="A76" t="s">
        <v>151</v>
      </c>
      <c r="B76" t="s">
        <v>1944</v>
      </c>
      <c r="C76" t="s">
        <v>1945</v>
      </c>
      <c r="D76" t="s">
        <v>142</v>
      </c>
      <c r="E76">
        <v>155</v>
      </c>
      <c r="F76" t="s">
        <v>1872</v>
      </c>
      <c r="G76">
        <v>170.5</v>
      </c>
      <c r="H76" t="s">
        <v>1878</v>
      </c>
    </row>
    <row r="77" spans="1:8" x14ac:dyDescent="0.35">
      <c r="A77" t="s">
        <v>94</v>
      </c>
      <c r="B77" t="s">
        <v>1946</v>
      </c>
      <c r="C77" t="s">
        <v>1947</v>
      </c>
      <c r="D77" t="s">
        <v>95</v>
      </c>
      <c r="E77">
        <v>49</v>
      </c>
      <c r="F77" t="s">
        <v>466</v>
      </c>
      <c r="G77">
        <v>53.900000000000006</v>
      </c>
      <c r="H77" t="s">
        <v>1428</v>
      </c>
    </row>
    <row r="78" spans="1:8" x14ac:dyDescent="0.35">
      <c r="A78" t="s">
        <v>96</v>
      </c>
      <c r="B78" t="s">
        <v>1946</v>
      </c>
      <c r="C78" t="s">
        <v>1947</v>
      </c>
      <c r="D78" t="s">
        <v>97</v>
      </c>
      <c r="E78">
        <v>64</v>
      </c>
      <c r="F78" t="s">
        <v>505</v>
      </c>
      <c r="G78">
        <v>70.400000000000006</v>
      </c>
      <c r="H78" t="s">
        <v>1849</v>
      </c>
    </row>
    <row r="79" spans="1:8" x14ac:dyDescent="0.35">
      <c r="D79" t="s">
        <v>98</v>
      </c>
      <c r="E79">
        <v>1294</v>
      </c>
    </row>
    <row r="82" spans="1:8" x14ac:dyDescent="0.35">
      <c r="A82" t="s">
        <v>1362</v>
      </c>
    </row>
    <row r="83" spans="1:8" x14ac:dyDescent="0.35">
      <c r="A83" t="s">
        <v>99</v>
      </c>
    </row>
    <row r="84" spans="1:8" x14ac:dyDescent="0.35">
      <c r="A84" t="s">
        <v>2</v>
      </c>
      <c r="B84" t="s">
        <v>3</v>
      </c>
      <c r="C84" t="s">
        <v>4</v>
      </c>
      <c r="D84" t="s">
        <v>5</v>
      </c>
      <c r="E84" t="s">
        <v>6</v>
      </c>
      <c r="F84" t="s">
        <v>7</v>
      </c>
      <c r="G84" t="s">
        <v>8</v>
      </c>
    </row>
    <row r="85" spans="1:8" x14ac:dyDescent="0.35">
      <c r="A85" t="s">
        <v>412</v>
      </c>
      <c r="B85" t="s">
        <v>413</v>
      </c>
      <c r="C85" t="s">
        <v>1928</v>
      </c>
      <c r="D85" t="s">
        <v>103</v>
      </c>
      <c r="E85">
        <v>120</v>
      </c>
      <c r="F85" t="s">
        <v>149</v>
      </c>
      <c r="G85">
        <v>132</v>
      </c>
    </row>
    <row r="86" spans="1:8" x14ac:dyDescent="0.35">
      <c r="A86" t="s">
        <v>412</v>
      </c>
      <c r="B86" t="s">
        <v>413</v>
      </c>
      <c r="C86" t="s">
        <v>1848</v>
      </c>
      <c r="D86" t="s">
        <v>104</v>
      </c>
      <c r="E86">
        <v>56</v>
      </c>
      <c r="F86" t="s">
        <v>149</v>
      </c>
      <c r="G86">
        <v>61.600000000000009</v>
      </c>
    </row>
    <row r="87" spans="1:8" x14ac:dyDescent="0.35">
      <c r="A87" t="s">
        <v>412</v>
      </c>
      <c r="B87" t="s">
        <v>413</v>
      </c>
      <c r="C87" t="s">
        <v>1927</v>
      </c>
      <c r="D87" t="s">
        <v>162</v>
      </c>
      <c r="E87">
        <v>136</v>
      </c>
      <c r="F87" t="s">
        <v>149</v>
      </c>
      <c r="G87">
        <v>149.60000000000002</v>
      </c>
    </row>
    <row r="88" spans="1:8" x14ac:dyDescent="0.35">
      <c r="A88" t="s">
        <v>412</v>
      </c>
      <c r="B88" t="s">
        <v>413</v>
      </c>
      <c r="C88" t="s">
        <v>1927</v>
      </c>
      <c r="D88" t="s">
        <v>69</v>
      </c>
      <c r="E88">
        <v>261</v>
      </c>
      <c r="F88" t="s">
        <v>149</v>
      </c>
      <c r="G88">
        <v>287.10000000000002</v>
      </c>
    </row>
    <row r="89" spans="1:8" x14ac:dyDescent="0.35">
      <c r="A89" t="s">
        <v>412</v>
      </c>
      <c r="B89" t="s">
        <v>413</v>
      </c>
      <c r="C89" t="s">
        <v>1848</v>
      </c>
      <c r="D89" t="s">
        <v>66</v>
      </c>
      <c r="E89">
        <v>100</v>
      </c>
      <c r="F89" t="s">
        <v>149</v>
      </c>
      <c r="G89">
        <v>110.00000000000001</v>
      </c>
    </row>
    <row r="90" spans="1:8" x14ac:dyDescent="0.35">
      <c r="A90" t="s">
        <v>412</v>
      </c>
      <c r="B90" t="s">
        <v>413</v>
      </c>
      <c r="C90" t="s">
        <v>1848</v>
      </c>
      <c r="D90" t="s">
        <v>163</v>
      </c>
      <c r="E90">
        <v>126</v>
      </c>
      <c r="F90" t="s">
        <v>149</v>
      </c>
      <c r="G90">
        <v>138.60000000000002</v>
      </c>
    </row>
    <row r="91" spans="1:8" x14ac:dyDescent="0.35">
      <c r="A91" t="s">
        <v>412</v>
      </c>
      <c r="B91" t="s">
        <v>413</v>
      </c>
      <c r="C91" t="s">
        <v>1928</v>
      </c>
      <c r="D91" t="s">
        <v>58</v>
      </c>
      <c r="E91">
        <v>287</v>
      </c>
      <c r="F91" t="s">
        <v>149</v>
      </c>
      <c r="G91">
        <v>315.70000000000005</v>
      </c>
    </row>
    <row r="92" spans="1:8" x14ac:dyDescent="0.35">
      <c r="A92" t="s">
        <v>111</v>
      </c>
      <c r="B92" t="s">
        <v>1948</v>
      </c>
      <c r="C92" t="s">
        <v>1949</v>
      </c>
      <c r="D92" t="s">
        <v>24</v>
      </c>
      <c r="E92">
        <v>37</v>
      </c>
      <c r="F92" t="s">
        <v>1422</v>
      </c>
      <c r="G92">
        <v>40.700000000000003</v>
      </c>
      <c r="H92" t="s">
        <v>1441</v>
      </c>
    </row>
    <row r="93" spans="1:8" x14ac:dyDescent="0.35">
      <c r="A93" t="s">
        <v>107</v>
      </c>
      <c r="B93" t="s">
        <v>450</v>
      </c>
      <c r="C93" t="s">
        <v>449</v>
      </c>
      <c r="D93" t="s">
        <v>14</v>
      </c>
      <c r="E93">
        <v>76</v>
      </c>
      <c r="F93" t="s">
        <v>1451</v>
      </c>
      <c r="G93">
        <v>83.600000000000009</v>
      </c>
      <c r="H93" t="s">
        <v>1452</v>
      </c>
    </row>
    <row r="94" spans="1:8" x14ac:dyDescent="0.35">
      <c r="A94" t="s">
        <v>107</v>
      </c>
      <c r="B94" t="s">
        <v>1950</v>
      </c>
      <c r="C94" t="s">
        <v>1513</v>
      </c>
      <c r="D94" t="s">
        <v>10</v>
      </c>
      <c r="E94">
        <v>230</v>
      </c>
      <c r="F94" t="s">
        <v>1407</v>
      </c>
      <c r="G94">
        <v>253.00000000000003</v>
      </c>
      <c r="H94" t="s">
        <v>1442</v>
      </c>
    </row>
    <row r="95" spans="1:8" x14ac:dyDescent="0.35">
      <c r="A95" t="s">
        <v>107</v>
      </c>
      <c r="B95" t="s">
        <v>450</v>
      </c>
      <c r="C95" t="s">
        <v>1513</v>
      </c>
      <c r="D95" t="s">
        <v>21</v>
      </c>
      <c r="E95">
        <v>40</v>
      </c>
      <c r="F95" t="s">
        <v>1439</v>
      </c>
      <c r="G95">
        <v>44</v>
      </c>
      <c r="H95" t="s">
        <v>1440</v>
      </c>
    </row>
    <row r="96" spans="1:8" x14ac:dyDescent="0.35">
      <c r="A96" t="s">
        <v>109</v>
      </c>
      <c r="B96" t="s">
        <v>1951</v>
      </c>
      <c r="C96" t="s">
        <v>1952</v>
      </c>
      <c r="D96" t="s">
        <v>29</v>
      </c>
      <c r="E96">
        <v>87</v>
      </c>
      <c r="F96" t="s">
        <v>1457</v>
      </c>
      <c r="G96">
        <v>95.7</v>
      </c>
      <c r="H96" t="s">
        <v>1458</v>
      </c>
    </row>
    <row r="97" spans="1:8" x14ac:dyDescent="0.35">
      <c r="A97" t="s">
        <v>100</v>
      </c>
      <c r="B97" t="s">
        <v>1953</v>
      </c>
      <c r="C97" t="s">
        <v>1954</v>
      </c>
      <c r="D97" t="s">
        <v>101</v>
      </c>
      <c r="E97">
        <v>260</v>
      </c>
      <c r="F97" t="s">
        <v>1436</v>
      </c>
      <c r="G97">
        <v>286</v>
      </c>
      <c r="H97" t="s">
        <v>1437</v>
      </c>
    </row>
    <row r="98" spans="1:8" x14ac:dyDescent="0.35">
      <c r="A98" t="s">
        <v>110</v>
      </c>
      <c r="B98" t="s">
        <v>1955</v>
      </c>
      <c r="C98" t="s">
        <v>1956</v>
      </c>
      <c r="D98" t="s">
        <v>19</v>
      </c>
      <c r="E98">
        <v>254</v>
      </c>
      <c r="F98" t="s">
        <v>1418</v>
      </c>
      <c r="G98">
        <v>279.40000000000003</v>
      </c>
      <c r="H98" t="s">
        <v>1438</v>
      </c>
    </row>
    <row r="99" spans="1:8" x14ac:dyDescent="0.35">
      <c r="A99" t="s">
        <v>93</v>
      </c>
      <c r="B99" t="s">
        <v>1957</v>
      </c>
      <c r="C99" t="s">
        <v>1958</v>
      </c>
      <c r="D99" t="s">
        <v>50</v>
      </c>
      <c r="E99">
        <v>102</v>
      </c>
      <c r="F99" t="s">
        <v>1447</v>
      </c>
      <c r="G99">
        <v>112.2</v>
      </c>
      <c r="H99" t="s">
        <v>1448</v>
      </c>
    </row>
    <row r="100" spans="1:8" x14ac:dyDescent="0.35">
      <c r="A100" t="s">
        <v>91</v>
      </c>
      <c r="B100" t="s">
        <v>1959</v>
      </c>
      <c r="C100" t="s">
        <v>1960</v>
      </c>
      <c r="D100" t="s">
        <v>92</v>
      </c>
      <c r="E100">
        <v>100</v>
      </c>
      <c r="F100" t="s">
        <v>1522</v>
      </c>
      <c r="G100">
        <v>110.00000000000001</v>
      </c>
      <c r="H100" t="s">
        <v>1444</v>
      </c>
    </row>
    <row r="101" spans="1:8" x14ac:dyDescent="0.35">
      <c r="A101" t="s">
        <v>310</v>
      </c>
      <c r="B101" t="s">
        <v>1961</v>
      </c>
      <c r="C101" t="s">
        <v>1962</v>
      </c>
      <c r="D101" t="s">
        <v>1385</v>
      </c>
      <c r="E101">
        <v>93</v>
      </c>
      <c r="F101" t="s">
        <v>1453</v>
      </c>
      <c r="G101">
        <v>102.30000000000001</v>
      </c>
      <c r="H101" t="s">
        <v>1454</v>
      </c>
    </row>
    <row r="102" spans="1:8" x14ac:dyDescent="0.35">
      <c r="A102" t="s">
        <v>132</v>
      </c>
      <c r="B102" t="s">
        <v>1963</v>
      </c>
      <c r="C102" t="s">
        <v>1945</v>
      </c>
      <c r="D102" t="s">
        <v>12</v>
      </c>
      <c r="E102">
        <v>47</v>
      </c>
      <c r="F102" t="s">
        <v>1445</v>
      </c>
      <c r="G102">
        <v>51.7</v>
      </c>
      <c r="H102" t="s">
        <v>1446</v>
      </c>
    </row>
    <row r="103" spans="1:8" x14ac:dyDescent="0.35">
      <c r="A103" t="s">
        <v>133</v>
      </c>
      <c r="B103" t="s">
        <v>1964</v>
      </c>
      <c r="C103" t="s">
        <v>1965</v>
      </c>
      <c r="D103" t="s">
        <v>34</v>
      </c>
      <c r="E103">
        <v>115</v>
      </c>
      <c r="F103" t="s">
        <v>1523</v>
      </c>
      <c r="G103">
        <v>126.50000000000001</v>
      </c>
      <c r="H103" t="s">
        <v>1879</v>
      </c>
    </row>
    <row r="104" spans="1:8" x14ac:dyDescent="0.35">
      <c r="A104" t="s">
        <v>116</v>
      </c>
      <c r="B104" t="s">
        <v>1966</v>
      </c>
      <c r="C104" t="s">
        <v>1967</v>
      </c>
      <c r="D104" t="s">
        <v>1384</v>
      </c>
      <c r="E104">
        <v>82</v>
      </c>
      <c r="F104" t="s">
        <v>1455</v>
      </c>
      <c r="G104">
        <v>90.2</v>
      </c>
      <c r="H104" t="s">
        <v>1456</v>
      </c>
    </row>
    <row r="105" spans="1:8" x14ac:dyDescent="0.35">
      <c r="A105" t="s">
        <v>117</v>
      </c>
      <c r="B105" t="s">
        <v>1968</v>
      </c>
      <c r="C105" t="s">
        <v>1917</v>
      </c>
      <c r="D105" t="s">
        <v>13</v>
      </c>
      <c r="E105">
        <v>94</v>
      </c>
      <c r="F105" t="s">
        <v>1449</v>
      </c>
      <c r="G105">
        <v>103.4</v>
      </c>
      <c r="H105" t="s">
        <v>1450</v>
      </c>
    </row>
    <row r="106" spans="1:8" x14ac:dyDescent="0.35">
      <c r="D106" t="s">
        <v>118</v>
      </c>
      <c r="E106">
        <v>1617</v>
      </c>
    </row>
    <row r="109" spans="1:8" x14ac:dyDescent="0.35">
      <c r="A109" t="s">
        <v>1362</v>
      </c>
    </row>
    <row r="110" spans="1:8" x14ac:dyDescent="0.35">
      <c r="A110" t="s">
        <v>119</v>
      </c>
    </row>
    <row r="111" spans="1:8" x14ac:dyDescent="0.35">
      <c r="A111" t="s">
        <v>2</v>
      </c>
      <c r="B111" t="s">
        <v>3</v>
      </c>
      <c r="C111" t="s">
        <v>4</v>
      </c>
      <c r="D111" t="s">
        <v>5</v>
      </c>
      <c r="E111" t="s">
        <v>6</v>
      </c>
      <c r="F111" t="s">
        <v>7</v>
      </c>
      <c r="G111" t="s">
        <v>8</v>
      </c>
    </row>
    <row r="112" spans="1:8" x14ac:dyDescent="0.35">
      <c r="A112" t="s">
        <v>412</v>
      </c>
      <c r="B112" t="s">
        <v>413</v>
      </c>
      <c r="C112" t="s">
        <v>1927</v>
      </c>
      <c r="D112" t="s">
        <v>1382</v>
      </c>
      <c r="E112">
        <v>129</v>
      </c>
      <c r="F112" t="s">
        <v>149</v>
      </c>
      <c r="G112">
        <v>141.9</v>
      </c>
    </row>
    <row r="113" spans="1:8" x14ac:dyDescent="0.35">
      <c r="A113" t="s">
        <v>412</v>
      </c>
      <c r="B113" t="s">
        <v>413</v>
      </c>
      <c r="C113" t="s">
        <v>1927</v>
      </c>
      <c r="D113" t="s">
        <v>115</v>
      </c>
      <c r="E113">
        <v>98</v>
      </c>
      <c r="F113" t="s">
        <v>149</v>
      </c>
      <c r="G113">
        <v>107.80000000000001</v>
      </c>
    </row>
    <row r="114" spans="1:8" x14ac:dyDescent="0.35">
      <c r="A114" t="s">
        <v>412</v>
      </c>
      <c r="B114" t="s">
        <v>413</v>
      </c>
      <c r="C114" t="s">
        <v>1969</v>
      </c>
      <c r="D114" t="s">
        <v>40</v>
      </c>
      <c r="E114">
        <v>70</v>
      </c>
      <c r="F114" t="s">
        <v>149</v>
      </c>
      <c r="G114">
        <v>77</v>
      </c>
    </row>
    <row r="115" spans="1:8" x14ac:dyDescent="0.35">
      <c r="A115" t="s">
        <v>412</v>
      </c>
      <c r="B115" t="s">
        <v>413</v>
      </c>
      <c r="C115" t="s">
        <v>1927</v>
      </c>
      <c r="D115" t="s">
        <v>39</v>
      </c>
      <c r="E115">
        <v>72</v>
      </c>
      <c r="F115" t="s">
        <v>149</v>
      </c>
      <c r="G115">
        <v>79.2</v>
      </c>
    </row>
    <row r="116" spans="1:8" x14ac:dyDescent="0.35">
      <c r="A116" t="s">
        <v>120</v>
      </c>
      <c r="B116" t="s">
        <v>1970</v>
      </c>
      <c r="C116" t="s">
        <v>1971</v>
      </c>
      <c r="D116" t="s">
        <v>30</v>
      </c>
      <c r="E116">
        <v>253</v>
      </c>
      <c r="F116" t="s">
        <v>1436</v>
      </c>
      <c r="G116">
        <v>278.3</v>
      </c>
      <c r="H116" t="s">
        <v>1772</v>
      </c>
    </row>
    <row r="117" spans="1:8" x14ac:dyDescent="0.35">
      <c r="A117" t="s">
        <v>121</v>
      </c>
      <c r="B117" t="s">
        <v>1972</v>
      </c>
      <c r="C117" t="s">
        <v>1973</v>
      </c>
      <c r="D117" t="s">
        <v>22</v>
      </c>
      <c r="E117">
        <v>223</v>
      </c>
      <c r="F117" t="s">
        <v>1773</v>
      </c>
      <c r="G117">
        <v>245.3</v>
      </c>
      <c r="H117" t="s">
        <v>1774</v>
      </c>
    </row>
    <row r="118" spans="1:8" x14ac:dyDescent="0.35">
      <c r="A118" t="s">
        <v>124</v>
      </c>
      <c r="B118" t="s">
        <v>1974</v>
      </c>
      <c r="C118" t="s">
        <v>1932</v>
      </c>
      <c r="D118" t="s">
        <v>71</v>
      </c>
      <c r="E118">
        <v>51</v>
      </c>
      <c r="F118" t="s">
        <v>1652</v>
      </c>
      <c r="G118">
        <v>56.1</v>
      </c>
      <c r="H118" t="s">
        <v>1778</v>
      </c>
    </row>
    <row r="119" spans="1:8" x14ac:dyDescent="0.35">
      <c r="A119" t="s">
        <v>125</v>
      </c>
      <c r="B119" t="s">
        <v>1975</v>
      </c>
      <c r="C119" t="s">
        <v>1976</v>
      </c>
      <c r="D119" t="s">
        <v>89</v>
      </c>
      <c r="E119">
        <v>59</v>
      </c>
      <c r="F119" t="s">
        <v>1779</v>
      </c>
      <c r="G119">
        <v>64.900000000000006</v>
      </c>
      <c r="H119" t="s">
        <v>1527</v>
      </c>
    </row>
    <row r="120" spans="1:8" x14ac:dyDescent="0.35">
      <c r="A120" t="s">
        <v>125</v>
      </c>
      <c r="B120" t="s">
        <v>1975</v>
      </c>
      <c r="C120" t="s">
        <v>1976</v>
      </c>
      <c r="D120" t="s">
        <v>126</v>
      </c>
      <c r="E120">
        <v>154</v>
      </c>
      <c r="F120" t="s">
        <v>1771</v>
      </c>
      <c r="G120">
        <v>169.4</v>
      </c>
      <c r="H120" t="s">
        <v>1757</v>
      </c>
    </row>
    <row r="121" spans="1:8" x14ac:dyDescent="0.35">
      <c r="A121" t="s">
        <v>143</v>
      </c>
      <c r="B121" t="s">
        <v>1977</v>
      </c>
      <c r="C121" t="s">
        <v>1978</v>
      </c>
      <c r="D121" t="s">
        <v>20</v>
      </c>
      <c r="E121">
        <v>72</v>
      </c>
      <c r="F121" t="s">
        <v>1776</v>
      </c>
      <c r="G121">
        <v>79.2</v>
      </c>
      <c r="H121" t="s">
        <v>1777</v>
      </c>
    </row>
    <row r="122" spans="1:8" x14ac:dyDescent="0.35">
      <c r="A122" t="s">
        <v>128</v>
      </c>
      <c r="B122" t="s">
        <v>1979</v>
      </c>
      <c r="C122" t="s">
        <v>1924</v>
      </c>
      <c r="D122" t="s">
        <v>32</v>
      </c>
      <c r="E122">
        <v>179</v>
      </c>
      <c r="F122" t="s">
        <v>505</v>
      </c>
      <c r="G122">
        <v>196.9</v>
      </c>
    </row>
    <row r="123" spans="1:8" x14ac:dyDescent="0.35">
      <c r="A123" t="s">
        <v>129</v>
      </c>
      <c r="B123" t="s">
        <v>1980</v>
      </c>
      <c r="C123" t="s">
        <v>1981</v>
      </c>
      <c r="D123" t="s">
        <v>16</v>
      </c>
      <c r="E123">
        <v>154</v>
      </c>
      <c r="F123" t="s">
        <v>1775</v>
      </c>
      <c r="G123">
        <v>169.4</v>
      </c>
      <c r="H123" t="s">
        <v>1538</v>
      </c>
    </row>
    <row r="124" spans="1:8" x14ac:dyDescent="0.35">
      <c r="A124" t="s">
        <v>112</v>
      </c>
      <c r="B124" t="s">
        <v>1982</v>
      </c>
      <c r="C124" t="s">
        <v>419</v>
      </c>
      <c r="D124" t="s">
        <v>113</v>
      </c>
      <c r="E124">
        <v>23</v>
      </c>
      <c r="F124" t="s">
        <v>470</v>
      </c>
      <c r="G124">
        <v>25.3</v>
      </c>
      <c r="H124" t="s">
        <v>1461</v>
      </c>
    </row>
    <row r="125" spans="1:8" x14ac:dyDescent="0.35">
      <c r="A125" t="s">
        <v>130</v>
      </c>
      <c r="B125" t="s">
        <v>1983</v>
      </c>
      <c r="C125" t="s">
        <v>452</v>
      </c>
      <c r="D125" t="s">
        <v>131</v>
      </c>
      <c r="E125">
        <v>103</v>
      </c>
      <c r="F125" t="s">
        <v>1443</v>
      </c>
      <c r="G125">
        <v>113.30000000000001</v>
      </c>
      <c r="H125" t="s">
        <v>1741</v>
      </c>
    </row>
    <row r="126" spans="1:8" x14ac:dyDescent="0.35">
      <c r="A126" t="s">
        <v>262</v>
      </c>
      <c r="B126" t="s">
        <v>1984</v>
      </c>
      <c r="C126" t="s">
        <v>1893</v>
      </c>
      <c r="D126" t="s">
        <v>82</v>
      </c>
      <c r="E126">
        <v>340</v>
      </c>
      <c r="F126" t="s">
        <v>1769</v>
      </c>
      <c r="G126">
        <v>374.00000000000006</v>
      </c>
      <c r="H126" t="s">
        <v>1770</v>
      </c>
    </row>
    <row r="127" spans="1:8" x14ac:dyDescent="0.35">
      <c r="D127" t="s">
        <v>134</v>
      </c>
      <c r="E127">
        <v>1611</v>
      </c>
    </row>
    <row r="130" spans="1:8" x14ac:dyDescent="0.35">
      <c r="A130" t="s">
        <v>1362</v>
      </c>
    </row>
    <row r="131" spans="1:8" x14ac:dyDescent="0.35">
      <c r="A131" t="s">
        <v>135</v>
      </c>
    </row>
    <row r="132" spans="1:8" x14ac:dyDescent="0.35">
      <c r="A132" t="s">
        <v>2</v>
      </c>
      <c r="B132" t="s">
        <v>3</v>
      </c>
      <c r="C132" t="s">
        <v>4</v>
      </c>
      <c r="D132" t="s">
        <v>5</v>
      </c>
      <c r="E132" t="s">
        <v>6</v>
      </c>
      <c r="F132" t="s">
        <v>7</v>
      </c>
      <c r="G132" t="s">
        <v>8</v>
      </c>
    </row>
    <row r="133" spans="1:8" x14ac:dyDescent="0.35">
      <c r="A133" t="s">
        <v>136</v>
      </c>
      <c r="B133" t="s">
        <v>1985</v>
      </c>
      <c r="C133" t="s">
        <v>1986</v>
      </c>
      <c r="D133" t="s">
        <v>15</v>
      </c>
      <c r="E133">
        <v>105</v>
      </c>
      <c r="F133" t="s">
        <v>149</v>
      </c>
      <c r="G133">
        <v>115.50000000000001</v>
      </c>
    </row>
    <row r="134" spans="1:8" x14ac:dyDescent="0.35">
      <c r="A134" t="s">
        <v>137</v>
      </c>
      <c r="B134" t="s">
        <v>1987</v>
      </c>
      <c r="C134" t="s">
        <v>1988</v>
      </c>
      <c r="D134" t="s">
        <v>68</v>
      </c>
      <c r="E134">
        <v>245</v>
      </c>
      <c r="F134" t="s">
        <v>1418</v>
      </c>
      <c r="G134">
        <v>269.5</v>
      </c>
      <c r="H134" t="s">
        <v>1473</v>
      </c>
    </row>
    <row r="135" spans="1:8" x14ac:dyDescent="0.35">
      <c r="A135" t="s">
        <v>138</v>
      </c>
      <c r="B135" t="s">
        <v>1989</v>
      </c>
      <c r="C135" t="s">
        <v>1990</v>
      </c>
      <c r="D135" t="s">
        <v>87</v>
      </c>
      <c r="E135">
        <v>36</v>
      </c>
      <c r="F135" t="s">
        <v>1685</v>
      </c>
      <c r="G135">
        <v>39.6</v>
      </c>
      <c r="H135" t="s">
        <v>1480</v>
      </c>
    </row>
    <row r="136" spans="1:8" x14ac:dyDescent="0.35">
      <c r="A136" t="s">
        <v>139</v>
      </c>
      <c r="B136" t="s">
        <v>427</v>
      </c>
      <c r="C136" t="s">
        <v>1848</v>
      </c>
      <c r="D136" t="s">
        <v>140</v>
      </c>
      <c r="E136">
        <v>74</v>
      </c>
      <c r="F136" t="s">
        <v>1478</v>
      </c>
      <c r="G136">
        <v>81.400000000000006</v>
      </c>
      <c r="H136" t="s">
        <v>1434</v>
      </c>
    </row>
    <row r="137" spans="1:8" x14ac:dyDescent="0.35">
      <c r="A137" t="s">
        <v>139</v>
      </c>
      <c r="B137" t="s">
        <v>427</v>
      </c>
      <c r="C137" t="s">
        <v>1848</v>
      </c>
      <c r="D137" t="s">
        <v>142</v>
      </c>
      <c r="E137">
        <v>155</v>
      </c>
      <c r="F137" t="s">
        <v>1424</v>
      </c>
      <c r="G137">
        <v>170.5</v>
      </c>
      <c r="H137" t="s">
        <v>1481</v>
      </c>
    </row>
    <row r="138" spans="1:8" x14ac:dyDescent="0.35">
      <c r="A138" t="s">
        <v>139</v>
      </c>
      <c r="B138" t="s">
        <v>427</v>
      </c>
      <c r="C138" t="s">
        <v>1848</v>
      </c>
      <c r="D138" t="s">
        <v>84</v>
      </c>
      <c r="E138">
        <v>134</v>
      </c>
      <c r="F138" t="s">
        <v>1475</v>
      </c>
      <c r="G138">
        <v>147.4</v>
      </c>
      <c r="H138" t="s">
        <v>1474</v>
      </c>
    </row>
    <row r="139" spans="1:8" x14ac:dyDescent="0.35">
      <c r="A139" t="s">
        <v>139</v>
      </c>
      <c r="B139" t="s">
        <v>427</v>
      </c>
      <c r="C139" t="s">
        <v>1848</v>
      </c>
      <c r="D139" t="s">
        <v>25</v>
      </c>
      <c r="E139">
        <v>80</v>
      </c>
      <c r="F139" t="s">
        <v>1420</v>
      </c>
      <c r="G139">
        <v>88</v>
      </c>
      <c r="H139" t="s">
        <v>1430</v>
      </c>
    </row>
    <row r="140" spans="1:8" x14ac:dyDescent="0.35">
      <c r="A140" t="s">
        <v>194</v>
      </c>
      <c r="B140" t="s">
        <v>1991</v>
      </c>
      <c r="C140" t="s">
        <v>1992</v>
      </c>
      <c r="D140" t="s">
        <v>41</v>
      </c>
      <c r="E140">
        <v>46</v>
      </c>
      <c r="F140" t="s">
        <v>1476</v>
      </c>
      <c r="G140">
        <v>50.6</v>
      </c>
      <c r="H140" t="s">
        <v>1477</v>
      </c>
    </row>
    <row r="141" spans="1:8" x14ac:dyDescent="0.35">
      <c r="A141" t="s">
        <v>180</v>
      </c>
      <c r="B141" t="s">
        <v>1993</v>
      </c>
      <c r="C141" t="s">
        <v>1994</v>
      </c>
      <c r="D141" t="s">
        <v>80</v>
      </c>
      <c r="E141">
        <v>67</v>
      </c>
      <c r="F141" t="s">
        <v>1420</v>
      </c>
      <c r="G141">
        <v>73.7</v>
      </c>
      <c r="H141" t="s">
        <v>1880</v>
      </c>
    </row>
    <row r="142" spans="1:8" x14ac:dyDescent="0.35">
      <c r="A142" t="s">
        <v>43</v>
      </c>
      <c r="B142" t="s">
        <v>1995</v>
      </c>
      <c r="C142" t="s">
        <v>407</v>
      </c>
      <c r="D142" t="s">
        <v>44</v>
      </c>
      <c r="E142">
        <v>61</v>
      </c>
      <c r="F142" t="s">
        <v>505</v>
      </c>
      <c r="G142">
        <v>67.100000000000009</v>
      </c>
      <c r="H142" t="s">
        <v>1780</v>
      </c>
    </row>
    <row r="143" spans="1:8" x14ac:dyDescent="0.35">
      <c r="A143" t="s">
        <v>47</v>
      </c>
      <c r="B143" t="s">
        <v>1996</v>
      </c>
      <c r="C143" t="s">
        <v>1994</v>
      </c>
      <c r="D143" t="s">
        <v>48</v>
      </c>
      <c r="E143">
        <v>144</v>
      </c>
      <c r="F143" t="s">
        <v>1424</v>
      </c>
      <c r="G143">
        <v>158.4</v>
      </c>
      <c r="H143" t="s">
        <v>1485</v>
      </c>
    </row>
    <row r="144" spans="1:8" x14ac:dyDescent="0.35">
      <c r="A144" t="s">
        <v>228</v>
      </c>
      <c r="B144" t="s">
        <v>1997</v>
      </c>
      <c r="C144" t="s">
        <v>1922</v>
      </c>
      <c r="D144" t="s">
        <v>56</v>
      </c>
      <c r="E144">
        <v>224</v>
      </c>
      <c r="F144" t="s">
        <v>1462</v>
      </c>
      <c r="G144">
        <v>246.40000000000003</v>
      </c>
      <c r="H144" t="s">
        <v>1472</v>
      </c>
    </row>
    <row r="145" spans="1:8" x14ac:dyDescent="0.35">
      <c r="A145" t="s">
        <v>1796</v>
      </c>
      <c r="B145" t="s">
        <v>1798</v>
      </c>
      <c r="C145" t="s">
        <v>1799</v>
      </c>
      <c r="D145" t="s">
        <v>86</v>
      </c>
      <c r="E145">
        <v>31</v>
      </c>
      <c r="F145" t="s">
        <v>144</v>
      </c>
      <c r="G145">
        <v>34.1</v>
      </c>
      <c r="H145" t="s">
        <v>1797</v>
      </c>
    </row>
    <row r="146" spans="1:8" x14ac:dyDescent="0.35">
      <c r="A146" t="s">
        <v>145</v>
      </c>
      <c r="B146" t="s">
        <v>1998</v>
      </c>
      <c r="C146" t="s">
        <v>1999</v>
      </c>
      <c r="D146" t="s">
        <v>18</v>
      </c>
      <c r="E146">
        <v>147</v>
      </c>
      <c r="F146" t="s">
        <v>1424</v>
      </c>
      <c r="G146">
        <v>161.70000000000002</v>
      </c>
      <c r="H146" t="s">
        <v>1482</v>
      </c>
    </row>
    <row r="147" spans="1:8" x14ac:dyDescent="0.35">
      <c r="A147" t="s">
        <v>146</v>
      </c>
      <c r="B147" t="s">
        <v>2000</v>
      </c>
      <c r="C147" t="s">
        <v>2001</v>
      </c>
      <c r="D147" t="s">
        <v>46</v>
      </c>
      <c r="E147">
        <v>84</v>
      </c>
      <c r="F147" t="s">
        <v>1459</v>
      </c>
      <c r="G147">
        <v>92.4</v>
      </c>
      <c r="H147" t="s">
        <v>1483</v>
      </c>
    </row>
    <row r="148" spans="1:8" x14ac:dyDescent="0.35">
      <c r="D148" t="s">
        <v>147</v>
      </c>
      <c r="E148">
        <v>1528</v>
      </c>
    </row>
    <row r="151" spans="1:8" x14ac:dyDescent="0.35">
      <c r="A151" t="s">
        <v>1363</v>
      </c>
    </row>
    <row r="152" spans="1:8" x14ac:dyDescent="0.35">
      <c r="A152" t="s">
        <v>750</v>
      </c>
    </row>
    <row r="153" spans="1:8" x14ac:dyDescent="0.35">
      <c r="A153" t="s">
        <v>2</v>
      </c>
      <c r="B153" t="s">
        <v>3</v>
      </c>
      <c r="C153" t="s">
        <v>4</v>
      </c>
      <c r="D153" t="s">
        <v>5</v>
      </c>
      <c r="E153" t="s">
        <v>6</v>
      </c>
      <c r="F153" t="s">
        <v>7</v>
      </c>
      <c r="G153" t="s">
        <v>8</v>
      </c>
    </row>
    <row r="154" spans="1:8" x14ac:dyDescent="0.35">
      <c r="A154" t="s">
        <v>148</v>
      </c>
      <c r="B154" t="s">
        <v>429</v>
      </c>
      <c r="C154" t="s">
        <v>1370</v>
      </c>
      <c r="D154" t="s">
        <v>29</v>
      </c>
      <c r="E154">
        <v>87</v>
      </c>
      <c r="F154" t="s">
        <v>149</v>
      </c>
      <c r="G154">
        <v>95.7</v>
      </c>
    </row>
    <row r="155" spans="1:8" x14ac:dyDescent="0.35">
      <c r="A155" t="s">
        <v>148</v>
      </c>
      <c r="B155" t="s">
        <v>429</v>
      </c>
      <c r="C155" t="s">
        <v>1370</v>
      </c>
      <c r="D155" t="s">
        <v>64</v>
      </c>
      <c r="E155">
        <v>59</v>
      </c>
      <c r="F155" t="s">
        <v>149</v>
      </c>
      <c r="G155">
        <v>64.900000000000006</v>
      </c>
    </row>
    <row r="156" spans="1:8" x14ac:dyDescent="0.35">
      <c r="A156" t="s">
        <v>148</v>
      </c>
      <c r="B156" t="s">
        <v>429</v>
      </c>
      <c r="C156" t="s">
        <v>1370</v>
      </c>
      <c r="D156" t="s">
        <v>26</v>
      </c>
      <c r="E156">
        <v>77</v>
      </c>
      <c r="F156" t="s">
        <v>149</v>
      </c>
      <c r="G156">
        <v>84.7</v>
      </c>
    </row>
    <row r="157" spans="1:8" x14ac:dyDescent="0.35">
      <c r="A157" t="s">
        <v>148</v>
      </c>
      <c r="B157" t="s">
        <v>429</v>
      </c>
      <c r="C157" t="s">
        <v>1370</v>
      </c>
      <c r="D157" t="s">
        <v>1383</v>
      </c>
      <c r="E157">
        <v>97</v>
      </c>
      <c r="F157" t="s">
        <v>149</v>
      </c>
      <c r="G157">
        <v>106.7</v>
      </c>
    </row>
    <row r="158" spans="1:8" x14ac:dyDescent="0.35">
      <c r="A158" t="s">
        <v>148</v>
      </c>
      <c r="B158" t="s">
        <v>429</v>
      </c>
      <c r="C158" t="s">
        <v>2002</v>
      </c>
      <c r="D158" t="s">
        <v>89</v>
      </c>
      <c r="E158">
        <v>59</v>
      </c>
      <c r="F158" t="s">
        <v>149</v>
      </c>
      <c r="G158">
        <v>64.900000000000006</v>
      </c>
    </row>
    <row r="159" spans="1:8" x14ac:dyDescent="0.35">
      <c r="A159" t="s">
        <v>148</v>
      </c>
      <c r="B159" t="s">
        <v>429</v>
      </c>
      <c r="C159" t="s">
        <v>2002</v>
      </c>
      <c r="D159" t="s">
        <v>33</v>
      </c>
      <c r="E159">
        <v>80</v>
      </c>
      <c r="F159" t="s">
        <v>149</v>
      </c>
      <c r="G159">
        <v>88</v>
      </c>
    </row>
    <row r="160" spans="1:8" x14ac:dyDescent="0.35">
      <c r="A160" t="s">
        <v>1389</v>
      </c>
      <c r="B160" t="s">
        <v>1387</v>
      </c>
      <c r="C160" t="s">
        <v>2003</v>
      </c>
      <c r="D160" t="s">
        <v>17</v>
      </c>
      <c r="E160">
        <v>276</v>
      </c>
      <c r="F160" t="s">
        <v>149</v>
      </c>
      <c r="G160">
        <v>303.60000000000002</v>
      </c>
    </row>
    <row r="161" spans="1:8" x14ac:dyDescent="0.35">
      <c r="A161" t="s">
        <v>148</v>
      </c>
      <c r="B161" t="s">
        <v>429</v>
      </c>
      <c r="C161" t="s">
        <v>2004</v>
      </c>
      <c r="D161" t="s">
        <v>82</v>
      </c>
      <c r="E161">
        <v>340</v>
      </c>
      <c r="F161" t="s">
        <v>1729</v>
      </c>
      <c r="G161">
        <v>374.00000000000006</v>
      </c>
      <c r="H161" t="s">
        <v>1787</v>
      </c>
    </row>
    <row r="162" spans="1:8" x14ac:dyDescent="0.35">
      <c r="A162" t="s">
        <v>148</v>
      </c>
      <c r="B162" t="s">
        <v>429</v>
      </c>
      <c r="C162" t="s">
        <v>2004</v>
      </c>
      <c r="D162" t="s">
        <v>63</v>
      </c>
      <c r="E162">
        <v>154</v>
      </c>
      <c r="F162" t="s">
        <v>1467</v>
      </c>
      <c r="G162">
        <v>169.4</v>
      </c>
      <c r="H162" t="s">
        <v>1468</v>
      </c>
    </row>
    <row r="163" spans="1:8" x14ac:dyDescent="0.35">
      <c r="A163" t="s">
        <v>184</v>
      </c>
      <c r="B163" t="s">
        <v>2005</v>
      </c>
      <c r="C163" t="s">
        <v>2006</v>
      </c>
      <c r="D163" t="s">
        <v>123</v>
      </c>
      <c r="E163">
        <v>89</v>
      </c>
      <c r="F163" t="s">
        <v>1733</v>
      </c>
      <c r="G163">
        <v>97.9</v>
      </c>
      <c r="H163" t="s">
        <v>1488</v>
      </c>
    </row>
    <row r="164" spans="1:8" x14ac:dyDescent="0.35">
      <c r="A164" t="s">
        <v>184</v>
      </c>
      <c r="B164" t="s">
        <v>2005</v>
      </c>
      <c r="C164" t="s">
        <v>2006</v>
      </c>
      <c r="D164" t="s">
        <v>31</v>
      </c>
      <c r="E164">
        <v>83</v>
      </c>
      <c r="F164" t="s">
        <v>1486</v>
      </c>
      <c r="G164">
        <v>91.300000000000011</v>
      </c>
      <c r="H164" t="s">
        <v>1487</v>
      </c>
    </row>
    <row r="165" spans="1:8" x14ac:dyDescent="0.35">
      <c r="A165" t="s">
        <v>152</v>
      </c>
      <c r="B165" t="s">
        <v>2007</v>
      </c>
      <c r="C165" t="s">
        <v>1901</v>
      </c>
      <c r="D165" t="s">
        <v>16</v>
      </c>
      <c r="E165">
        <v>154</v>
      </c>
      <c r="F165" t="s">
        <v>1467</v>
      </c>
      <c r="G165">
        <v>169.4</v>
      </c>
      <c r="H165" t="s">
        <v>1469</v>
      </c>
    </row>
    <row r="166" spans="1:8" x14ac:dyDescent="0.35">
      <c r="A166" t="s">
        <v>153</v>
      </c>
      <c r="B166" t="s">
        <v>2008</v>
      </c>
      <c r="C166" t="s">
        <v>2009</v>
      </c>
      <c r="D166" t="s">
        <v>15</v>
      </c>
      <c r="E166">
        <v>105</v>
      </c>
      <c r="F166" t="s">
        <v>1731</v>
      </c>
      <c r="G166">
        <v>115.50000000000001</v>
      </c>
      <c r="H166" t="s">
        <v>1732</v>
      </c>
    </row>
    <row r="167" spans="1:8" x14ac:dyDescent="0.35">
      <c r="A167" t="s">
        <v>1378</v>
      </c>
      <c r="B167" t="s">
        <v>2010</v>
      </c>
      <c r="C167" t="s">
        <v>2011</v>
      </c>
      <c r="D167" t="s">
        <v>52</v>
      </c>
      <c r="E167">
        <v>142</v>
      </c>
      <c r="F167" t="s">
        <v>1419</v>
      </c>
      <c r="G167">
        <v>156.20000000000002</v>
      </c>
      <c r="H167" t="s">
        <v>1730</v>
      </c>
    </row>
    <row r="168" spans="1:8" x14ac:dyDescent="0.35">
      <c r="A168" t="s">
        <v>246</v>
      </c>
      <c r="B168" t="s">
        <v>2012</v>
      </c>
      <c r="C168" t="s">
        <v>2013</v>
      </c>
      <c r="D168" t="s">
        <v>1384</v>
      </c>
      <c r="E168">
        <v>82</v>
      </c>
      <c r="F168" t="s">
        <v>505</v>
      </c>
      <c r="G168">
        <v>90.2</v>
      </c>
      <c r="H168" t="s">
        <v>1489</v>
      </c>
    </row>
    <row r="169" spans="1:8" x14ac:dyDescent="0.35">
      <c r="A169" t="s">
        <v>253</v>
      </c>
      <c r="B169" t="s">
        <v>2014</v>
      </c>
      <c r="C169" t="s">
        <v>1912</v>
      </c>
      <c r="D169" t="s">
        <v>92</v>
      </c>
      <c r="E169">
        <v>15</v>
      </c>
      <c r="F169" t="s">
        <v>108</v>
      </c>
      <c r="G169">
        <v>16.5</v>
      </c>
      <c r="H169" t="s">
        <v>1515</v>
      </c>
    </row>
    <row r="170" spans="1:8" x14ac:dyDescent="0.35">
      <c r="A170" t="s">
        <v>248</v>
      </c>
      <c r="B170" t="s">
        <v>2015</v>
      </c>
      <c r="C170" t="s">
        <v>2016</v>
      </c>
      <c r="D170" t="s">
        <v>46</v>
      </c>
      <c r="E170">
        <v>84</v>
      </c>
      <c r="F170" t="s">
        <v>1490</v>
      </c>
      <c r="G170">
        <v>92.4</v>
      </c>
      <c r="H170" t="s">
        <v>1491</v>
      </c>
    </row>
    <row r="171" spans="1:8" x14ac:dyDescent="0.35">
      <c r="A171" t="s">
        <v>258</v>
      </c>
      <c r="B171" t="s">
        <v>2017</v>
      </c>
      <c r="C171" t="s">
        <v>2018</v>
      </c>
      <c r="D171" t="s">
        <v>44</v>
      </c>
      <c r="E171">
        <v>61</v>
      </c>
      <c r="F171" t="s">
        <v>1511</v>
      </c>
      <c r="G171">
        <v>67.100000000000009</v>
      </c>
      <c r="H171" t="s">
        <v>1484</v>
      </c>
    </row>
    <row r="172" spans="1:8" x14ac:dyDescent="0.35">
      <c r="A172" t="s">
        <v>1375</v>
      </c>
      <c r="B172" t="s">
        <v>2019</v>
      </c>
      <c r="C172" t="s">
        <v>1903</v>
      </c>
      <c r="D172" t="s">
        <v>1385</v>
      </c>
      <c r="E172">
        <v>103</v>
      </c>
      <c r="F172" t="s">
        <v>1700</v>
      </c>
      <c r="G172">
        <v>113.30000000000001</v>
      </c>
      <c r="H172" t="s">
        <v>1708</v>
      </c>
    </row>
    <row r="173" spans="1:8" x14ac:dyDescent="0.35">
      <c r="A173" t="s">
        <v>154</v>
      </c>
      <c r="B173" t="s">
        <v>2020</v>
      </c>
      <c r="C173" t="s">
        <v>2021</v>
      </c>
      <c r="D173" t="s">
        <v>48</v>
      </c>
      <c r="E173">
        <v>40</v>
      </c>
      <c r="F173" t="s">
        <v>105</v>
      </c>
      <c r="G173">
        <v>44</v>
      </c>
      <c r="H173" t="s">
        <v>1756</v>
      </c>
    </row>
    <row r="174" spans="1:8" x14ac:dyDescent="0.35">
      <c r="D174" t="s">
        <v>159</v>
      </c>
      <c r="E174">
        <v>1452</v>
      </c>
    </row>
    <row r="177" spans="1:8" x14ac:dyDescent="0.35">
      <c r="A177" t="s">
        <v>1363</v>
      </c>
    </row>
    <row r="178" spans="1:8" x14ac:dyDescent="0.35">
      <c r="A178" t="s">
        <v>745</v>
      </c>
    </row>
    <row r="179" spans="1:8" x14ac:dyDescent="0.35">
      <c r="A179" t="s">
        <v>2</v>
      </c>
      <c r="B179" t="s">
        <v>3</v>
      </c>
      <c r="C179" t="s">
        <v>4</v>
      </c>
      <c r="D179" t="s">
        <v>5</v>
      </c>
      <c r="E179" t="s">
        <v>6</v>
      </c>
      <c r="F179" t="s">
        <v>7</v>
      </c>
      <c r="G179" t="s">
        <v>8</v>
      </c>
    </row>
    <row r="180" spans="1:8" x14ac:dyDescent="0.35">
      <c r="A180" t="s">
        <v>160</v>
      </c>
      <c r="B180" t="s">
        <v>415</v>
      </c>
      <c r="C180" t="s">
        <v>414</v>
      </c>
      <c r="D180" t="s">
        <v>161</v>
      </c>
      <c r="E180">
        <v>81</v>
      </c>
      <c r="F180" t="s">
        <v>149</v>
      </c>
      <c r="G180">
        <v>89.100000000000009</v>
      </c>
    </row>
    <row r="181" spans="1:8" x14ac:dyDescent="0.35">
      <c r="A181" t="s">
        <v>160</v>
      </c>
      <c r="B181" t="s">
        <v>415</v>
      </c>
      <c r="C181" t="s">
        <v>414</v>
      </c>
      <c r="D181" t="s">
        <v>115</v>
      </c>
      <c r="E181">
        <v>98</v>
      </c>
      <c r="F181" t="s">
        <v>149</v>
      </c>
      <c r="G181">
        <v>107.80000000000001</v>
      </c>
    </row>
    <row r="182" spans="1:8" x14ac:dyDescent="0.35">
      <c r="A182" t="s">
        <v>160</v>
      </c>
      <c r="B182" t="s">
        <v>415</v>
      </c>
      <c r="C182" t="s">
        <v>414</v>
      </c>
      <c r="D182" t="s">
        <v>40</v>
      </c>
      <c r="E182">
        <v>70</v>
      </c>
      <c r="F182" t="s">
        <v>149</v>
      </c>
      <c r="G182">
        <v>77</v>
      </c>
    </row>
    <row r="183" spans="1:8" x14ac:dyDescent="0.35">
      <c r="A183" t="s">
        <v>160</v>
      </c>
      <c r="B183" t="s">
        <v>415</v>
      </c>
      <c r="C183" t="s">
        <v>2002</v>
      </c>
      <c r="D183" t="s">
        <v>162</v>
      </c>
      <c r="E183">
        <v>136</v>
      </c>
      <c r="F183" t="s">
        <v>149</v>
      </c>
      <c r="G183">
        <v>149.60000000000002</v>
      </c>
    </row>
    <row r="184" spans="1:8" x14ac:dyDescent="0.35">
      <c r="A184" t="s">
        <v>160</v>
      </c>
      <c r="B184" t="s">
        <v>415</v>
      </c>
      <c r="C184" t="s">
        <v>2002</v>
      </c>
      <c r="D184" t="s">
        <v>163</v>
      </c>
      <c r="E184">
        <v>126</v>
      </c>
      <c r="F184" t="s">
        <v>149</v>
      </c>
      <c r="G184">
        <v>138.60000000000002</v>
      </c>
    </row>
    <row r="185" spans="1:8" x14ac:dyDescent="0.35">
      <c r="A185" t="s">
        <v>160</v>
      </c>
      <c r="B185" t="s">
        <v>415</v>
      </c>
      <c r="C185" t="s">
        <v>414</v>
      </c>
      <c r="D185" t="s">
        <v>41</v>
      </c>
      <c r="E185">
        <v>46</v>
      </c>
      <c r="F185" t="s">
        <v>149</v>
      </c>
      <c r="G185">
        <v>50.6</v>
      </c>
    </row>
    <row r="186" spans="1:8" x14ac:dyDescent="0.35">
      <c r="A186" t="s">
        <v>160</v>
      </c>
      <c r="B186" t="s">
        <v>415</v>
      </c>
      <c r="C186" t="s">
        <v>414</v>
      </c>
      <c r="D186" t="s">
        <v>39</v>
      </c>
      <c r="E186">
        <v>72</v>
      </c>
      <c r="F186" t="s">
        <v>149</v>
      </c>
      <c r="G186">
        <v>79.2</v>
      </c>
    </row>
    <row r="187" spans="1:8" x14ac:dyDescent="0.35">
      <c r="A187" t="s">
        <v>160</v>
      </c>
      <c r="B187" t="s">
        <v>415</v>
      </c>
      <c r="C187" t="s">
        <v>2022</v>
      </c>
      <c r="D187" t="s">
        <v>1382</v>
      </c>
      <c r="E187">
        <v>129</v>
      </c>
      <c r="F187" t="s">
        <v>1495</v>
      </c>
      <c r="G187">
        <v>141.9</v>
      </c>
      <c r="H187" t="s">
        <v>1496</v>
      </c>
    </row>
    <row r="188" spans="1:8" x14ac:dyDescent="0.35">
      <c r="A188" t="s">
        <v>160</v>
      </c>
      <c r="B188" t="s">
        <v>415</v>
      </c>
      <c r="C188" t="s">
        <v>2022</v>
      </c>
      <c r="D188" t="s">
        <v>36</v>
      </c>
      <c r="E188">
        <v>119</v>
      </c>
      <c r="F188" t="s">
        <v>1497</v>
      </c>
      <c r="G188">
        <v>130.9</v>
      </c>
      <c r="H188" t="s">
        <v>1498</v>
      </c>
    </row>
    <row r="189" spans="1:8" x14ac:dyDescent="0.35">
      <c r="A189" t="s">
        <v>160</v>
      </c>
      <c r="B189" t="s">
        <v>415</v>
      </c>
      <c r="C189" t="s">
        <v>2002</v>
      </c>
      <c r="D189" t="s">
        <v>164</v>
      </c>
      <c r="E189">
        <v>223</v>
      </c>
      <c r="F189" t="s">
        <v>1462</v>
      </c>
      <c r="G189">
        <v>245.3</v>
      </c>
      <c r="H189" t="s">
        <v>1501</v>
      </c>
    </row>
    <row r="190" spans="1:8" x14ac:dyDescent="0.35">
      <c r="A190" t="s">
        <v>160</v>
      </c>
      <c r="B190" t="s">
        <v>415</v>
      </c>
      <c r="C190" t="s">
        <v>2023</v>
      </c>
      <c r="D190" t="s">
        <v>165</v>
      </c>
      <c r="E190">
        <v>242</v>
      </c>
      <c r="F190" t="s">
        <v>1407</v>
      </c>
      <c r="G190">
        <v>266.20000000000005</v>
      </c>
      <c r="H190" t="s">
        <v>1494</v>
      </c>
    </row>
    <row r="191" spans="1:8" x14ac:dyDescent="0.35">
      <c r="A191" t="s">
        <v>160</v>
      </c>
      <c r="B191" t="s">
        <v>415</v>
      </c>
      <c r="C191" t="s">
        <v>2023</v>
      </c>
      <c r="D191" t="s">
        <v>69</v>
      </c>
      <c r="E191">
        <v>261</v>
      </c>
      <c r="F191" t="s">
        <v>1500</v>
      </c>
      <c r="G191">
        <v>287.10000000000002</v>
      </c>
      <c r="H191" t="s">
        <v>1499</v>
      </c>
    </row>
    <row r="192" spans="1:8" x14ac:dyDescent="0.35">
      <c r="A192" t="s">
        <v>160</v>
      </c>
      <c r="B192" t="s">
        <v>415</v>
      </c>
      <c r="C192" t="s">
        <v>2004</v>
      </c>
      <c r="D192" t="s">
        <v>103</v>
      </c>
      <c r="E192">
        <v>120</v>
      </c>
      <c r="F192" t="s">
        <v>1504</v>
      </c>
      <c r="G192">
        <v>132</v>
      </c>
      <c r="H192" t="s">
        <v>1505</v>
      </c>
    </row>
    <row r="193" spans="1:8" x14ac:dyDescent="0.35">
      <c r="A193" t="s">
        <v>160</v>
      </c>
      <c r="B193" t="s">
        <v>415</v>
      </c>
      <c r="C193" t="s">
        <v>1847</v>
      </c>
      <c r="D193" t="s">
        <v>104</v>
      </c>
      <c r="E193">
        <v>56</v>
      </c>
      <c r="F193" t="s">
        <v>1502</v>
      </c>
      <c r="G193">
        <v>61.600000000000009</v>
      </c>
      <c r="H193" t="s">
        <v>1503</v>
      </c>
    </row>
    <row r="194" spans="1:8" x14ac:dyDescent="0.35">
      <c r="A194" t="s">
        <v>160</v>
      </c>
      <c r="B194" t="s">
        <v>415</v>
      </c>
      <c r="C194" t="s">
        <v>2024</v>
      </c>
      <c r="D194" t="s">
        <v>183</v>
      </c>
      <c r="E194">
        <v>129</v>
      </c>
      <c r="F194" t="s">
        <v>1504</v>
      </c>
      <c r="G194">
        <v>141.9</v>
      </c>
      <c r="H194" t="s">
        <v>1506</v>
      </c>
    </row>
    <row r="195" spans="1:8" x14ac:dyDescent="0.35">
      <c r="A195" t="s">
        <v>160</v>
      </c>
      <c r="B195" t="s">
        <v>415</v>
      </c>
      <c r="C195" t="s">
        <v>1883</v>
      </c>
      <c r="D195" t="s">
        <v>166</v>
      </c>
      <c r="E195">
        <v>88</v>
      </c>
      <c r="F195" t="s">
        <v>1507</v>
      </c>
      <c r="G195">
        <v>96.800000000000011</v>
      </c>
      <c r="H195" t="s">
        <v>1509</v>
      </c>
    </row>
    <row r="196" spans="1:8" x14ac:dyDescent="0.35">
      <c r="A196" t="s">
        <v>160</v>
      </c>
      <c r="B196" t="s">
        <v>415</v>
      </c>
      <c r="C196" t="s">
        <v>2025</v>
      </c>
      <c r="D196" t="s">
        <v>58</v>
      </c>
      <c r="E196">
        <v>287</v>
      </c>
      <c r="F196" t="s">
        <v>1413</v>
      </c>
      <c r="G196">
        <v>315.70000000000005</v>
      </c>
      <c r="H196" t="s">
        <v>1492</v>
      </c>
    </row>
    <row r="197" spans="1:8" x14ac:dyDescent="0.35">
      <c r="A197" t="s">
        <v>160</v>
      </c>
      <c r="B197" t="s">
        <v>415</v>
      </c>
      <c r="C197" t="s">
        <v>1883</v>
      </c>
      <c r="D197" t="s">
        <v>66</v>
      </c>
      <c r="E197">
        <v>100</v>
      </c>
      <c r="F197" t="s">
        <v>1507</v>
      </c>
      <c r="G197">
        <v>110.00000000000001</v>
      </c>
      <c r="H197" t="s">
        <v>1508</v>
      </c>
    </row>
    <row r="198" spans="1:8" x14ac:dyDescent="0.35">
      <c r="D198" t="s">
        <v>167</v>
      </c>
      <c r="E198">
        <v>1754</v>
      </c>
    </row>
    <row r="201" spans="1:8" x14ac:dyDescent="0.35">
      <c r="A201" t="s">
        <v>1363</v>
      </c>
    </row>
    <row r="202" spans="1:8" x14ac:dyDescent="0.35">
      <c r="A202" t="s">
        <v>1845</v>
      </c>
    </row>
    <row r="203" spans="1:8" x14ac:dyDescent="0.35">
      <c r="A203" t="s">
        <v>2</v>
      </c>
      <c r="B203" t="s">
        <v>3</v>
      </c>
      <c r="C203" t="s">
        <v>4</v>
      </c>
      <c r="D203" t="s">
        <v>5</v>
      </c>
      <c r="E203" t="s">
        <v>6</v>
      </c>
      <c r="F203" t="s">
        <v>7</v>
      </c>
      <c r="G203" t="s">
        <v>8</v>
      </c>
    </row>
    <row r="204" spans="1:8" x14ac:dyDescent="0.35">
      <c r="A204" t="s">
        <v>175</v>
      </c>
      <c r="B204" t="s">
        <v>2026</v>
      </c>
      <c r="C204" t="s">
        <v>2027</v>
      </c>
      <c r="D204" t="s">
        <v>18</v>
      </c>
      <c r="E204">
        <v>147</v>
      </c>
      <c r="F204" t="s">
        <v>1627</v>
      </c>
      <c r="G204">
        <v>161.70000000000002</v>
      </c>
      <c r="H204" t="s">
        <v>1615</v>
      </c>
    </row>
    <row r="205" spans="1:8" x14ac:dyDescent="0.35">
      <c r="A205" t="s">
        <v>170</v>
      </c>
      <c r="B205" t="s">
        <v>2028</v>
      </c>
      <c r="C205" t="s">
        <v>2029</v>
      </c>
      <c r="D205" t="s">
        <v>20</v>
      </c>
      <c r="E205">
        <v>72</v>
      </c>
      <c r="F205" t="s">
        <v>1628</v>
      </c>
      <c r="G205">
        <v>79.2</v>
      </c>
      <c r="H205" t="s">
        <v>1616</v>
      </c>
    </row>
    <row r="206" spans="1:8" x14ac:dyDescent="0.35">
      <c r="A206" t="s">
        <v>171</v>
      </c>
      <c r="B206" t="s">
        <v>2030</v>
      </c>
      <c r="C206" t="s">
        <v>2031</v>
      </c>
      <c r="D206" t="s">
        <v>131</v>
      </c>
      <c r="E206">
        <v>103</v>
      </c>
      <c r="F206" t="s">
        <v>1601</v>
      </c>
      <c r="G206">
        <v>113.30000000000001</v>
      </c>
      <c r="H206" t="s">
        <v>1617</v>
      </c>
    </row>
    <row r="207" spans="1:8" x14ac:dyDescent="0.35">
      <c r="A207" t="s">
        <v>172</v>
      </c>
      <c r="B207" t="s">
        <v>2032</v>
      </c>
      <c r="C207" t="s">
        <v>2033</v>
      </c>
      <c r="D207" t="s">
        <v>50</v>
      </c>
      <c r="E207">
        <v>102</v>
      </c>
      <c r="F207" t="s">
        <v>1629</v>
      </c>
      <c r="G207">
        <v>112.2</v>
      </c>
      <c r="H207" t="s">
        <v>1618</v>
      </c>
    </row>
    <row r="208" spans="1:8" x14ac:dyDescent="0.35">
      <c r="A208" t="s">
        <v>155</v>
      </c>
      <c r="B208" t="s">
        <v>2034</v>
      </c>
      <c r="C208" t="s">
        <v>1905</v>
      </c>
      <c r="D208" t="s">
        <v>68</v>
      </c>
      <c r="E208">
        <v>245</v>
      </c>
      <c r="F208" t="s">
        <v>1630</v>
      </c>
      <c r="G208">
        <v>269.5</v>
      </c>
      <c r="H208" t="s">
        <v>1619</v>
      </c>
    </row>
    <row r="209" spans="1:8" x14ac:dyDescent="0.35">
      <c r="A209" t="s">
        <v>218</v>
      </c>
      <c r="B209" t="s">
        <v>2035</v>
      </c>
      <c r="C209" t="s">
        <v>2036</v>
      </c>
      <c r="D209" t="s">
        <v>60</v>
      </c>
      <c r="E209">
        <v>170</v>
      </c>
      <c r="F209" t="s">
        <v>1631</v>
      </c>
      <c r="G209">
        <v>187.00000000000003</v>
      </c>
      <c r="H209" t="s">
        <v>1620</v>
      </c>
    </row>
    <row r="210" spans="1:8" x14ac:dyDescent="0.35">
      <c r="A210" t="s">
        <v>158</v>
      </c>
      <c r="B210" t="s">
        <v>2037</v>
      </c>
      <c r="C210" t="s">
        <v>2038</v>
      </c>
      <c r="D210" t="s">
        <v>56</v>
      </c>
      <c r="E210">
        <v>224</v>
      </c>
      <c r="F210" t="s">
        <v>1534</v>
      </c>
      <c r="G210">
        <v>246.40000000000003</v>
      </c>
      <c r="H210" t="s">
        <v>1621</v>
      </c>
    </row>
    <row r="211" spans="1:8" x14ac:dyDescent="0.35">
      <c r="A211" t="s">
        <v>245</v>
      </c>
      <c r="B211" t="s">
        <v>2039</v>
      </c>
      <c r="C211" t="s">
        <v>1936</v>
      </c>
      <c r="D211" t="s">
        <v>80</v>
      </c>
      <c r="E211">
        <v>67</v>
      </c>
      <c r="F211" t="s">
        <v>1632</v>
      </c>
      <c r="G211">
        <v>73.7</v>
      </c>
      <c r="H211" t="s">
        <v>1622</v>
      </c>
    </row>
    <row r="212" spans="1:8" x14ac:dyDescent="0.35">
      <c r="A212" t="s">
        <v>157</v>
      </c>
      <c r="B212" t="s">
        <v>2040</v>
      </c>
      <c r="C212" t="s">
        <v>1915</v>
      </c>
      <c r="D212" t="s">
        <v>22</v>
      </c>
      <c r="E212">
        <v>223</v>
      </c>
      <c r="F212" t="s">
        <v>1534</v>
      </c>
      <c r="G212">
        <v>245.3</v>
      </c>
      <c r="H212" t="s">
        <v>1623</v>
      </c>
    </row>
    <row r="213" spans="1:8" x14ac:dyDescent="0.35">
      <c r="A213" t="s">
        <v>173</v>
      </c>
      <c r="B213" t="s">
        <v>2041</v>
      </c>
      <c r="C213" t="s">
        <v>2042</v>
      </c>
      <c r="D213" t="s">
        <v>87</v>
      </c>
      <c r="E213">
        <v>62</v>
      </c>
      <c r="F213" t="s">
        <v>1633</v>
      </c>
      <c r="G213">
        <v>68.2</v>
      </c>
      <c r="H213" t="s">
        <v>1624</v>
      </c>
    </row>
    <row r="214" spans="1:8" x14ac:dyDescent="0.35">
      <c r="A214" t="s">
        <v>176</v>
      </c>
      <c r="B214" t="s">
        <v>2043</v>
      </c>
      <c r="C214" t="s">
        <v>430</v>
      </c>
      <c r="D214" t="s">
        <v>113</v>
      </c>
      <c r="E214">
        <v>23</v>
      </c>
      <c r="F214" t="s">
        <v>475</v>
      </c>
      <c r="G214">
        <v>25.3</v>
      </c>
      <c r="H214">
        <v>23</v>
      </c>
    </row>
    <row r="215" spans="1:8" x14ac:dyDescent="0.35">
      <c r="A215" t="s">
        <v>176</v>
      </c>
      <c r="B215" t="s">
        <v>2043</v>
      </c>
      <c r="C215" t="s">
        <v>430</v>
      </c>
      <c r="D215" t="s">
        <v>75</v>
      </c>
      <c r="E215">
        <v>32</v>
      </c>
      <c r="F215" t="s">
        <v>1634</v>
      </c>
      <c r="G215">
        <v>35.200000000000003</v>
      </c>
      <c r="H215" t="s">
        <v>1625</v>
      </c>
    </row>
    <row r="216" spans="1:8" x14ac:dyDescent="0.35">
      <c r="A216" t="s">
        <v>176</v>
      </c>
      <c r="B216" t="s">
        <v>2043</v>
      </c>
      <c r="C216" t="s">
        <v>430</v>
      </c>
      <c r="D216" t="s">
        <v>48</v>
      </c>
      <c r="E216">
        <v>144</v>
      </c>
      <c r="F216" t="s">
        <v>1416</v>
      </c>
      <c r="G216">
        <v>158.4</v>
      </c>
      <c r="H216" t="s">
        <v>1626</v>
      </c>
    </row>
    <row r="217" spans="1:8" x14ac:dyDescent="0.35">
      <c r="D217" t="s">
        <v>177</v>
      </c>
      <c r="E217">
        <v>1614</v>
      </c>
    </row>
    <row r="220" spans="1:8" x14ac:dyDescent="0.35">
      <c r="A220" t="s">
        <v>1363</v>
      </c>
    </row>
    <row r="221" spans="1:8" x14ac:dyDescent="0.35">
      <c r="A221" t="s">
        <v>701</v>
      </c>
    </row>
    <row r="222" spans="1:8" x14ac:dyDescent="0.35">
      <c r="A222" t="s">
        <v>2</v>
      </c>
      <c r="B222" t="s">
        <v>3</v>
      </c>
      <c r="C222" t="s">
        <v>4</v>
      </c>
      <c r="D222" t="s">
        <v>5</v>
      </c>
      <c r="E222" t="s">
        <v>6</v>
      </c>
      <c r="F222" t="s">
        <v>7</v>
      </c>
      <c r="G222" t="s">
        <v>8</v>
      </c>
    </row>
    <row r="223" spans="1:8" x14ac:dyDescent="0.35">
      <c r="A223" t="s">
        <v>148</v>
      </c>
      <c r="B223" t="s">
        <v>429</v>
      </c>
      <c r="C223" t="s">
        <v>2044</v>
      </c>
      <c r="D223" t="s">
        <v>24</v>
      </c>
      <c r="E223">
        <v>37</v>
      </c>
      <c r="F223" t="s">
        <v>1411</v>
      </c>
      <c r="G223">
        <v>40.700000000000003</v>
      </c>
      <c r="H223" t="s">
        <v>1587</v>
      </c>
    </row>
    <row r="224" spans="1:8" x14ac:dyDescent="0.35">
      <c r="A224" t="s">
        <v>148</v>
      </c>
      <c r="B224" t="s">
        <v>429</v>
      </c>
      <c r="C224" t="s">
        <v>2044</v>
      </c>
      <c r="D224" t="s">
        <v>141</v>
      </c>
      <c r="E224">
        <v>242</v>
      </c>
      <c r="F224" t="s">
        <v>1534</v>
      </c>
      <c r="G224">
        <v>266.20000000000005</v>
      </c>
      <c r="H224" t="s">
        <v>1642</v>
      </c>
    </row>
    <row r="225" spans="1:8" x14ac:dyDescent="0.35">
      <c r="A225" t="s">
        <v>148</v>
      </c>
      <c r="B225" t="s">
        <v>429</v>
      </c>
      <c r="C225" t="s">
        <v>428</v>
      </c>
      <c r="D225" t="s">
        <v>32</v>
      </c>
      <c r="E225">
        <v>179</v>
      </c>
      <c r="F225" t="s">
        <v>1760</v>
      </c>
      <c r="G225">
        <v>196.9</v>
      </c>
      <c r="H225" t="s">
        <v>1761</v>
      </c>
    </row>
    <row r="226" spans="1:8" x14ac:dyDescent="0.35">
      <c r="A226" t="s">
        <v>148</v>
      </c>
      <c r="B226" t="s">
        <v>429</v>
      </c>
      <c r="C226" t="s">
        <v>428</v>
      </c>
      <c r="D226" t="s">
        <v>126</v>
      </c>
      <c r="E226">
        <v>154</v>
      </c>
      <c r="F226" t="s">
        <v>1636</v>
      </c>
      <c r="G226">
        <v>169.4</v>
      </c>
      <c r="H226" t="s">
        <v>1643</v>
      </c>
    </row>
    <row r="227" spans="1:8" x14ac:dyDescent="0.35">
      <c r="A227" t="s">
        <v>148</v>
      </c>
      <c r="B227" t="s">
        <v>429</v>
      </c>
      <c r="C227" t="s">
        <v>428</v>
      </c>
      <c r="D227" t="s">
        <v>30</v>
      </c>
      <c r="E227">
        <v>253</v>
      </c>
      <c r="F227" t="s">
        <v>1637</v>
      </c>
      <c r="G227">
        <v>278.3</v>
      </c>
      <c r="H227" t="s">
        <v>1644</v>
      </c>
    </row>
    <row r="228" spans="1:8" x14ac:dyDescent="0.35">
      <c r="A228" t="s">
        <v>148</v>
      </c>
      <c r="B228" t="s">
        <v>429</v>
      </c>
      <c r="C228" t="s">
        <v>428</v>
      </c>
      <c r="D228" t="s">
        <v>25</v>
      </c>
      <c r="E228">
        <v>80</v>
      </c>
      <c r="F228" t="s">
        <v>1638</v>
      </c>
      <c r="G228">
        <v>88</v>
      </c>
      <c r="H228" t="s">
        <v>1645</v>
      </c>
    </row>
    <row r="229" spans="1:8" x14ac:dyDescent="0.35">
      <c r="A229" t="s">
        <v>148</v>
      </c>
      <c r="B229" t="s">
        <v>429</v>
      </c>
      <c r="C229" t="s">
        <v>428</v>
      </c>
      <c r="D229" t="s">
        <v>142</v>
      </c>
      <c r="E229">
        <v>155</v>
      </c>
      <c r="F229" t="s">
        <v>1535</v>
      </c>
      <c r="G229">
        <v>170.5</v>
      </c>
      <c r="H229" t="s">
        <v>1646</v>
      </c>
    </row>
    <row r="230" spans="1:8" x14ac:dyDescent="0.35">
      <c r="A230" t="s">
        <v>148</v>
      </c>
      <c r="B230" t="s">
        <v>429</v>
      </c>
      <c r="C230" t="s">
        <v>428</v>
      </c>
      <c r="D230" t="s">
        <v>101</v>
      </c>
      <c r="E230">
        <v>260</v>
      </c>
      <c r="F230" t="s">
        <v>1639</v>
      </c>
      <c r="G230">
        <v>286</v>
      </c>
      <c r="H230" t="s">
        <v>1647</v>
      </c>
    </row>
    <row r="231" spans="1:8" x14ac:dyDescent="0.35">
      <c r="A231" t="s">
        <v>148</v>
      </c>
      <c r="B231" t="s">
        <v>429</v>
      </c>
      <c r="C231" t="s">
        <v>428</v>
      </c>
      <c r="D231" t="s">
        <v>140</v>
      </c>
      <c r="E231">
        <v>74</v>
      </c>
      <c r="F231" t="s">
        <v>1445</v>
      </c>
      <c r="G231">
        <v>81.400000000000006</v>
      </c>
      <c r="H231" t="s">
        <v>1537</v>
      </c>
    </row>
    <row r="232" spans="1:8" x14ac:dyDescent="0.35">
      <c r="A232" t="s">
        <v>148</v>
      </c>
      <c r="B232" t="s">
        <v>429</v>
      </c>
      <c r="C232" t="s">
        <v>2004</v>
      </c>
      <c r="D232" t="s">
        <v>84</v>
      </c>
      <c r="E232">
        <v>134</v>
      </c>
      <c r="F232" t="s">
        <v>1416</v>
      </c>
      <c r="G232">
        <v>147.4</v>
      </c>
      <c r="H232" t="s">
        <v>1648</v>
      </c>
    </row>
    <row r="233" spans="1:8" x14ac:dyDescent="0.35">
      <c r="A233" t="s">
        <v>202</v>
      </c>
      <c r="B233" t="s">
        <v>2045</v>
      </c>
      <c r="C233" t="s">
        <v>407</v>
      </c>
      <c r="D233" t="s">
        <v>44</v>
      </c>
      <c r="E233">
        <v>61</v>
      </c>
      <c r="F233" t="s">
        <v>1640</v>
      </c>
      <c r="G233">
        <v>67.100000000000009</v>
      </c>
      <c r="H233" t="s">
        <v>1484</v>
      </c>
    </row>
    <row r="234" spans="1:8" x14ac:dyDescent="0.35">
      <c r="A234" t="s">
        <v>168</v>
      </c>
      <c r="B234" t="s">
        <v>2046</v>
      </c>
      <c r="C234" t="s">
        <v>2042</v>
      </c>
      <c r="D234" t="s">
        <v>71</v>
      </c>
      <c r="E234">
        <v>51</v>
      </c>
      <c r="F234" t="s">
        <v>1635</v>
      </c>
      <c r="G234">
        <v>56.1</v>
      </c>
      <c r="H234" t="s">
        <v>1466</v>
      </c>
    </row>
    <row r="235" spans="1:8" x14ac:dyDescent="0.35">
      <c r="A235" t="s">
        <v>168</v>
      </c>
      <c r="B235" t="s">
        <v>2046</v>
      </c>
      <c r="C235" t="s">
        <v>2047</v>
      </c>
      <c r="D235" t="s">
        <v>92</v>
      </c>
      <c r="E235">
        <v>100</v>
      </c>
      <c r="F235" t="s">
        <v>1641</v>
      </c>
      <c r="G235">
        <v>110.00000000000001</v>
      </c>
      <c r="H235" t="s">
        <v>1614</v>
      </c>
    </row>
    <row r="236" spans="1:8" x14ac:dyDescent="0.35">
      <c r="D236" t="s">
        <v>181</v>
      </c>
      <c r="E236">
        <v>1780</v>
      </c>
    </row>
    <row r="239" spans="1:8" x14ac:dyDescent="0.35">
      <c r="A239" t="s">
        <v>1363</v>
      </c>
    </row>
    <row r="240" spans="1:8" x14ac:dyDescent="0.35">
      <c r="A240" t="s">
        <v>673</v>
      </c>
    </row>
    <row r="241" spans="1:8" x14ac:dyDescent="0.35">
      <c r="A241" t="s">
        <v>2</v>
      </c>
      <c r="B241" t="s">
        <v>3</v>
      </c>
      <c r="C241" t="s">
        <v>4</v>
      </c>
      <c r="D241" t="s">
        <v>5</v>
      </c>
      <c r="E241" t="s">
        <v>6</v>
      </c>
      <c r="F241" t="s">
        <v>7</v>
      </c>
      <c r="G241" t="s">
        <v>8</v>
      </c>
    </row>
    <row r="242" spans="1:8" x14ac:dyDescent="0.35">
      <c r="A242" t="s">
        <v>182</v>
      </c>
      <c r="B242" t="s">
        <v>409</v>
      </c>
      <c r="C242" t="s">
        <v>2048</v>
      </c>
      <c r="D242" t="s">
        <v>40</v>
      </c>
      <c r="E242">
        <v>70</v>
      </c>
      <c r="F242" t="s">
        <v>1649</v>
      </c>
      <c r="G242">
        <v>77</v>
      </c>
      <c r="H242" t="s">
        <v>1655</v>
      </c>
    </row>
    <row r="243" spans="1:8" x14ac:dyDescent="0.35">
      <c r="A243" t="s">
        <v>182</v>
      </c>
      <c r="B243" t="s">
        <v>409</v>
      </c>
      <c r="C243" t="s">
        <v>2049</v>
      </c>
      <c r="D243" t="s">
        <v>163</v>
      </c>
      <c r="E243">
        <v>126</v>
      </c>
      <c r="F243" t="s">
        <v>1650</v>
      </c>
      <c r="G243">
        <v>138.60000000000002</v>
      </c>
      <c r="H243" t="s">
        <v>1656</v>
      </c>
    </row>
    <row r="244" spans="1:8" x14ac:dyDescent="0.35">
      <c r="A244" t="s">
        <v>182</v>
      </c>
      <c r="B244" t="s">
        <v>409</v>
      </c>
      <c r="C244" t="s">
        <v>2050</v>
      </c>
      <c r="D244" t="s">
        <v>69</v>
      </c>
      <c r="E244">
        <v>261</v>
      </c>
      <c r="F244" t="s">
        <v>1639</v>
      </c>
      <c r="G244">
        <v>287.10000000000002</v>
      </c>
      <c r="H244" t="s">
        <v>1657</v>
      </c>
    </row>
    <row r="245" spans="1:8" x14ac:dyDescent="0.35">
      <c r="A245" t="s">
        <v>182</v>
      </c>
      <c r="B245" t="s">
        <v>409</v>
      </c>
      <c r="C245" t="s">
        <v>2048</v>
      </c>
      <c r="D245" t="s">
        <v>161</v>
      </c>
      <c r="E245">
        <v>81</v>
      </c>
      <c r="F245" t="s">
        <v>505</v>
      </c>
      <c r="G245">
        <v>89.100000000000009</v>
      </c>
      <c r="H245">
        <v>81</v>
      </c>
    </row>
    <row r="246" spans="1:8" x14ac:dyDescent="0.35">
      <c r="A246" t="s">
        <v>182</v>
      </c>
      <c r="B246" t="s">
        <v>409</v>
      </c>
      <c r="C246" t="s">
        <v>2049</v>
      </c>
      <c r="D246" t="s">
        <v>183</v>
      </c>
      <c r="E246">
        <v>129</v>
      </c>
      <c r="F246" t="s">
        <v>1416</v>
      </c>
      <c r="G246">
        <v>141.9</v>
      </c>
      <c r="H246" t="s">
        <v>1658</v>
      </c>
    </row>
    <row r="247" spans="1:8" x14ac:dyDescent="0.35">
      <c r="A247" t="s">
        <v>182</v>
      </c>
      <c r="B247" t="s">
        <v>409</v>
      </c>
      <c r="C247" t="s">
        <v>2051</v>
      </c>
      <c r="D247" t="s">
        <v>164</v>
      </c>
      <c r="E247">
        <v>223</v>
      </c>
      <c r="F247" t="s">
        <v>1534</v>
      </c>
      <c r="G247">
        <v>245.3</v>
      </c>
      <c r="H247" t="s">
        <v>1659</v>
      </c>
    </row>
    <row r="248" spans="1:8" x14ac:dyDescent="0.35">
      <c r="A248" t="s">
        <v>102</v>
      </c>
      <c r="B248" t="s">
        <v>2052</v>
      </c>
      <c r="C248" t="s">
        <v>2053</v>
      </c>
      <c r="D248" t="s">
        <v>103</v>
      </c>
      <c r="E248">
        <v>120</v>
      </c>
      <c r="F248" t="s">
        <v>1651</v>
      </c>
      <c r="G248">
        <v>132</v>
      </c>
      <c r="H248" t="s">
        <v>1660</v>
      </c>
    </row>
    <row r="249" spans="1:8" x14ac:dyDescent="0.35">
      <c r="A249" t="s">
        <v>102</v>
      </c>
      <c r="B249" t="s">
        <v>2052</v>
      </c>
      <c r="C249" t="s">
        <v>2053</v>
      </c>
      <c r="D249" t="s">
        <v>104</v>
      </c>
      <c r="E249">
        <v>56</v>
      </c>
      <c r="F249" t="s">
        <v>1652</v>
      </c>
      <c r="G249">
        <v>61.600000000000009</v>
      </c>
      <c r="H249" t="s">
        <v>1525</v>
      </c>
    </row>
    <row r="250" spans="1:8" x14ac:dyDescent="0.35">
      <c r="A250" t="s">
        <v>106</v>
      </c>
      <c r="B250" t="s">
        <v>2052</v>
      </c>
      <c r="C250" t="s">
        <v>2053</v>
      </c>
      <c r="D250" t="s">
        <v>1382</v>
      </c>
      <c r="E250">
        <v>129</v>
      </c>
      <c r="F250" t="s">
        <v>1603</v>
      </c>
      <c r="G250">
        <v>141.9</v>
      </c>
      <c r="H250" t="s">
        <v>1605</v>
      </c>
    </row>
    <row r="251" spans="1:8" x14ac:dyDescent="0.35">
      <c r="A251" t="s">
        <v>186</v>
      </c>
      <c r="B251" t="s">
        <v>2054</v>
      </c>
      <c r="C251" t="s">
        <v>2055</v>
      </c>
      <c r="D251" t="s">
        <v>95</v>
      </c>
      <c r="E251">
        <v>49</v>
      </c>
      <c r="F251" t="s">
        <v>1479</v>
      </c>
      <c r="G251">
        <v>53.900000000000006</v>
      </c>
      <c r="H251" t="s">
        <v>1661</v>
      </c>
    </row>
    <row r="252" spans="1:8" x14ac:dyDescent="0.35">
      <c r="A252" t="s">
        <v>187</v>
      </c>
      <c r="B252" t="s">
        <v>2056</v>
      </c>
      <c r="C252" t="s">
        <v>2055</v>
      </c>
      <c r="D252" t="s">
        <v>97</v>
      </c>
      <c r="E252">
        <v>64</v>
      </c>
      <c r="F252" t="s">
        <v>1653</v>
      </c>
      <c r="G252">
        <v>70.400000000000006</v>
      </c>
      <c r="H252" t="s">
        <v>1662</v>
      </c>
    </row>
    <row r="253" spans="1:8" x14ac:dyDescent="0.35">
      <c r="A253" t="s">
        <v>150</v>
      </c>
      <c r="B253" t="s">
        <v>2057</v>
      </c>
      <c r="C253" t="s">
        <v>1947</v>
      </c>
      <c r="D253" t="s">
        <v>123</v>
      </c>
      <c r="E253">
        <v>89</v>
      </c>
      <c r="F253" t="s">
        <v>1654</v>
      </c>
      <c r="G253">
        <v>97.9</v>
      </c>
      <c r="H253" t="s">
        <v>1663</v>
      </c>
    </row>
    <row r="254" spans="1:8" x14ac:dyDescent="0.35">
      <c r="A254" t="s">
        <v>179</v>
      </c>
      <c r="B254" t="s">
        <v>2058</v>
      </c>
      <c r="C254" t="s">
        <v>1958</v>
      </c>
      <c r="D254" t="s">
        <v>16</v>
      </c>
      <c r="E254">
        <v>154</v>
      </c>
      <c r="F254" t="s">
        <v>1424</v>
      </c>
      <c r="G254">
        <v>169.4</v>
      </c>
      <c r="H254" t="s">
        <v>1664</v>
      </c>
    </row>
    <row r="255" spans="1:8" x14ac:dyDescent="0.35">
      <c r="A255" t="s">
        <v>174</v>
      </c>
      <c r="B255" t="s">
        <v>2059</v>
      </c>
      <c r="C255" t="s">
        <v>2060</v>
      </c>
      <c r="D255" t="s">
        <v>78</v>
      </c>
      <c r="E255">
        <v>93</v>
      </c>
      <c r="F255" t="s">
        <v>1417</v>
      </c>
      <c r="G255">
        <v>102.30000000000001</v>
      </c>
      <c r="H255" t="s">
        <v>1665</v>
      </c>
    </row>
    <row r="256" spans="1:8" x14ac:dyDescent="0.35">
      <c r="A256" t="s">
        <v>189</v>
      </c>
      <c r="B256" t="s">
        <v>2061</v>
      </c>
      <c r="C256" t="s">
        <v>2062</v>
      </c>
      <c r="D256" t="s">
        <v>21</v>
      </c>
      <c r="E256">
        <v>40</v>
      </c>
      <c r="F256" t="s">
        <v>149</v>
      </c>
      <c r="G256">
        <v>44</v>
      </c>
    </row>
    <row r="257" spans="1:8" x14ac:dyDescent="0.35">
      <c r="A257" t="s">
        <v>190</v>
      </c>
      <c r="B257" t="s">
        <v>2063</v>
      </c>
      <c r="C257" t="s">
        <v>2062</v>
      </c>
      <c r="D257" t="s">
        <v>12</v>
      </c>
      <c r="E257">
        <v>47</v>
      </c>
      <c r="F257" t="s">
        <v>149</v>
      </c>
      <c r="G257">
        <v>51.7</v>
      </c>
    </row>
    <row r="258" spans="1:8" x14ac:dyDescent="0.35">
      <c r="D258" t="s">
        <v>191</v>
      </c>
      <c r="E258">
        <v>1644</v>
      </c>
    </row>
    <row r="261" spans="1:8" x14ac:dyDescent="0.35">
      <c r="A261" t="s">
        <v>1363</v>
      </c>
    </row>
    <row r="262" spans="1:8" x14ac:dyDescent="0.35">
      <c r="A262" t="s">
        <v>643</v>
      </c>
    </row>
    <row r="263" spans="1:8" x14ac:dyDescent="0.35">
      <c r="A263" t="s">
        <v>2</v>
      </c>
      <c r="B263" t="s">
        <v>3</v>
      </c>
      <c r="C263" t="s">
        <v>4</v>
      </c>
      <c r="D263" t="s">
        <v>5</v>
      </c>
      <c r="E263" t="s">
        <v>6</v>
      </c>
      <c r="F263" t="s">
        <v>7</v>
      </c>
      <c r="G263" t="s">
        <v>8</v>
      </c>
    </row>
    <row r="264" spans="1:8" x14ac:dyDescent="0.35">
      <c r="A264" t="s">
        <v>192</v>
      </c>
      <c r="B264" t="s">
        <v>2064</v>
      </c>
      <c r="C264" t="s">
        <v>2065</v>
      </c>
      <c r="D264" t="s">
        <v>64</v>
      </c>
      <c r="E264">
        <v>59</v>
      </c>
      <c r="F264" t="s">
        <v>505</v>
      </c>
      <c r="G264">
        <v>64.900000000000006</v>
      </c>
      <c r="H264">
        <v>59</v>
      </c>
    </row>
    <row r="265" spans="1:8" x14ac:dyDescent="0.35">
      <c r="A265" t="s">
        <v>178</v>
      </c>
      <c r="B265" t="s">
        <v>458</v>
      </c>
      <c r="C265" t="s">
        <v>2066</v>
      </c>
      <c r="D265" t="s">
        <v>63</v>
      </c>
      <c r="E265">
        <v>154</v>
      </c>
      <c r="F265" t="s">
        <v>1424</v>
      </c>
      <c r="G265">
        <v>169.4</v>
      </c>
      <c r="H265" t="s">
        <v>1757</v>
      </c>
    </row>
    <row r="266" spans="1:8" x14ac:dyDescent="0.35">
      <c r="A266" t="s">
        <v>193</v>
      </c>
      <c r="B266" t="s">
        <v>2067</v>
      </c>
      <c r="C266" t="s">
        <v>1513</v>
      </c>
      <c r="D266" t="s">
        <v>36</v>
      </c>
      <c r="E266">
        <v>119</v>
      </c>
      <c r="F266" t="s">
        <v>1495</v>
      </c>
      <c r="G266">
        <v>130.9</v>
      </c>
      <c r="H266" t="s">
        <v>1766</v>
      </c>
    </row>
    <row r="267" spans="1:8" x14ac:dyDescent="0.35">
      <c r="A267" t="s">
        <v>193</v>
      </c>
      <c r="B267" t="s">
        <v>2067</v>
      </c>
      <c r="C267" t="s">
        <v>2068</v>
      </c>
      <c r="D267" t="s">
        <v>165</v>
      </c>
      <c r="E267">
        <v>242</v>
      </c>
      <c r="F267" t="s">
        <v>1758</v>
      </c>
      <c r="G267">
        <v>266.20000000000005</v>
      </c>
      <c r="H267" t="s">
        <v>1759</v>
      </c>
    </row>
    <row r="268" spans="1:8" x14ac:dyDescent="0.35">
      <c r="A268" t="s">
        <v>121</v>
      </c>
      <c r="B268" t="s">
        <v>2069</v>
      </c>
      <c r="C268" t="s">
        <v>2070</v>
      </c>
      <c r="D268" t="s">
        <v>34</v>
      </c>
      <c r="E268">
        <v>115</v>
      </c>
      <c r="F268" t="s">
        <v>1650</v>
      </c>
      <c r="G268">
        <v>126.50000000000001</v>
      </c>
      <c r="H268" t="s">
        <v>1672</v>
      </c>
    </row>
    <row r="269" spans="1:8" x14ac:dyDescent="0.35">
      <c r="A269" t="s">
        <v>188</v>
      </c>
      <c r="B269" t="s">
        <v>1921</v>
      </c>
      <c r="C269" t="s">
        <v>1922</v>
      </c>
      <c r="D269" t="s">
        <v>19</v>
      </c>
      <c r="E269">
        <v>254</v>
      </c>
      <c r="F269" t="s">
        <v>1639</v>
      </c>
      <c r="G269">
        <v>279.40000000000003</v>
      </c>
      <c r="H269" t="s">
        <v>1673</v>
      </c>
    </row>
    <row r="270" spans="1:8" x14ac:dyDescent="0.35">
      <c r="A270" t="s">
        <v>195</v>
      </c>
      <c r="B270" t="s">
        <v>2071</v>
      </c>
      <c r="C270" t="s">
        <v>2072</v>
      </c>
      <c r="D270" t="s">
        <v>68</v>
      </c>
      <c r="E270">
        <v>245</v>
      </c>
      <c r="F270" t="s">
        <v>1534</v>
      </c>
      <c r="G270">
        <v>269.5</v>
      </c>
      <c r="H270" t="s">
        <v>1415</v>
      </c>
    </row>
    <row r="271" spans="1:8" x14ac:dyDescent="0.35">
      <c r="A271" t="s">
        <v>169</v>
      </c>
      <c r="B271" t="s">
        <v>2073</v>
      </c>
      <c r="C271" t="s">
        <v>2074</v>
      </c>
      <c r="D271" t="s">
        <v>17</v>
      </c>
      <c r="E271">
        <v>276</v>
      </c>
      <c r="F271" t="s">
        <v>1669</v>
      </c>
      <c r="G271">
        <v>303.60000000000002</v>
      </c>
      <c r="H271" t="s">
        <v>1557</v>
      </c>
    </row>
    <row r="272" spans="1:8" x14ac:dyDescent="0.35">
      <c r="A272" t="s">
        <v>169</v>
      </c>
      <c r="B272" t="s">
        <v>2073</v>
      </c>
      <c r="C272" t="s">
        <v>2074</v>
      </c>
      <c r="D272" t="s">
        <v>13</v>
      </c>
      <c r="E272">
        <v>94</v>
      </c>
      <c r="F272" t="s">
        <v>1670</v>
      </c>
      <c r="G272">
        <v>103.4</v>
      </c>
      <c r="H272" t="s">
        <v>1674</v>
      </c>
    </row>
    <row r="273" spans="1:8" x14ac:dyDescent="0.35">
      <c r="A273" t="s">
        <v>1379</v>
      </c>
      <c r="B273" t="s">
        <v>2075</v>
      </c>
      <c r="C273" t="s">
        <v>2076</v>
      </c>
      <c r="D273" t="s">
        <v>52</v>
      </c>
      <c r="E273">
        <v>142</v>
      </c>
      <c r="F273" t="s">
        <v>1416</v>
      </c>
      <c r="G273">
        <v>156.20000000000002</v>
      </c>
      <c r="H273" t="s">
        <v>1658</v>
      </c>
    </row>
    <row r="274" spans="1:8" x14ac:dyDescent="0.35">
      <c r="A274" t="s">
        <v>196</v>
      </c>
      <c r="B274" t="s">
        <v>1765</v>
      </c>
      <c r="C274" t="s">
        <v>2077</v>
      </c>
      <c r="D274" t="s">
        <v>86</v>
      </c>
      <c r="E274">
        <v>39</v>
      </c>
      <c r="F274" t="s">
        <v>1768</v>
      </c>
      <c r="G274">
        <v>42.900000000000006</v>
      </c>
      <c r="H274" t="s">
        <v>1767</v>
      </c>
    </row>
    <row r="275" spans="1:8" x14ac:dyDescent="0.35">
      <c r="A275" t="s">
        <v>196</v>
      </c>
      <c r="B275" t="s">
        <v>1765</v>
      </c>
      <c r="C275" t="s">
        <v>2077</v>
      </c>
      <c r="D275" t="s">
        <v>1385</v>
      </c>
      <c r="E275">
        <v>3</v>
      </c>
      <c r="F275" t="s">
        <v>475</v>
      </c>
      <c r="G275">
        <v>3.3000000000000003</v>
      </c>
      <c r="H275">
        <v>3</v>
      </c>
    </row>
    <row r="276" spans="1:8" x14ac:dyDescent="0.35">
      <c r="A276" t="s">
        <v>196</v>
      </c>
      <c r="B276" t="s">
        <v>1765</v>
      </c>
      <c r="C276" t="s">
        <v>2077</v>
      </c>
      <c r="D276" t="s">
        <v>87</v>
      </c>
      <c r="E276">
        <v>45</v>
      </c>
      <c r="F276" t="s">
        <v>1465</v>
      </c>
      <c r="G276">
        <v>49.500000000000007</v>
      </c>
      <c r="H276" t="s">
        <v>1675</v>
      </c>
    </row>
    <row r="277" spans="1:8" x14ac:dyDescent="0.35">
      <c r="D277" t="s">
        <v>197</v>
      </c>
      <c r="E277">
        <v>1787</v>
      </c>
    </row>
    <row r="280" spans="1:8" x14ac:dyDescent="0.35">
      <c r="A280" t="s">
        <v>1368</v>
      </c>
    </row>
    <row r="281" spans="1:8" x14ac:dyDescent="0.35">
      <c r="A281" t="s">
        <v>750</v>
      </c>
    </row>
    <row r="282" spans="1:8" x14ac:dyDescent="0.35">
      <c r="A282" t="s">
        <v>2</v>
      </c>
      <c r="B282" t="s">
        <v>3</v>
      </c>
      <c r="C282" t="s">
        <v>4</v>
      </c>
      <c r="D282" t="s">
        <v>5</v>
      </c>
      <c r="E282" t="s">
        <v>6</v>
      </c>
      <c r="F282" t="s">
        <v>7</v>
      </c>
      <c r="G282" t="s">
        <v>8</v>
      </c>
    </row>
    <row r="283" spans="1:8" x14ac:dyDescent="0.35">
      <c r="A283" t="s">
        <v>201</v>
      </c>
      <c r="B283" t="s">
        <v>420</v>
      </c>
      <c r="C283" t="s">
        <v>419</v>
      </c>
      <c r="D283" t="s">
        <v>140</v>
      </c>
      <c r="E283">
        <v>74</v>
      </c>
      <c r="F283" t="s">
        <v>1676</v>
      </c>
      <c r="G283">
        <v>81.400000000000006</v>
      </c>
      <c r="H283" t="s">
        <v>1679</v>
      </c>
    </row>
    <row r="284" spans="1:8" x14ac:dyDescent="0.35">
      <c r="A284" t="s">
        <v>201</v>
      </c>
      <c r="B284" t="s">
        <v>420</v>
      </c>
      <c r="C284" t="s">
        <v>419</v>
      </c>
      <c r="D284" t="s">
        <v>141</v>
      </c>
      <c r="E284">
        <v>242</v>
      </c>
      <c r="F284" t="s">
        <v>1534</v>
      </c>
      <c r="G284">
        <v>266.20000000000005</v>
      </c>
      <c r="H284" t="s">
        <v>1642</v>
      </c>
    </row>
    <row r="285" spans="1:8" x14ac:dyDescent="0.35">
      <c r="A285" t="s">
        <v>203</v>
      </c>
      <c r="B285" t="s">
        <v>2078</v>
      </c>
      <c r="C285" t="s">
        <v>2079</v>
      </c>
      <c r="D285" t="s">
        <v>163</v>
      </c>
      <c r="E285">
        <v>126</v>
      </c>
      <c r="F285" t="s">
        <v>1523</v>
      </c>
      <c r="G285">
        <v>138.60000000000002</v>
      </c>
      <c r="H285" t="s">
        <v>1680</v>
      </c>
    </row>
    <row r="286" spans="1:8" x14ac:dyDescent="0.35">
      <c r="A286" t="s">
        <v>204</v>
      </c>
      <c r="B286" t="s">
        <v>2080</v>
      </c>
      <c r="C286" t="s">
        <v>2081</v>
      </c>
      <c r="D286" t="s">
        <v>16</v>
      </c>
      <c r="E286">
        <v>154</v>
      </c>
      <c r="F286" t="s">
        <v>1668</v>
      </c>
      <c r="G286">
        <v>169.4</v>
      </c>
      <c r="H286" t="s">
        <v>1671</v>
      </c>
    </row>
    <row r="287" spans="1:8" x14ac:dyDescent="0.35">
      <c r="A287" t="s">
        <v>205</v>
      </c>
      <c r="B287" t="s">
        <v>2082</v>
      </c>
      <c r="C287" t="s">
        <v>2083</v>
      </c>
      <c r="D287" t="s">
        <v>75</v>
      </c>
      <c r="E287">
        <v>32</v>
      </c>
      <c r="F287" t="s">
        <v>1634</v>
      </c>
      <c r="G287">
        <v>35.200000000000003</v>
      </c>
      <c r="H287" t="s">
        <v>1625</v>
      </c>
    </row>
    <row r="288" spans="1:8" x14ac:dyDescent="0.35">
      <c r="A288" t="s">
        <v>1016</v>
      </c>
      <c r="B288" t="s">
        <v>2084</v>
      </c>
      <c r="C288" t="s">
        <v>2085</v>
      </c>
      <c r="D288" t="s">
        <v>89</v>
      </c>
      <c r="E288">
        <v>59</v>
      </c>
      <c r="F288" t="s">
        <v>1433</v>
      </c>
      <c r="G288">
        <v>64.900000000000006</v>
      </c>
      <c r="H288" t="s">
        <v>1471</v>
      </c>
    </row>
    <row r="289" spans="1:8" x14ac:dyDescent="0.35">
      <c r="A289" t="s">
        <v>1016</v>
      </c>
      <c r="B289" t="s">
        <v>2086</v>
      </c>
      <c r="C289" t="s">
        <v>2085</v>
      </c>
      <c r="D289" t="s">
        <v>31</v>
      </c>
      <c r="E289">
        <v>83</v>
      </c>
      <c r="F289" t="s">
        <v>1654</v>
      </c>
      <c r="G289">
        <v>91.300000000000011</v>
      </c>
      <c r="H289" t="s">
        <v>1681</v>
      </c>
    </row>
    <row r="290" spans="1:8" x14ac:dyDescent="0.35">
      <c r="A290" t="s">
        <v>206</v>
      </c>
      <c r="B290" t="s">
        <v>2087</v>
      </c>
      <c r="C290" t="s">
        <v>2083</v>
      </c>
      <c r="D290" t="s">
        <v>113</v>
      </c>
      <c r="E290">
        <v>23</v>
      </c>
      <c r="F290">
        <v>206</v>
      </c>
      <c r="G290">
        <v>25.3</v>
      </c>
      <c r="H290">
        <v>23</v>
      </c>
    </row>
    <row r="291" spans="1:8" x14ac:dyDescent="0.35">
      <c r="A291" t="s">
        <v>193</v>
      </c>
      <c r="B291" t="s">
        <v>2067</v>
      </c>
      <c r="C291" t="s">
        <v>2088</v>
      </c>
      <c r="D291" t="s">
        <v>66</v>
      </c>
      <c r="E291">
        <v>100</v>
      </c>
      <c r="F291" t="s">
        <v>1522</v>
      </c>
      <c r="G291">
        <v>110.00000000000001</v>
      </c>
      <c r="H291" t="s">
        <v>1682</v>
      </c>
    </row>
    <row r="292" spans="1:8" x14ac:dyDescent="0.35">
      <c r="A292" t="s">
        <v>193</v>
      </c>
      <c r="B292" t="s">
        <v>2067</v>
      </c>
      <c r="C292" t="s">
        <v>2088</v>
      </c>
      <c r="D292" t="s">
        <v>58</v>
      </c>
      <c r="E292">
        <v>287</v>
      </c>
      <c r="F292" t="s">
        <v>1677</v>
      </c>
      <c r="G292">
        <v>315.70000000000005</v>
      </c>
      <c r="H292" t="s">
        <v>1683</v>
      </c>
    </row>
    <row r="293" spans="1:8" x14ac:dyDescent="0.35">
      <c r="A293" t="s">
        <v>207</v>
      </c>
      <c r="B293" t="s">
        <v>2089</v>
      </c>
      <c r="C293" t="s">
        <v>2083</v>
      </c>
      <c r="D293" t="s">
        <v>44</v>
      </c>
      <c r="E293">
        <v>61</v>
      </c>
      <c r="F293" t="s">
        <v>1640</v>
      </c>
      <c r="G293">
        <v>67.100000000000009</v>
      </c>
      <c r="H293" t="s">
        <v>1484</v>
      </c>
    </row>
    <row r="294" spans="1:8" x14ac:dyDescent="0.35">
      <c r="A294" t="s">
        <v>207</v>
      </c>
      <c r="B294" t="s">
        <v>2089</v>
      </c>
      <c r="C294" t="s">
        <v>2083</v>
      </c>
      <c r="D294" t="s">
        <v>48</v>
      </c>
      <c r="E294">
        <v>144</v>
      </c>
      <c r="F294" t="s">
        <v>1678</v>
      </c>
      <c r="G294">
        <v>158.4</v>
      </c>
      <c r="H294" t="s">
        <v>1615</v>
      </c>
    </row>
    <row r="295" spans="1:8" x14ac:dyDescent="0.35">
      <c r="D295" t="s">
        <v>210</v>
      </c>
      <c r="E295">
        <v>1385</v>
      </c>
    </row>
    <row r="298" spans="1:8" x14ac:dyDescent="0.35">
      <c r="A298" t="s">
        <v>1368</v>
      </c>
    </row>
    <row r="299" spans="1:8" x14ac:dyDescent="0.35">
      <c r="A299" t="s">
        <v>745</v>
      </c>
    </row>
    <row r="300" spans="1:8" x14ac:dyDescent="0.35">
      <c r="A300" t="s">
        <v>2</v>
      </c>
      <c r="B300" t="s">
        <v>3</v>
      </c>
      <c r="C300" t="s">
        <v>4</v>
      </c>
      <c r="D300" t="s">
        <v>5</v>
      </c>
      <c r="E300" t="s">
        <v>6</v>
      </c>
      <c r="F300" t="s">
        <v>7</v>
      </c>
      <c r="G300" t="s">
        <v>8</v>
      </c>
    </row>
    <row r="301" spans="1:8" x14ac:dyDescent="0.35">
      <c r="A301" t="s">
        <v>211</v>
      </c>
      <c r="B301" t="s">
        <v>2090</v>
      </c>
      <c r="C301" t="s">
        <v>2091</v>
      </c>
      <c r="D301" t="s">
        <v>92</v>
      </c>
      <c r="E301">
        <v>64</v>
      </c>
      <c r="F301" t="s">
        <v>1633</v>
      </c>
      <c r="G301">
        <v>71</v>
      </c>
      <c r="H301" t="s">
        <v>1688</v>
      </c>
    </row>
    <row r="302" spans="1:8" x14ac:dyDescent="0.35">
      <c r="A302" t="s">
        <v>211</v>
      </c>
      <c r="B302" t="s">
        <v>2090</v>
      </c>
      <c r="C302" t="s">
        <v>2092</v>
      </c>
      <c r="D302" t="s">
        <v>165</v>
      </c>
      <c r="E302">
        <v>136</v>
      </c>
      <c r="F302" t="s">
        <v>1510</v>
      </c>
      <c r="G302">
        <v>150</v>
      </c>
      <c r="H302" t="s">
        <v>1689</v>
      </c>
    </row>
    <row r="303" spans="1:8" x14ac:dyDescent="0.35">
      <c r="A303" t="s">
        <v>211</v>
      </c>
      <c r="B303" t="s">
        <v>2090</v>
      </c>
      <c r="C303" t="s">
        <v>2092</v>
      </c>
      <c r="D303" t="s">
        <v>36</v>
      </c>
      <c r="E303">
        <v>80</v>
      </c>
      <c r="F303" t="s">
        <v>1782</v>
      </c>
      <c r="G303">
        <v>88</v>
      </c>
      <c r="H303" t="s">
        <v>1783</v>
      </c>
    </row>
    <row r="304" spans="1:8" x14ac:dyDescent="0.35">
      <c r="A304" t="s">
        <v>211</v>
      </c>
      <c r="B304" t="s">
        <v>2090</v>
      </c>
      <c r="C304" t="s">
        <v>2092</v>
      </c>
      <c r="D304" t="s">
        <v>29</v>
      </c>
      <c r="E304">
        <v>42</v>
      </c>
      <c r="F304" t="s">
        <v>144</v>
      </c>
      <c r="G304">
        <v>47</v>
      </c>
      <c r="H304">
        <v>42</v>
      </c>
    </row>
    <row r="305" spans="1:8" x14ac:dyDescent="0.35">
      <c r="A305" t="s">
        <v>211</v>
      </c>
      <c r="B305" t="s">
        <v>2090</v>
      </c>
      <c r="C305" t="s">
        <v>2092</v>
      </c>
      <c r="D305" t="s">
        <v>30</v>
      </c>
      <c r="E305">
        <v>146</v>
      </c>
      <c r="F305" t="s">
        <v>1678</v>
      </c>
      <c r="G305">
        <v>161</v>
      </c>
      <c r="H305" t="s">
        <v>1690</v>
      </c>
    </row>
    <row r="306" spans="1:8" x14ac:dyDescent="0.35">
      <c r="A306" t="s">
        <v>211</v>
      </c>
      <c r="B306" t="s">
        <v>2090</v>
      </c>
      <c r="C306" t="s">
        <v>2092</v>
      </c>
      <c r="D306" t="s">
        <v>82</v>
      </c>
      <c r="E306">
        <v>174</v>
      </c>
      <c r="F306" t="s">
        <v>1684</v>
      </c>
      <c r="G306">
        <v>192</v>
      </c>
      <c r="H306" t="s">
        <v>1691</v>
      </c>
    </row>
    <row r="307" spans="1:8" x14ac:dyDescent="0.35">
      <c r="A307" t="s">
        <v>211</v>
      </c>
      <c r="B307" t="s">
        <v>2090</v>
      </c>
      <c r="C307" t="s">
        <v>2093</v>
      </c>
      <c r="D307" t="s">
        <v>33</v>
      </c>
      <c r="E307">
        <v>53</v>
      </c>
      <c r="F307" t="s">
        <v>105</v>
      </c>
      <c r="G307">
        <v>59</v>
      </c>
      <c r="H307">
        <v>53</v>
      </c>
    </row>
    <row r="308" spans="1:8" x14ac:dyDescent="0.35">
      <c r="A308" t="s">
        <v>211</v>
      </c>
      <c r="B308" t="s">
        <v>2090</v>
      </c>
      <c r="C308" t="s">
        <v>2093</v>
      </c>
      <c r="D308" t="s">
        <v>32</v>
      </c>
      <c r="E308">
        <v>104</v>
      </c>
      <c r="F308" t="s">
        <v>1443</v>
      </c>
      <c r="G308">
        <v>115</v>
      </c>
      <c r="H308" t="s">
        <v>1692</v>
      </c>
    </row>
    <row r="309" spans="1:8" x14ac:dyDescent="0.35">
      <c r="A309" t="s">
        <v>211</v>
      </c>
      <c r="B309" t="s">
        <v>2090</v>
      </c>
      <c r="C309" t="s">
        <v>2094</v>
      </c>
      <c r="D309" t="s">
        <v>34</v>
      </c>
      <c r="E309">
        <v>60</v>
      </c>
      <c r="F309" t="s">
        <v>1685</v>
      </c>
      <c r="G309">
        <v>66</v>
      </c>
      <c r="H309" t="s">
        <v>1693</v>
      </c>
    </row>
    <row r="310" spans="1:8" x14ac:dyDescent="0.35">
      <c r="A310" t="s">
        <v>211</v>
      </c>
      <c r="B310" t="s">
        <v>2090</v>
      </c>
      <c r="C310" t="s">
        <v>2092</v>
      </c>
      <c r="D310" t="s">
        <v>41</v>
      </c>
      <c r="E310">
        <v>46</v>
      </c>
      <c r="F310" t="s">
        <v>1686</v>
      </c>
      <c r="G310">
        <v>51</v>
      </c>
      <c r="H310" t="s">
        <v>1606</v>
      </c>
    </row>
    <row r="311" spans="1:8" x14ac:dyDescent="0.35">
      <c r="A311" t="s">
        <v>211</v>
      </c>
      <c r="B311" t="s">
        <v>2090</v>
      </c>
      <c r="C311" t="s">
        <v>2091</v>
      </c>
      <c r="D311" t="s">
        <v>71</v>
      </c>
      <c r="E311">
        <v>22</v>
      </c>
      <c r="F311" t="s">
        <v>473</v>
      </c>
      <c r="G311">
        <v>25</v>
      </c>
      <c r="H311">
        <v>22</v>
      </c>
    </row>
    <row r="312" spans="1:8" x14ac:dyDescent="0.35">
      <c r="A312" t="s">
        <v>127</v>
      </c>
      <c r="B312" t="s">
        <v>2095</v>
      </c>
      <c r="C312" t="s">
        <v>2096</v>
      </c>
      <c r="D312" t="s">
        <v>39</v>
      </c>
      <c r="E312">
        <v>72</v>
      </c>
      <c r="F312" t="s">
        <v>1445</v>
      </c>
      <c r="G312">
        <v>80</v>
      </c>
      <c r="H312" t="s">
        <v>1694</v>
      </c>
    </row>
    <row r="313" spans="1:8" x14ac:dyDescent="0.35">
      <c r="A313" t="s">
        <v>230</v>
      </c>
      <c r="B313" t="s">
        <v>408</v>
      </c>
      <c r="C313" t="s">
        <v>407</v>
      </c>
      <c r="D313" t="s">
        <v>40</v>
      </c>
      <c r="E313">
        <v>70</v>
      </c>
      <c r="F313" t="s">
        <v>505</v>
      </c>
      <c r="G313">
        <v>77</v>
      </c>
      <c r="H313" t="s">
        <v>1781</v>
      </c>
    </row>
    <row r="314" spans="1:8" x14ac:dyDescent="0.35">
      <c r="A314" t="s">
        <v>267</v>
      </c>
      <c r="B314" t="s">
        <v>2097</v>
      </c>
      <c r="C314" t="s">
        <v>2098</v>
      </c>
      <c r="D314" t="s">
        <v>162</v>
      </c>
      <c r="E314">
        <v>136</v>
      </c>
      <c r="F314" t="s">
        <v>1416</v>
      </c>
      <c r="G314">
        <v>150</v>
      </c>
      <c r="H314" t="s">
        <v>1695</v>
      </c>
    </row>
    <row r="315" spans="1:8" x14ac:dyDescent="0.35">
      <c r="A315" t="s">
        <v>212</v>
      </c>
      <c r="B315" t="s">
        <v>2099</v>
      </c>
      <c r="C315" t="s">
        <v>2100</v>
      </c>
      <c r="D315" t="s">
        <v>18</v>
      </c>
      <c r="E315">
        <v>147</v>
      </c>
      <c r="F315" t="s">
        <v>1687</v>
      </c>
      <c r="G315">
        <v>162</v>
      </c>
      <c r="H315" t="s">
        <v>1696</v>
      </c>
    </row>
    <row r="316" spans="1:8" x14ac:dyDescent="0.35">
      <c r="A316" t="s">
        <v>213</v>
      </c>
      <c r="B316" t="s">
        <v>2101</v>
      </c>
      <c r="C316" t="s">
        <v>2102</v>
      </c>
      <c r="D316" t="s">
        <v>17</v>
      </c>
      <c r="E316">
        <v>276</v>
      </c>
      <c r="F316" t="s">
        <v>1669</v>
      </c>
      <c r="G316">
        <v>304</v>
      </c>
      <c r="H316" t="s">
        <v>1557</v>
      </c>
    </row>
    <row r="317" spans="1:8" x14ac:dyDescent="0.35">
      <c r="A317" t="s">
        <v>213</v>
      </c>
      <c r="B317" t="s">
        <v>2101</v>
      </c>
      <c r="C317" t="s">
        <v>2102</v>
      </c>
      <c r="D317" t="s">
        <v>13</v>
      </c>
      <c r="E317">
        <v>94</v>
      </c>
      <c r="F317" t="s">
        <v>1453</v>
      </c>
      <c r="G317">
        <v>104</v>
      </c>
      <c r="H317" t="s">
        <v>1697</v>
      </c>
    </row>
    <row r="318" spans="1:8" x14ac:dyDescent="0.35">
      <c r="D318" t="s">
        <v>214</v>
      </c>
      <c r="E318">
        <v>1722</v>
      </c>
      <c r="G318">
        <v>1895</v>
      </c>
    </row>
    <row r="321" spans="1:8" x14ac:dyDescent="0.35">
      <c r="A321" t="s">
        <v>1368</v>
      </c>
    </row>
    <row r="322" spans="1:8" x14ac:dyDescent="0.35">
      <c r="A322" t="s">
        <v>728</v>
      </c>
    </row>
    <row r="323" spans="1:8" x14ac:dyDescent="0.35">
      <c r="A323" t="s">
        <v>2</v>
      </c>
      <c r="B323" t="s">
        <v>3</v>
      </c>
      <c r="C323" t="s">
        <v>4</v>
      </c>
      <c r="D323" t="s">
        <v>5</v>
      </c>
      <c r="E323" t="s">
        <v>6</v>
      </c>
      <c r="F323" t="s">
        <v>7</v>
      </c>
      <c r="G323" t="s">
        <v>8</v>
      </c>
    </row>
    <row r="324" spans="1:8" x14ac:dyDescent="0.35">
      <c r="A324" t="s">
        <v>215</v>
      </c>
      <c r="B324" t="s">
        <v>457</v>
      </c>
      <c r="C324" t="s">
        <v>2103</v>
      </c>
      <c r="D324" t="s">
        <v>63</v>
      </c>
      <c r="E324">
        <v>154</v>
      </c>
      <c r="F324" t="s">
        <v>1535</v>
      </c>
      <c r="G324">
        <v>169.4</v>
      </c>
      <c r="H324" t="s">
        <v>1712</v>
      </c>
    </row>
    <row r="325" spans="1:8" x14ac:dyDescent="0.35">
      <c r="A325" t="s">
        <v>215</v>
      </c>
      <c r="B325" t="s">
        <v>457</v>
      </c>
      <c r="C325" t="s">
        <v>2103</v>
      </c>
      <c r="D325" t="s">
        <v>64</v>
      </c>
      <c r="E325">
        <v>59</v>
      </c>
      <c r="F325" t="s">
        <v>1676</v>
      </c>
      <c r="G325">
        <v>64.900000000000006</v>
      </c>
      <c r="H325" t="s">
        <v>1471</v>
      </c>
    </row>
    <row r="326" spans="1:8" x14ac:dyDescent="0.35">
      <c r="A326" t="s">
        <v>201</v>
      </c>
      <c r="B326" t="s">
        <v>420</v>
      </c>
      <c r="C326" t="s">
        <v>2104</v>
      </c>
      <c r="D326" t="s">
        <v>26</v>
      </c>
      <c r="E326">
        <v>77</v>
      </c>
      <c r="F326" t="s">
        <v>1445</v>
      </c>
      <c r="G326">
        <v>84.7</v>
      </c>
      <c r="H326" t="s">
        <v>1713</v>
      </c>
    </row>
    <row r="327" spans="1:8" x14ac:dyDescent="0.35">
      <c r="A327" t="s">
        <v>216</v>
      </c>
      <c r="B327" t="s">
        <v>2105</v>
      </c>
      <c r="C327" t="s">
        <v>2104</v>
      </c>
      <c r="D327" t="s">
        <v>24</v>
      </c>
      <c r="E327">
        <v>37</v>
      </c>
      <c r="F327" t="s">
        <v>1465</v>
      </c>
      <c r="G327">
        <v>40.700000000000003</v>
      </c>
      <c r="H327" t="s">
        <v>1587</v>
      </c>
    </row>
    <row r="328" spans="1:8" x14ac:dyDescent="0.35">
      <c r="A328" t="s">
        <v>201</v>
      </c>
      <c r="B328" t="s">
        <v>420</v>
      </c>
      <c r="C328" t="s">
        <v>2104</v>
      </c>
      <c r="D328" t="s">
        <v>25</v>
      </c>
      <c r="E328">
        <v>80</v>
      </c>
      <c r="F328" t="s">
        <v>1698</v>
      </c>
      <c r="G328">
        <v>88</v>
      </c>
      <c r="H328" t="s">
        <v>1714</v>
      </c>
    </row>
    <row r="329" spans="1:8" x14ac:dyDescent="0.35">
      <c r="A329" t="s">
        <v>38</v>
      </c>
      <c r="B329" t="s">
        <v>418</v>
      </c>
      <c r="C329" t="s">
        <v>2083</v>
      </c>
      <c r="D329" t="s">
        <v>166</v>
      </c>
      <c r="E329">
        <v>88</v>
      </c>
      <c r="F329" t="s">
        <v>1699</v>
      </c>
      <c r="G329">
        <v>96.800000000000011</v>
      </c>
      <c r="H329" t="s">
        <v>1705</v>
      </c>
    </row>
    <row r="330" spans="1:8" x14ac:dyDescent="0.35">
      <c r="A330" t="s">
        <v>38</v>
      </c>
      <c r="B330" t="s">
        <v>418</v>
      </c>
      <c r="C330" t="s">
        <v>2083</v>
      </c>
      <c r="D330" t="s">
        <v>161</v>
      </c>
      <c r="E330">
        <v>81</v>
      </c>
      <c r="F330" t="s">
        <v>479</v>
      </c>
      <c r="G330">
        <v>89.100000000000009</v>
      </c>
      <c r="H330">
        <v>81</v>
      </c>
    </row>
    <row r="331" spans="1:8" x14ac:dyDescent="0.35">
      <c r="A331" t="s">
        <v>38</v>
      </c>
      <c r="B331" t="s">
        <v>418</v>
      </c>
      <c r="C331" t="s">
        <v>1942</v>
      </c>
      <c r="D331" t="s">
        <v>69</v>
      </c>
      <c r="E331">
        <v>261</v>
      </c>
      <c r="F331" t="s">
        <v>1639</v>
      </c>
      <c r="G331">
        <v>287.10000000000002</v>
      </c>
      <c r="H331" t="s">
        <v>1706</v>
      </c>
    </row>
    <row r="332" spans="1:8" x14ac:dyDescent="0.35">
      <c r="A332" t="s">
        <v>247</v>
      </c>
      <c r="B332" t="s">
        <v>2106</v>
      </c>
      <c r="C332" t="s">
        <v>2107</v>
      </c>
      <c r="D332" t="s">
        <v>1385</v>
      </c>
      <c r="E332">
        <v>103</v>
      </c>
      <c r="F332" t="s">
        <v>1522</v>
      </c>
      <c r="G332">
        <v>113.30000000000001</v>
      </c>
      <c r="H332" t="s">
        <v>1707</v>
      </c>
    </row>
    <row r="333" spans="1:8" x14ac:dyDescent="0.35">
      <c r="A333" t="s">
        <v>198</v>
      </c>
      <c r="B333" t="s">
        <v>2108</v>
      </c>
      <c r="C333" t="s">
        <v>2109</v>
      </c>
      <c r="D333" t="s">
        <v>50</v>
      </c>
      <c r="E333">
        <v>102</v>
      </c>
      <c r="F333" t="s">
        <v>1700</v>
      </c>
      <c r="G333">
        <v>112.2</v>
      </c>
      <c r="H333" t="s">
        <v>1708</v>
      </c>
    </row>
    <row r="334" spans="1:8" x14ac:dyDescent="0.35">
      <c r="A334" t="s">
        <v>220</v>
      </c>
      <c r="B334" t="s">
        <v>2110</v>
      </c>
      <c r="C334" t="s">
        <v>1965</v>
      </c>
      <c r="D334" t="s">
        <v>84</v>
      </c>
      <c r="E334">
        <v>134</v>
      </c>
      <c r="F334" t="s">
        <v>1701</v>
      </c>
      <c r="G334">
        <v>147.4</v>
      </c>
      <c r="H334" t="s">
        <v>1709</v>
      </c>
    </row>
    <row r="335" spans="1:8" x14ac:dyDescent="0.35">
      <c r="A335" t="s">
        <v>235</v>
      </c>
      <c r="B335" t="s">
        <v>2111</v>
      </c>
      <c r="C335" t="s">
        <v>2112</v>
      </c>
      <c r="D335" t="s">
        <v>1383</v>
      </c>
      <c r="E335">
        <v>97</v>
      </c>
      <c r="F335" t="s">
        <v>1702</v>
      </c>
      <c r="G335">
        <v>106.7</v>
      </c>
      <c r="H335" t="s">
        <v>1710</v>
      </c>
    </row>
    <row r="336" spans="1:8" x14ac:dyDescent="0.35">
      <c r="A336" t="s">
        <v>221</v>
      </c>
      <c r="B336" t="s">
        <v>2113</v>
      </c>
      <c r="C336" t="s">
        <v>2066</v>
      </c>
      <c r="D336" t="s">
        <v>86</v>
      </c>
      <c r="E336">
        <v>114</v>
      </c>
      <c r="F336" t="s">
        <v>1703</v>
      </c>
      <c r="G336">
        <v>125.4</v>
      </c>
      <c r="H336" t="s">
        <v>1711</v>
      </c>
    </row>
    <row r="337" spans="1:8" x14ac:dyDescent="0.35">
      <c r="A337" t="s">
        <v>221</v>
      </c>
      <c r="B337" t="s">
        <v>2113</v>
      </c>
      <c r="C337" t="s">
        <v>2066</v>
      </c>
      <c r="D337" t="s">
        <v>87</v>
      </c>
      <c r="E337">
        <v>62</v>
      </c>
      <c r="F337" t="s">
        <v>1470</v>
      </c>
      <c r="G337">
        <v>68.2</v>
      </c>
      <c r="H337" t="s">
        <v>1624</v>
      </c>
    </row>
    <row r="338" spans="1:8" x14ac:dyDescent="0.35">
      <c r="A338" t="s">
        <v>240</v>
      </c>
      <c r="B338" t="s">
        <v>2114</v>
      </c>
      <c r="C338" t="s">
        <v>2096</v>
      </c>
      <c r="D338" t="s">
        <v>95</v>
      </c>
      <c r="E338">
        <v>49</v>
      </c>
      <c r="F338" t="s">
        <v>105</v>
      </c>
      <c r="G338">
        <v>53.900000000000006</v>
      </c>
      <c r="H338">
        <v>49</v>
      </c>
    </row>
    <row r="339" spans="1:8" x14ac:dyDescent="0.35">
      <c r="A339" t="s">
        <v>223</v>
      </c>
      <c r="B339" t="s">
        <v>2115</v>
      </c>
      <c r="C339" t="s">
        <v>1978</v>
      </c>
      <c r="D339" t="s">
        <v>80</v>
      </c>
      <c r="E339">
        <v>67</v>
      </c>
      <c r="F339" t="s">
        <v>1704</v>
      </c>
      <c r="G339">
        <v>73.7</v>
      </c>
      <c r="H339" t="s">
        <v>1622</v>
      </c>
    </row>
    <row r="340" spans="1:8" x14ac:dyDescent="0.35">
      <c r="D340" t="s">
        <v>225</v>
      </c>
      <c r="E340">
        <v>1565</v>
      </c>
    </row>
    <row r="343" spans="1:8" x14ac:dyDescent="0.35">
      <c r="A343" t="s">
        <v>1368</v>
      </c>
    </row>
    <row r="344" spans="1:8" x14ac:dyDescent="0.35">
      <c r="A344" t="s">
        <v>701</v>
      </c>
    </row>
    <row r="345" spans="1:8" x14ac:dyDescent="0.35">
      <c r="A345" t="s">
        <v>2</v>
      </c>
      <c r="B345" t="s">
        <v>3</v>
      </c>
      <c r="C345" t="s">
        <v>4</v>
      </c>
      <c r="D345" t="s">
        <v>5</v>
      </c>
      <c r="E345" t="s">
        <v>6</v>
      </c>
      <c r="F345" t="s">
        <v>7</v>
      </c>
      <c r="G345" t="s">
        <v>8</v>
      </c>
    </row>
    <row r="346" spans="1:8" x14ac:dyDescent="0.35">
      <c r="A346" t="s">
        <v>226</v>
      </c>
      <c r="B346" t="s">
        <v>448</v>
      </c>
      <c r="C346" t="s">
        <v>2116</v>
      </c>
      <c r="D346" t="s">
        <v>10</v>
      </c>
      <c r="E346">
        <v>230</v>
      </c>
      <c r="F346" t="s">
        <v>149</v>
      </c>
      <c r="G346">
        <v>253.00000000000003</v>
      </c>
    </row>
    <row r="347" spans="1:8" x14ac:dyDescent="0.35">
      <c r="A347" t="s">
        <v>226</v>
      </c>
      <c r="B347" t="s">
        <v>448</v>
      </c>
      <c r="C347" t="s">
        <v>2116</v>
      </c>
      <c r="D347" t="s">
        <v>17</v>
      </c>
      <c r="E347">
        <v>276</v>
      </c>
      <c r="F347" t="s">
        <v>149</v>
      </c>
      <c r="G347">
        <v>303.60000000000002</v>
      </c>
    </row>
    <row r="348" spans="1:8" x14ac:dyDescent="0.35">
      <c r="A348" t="s">
        <v>226</v>
      </c>
      <c r="B348" t="s">
        <v>448</v>
      </c>
      <c r="C348" t="s">
        <v>2116</v>
      </c>
      <c r="D348" t="s">
        <v>20</v>
      </c>
      <c r="E348">
        <v>72</v>
      </c>
      <c r="F348" t="s">
        <v>149</v>
      </c>
      <c r="G348">
        <v>79.2</v>
      </c>
    </row>
    <row r="349" spans="1:8" x14ac:dyDescent="0.35">
      <c r="A349" t="s">
        <v>226</v>
      </c>
      <c r="B349" t="s">
        <v>448</v>
      </c>
      <c r="C349" t="s">
        <v>447</v>
      </c>
      <c r="D349" t="s">
        <v>14</v>
      </c>
      <c r="E349">
        <v>76</v>
      </c>
      <c r="F349" t="s">
        <v>149</v>
      </c>
      <c r="G349">
        <v>83.600000000000009</v>
      </c>
    </row>
    <row r="350" spans="1:8" x14ac:dyDescent="0.35">
      <c r="A350" t="s">
        <v>226</v>
      </c>
      <c r="B350" t="s">
        <v>448</v>
      </c>
      <c r="C350" t="s">
        <v>2116</v>
      </c>
      <c r="D350" t="s">
        <v>34</v>
      </c>
      <c r="E350">
        <v>93</v>
      </c>
      <c r="F350" t="s">
        <v>149</v>
      </c>
      <c r="G350">
        <v>102.30000000000001</v>
      </c>
    </row>
    <row r="351" spans="1:8" x14ac:dyDescent="0.35">
      <c r="A351" t="s">
        <v>226</v>
      </c>
      <c r="B351" t="s">
        <v>448</v>
      </c>
      <c r="C351" t="s">
        <v>2117</v>
      </c>
      <c r="D351" t="s">
        <v>19</v>
      </c>
      <c r="E351">
        <v>254</v>
      </c>
      <c r="F351" t="s">
        <v>1639</v>
      </c>
      <c r="G351">
        <v>279.40000000000003</v>
      </c>
      <c r="H351" t="s">
        <v>1719</v>
      </c>
    </row>
    <row r="352" spans="1:8" x14ac:dyDescent="0.35">
      <c r="A352" t="s">
        <v>226</v>
      </c>
      <c r="B352" t="s">
        <v>448</v>
      </c>
      <c r="C352" t="s">
        <v>1728</v>
      </c>
      <c r="D352" t="s">
        <v>21</v>
      </c>
      <c r="E352">
        <v>40</v>
      </c>
      <c r="F352" t="s">
        <v>108</v>
      </c>
      <c r="G352">
        <v>44</v>
      </c>
      <c r="H352">
        <v>40</v>
      </c>
    </row>
    <row r="353" spans="1:8" x14ac:dyDescent="0.35">
      <c r="A353" t="s">
        <v>226</v>
      </c>
      <c r="B353" t="s">
        <v>448</v>
      </c>
      <c r="C353" t="s">
        <v>1728</v>
      </c>
      <c r="D353" t="s">
        <v>16</v>
      </c>
      <c r="E353">
        <v>154</v>
      </c>
      <c r="F353" t="s">
        <v>1416</v>
      </c>
      <c r="G353">
        <v>169.4</v>
      </c>
      <c r="H353" t="s">
        <v>1538</v>
      </c>
    </row>
    <row r="354" spans="1:8" x14ac:dyDescent="0.35">
      <c r="A354" t="s">
        <v>226</v>
      </c>
      <c r="B354" t="s">
        <v>448</v>
      </c>
      <c r="C354" t="s">
        <v>2117</v>
      </c>
      <c r="D354" t="s">
        <v>12</v>
      </c>
      <c r="E354">
        <v>47</v>
      </c>
      <c r="F354" t="s">
        <v>1686</v>
      </c>
      <c r="G354">
        <v>51.7</v>
      </c>
      <c r="H354" t="s">
        <v>1666</v>
      </c>
    </row>
    <row r="355" spans="1:8" x14ac:dyDescent="0.35">
      <c r="A355" t="s">
        <v>226</v>
      </c>
      <c r="B355" t="s">
        <v>448</v>
      </c>
      <c r="C355" t="s">
        <v>1728</v>
      </c>
      <c r="D355" t="s">
        <v>13</v>
      </c>
      <c r="E355">
        <v>94</v>
      </c>
      <c r="F355" t="s">
        <v>1459</v>
      </c>
      <c r="G355">
        <v>103.4</v>
      </c>
      <c r="H355" t="s">
        <v>1720</v>
      </c>
    </row>
    <row r="356" spans="1:8" x14ac:dyDescent="0.35">
      <c r="A356" t="s">
        <v>226</v>
      </c>
      <c r="B356" t="s">
        <v>448</v>
      </c>
      <c r="C356" t="s">
        <v>2118</v>
      </c>
      <c r="D356" t="s">
        <v>123</v>
      </c>
      <c r="E356">
        <v>89</v>
      </c>
      <c r="F356" t="s">
        <v>1715</v>
      </c>
      <c r="G356">
        <v>97.9</v>
      </c>
      <c r="H356" t="s">
        <v>1721</v>
      </c>
    </row>
    <row r="357" spans="1:8" x14ac:dyDescent="0.35">
      <c r="A357" t="s">
        <v>226</v>
      </c>
      <c r="B357" t="s">
        <v>448</v>
      </c>
      <c r="C357" t="s">
        <v>2118</v>
      </c>
      <c r="D357" t="s">
        <v>31</v>
      </c>
      <c r="E357">
        <v>83</v>
      </c>
      <c r="F357" t="s">
        <v>1716</v>
      </c>
      <c r="G357">
        <v>91.300000000000011</v>
      </c>
      <c r="H357" t="s">
        <v>1722</v>
      </c>
    </row>
    <row r="358" spans="1:8" x14ac:dyDescent="0.35">
      <c r="A358" t="s">
        <v>226</v>
      </c>
      <c r="B358" t="s">
        <v>448</v>
      </c>
      <c r="C358" t="s">
        <v>2119</v>
      </c>
      <c r="D358" t="s">
        <v>22</v>
      </c>
      <c r="E358">
        <v>223</v>
      </c>
      <c r="F358" t="s">
        <v>1717</v>
      </c>
      <c r="G358">
        <v>245.3</v>
      </c>
      <c r="H358" t="s">
        <v>1723</v>
      </c>
    </row>
    <row r="359" spans="1:8" x14ac:dyDescent="0.35">
      <c r="A359" t="s">
        <v>222</v>
      </c>
      <c r="B359" t="s">
        <v>2120</v>
      </c>
      <c r="C359" t="s">
        <v>1788</v>
      </c>
      <c r="D359" t="s">
        <v>126</v>
      </c>
      <c r="E359">
        <v>154</v>
      </c>
      <c r="F359" t="s">
        <v>1668</v>
      </c>
      <c r="G359">
        <v>169.4</v>
      </c>
      <c r="H359" t="s">
        <v>1724</v>
      </c>
    </row>
    <row r="360" spans="1:8" x14ac:dyDescent="0.35">
      <c r="A360" t="s">
        <v>222</v>
      </c>
      <c r="B360" t="s">
        <v>2120</v>
      </c>
      <c r="C360" t="s">
        <v>1788</v>
      </c>
      <c r="D360" t="s">
        <v>101</v>
      </c>
      <c r="E360">
        <v>260</v>
      </c>
      <c r="F360" t="s">
        <v>1718</v>
      </c>
      <c r="G360">
        <v>286</v>
      </c>
      <c r="H360" t="s">
        <v>1725</v>
      </c>
    </row>
    <row r="361" spans="1:8" x14ac:dyDescent="0.35">
      <c r="A361" t="s">
        <v>238</v>
      </c>
      <c r="B361" t="s">
        <v>2121</v>
      </c>
      <c r="C361" t="s">
        <v>2122</v>
      </c>
      <c r="D361" t="s">
        <v>97</v>
      </c>
      <c r="E361">
        <v>64</v>
      </c>
      <c r="F361" t="s">
        <v>1667</v>
      </c>
      <c r="G361">
        <v>70.400000000000006</v>
      </c>
      <c r="H361" t="s">
        <v>1688</v>
      </c>
    </row>
    <row r="362" spans="1:8" x14ac:dyDescent="0.35">
      <c r="A362" t="s">
        <v>199</v>
      </c>
      <c r="B362" t="s">
        <v>2123</v>
      </c>
      <c r="C362" t="s">
        <v>1905</v>
      </c>
      <c r="D362" t="s">
        <v>68</v>
      </c>
      <c r="E362">
        <v>245</v>
      </c>
      <c r="F362" t="s">
        <v>1534</v>
      </c>
      <c r="G362">
        <v>269.5</v>
      </c>
      <c r="H362" t="s">
        <v>1415</v>
      </c>
    </row>
    <row r="363" spans="1:8" x14ac:dyDescent="0.35">
      <c r="D363" t="s">
        <v>229</v>
      </c>
      <c r="E363">
        <v>1707</v>
      </c>
    </row>
    <row r="366" spans="1:8" x14ac:dyDescent="0.35">
      <c r="A366" t="s">
        <v>1368</v>
      </c>
    </row>
    <row r="367" spans="1:8" x14ac:dyDescent="0.35">
      <c r="A367" t="s">
        <v>673</v>
      </c>
    </row>
    <row r="368" spans="1:8" x14ac:dyDescent="0.35">
      <c r="A368" t="s">
        <v>2</v>
      </c>
      <c r="B368" t="s">
        <v>3</v>
      </c>
      <c r="C368" t="s">
        <v>4</v>
      </c>
      <c r="D368" t="s">
        <v>5</v>
      </c>
      <c r="E368" t="s">
        <v>6</v>
      </c>
      <c r="F368" t="s">
        <v>7</v>
      </c>
      <c r="G368" t="s">
        <v>8</v>
      </c>
    </row>
    <row r="369" spans="1:8" x14ac:dyDescent="0.35">
      <c r="A369" t="s">
        <v>231</v>
      </c>
      <c r="B369" t="s">
        <v>2124</v>
      </c>
      <c r="C369" t="s">
        <v>2125</v>
      </c>
      <c r="D369" t="s">
        <v>103</v>
      </c>
      <c r="E369">
        <v>120</v>
      </c>
      <c r="F369" t="s">
        <v>1516</v>
      </c>
      <c r="G369">
        <v>132</v>
      </c>
      <c r="H369" t="s">
        <v>1524</v>
      </c>
    </row>
    <row r="370" spans="1:8" x14ac:dyDescent="0.35">
      <c r="A370" t="s">
        <v>231</v>
      </c>
      <c r="B370" t="s">
        <v>2124</v>
      </c>
      <c r="C370" t="s">
        <v>2125</v>
      </c>
      <c r="D370" t="s">
        <v>104</v>
      </c>
      <c r="E370">
        <v>56</v>
      </c>
      <c r="F370" t="s">
        <v>105</v>
      </c>
      <c r="G370">
        <v>61.600000000000009</v>
      </c>
      <c r="H370">
        <v>56</v>
      </c>
    </row>
    <row r="371" spans="1:8" x14ac:dyDescent="0.35">
      <c r="A371" t="s">
        <v>232</v>
      </c>
      <c r="B371" t="s">
        <v>2124</v>
      </c>
      <c r="C371" t="s">
        <v>2125</v>
      </c>
      <c r="D371" t="s">
        <v>1382</v>
      </c>
      <c r="E371">
        <v>129</v>
      </c>
      <c r="F371" t="s">
        <v>1745</v>
      </c>
      <c r="G371">
        <v>141.9</v>
      </c>
      <c r="H371" t="s">
        <v>1746</v>
      </c>
    </row>
    <row r="372" spans="1:8" x14ac:dyDescent="0.35">
      <c r="A372" t="s">
        <v>233</v>
      </c>
      <c r="B372" t="s">
        <v>417</v>
      </c>
      <c r="C372" t="s">
        <v>2126</v>
      </c>
      <c r="D372" t="s">
        <v>115</v>
      </c>
      <c r="E372">
        <v>98</v>
      </c>
      <c r="F372" t="s">
        <v>1517</v>
      </c>
      <c r="G372">
        <v>107.80000000000001</v>
      </c>
      <c r="H372" t="s">
        <v>1526</v>
      </c>
    </row>
    <row r="373" spans="1:8" x14ac:dyDescent="0.35">
      <c r="A373" t="s">
        <v>233</v>
      </c>
      <c r="B373" t="s">
        <v>417</v>
      </c>
      <c r="C373" t="s">
        <v>2126</v>
      </c>
      <c r="D373" t="s">
        <v>39</v>
      </c>
      <c r="E373">
        <v>72</v>
      </c>
      <c r="F373" t="s">
        <v>1518</v>
      </c>
      <c r="G373">
        <v>79.2</v>
      </c>
      <c r="H373" t="s">
        <v>1432</v>
      </c>
    </row>
    <row r="374" spans="1:8" x14ac:dyDescent="0.35">
      <c r="A374" t="s">
        <v>219</v>
      </c>
      <c r="B374" t="s">
        <v>2127</v>
      </c>
      <c r="C374" t="s">
        <v>1891</v>
      </c>
      <c r="D374" t="s">
        <v>89</v>
      </c>
      <c r="E374">
        <v>59</v>
      </c>
      <c r="F374" t="s">
        <v>1519</v>
      </c>
      <c r="G374">
        <v>64.900000000000006</v>
      </c>
      <c r="H374" t="s">
        <v>1527</v>
      </c>
    </row>
    <row r="375" spans="1:8" x14ac:dyDescent="0.35">
      <c r="A375" t="s">
        <v>227</v>
      </c>
      <c r="B375" t="s">
        <v>2128</v>
      </c>
      <c r="C375" t="s">
        <v>1999</v>
      </c>
      <c r="D375" t="s">
        <v>18</v>
      </c>
      <c r="E375">
        <v>147</v>
      </c>
      <c r="F375" t="s">
        <v>1419</v>
      </c>
      <c r="G375">
        <v>161.70000000000002</v>
      </c>
      <c r="H375" t="s">
        <v>1528</v>
      </c>
    </row>
    <row r="376" spans="1:8" x14ac:dyDescent="0.35">
      <c r="A376" t="s">
        <v>236</v>
      </c>
      <c r="B376" t="s">
        <v>2129</v>
      </c>
      <c r="C376" t="s">
        <v>425</v>
      </c>
      <c r="D376" t="s">
        <v>15</v>
      </c>
      <c r="E376">
        <v>105</v>
      </c>
      <c r="F376" t="s">
        <v>1443</v>
      </c>
      <c r="G376">
        <v>115.50000000000001</v>
      </c>
      <c r="H376" t="s">
        <v>1741</v>
      </c>
    </row>
    <row r="377" spans="1:8" x14ac:dyDescent="0.35">
      <c r="A377" t="s">
        <v>217</v>
      </c>
      <c r="B377" t="s">
        <v>2130</v>
      </c>
      <c r="C377" t="s">
        <v>2131</v>
      </c>
      <c r="D377" t="s">
        <v>131</v>
      </c>
      <c r="E377">
        <v>103</v>
      </c>
      <c r="F377" t="s">
        <v>1459</v>
      </c>
      <c r="G377">
        <v>113.30000000000001</v>
      </c>
      <c r="H377" t="s">
        <v>1460</v>
      </c>
    </row>
    <row r="378" spans="1:8" x14ac:dyDescent="0.35">
      <c r="A378" t="s">
        <v>224</v>
      </c>
      <c r="B378" t="s">
        <v>2132</v>
      </c>
      <c r="C378" t="s">
        <v>2133</v>
      </c>
      <c r="D378" t="s">
        <v>78</v>
      </c>
      <c r="E378">
        <v>93</v>
      </c>
      <c r="F378" t="s">
        <v>1517</v>
      </c>
      <c r="G378">
        <v>102.30000000000001</v>
      </c>
      <c r="H378" t="s">
        <v>1529</v>
      </c>
    </row>
    <row r="379" spans="1:8" x14ac:dyDescent="0.35">
      <c r="A379" t="s">
        <v>239</v>
      </c>
      <c r="B379" t="s">
        <v>2134</v>
      </c>
      <c r="C379" t="s">
        <v>1936</v>
      </c>
      <c r="D379" t="s">
        <v>58</v>
      </c>
      <c r="E379">
        <v>287</v>
      </c>
      <c r="F379" t="s">
        <v>1521</v>
      </c>
      <c r="G379">
        <v>315.70000000000005</v>
      </c>
      <c r="H379" t="s">
        <v>1530</v>
      </c>
    </row>
    <row r="380" spans="1:8" x14ac:dyDescent="0.35">
      <c r="A380" t="s">
        <v>185</v>
      </c>
      <c r="B380" t="s">
        <v>2135</v>
      </c>
      <c r="C380" t="s">
        <v>2013</v>
      </c>
      <c r="D380" t="s">
        <v>1384</v>
      </c>
      <c r="E380">
        <v>82</v>
      </c>
      <c r="F380" t="s">
        <v>505</v>
      </c>
      <c r="G380">
        <v>90.2</v>
      </c>
      <c r="H380">
        <v>82</v>
      </c>
    </row>
    <row r="381" spans="1:8" x14ac:dyDescent="0.35">
      <c r="A381" t="s">
        <v>328</v>
      </c>
      <c r="B381" t="s">
        <v>2136</v>
      </c>
      <c r="C381" t="s">
        <v>1952</v>
      </c>
      <c r="D381" t="s">
        <v>46</v>
      </c>
      <c r="E381">
        <v>84</v>
      </c>
      <c r="F381" t="s">
        <v>505</v>
      </c>
      <c r="G381">
        <v>92.4</v>
      </c>
      <c r="H381">
        <v>84</v>
      </c>
    </row>
    <row r="382" spans="1:8" x14ac:dyDescent="0.35">
      <c r="A382" t="s">
        <v>193</v>
      </c>
      <c r="B382" t="s">
        <v>2067</v>
      </c>
      <c r="C382" t="s">
        <v>1943</v>
      </c>
      <c r="D382" t="s">
        <v>183</v>
      </c>
      <c r="E382">
        <v>129</v>
      </c>
      <c r="F382" t="s">
        <v>1745</v>
      </c>
      <c r="G382">
        <v>141.9</v>
      </c>
      <c r="H382" t="s">
        <v>1746</v>
      </c>
    </row>
    <row r="383" spans="1:8" x14ac:dyDescent="0.35">
      <c r="A383" t="s">
        <v>261</v>
      </c>
      <c r="B383" t="s">
        <v>2137</v>
      </c>
      <c r="C383" t="s">
        <v>2138</v>
      </c>
      <c r="D383" t="s">
        <v>84</v>
      </c>
      <c r="E383">
        <v>134</v>
      </c>
      <c r="F383" t="s">
        <v>1523</v>
      </c>
      <c r="G383">
        <v>147.4</v>
      </c>
      <c r="H383" t="s">
        <v>1531</v>
      </c>
    </row>
    <row r="384" spans="1:8" x14ac:dyDescent="0.35">
      <c r="D384" t="s">
        <v>241</v>
      </c>
      <c r="E384">
        <v>1698</v>
      </c>
    </row>
    <row r="387" spans="1:8" x14ac:dyDescent="0.35">
      <c r="A387" t="s">
        <v>1368</v>
      </c>
    </row>
    <row r="388" spans="1:8" x14ac:dyDescent="0.35">
      <c r="A388" t="s">
        <v>643</v>
      </c>
    </row>
    <row r="389" spans="1:8" x14ac:dyDescent="0.35">
      <c r="A389" t="s">
        <v>2</v>
      </c>
      <c r="B389" t="s">
        <v>3</v>
      </c>
      <c r="C389" t="s">
        <v>4</v>
      </c>
      <c r="D389" t="s">
        <v>5</v>
      </c>
      <c r="E389" t="s">
        <v>6</v>
      </c>
      <c r="F389" t="s">
        <v>242</v>
      </c>
      <c r="G389" t="s">
        <v>8</v>
      </c>
    </row>
    <row r="390" spans="1:8" x14ac:dyDescent="0.35">
      <c r="A390" t="s">
        <v>23</v>
      </c>
      <c r="B390" t="s">
        <v>426</v>
      </c>
      <c r="C390" t="s">
        <v>2062</v>
      </c>
      <c r="D390" t="s">
        <v>141</v>
      </c>
      <c r="E390">
        <v>242</v>
      </c>
      <c r="F390" t="s">
        <v>149</v>
      </c>
      <c r="G390">
        <v>266.20000000000005</v>
      </c>
    </row>
    <row r="391" spans="1:8" x14ac:dyDescent="0.35">
      <c r="A391" t="s">
        <v>23</v>
      </c>
      <c r="B391" t="s">
        <v>426</v>
      </c>
      <c r="C391" t="s">
        <v>2062</v>
      </c>
      <c r="D391" t="s">
        <v>1383</v>
      </c>
      <c r="E391">
        <v>97</v>
      </c>
      <c r="F391" t="s">
        <v>149</v>
      </c>
      <c r="G391">
        <v>106.7</v>
      </c>
    </row>
    <row r="392" spans="1:8" x14ac:dyDescent="0.35">
      <c r="A392" t="s">
        <v>23</v>
      </c>
      <c r="B392" t="s">
        <v>426</v>
      </c>
      <c r="C392" t="s">
        <v>425</v>
      </c>
      <c r="D392" t="s">
        <v>140</v>
      </c>
      <c r="E392">
        <v>74</v>
      </c>
      <c r="F392" t="s">
        <v>1445</v>
      </c>
      <c r="G392">
        <v>81.400000000000006</v>
      </c>
      <c r="H392" t="s">
        <v>1537</v>
      </c>
    </row>
    <row r="393" spans="1:8" x14ac:dyDescent="0.35">
      <c r="A393" t="s">
        <v>23</v>
      </c>
      <c r="B393" t="s">
        <v>426</v>
      </c>
      <c r="C393" t="s">
        <v>2104</v>
      </c>
      <c r="D393" t="s">
        <v>142</v>
      </c>
      <c r="E393">
        <v>155</v>
      </c>
      <c r="F393" t="s">
        <v>1532</v>
      </c>
      <c r="G393">
        <v>170.5</v>
      </c>
      <c r="H393" t="s">
        <v>1538</v>
      </c>
    </row>
    <row r="394" spans="1:8" x14ac:dyDescent="0.35">
      <c r="A394" t="s">
        <v>243</v>
      </c>
      <c r="B394" t="s">
        <v>2139</v>
      </c>
      <c r="C394" t="s">
        <v>244</v>
      </c>
      <c r="D394" t="s">
        <v>165</v>
      </c>
      <c r="E394">
        <v>32</v>
      </c>
      <c r="F394" t="s">
        <v>42</v>
      </c>
      <c r="G394">
        <v>35.200000000000003</v>
      </c>
      <c r="H394">
        <v>32</v>
      </c>
    </row>
    <row r="395" spans="1:8" x14ac:dyDescent="0.35">
      <c r="A395" t="s">
        <v>243</v>
      </c>
      <c r="B395" t="s">
        <v>2139</v>
      </c>
      <c r="C395" t="s">
        <v>244</v>
      </c>
      <c r="D395" t="s">
        <v>36</v>
      </c>
      <c r="E395">
        <v>34</v>
      </c>
      <c r="F395" t="s">
        <v>469</v>
      </c>
      <c r="G395">
        <v>37.400000000000006</v>
      </c>
      <c r="H395">
        <v>34</v>
      </c>
    </row>
    <row r="396" spans="1:8" x14ac:dyDescent="0.35">
      <c r="A396" t="s">
        <v>243</v>
      </c>
      <c r="B396" t="s">
        <v>2139</v>
      </c>
      <c r="C396" t="s">
        <v>244</v>
      </c>
      <c r="D396" t="s">
        <v>33</v>
      </c>
      <c r="E396">
        <v>13</v>
      </c>
      <c r="F396">
        <v>303</v>
      </c>
      <c r="G396">
        <v>14.3</v>
      </c>
      <c r="H396">
        <v>13</v>
      </c>
    </row>
    <row r="397" spans="1:8" x14ac:dyDescent="0.35">
      <c r="A397" t="s">
        <v>243</v>
      </c>
      <c r="B397" t="s">
        <v>2139</v>
      </c>
      <c r="C397" t="s">
        <v>244</v>
      </c>
      <c r="D397" t="s">
        <v>29</v>
      </c>
      <c r="E397">
        <v>17</v>
      </c>
      <c r="F397" t="s">
        <v>470</v>
      </c>
      <c r="G397">
        <v>18.700000000000003</v>
      </c>
      <c r="H397">
        <v>17</v>
      </c>
    </row>
    <row r="398" spans="1:8" x14ac:dyDescent="0.35">
      <c r="A398" t="s">
        <v>243</v>
      </c>
      <c r="B398" t="s">
        <v>2140</v>
      </c>
      <c r="C398" t="s">
        <v>244</v>
      </c>
      <c r="D398" t="s">
        <v>166</v>
      </c>
      <c r="E398">
        <v>88</v>
      </c>
      <c r="F398" t="s">
        <v>1533</v>
      </c>
      <c r="G398">
        <v>96.800000000000011</v>
      </c>
      <c r="H398" t="s">
        <v>1540</v>
      </c>
    </row>
    <row r="399" spans="1:8" x14ac:dyDescent="0.35">
      <c r="A399" t="s">
        <v>243</v>
      </c>
      <c r="B399" t="s">
        <v>2141</v>
      </c>
      <c r="C399" t="s">
        <v>244</v>
      </c>
      <c r="D399" t="s">
        <v>82</v>
      </c>
      <c r="E399">
        <v>142</v>
      </c>
      <c r="F399" t="s">
        <v>1532</v>
      </c>
      <c r="G399">
        <v>156.20000000000002</v>
      </c>
      <c r="H399" t="s">
        <v>1541</v>
      </c>
    </row>
    <row r="400" spans="1:8" x14ac:dyDescent="0.35">
      <c r="A400" t="s">
        <v>243</v>
      </c>
      <c r="B400" t="s">
        <v>2139</v>
      </c>
      <c r="C400" t="s">
        <v>244</v>
      </c>
      <c r="D400" t="s">
        <v>32</v>
      </c>
      <c r="E400">
        <v>30</v>
      </c>
      <c r="F400">
        <v>303</v>
      </c>
      <c r="G400">
        <v>33</v>
      </c>
      <c r="H400">
        <v>30</v>
      </c>
    </row>
    <row r="401" spans="1:8" x14ac:dyDescent="0.35">
      <c r="A401" t="s">
        <v>243</v>
      </c>
      <c r="B401" t="s">
        <v>2141</v>
      </c>
      <c r="C401" t="s">
        <v>244</v>
      </c>
      <c r="D401" t="s">
        <v>30</v>
      </c>
      <c r="E401">
        <v>36</v>
      </c>
      <c r="F401" t="s">
        <v>468</v>
      </c>
      <c r="G401">
        <v>39.6</v>
      </c>
      <c r="H401">
        <v>36</v>
      </c>
    </row>
    <row r="402" spans="1:8" x14ac:dyDescent="0.35">
      <c r="A402" t="s">
        <v>1369</v>
      </c>
      <c r="B402" t="s">
        <v>2141</v>
      </c>
      <c r="C402" t="s">
        <v>244</v>
      </c>
      <c r="D402" t="s">
        <v>34</v>
      </c>
      <c r="E402">
        <v>16</v>
      </c>
      <c r="F402" t="s">
        <v>470</v>
      </c>
      <c r="G402">
        <v>17.600000000000001</v>
      </c>
      <c r="H402">
        <v>16</v>
      </c>
    </row>
    <row r="403" spans="1:8" x14ac:dyDescent="0.35">
      <c r="A403" t="s">
        <v>243</v>
      </c>
      <c r="B403" t="s">
        <v>2139</v>
      </c>
      <c r="C403" t="s">
        <v>244</v>
      </c>
      <c r="D403" t="s">
        <v>71</v>
      </c>
      <c r="E403">
        <v>26</v>
      </c>
      <c r="F403" t="s">
        <v>472</v>
      </c>
      <c r="G403">
        <v>28.6</v>
      </c>
      <c r="H403">
        <v>26</v>
      </c>
    </row>
    <row r="404" spans="1:8" x14ac:dyDescent="0.35">
      <c r="A404" t="s">
        <v>243</v>
      </c>
      <c r="B404" t="s">
        <v>436</v>
      </c>
      <c r="C404" t="s">
        <v>244</v>
      </c>
      <c r="D404" t="s">
        <v>10</v>
      </c>
      <c r="E404">
        <v>230</v>
      </c>
      <c r="F404" t="s">
        <v>1534</v>
      </c>
      <c r="G404">
        <v>253.00000000000003</v>
      </c>
      <c r="H404" t="s">
        <v>1542</v>
      </c>
    </row>
    <row r="405" spans="1:8" x14ac:dyDescent="0.35">
      <c r="A405" t="s">
        <v>243</v>
      </c>
      <c r="B405" t="s">
        <v>2139</v>
      </c>
      <c r="C405" t="s">
        <v>244</v>
      </c>
      <c r="D405" t="s">
        <v>92</v>
      </c>
      <c r="E405">
        <v>32</v>
      </c>
      <c r="F405" t="s">
        <v>471</v>
      </c>
      <c r="G405">
        <v>35.200000000000003</v>
      </c>
      <c r="H405" t="s">
        <v>1539</v>
      </c>
    </row>
    <row r="406" spans="1:8" x14ac:dyDescent="0.35">
      <c r="A406" t="s">
        <v>243</v>
      </c>
      <c r="B406" t="s">
        <v>436</v>
      </c>
      <c r="C406" t="s">
        <v>244</v>
      </c>
      <c r="D406" t="s">
        <v>14</v>
      </c>
      <c r="E406">
        <v>76</v>
      </c>
      <c r="F406" t="s">
        <v>1451</v>
      </c>
      <c r="G406">
        <v>83.600000000000009</v>
      </c>
      <c r="H406" t="s">
        <v>1543</v>
      </c>
    </row>
    <row r="407" spans="1:8" x14ac:dyDescent="0.35">
      <c r="A407" t="s">
        <v>1380</v>
      </c>
      <c r="B407" t="s">
        <v>2142</v>
      </c>
      <c r="C407" t="s">
        <v>2143</v>
      </c>
      <c r="D407" t="s">
        <v>52</v>
      </c>
      <c r="E407">
        <v>142</v>
      </c>
      <c r="F407" t="s">
        <v>1535</v>
      </c>
      <c r="G407">
        <v>156.20000000000002</v>
      </c>
      <c r="H407" t="s">
        <v>1544</v>
      </c>
    </row>
    <row r="408" spans="1:8" x14ac:dyDescent="0.35">
      <c r="A408" t="s">
        <v>208</v>
      </c>
      <c r="B408" t="s">
        <v>2144</v>
      </c>
      <c r="C408" t="s">
        <v>1936</v>
      </c>
      <c r="D408" t="s">
        <v>20</v>
      </c>
      <c r="E408">
        <v>72</v>
      </c>
      <c r="F408" t="s">
        <v>1536</v>
      </c>
      <c r="G408">
        <v>79.2</v>
      </c>
      <c r="H408" t="s">
        <v>1545</v>
      </c>
    </row>
    <row r="409" spans="1:8" x14ac:dyDescent="0.35">
      <c r="A409" t="s">
        <v>237</v>
      </c>
      <c r="B409" t="s">
        <v>2145</v>
      </c>
      <c r="C409" t="s">
        <v>1954</v>
      </c>
      <c r="D409" t="s">
        <v>68</v>
      </c>
      <c r="E409">
        <v>245</v>
      </c>
      <c r="F409" t="s">
        <v>1727</v>
      </c>
      <c r="G409">
        <v>269.5</v>
      </c>
      <c r="H409" t="s">
        <v>1726</v>
      </c>
    </row>
    <row r="410" spans="1:8" x14ac:dyDescent="0.35">
      <c r="D410" t="s">
        <v>249</v>
      </c>
      <c r="E410">
        <v>1460</v>
      </c>
    </row>
    <row r="413" spans="1:8" x14ac:dyDescent="0.35">
      <c r="A413" t="s">
        <v>1364</v>
      </c>
    </row>
    <row r="414" spans="1:8" x14ac:dyDescent="0.35">
      <c r="A414" t="s">
        <v>750</v>
      </c>
    </row>
    <row r="415" spans="1:8" x14ac:dyDescent="0.35">
      <c r="A415" t="s">
        <v>2</v>
      </c>
      <c r="B415" t="s">
        <v>3</v>
      </c>
      <c r="C415" t="s">
        <v>4</v>
      </c>
      <c r="D415" t="s">
        <v>5</v>
      </c>
      <c r="E415" t="s">
        <v>6</v>
      </c>
      <c r="F415" t="s">
        <v>7</v>
      </c>
      <c r="G415" t="s">
        <v>8</v>
      </c>
    </row>
    <row r="416" spans="1:8" x14ac:dyDescent="0.35">
      <c r="A416" t="s">
        <v>1372</v>
      </c>
      <c r="B416" t="s">
        <v>1386</v>
      </c>
      <c r="C416" t="s">
        <v>2003</v>
      </c>
      <c r="D416" t="s">
        <v>30</v>
      </c>
      <c r="E416">
        <v>253</v>
      </c>
      <c r="F416" t="s">
        <v>149</v>
      </c>
      <c r="G416">
        <v>278.3</v>
      </c>
    </row>
    <row r="417" spans="1:8" x14ac:dyDescent="0.35">
      <c r="A417" t="s">
        <v>250</v>
      </c>
      <c r="B417" t="s">
        <v>2146</v>
      </c>
      <c r="C417" t="s">
        <v>416</v>
      </c>
      <c r="D417" t="s">
        <v>141</v>
      </c>
      <c r="E417">
        <v>242</v>
      </c>
      <c r="F417" t="s">
        <v>1534</v>
      </c>
      <c r="G417">
        <v>266.20000000000005</v>
      </c>
      <c r="H417" t="s">
        <v>1549</v>
      </c>
    </row>
    <row r="418" spans="1:8" x14ac:dyDescent="0.35">
      <c r="A418" t="s">
        <v>250</v>
      </c>
      <c r="B418" t="s">
        <v>2146</v>
      </c>
      <c r="C418" t="s">
        <v>2147</v>
      </c>
      <c r="D418" t="s">
        <v>142</v>
      </c>
      <c r="E418">
        <v>155</v>
      </c>
      <c r="F418" t="s">
        <v>1532</v>
      </c>
      <c r="G418">
        <v>170.5</v>
      </c>
      <c r="H418" t="s">
        <v>1538</v>
      </c>
    </row>
    <row r="419" spans="1:8" x14ac:dyDescent="0.35">
      <c r="A419" t="s">
        <v>251</v>
      </c>
      <c r="B419" t="s">
        <v>2148</v>
      </c>
      <c r="C419" t="s">
        <v>1366</v>
      </c>
      <c r="D419" t="s">
        <v>33</v>
      </c>
      <c r="E419">
        <v>80</v>
      </c>
      <c r="F419" t="s">
        <v>1522</v>
      </c>
      <c r="G419">
        <v>88</v>
      </c>
      <c r="H419" t="s">
        <v>1550</v>
      </c>
    </row>
    <row r="420" spans="1:8" x14ac:dyDescent="0.35">
      <c r="A420" t="s">
        <v>251</v>
      </c>
      <c r="B420" t="s">
        <v>2148</v>
      </c>
      <c r="C420" t="s">
        <v>1366</v>
      </c>
      <c r="D420" t="s">
        <v>89</v>
      </c>
      <c r="E420">
        <v>59</v>
      </c>
      <c r="F420" t="s">
        <v>479</v>
      </c>
      <c r="G420">
        <v>64.900000000000006</v>
      </c>
      <c r="H420">
        <v>59</v>
      </c>
    </row>
    <row r="421" spans="1:8" x14ac:dyDescent="0.35">
      <c r="A421" t="s">
        <v>252</v>
      </c>
      <c r="B421" t="s">
        <v>2149</v>
      </c>
      <c r="C421" t="s">
        <v>2150</v>
      </c>
      <c r="D421" t="s">
        <v>36</v>
      </c>
      <c r="E421">
        <v>119</v>
      </c>
      <c r="F421" t="s">
        <v>1546</v>
      </c>
      <c r="G421">
        <v>130.9</v>
      </c>
      <c r="H421" t="s">
        <v>1551</v>
      </c>
    </row>
    <row r="422" spans="1:8" x14ac:dyDescent="0.35">
      <c r="A422" t="s">
        <v>254</v>
      </c>
      <c r="B422" t="s">
        <v>2151</v>
      </c>
      <c r="C422" t="s">
        <v>1912</v>
      </c>
      <c r="D422" t="s">
        <v>71</v>
      </c>
      <c r="E422">
        <v>51</v>
      </c>
      <c r="F422" t="s">
        <v>1445</v>
      </c>
      <c r="G422">
        <v>56.1</v>
      </c>
      <c r="H422" t="s">
        <v>1466</v>
      </c>
    </row>
    <row r="423" spans="1:8" x14ac:dyDescent="0.35">
      <c r="A423" t="s">
        <v>358</v>
      </c>
      <c r="B423" t="s">
        <v>2152</v>
      </c>
      <c r="C423" t="s">
        <v>2077</v>
      </c>
      <c r="D423" t="s">
        <v>86</v>
      </c>
      <c r="E423">
        <v>114</v>
      </c>
      <c r="F423" t="s">
        <v>1546</v>
      </c>
      <c r="G423">
        <v>125.4</v>
      </c>
      <c r="H423" t="s">
        <v>1552</v>
      </c>
    </row>
    <row r="424" spans="1:8" x14ac:dyDescent="0.35">
      <c r="A424" t="s">
        <v>330</v>
      </c>
      <c r="B424" t="s">
        <v>1953</v>
      </c>
      <c r="C424" t="s">
        <v>2153</v>
      </c>
      <c r="D424" t="s">
        <v>126</v>
      </c>
      <c r="E424">
        <v>154</v>
      </c>
      <c r="F424" t="s">
        <v>1532</v>
      </c>
      <c r="G424">
        <v>169.4</v>
      </c>
      <c r="H424" t="s">
        <v>1538</v>
      </c>
    </row>
    <row r="425" spans="1:8" x14ac:dyDescent="0.35">
      <c r="A425" t="s">
        <v>255</v>
      </c>
      <c r="B425" t="s">
        <v>2154</v>
      </c>
      <c r="C425" t="s">
        <v>1899</v>
      </c>
      <c r="D425" t="s">
        <v>19</v>
      </c>
      <c r="E425">
        <v>254</v>
      </c>
      <c r="F425" t="s">
        <v>1547</v>
      </c>
      <c r="G425">
        <v>279.40000000000003</v>
      </c>
      <c r="H425" t="s">
        <v>1553</v>
      </c>
    </row>
    <row r="426" spans="1:8" x14ac:dyDescent="0.35">
      <c r="A426" t="s">
        <v>327</v>
      </c>
      <c r="B426" t="s">
        <v>2155</v>
      </c>
      <c r="C426" t="s">
        <v>2156</v>
      </c>
      <c r="D426" t="s">
        <v>21</v>
      </c>
      <c r="E426">
        <v>40</v>
      </c>
      <c r="F426" t="s">
        <v>1422</v>
      </c>
      <c r="G426">
        <v>44</v>
      </c>
      <c r="H426" t="s">
        <v>1554</v>
      </c>
    </row>
    <row r="427" spans="1:8" x14ac:dyDescent="0.35">
      <c r="A427" t="s">
        <v>234</v>
      </c>
      <c r="B427" t="s">
        <v>2157</v>
      </c>
      <c r="C427" t="s">
        <v>2158</v>
      </c>
      <c r="D427" t="s">
        <v>66</v>
      </c>
      <c r="E427">
        <v>100</v>
      </c>
      <c r="F427" t="s">
        <v>1548</v>
      </c>
      <c r="G427">
        <v>110.00000000000001</v>
      </c>
      <c r="H427" t="s">
        <v>1555</v>
      </c>
    </row>
    <row r="428" spans="1:8" x14ac:dyDescent="0.35">
      <c r="A428" t="s">
        <v>257</v>
      </c>
      <c r="B428" t="s">
        <v>2154</v>
      </c>
      <c r="C428" t="s">
        <v>2159</v>
      </c>
      <c r="D428" t="s">
        <v>13</v>
      </c>
      <c r="E428">
        <v>94</v>
      </c>
      <c r="F428" t="s">
        <v>1548</v>
      </c>
      <c r="G428">
        <v>103.4</v>
      </c>
      <c r="H428" t="s">
        <v>1556</v>
      </c>
    </row>
    <row r="429" spans="1:8" x14ac:dyDescent="0.35">
      <c r="A429" t="s">
        <v>257</v>
      </c>
      <c r="B429" t="s">
        <v>2154</v>
      </c>
      <c r="C429" t="s">
        <v>2159</v>
      </c>
      <c r="D429" t="s">
        <v>17</v>
      </c>
      <c r="E429">
        <v>276</v>
      </c>
      <c r="F429" t="s">
        <v>1436</v>
      </c>
      <c r="G429">
        <v>303.60000000000002</v>
      </c>
      <c r="H429" t="s">
        <v>1557</v>
      </c>
    </row>
    <row r="430" spans="1:8" x14ac:dyDescent="0.35">
      <c r="D430" t="s">
        <v>259</v>
      </c>
      <c r="E430">
        <v>1738</v>
      </c>
    </row>
    <row r="433" spans="1:8" x14ac:dyDescent="0.35">
      <c r="A433" t="s">
        <v>1364</v>
      </c>
    </row>
    <row r="434" spans="1:8" x14ac:dyDescent="0.35">
      <c r="A434" t="s">
        <v>745</v>
      </c>
    </row>
    <row r="435" spans="1:8" x14ac:dyDescent="0.35">
      <c r="A435" t="s">
        <v>2</v>
      </c>
      <c r="B435" t="s">
        <v>3</v>
      </c>
      <c r="C435" t="s">
        <v>4</v>
      </c>
      <c r="D435" t="s">
        <v>5</v>
      </c>
      <c r="E435" t="s">
        <v>6</v>
      </c>
      <c r="F435" t="s">
        <v>7</v>
      </c>
      <c r="G435" t="s">
        <v>8</v>
      </c>
    </row>
    <row r="436" spans="1:8" x14ac:dyDescent="0.35">
      <c r="A436" t="s">
        <v>260</v>
      </c>
      <c r="B436" t="s">
        <v>459</v>
      </c>
      <c r="C436" t="s">
        <v>1938</v>
      </c>
      <c r="D436" t="s">
        <v>64</v>
      </c>
      <c r="E436">
        <v>59</v>
      </c>
      <c r="F436" t="s">
        <v>149</v>
      </c>
      <c r="G436">
        <v>64.900000000000006</v>
      </c>
    </row>
    <row r="437" spans="1:8" x14ac:dyDescent="0.35">
      <c r="A437" t="s">
        <v>260</v>
      </c>
      <c r="B437" t="s">
        <v>459</v>
      </c>
      <c r="C437" t="s">
        <v>2160</v>
      </c>
      <c r="D437" t="s">
        <v>63</v>
      </c>
      <c r="E437">
        <v>154</v>
      </c>
      <c r="F437" t="s">
        <v>1532</v>
      </c>
      <c r="G437">
        <v>169.4</v>
      </c>
      <c r="H437" t="s">
        <v>1538</v>
      </c>
    </row>
    <row r="438" spans="1:8" x14ac:dyDescent="0.35">
      <c r="A438" t="s">
        <v>252</v>
      </c>
      <c r="B438" t="s">
        <v>2149</v>
      </c>
      <c r="C438" t="s">
        <v>2150</v>
      </c>
      <c r="D438" t="s">
        <v>165</v>
      </c>
      <c r="E438">
        <v>242</v>
      </c>
      <c r="F438" t="s">
        <v>1750</v>
      </c>
      <c r="G438">
        <v>266.20000000000005</v>
      </c>
      <c r="H438" t="s">
        <v>1473</v>
      </c>
    </row>
    <row r="439" spans="1:8" x14ac:dyDescent="0.35">
      <c r="A439" t="s">
        <v>209</v>
      </c>
      <c r="B439" t="s">
        <v>2161</v>
      </c>
      <c r="C439" t="s">
        <v>2162</v>
      </c>
      <c r="D439" t="s">
        <v>39</v>
      </c>
      <c r="E439">
        <v>72</v>
      </c>
      <c r="F439" t="s">
        <v>1747</v>
      </c>
      <c r="G439">
        <v>79.2</v>
      </c>
      <c r="H439" t="s">
        <v>1560</v>
      </c>
    </row>
    <row r="440" spans="1:8" x14ac:dyDescent="0.35">
      <c r="A440" t="s">
        <v>209</v>
      </c>
      <c r="B440" t="s">
        <v>2161</v>
      </c>
      <c r="C440" t="s">
        <v>2162</v>
      </c>
      <c r="D440" t="s">
        <v>115</v>
      </c>
      <c r="E440">
        <v>98</v>
      </c>
      <c r="F440" t="s">
        <v>1752</v>
      </c>
      <c r="G440">
        <v>107.80000000000001</v>
      </c>
      <c r="H440" t="s">
        <v>1753</v>
      </c>
    </row>
    <row r="441" spans="1:8" x14ac:dyDescent="0.35">
      <c r="A441" t="s">
        <v>263</v>
      </c>
      <c r="B441" t="s">
        <v>2163</v>
      </c>
      <c r="C441" t="s">
        <v>1945</v>
      </c>
      <c r="D441" t="s">
        <v>15</v>
      </c>
      <c r="E441">
        <v>105</v>
      </c>
      <c r="F441" t="s">
        <v>1495</v>
      </c>
      <c r="G441">
        <v>115.50000000000001</v>
      </c>
      <c r="H441" t="s">
        <v>1561</v>
      </c>
    </row>
    <row r="442" spans="1:8" x14ac:dyDescent="0.35">
      <c r="A442" t="s">
        <v>263</v>
      </c>
      <c r="B442" t="s">
        <v>2163</v>
      </c>
      <c r="C442" t="s">
        <v>1945</v>
      </c>
      <c r="D442" t="s">
        <v>10</v>
      </c>
      <c r="E442">
        <v>230</v>
      </c>
      <c r="F442" t="s">
        <v>1751</v>
      </c>
      <c r="G442">
        <v>253.00000000000003</v>
      </c>
      <c r="H442" t="s">
        <v>1754</v>
      </c>
    </row>
    <row r="443" spans="1:8" x14ac:dyDescent="0.35">
      <c r="A443" t="s">
        <v>264</v>
      </c>
      <c r="B443" t="s">
        <v>2164</v>
      </c>
      <c r="C443" t="s">
        <v>2049</v>
      </c>
      <c r="D443" t="s">
        <v>68</v>
      </c>
      <c r="E443">
        <v>245</v>
      </c>
      <c r="F443" t="s">
        <v>1534</v>
      </c>
      <c r="G443">
        <v>269.5</v>
      </c>
      <c r="H443" t="s">
        <v>1563</v>
      </c>
    </row>
    <row r="444" spans="1:8" x14ac:dyDescent="0.35">
      <c r="A444" t="s">
        <v>1372</v>
      </c>
      <c r="B444" t="s">
        <v>1386</v>
      </c>
      <c r="C444" t="s">
        <v>1893</v>
      </c>
      <c r="D444" t="s">
        <v>29</v>
      </c>
      <c r="E444">
        <v>87</v>
      </c>
      <c r="F444" t="s">
        <v>1453</v>
      </c>
      <c r="G444">
        <v>95.7</v>
      </c>
      <c r="H444" t="s">
        <v>1564</v>
      </c>
    </row>
    <row r="445" spans="1:8" x14ac:dyDescent="0.35">
      <c r="A445" t="s">
        <v>1376</v>
      </c>
      <c r="B445" t="s">
        <v>2165</v>
      </c>
      <c r="C445" t="s">
        <v>2166</v>
      </c>
      <c r="D445" t="s">
        <v>32</v>
      </c>
      <c r="E445">
        <v>179</v>
      </c>
      <c r="F445" t="s">
        <v>1748</v>
      </c>
      <c r="G445">
        <v>196.9</v>
      </c>
      <c r="H445" t="s">
        <v>1749</v>
      </c>
    </row>
    <row r="446" spans="1:8" x14ac:dyDescent="0.35">
      <c r="A446" t="s">
        <v>266</v>
      </c>
      <c r="B446" t="s">
        <v>2167</v>
      </c>
      <c r="C446" t="s">
        <v>2096</v>
      </c>
      <c r="D446" t="s">
        <v>31</v>
      </c>
      <c r="E446">
        <v>83</v>
      </c>
      <c r="F446" t="s">
        <v>1559</v>
      </c>
      <c r="G446">
        <v>91.300000000000011</v>
      </c>
      <c r="H446" t="s">
        <v>1565</v>
      </c>
    </row>
    <row r="447" spans="1:8" x14ac:dyDescent="0.35">
      <c r="A447" t="s">
        <v>268</v>
      </c>
      <c r="B447" t="s">
        <v>2168</v>
      </c>
      <c r="C447" t="s">
        <v>2122</v>
      </c>
      <c r="D447" t="s">
        <v>123</v>
      </c>
      <c r="E447">
        <v>89</v>
      </c>
      <c r="F447" t="s">
        <v>1558</v>
      </c>
      <c r="G447">
        <v>97.9</v>
      </c>
      <c r="H447" t="s">
        <v>1566</v>
      </c>
    </row>
    <row r="448" spans="1:8" x14ac:dyDescent="0.35">
      <c r="A448" t="s">
        <v>269</v>
      </c>
      <c r="B448" t="s">
        <v>2169</v>
      </c>
      <c r="C448" t="s">
        <v>2065</v>
      </c>
      <c r="D448" t="s">
        <v>87</v>
      </c>
      <c r="E448">
        <v>62</v>
      </c>
      <c r="F448" t="s">
        <v>505</v>
      </c>
      <c r="G448">
        <v>68.2</v>
      </c>
      <c r="H448">
        <v>62</v>
      </c>
    </row>
    <row r="449" spans="1:8" x14ac:dyDescent="0.35">
      <c r="A449" t="s">
        <v>270</v>
      </c>
      <c r="B449" t="s">
        <v>2170</v>
      </c>
      <c r="C449" t="s">
        <v>1903</v>
      </c>
      <c r="D449" t="s">
        <v>1384</v>
      </c>
      <c r="E449">
        <v>82</v>
      </c>
      <c r="F449" t="s">
        <v>479</v>
      </c>
      <c r="G449">
        <v>90.2</v>
      </c>
      <c r="H449">
        <v>82</v>
      </c>
    </row>
    <row r="450" spans="1:8" x14ac:dyDescent="0.35">
      <c r="D450" t="s">
        <v>271</v>
      </c>
      <c r="E450">
        <v>1728</v>
      </c>
    </row>
    <row r="453" spans="1:8" x14ac:dyDescent="0.35">
      <c r="A453" t="s">
        <v>1364</v>
      </c>
    </row>
    <row r="454" spans="1:8" x14ac:dyDescent="0.35">
      <c r="A454" t="s">
        <v>728</v>
      </c>
    </row>
    <row r="455" spans="1:8" x14ac:dyDescent="0.35">
      <c r="A455" t="s">
        <v>2</v>
      </c>
      <c r="B455" t="s">
        <v>3</v>
      </c>
      <c r="C455" t="s">
        <v>4</v>
      </c>
      <c r="D455" t="s">
        <v>5</v>
      </c>
      <c r="E455" t="s">
        <v>6</v>
      </c>
      <c r="F455" t="s">
        <v>7</v>
      </c>
      <c r="G455" t="s">
        <v>8</v>
      </c>
    </row>
    <row r="456" spans="1:8" x14ac:dyDescent="0.35">
      <c r="A456" t="s">
        <v>250</v>
      </c>
      <c r="B456" t="s">
        <v>2146</v>
      </c>
      <c r="C456" t="s">
        <v>2171</v>
      </c>
      <c r="D456" t="s">
        <v>24</v>
      </c>
      <c r="E456">
        <v>37</v>
      </c>
      <c r="F456" t="s">
        <v>11</v>
      </c>
      <c r="G456">
        <v>40.700000000000003</v>
      </c>
    </row>
    <row r="457" spans="1:8" x14ac:dyDescent="0.35">
      <c r="A457" t="s">
        <v>250</v>
      </c>
      <c r="B457" t="s">
        <v>2146</v>
      </c>
      <c r="C457" t="s">
        <v>2171</v>
      </c>
      <c r="D457" t="s">
        <v>26</v>
      </c>
      <c r="E457">
        <v>77</v>
      </c>
      <c r="F457" t="s">
        <v>11</v>
      </c>
      <c r="G457">
        <v>84.7</v>
      </c>
    </row>
    <row r="458" spans="1:8" x14ac:dyDescent="0.35">
      <c r="A458" t="s">
        <v>250</v>
      </c>
      <c r="B458" t="s">
        <v>2146</v>
      </c>
      <c r="C458" t="s">
        <v>2171</v>
      </c>
      <c r="D458" t="s">
        <v>25</v>
      </c>
      <c r="E458">
        <v>80</v>
      </c>
      <c r="F458" t="s">
        <v>11</v>
      </c>
      <c r="G458">
        <v>88</v>
      </c>
    </row>
    <row r="459" spans="1:8" x14ac:dyDescent="0.35">
      <c r="A459" t="s">
        <v>272</v>
      </c>
      <c r="B459" t="s">
        <v>440</v>
      </c>
      <c r="C459" t="s">
        <v>439</v>
      </c>
      <c r="D459" t="s">
        <v>14</v>
      </c>
      <c r="E459">
        <v>76</v>
      </c>
      <c r="F459" t="s">
        <v>1567</v>
      </c>
      <c r="G459">
        <v>83.600000000000009</v>
      </c>
      <c r="H459" t="s">
        <v>1569</v>
      </c>
    </row>
    <row r="460" spans="1:8" x14ac:dyDescent="0.35">
      <c r="A460" t="s">
        <v>1373</v>
      </c>
      <c r="B460" t="s">
        <v>2172</v>
      </c>
      <c r="C460" t="s">
        <v>2173</v>
      </c>
      <c r="D460" t="s">
        <v>16</v>
      </c>
      <c r="E460">
        <v>154</v>
      </c>
      <c r="F460" t="s">
        <v>1532</v>
      </c>
      <c r="G460">
        <v>169.4</v>
      </c>
      <c r="H460" t="s">
        <v>1538</v>
      </c>
    </row>
    <row r="461" spans="1:8" x14ac:dyDescent="0.35">
      <c r="A461" t="s">
        <v>273</v>
      </c>
      <c r="B461" t="s">
        <v>2174</v>
      </c>
      <c r="C461" t="s">
        <v>2175</v>
      </c>
      <c r="D461" t="s">
        <v>34</v>
      </c>
      <c r="E461">
        <v>115</v>
      </c>
      <c r="F461" t="s">
        <v>1523</v>
      </c>
      <c r="G461">
        <v>126.50000000000001</v>
      </c>
      <c r="H461" t="s">
        <v>1570</v>
      </c>
    </row>
    <row r="462" spans="1:8" x14ac:dyDescent="0.35">
      <c r="A462" t="s">
        <v>256</v>
      </c>
      <c r="B462" t="s">
        <v>2176</v>
      </c>
      <c r="C462" t="s">
        <v>2109</v>
      </c>
      <c r="D462" t="s">
        <v>50</v>
      </c>
      <c r="E462">
        <v>102</v>
      </c>
      <c r="F462" t="s">
        <v>1520</v>
      </c>
      <c r="G462">
        <v>112.2</v>
      </c>
      <c r="H462" t="s">
        <v>1571</v>
      </c>
    </row>
    <row r="463" spans="1:8" x14ac:dyDescent="0.35">
      <c r="A463" t="s">
        <v>274</v>
      </c>
      <c r="B463" t="s">
        <v>2177</v>
      </c>
      <c r="C463" t="s">
        <v>2178</v>
      </c>
      <c r="D463" t="s">
        <v>101</v>
      </c>
      <c r="E463">
        <v>260</v>
      </c>
      <c r="F463" t="s">
        <v>1436</v>
      </c>
      <c r="G463">
        <v>286</v>
      </c>
      <c r="H463" t="s">
        <v>1572</v>
      </c>
    </row>
    <row r="464" spans="1:8" x14ac:dyDescent="0.35">
      <c r="A464" t="s">
        <v>275</v>
      </c>
      <c r="B464" t="s">
        <v>2179</v>
      </c>
      <c r="C464" t="s">
        <v>1978</v>
      </c>
      <c r="D464" t="s">
        <v>48</v>
      </c>
      <c r="E464">
        <v>144</v>
      </c>
      <c r="F464" t="s">
        <v>1532</v>
      </c>
      <c r="G464">
        <v>158.4</v>
      </c>
      <c r="H464" t="s">
        <v>1573</v>
      </c>
    </row>
    <row r="465" spans="1:8" x14ac:dyDescent="0.35">
      <c r="A465" t="s">
        <v>275</v>
      </c>
      <c r="B465" t="s">
        <v>2180</v>
      </c>
      <c r="C465" t="s">
        <v>1978</v>
      </c>
      <c r="D465" t="s">
        <v>56</v>
      </c>
      <c r="E465">
        <v>224</v>
      </c>
      <c r="F465" t="s">
        <v>1462</v>
      </c>
      <c r="G465">
        <v>246.40000000000003</v>
      </c>
      <c r="H465" t="s">
        <v>1472</v>
      </c>
    </row>
    <row r="466" spans="1:8" x14ac:dyDescent="0.35">
      <c r="A466" t="s">
        <v>275</v>
      </c>
      <c r="B466" t="s">
        <v>2179</v>
      </c>
      <c r="C466" t="s">
        <v>1978</v>
      </c>
      <c r="D466" t="s">
        <v>80</v>
      </c>
      <c r="E466">
        <v>67</v>
      </c>
      <c r="F466" t="s">
        <v>505</v>
      </c>
      <c r="G466">
        <v>73.7</v>
      </c>
      <c r="H466">
        <v>67</v>
      </c>
    </row>
    <row r="467" spans="1:8" x14ac:dyDescent="0.35">
      <c r="A467" t="s">
        <v>275</v>
      </c>
      <c r="B467" t="s">
        <v>2179</v>
      </c>
      <c r="C467" t="s">
        <v>1978</v>
      </c>
      <c r="D467" t="s">
        <v>97</v>
      </c>
      <c r="E467">
        <v>64</v>
      </c>
      <c r="F467" t="s">
        <v>1445</v>
      </c>
      <c r="G467">
        <v>70.400000000000006</v>
      </c>
      <c r="H467" t="s">
        <v>1574</v>
      </c>
    </row>
    <row r="468" spans="1:8" x14ac:dyDescent="0.35">
      <c r="A468" t="s">
        <v>275</v>
      </c>
      <c r="B468" t="s">
        <v>2179</v>
      </c>
      <c r="C468" t="s">
        <v>1978</v>
      </c>
      <c r="D468" t="s">
        <v>95</v>
      </c>
      <c r="E468">
        <v>49</v>
      </c>
      <c r="F468" t="s">
        <v>1568</v>
      </c>
      <c r="G468">
        <v>53.900000000000006</v>
      </c>
      <c r="H468" t="s">
        <v>1575</v>
      </c>
    </row>
    <row r="469" spans="1:8" x14ac:dyDescent="0.35">
      <c r="A469" t="s">
        <v>276</v>
      </c>
      <c r="B469" t="s">
        <v>2181</v>
      </c>
      <c r="C469" t="s">
        <v>1978</v>
      </c>
      <c r="D469" t="s">
        <v>113</v>
      </c>
      <c r="E469">
        <v>23</v>
      </c>
      <c r="F469" t="s">
        <v>37</v>
      </c>
      <c r="G469">
        <v>25.3</v>
      </c>
      <c r="H469">
        <v>23</v>
      </c>
    </row>
    <row r="470" spans="1:8" x14ac:dyDescent="0.35">
      <c r="A470" t="s">
        <v>281</v>
      </c>
      <c r="B470" t="s">
        <v>2182</v>
      </c>
      <c r="C470" t="s">
        <v>2029</v>
      </c>
      <c r="D470" t="s">
        <v>44</v>
      </c>
      <c r="E470">
        <v>61</v>
      </c>
      <c r="F470" t="s">
        <v>1420</v>
      </c>
      <c r="G470">
        <v>67.100000000000009</v>
      </c>
      <c r="H470" t="s">
        <v>1576</v>
      </c>
    </row>
    <row r="471" spans="1:8" x14ac:dyDescent="0.35">
      <c r="A471" t="s">
        <v>275</v>
      </c>
      <c r="B471" t="s">
        <v>2179</v>
      </c>
      <c r="C471" t="s">
        <v>1936</v>
      </c>
      <c r="D471" t="s">
        <v>75</v>
      </c>
      <c r="E471">
        <v>32</v>
      </c>
      <c r="F471" t="s">
        <v>470</v>
      </c>
      <c r="G471">
        <v>35.200000000000003</v>
      </c>
      <c r="H471">
        <v>32</v>
      </c>
    </row>
    <row r="472" spans="1:8" x14ac:dyDescent="0.35">
      <c r="A472" t="s">
        <v>275</v>
      </c>
      <c r="B472" t="s">
        <v>2180</v>
      </c>
      <c r="C472" t="s">
        <v>1978</v>
      </c>
      <c r="D472" t="s">
        <v>60</v>
      </c>
      <c r="E472">
        <v>170</v>
      </c>
      <c r="F472" t="s">
        <v>1535</v>
      </c>
      <c r="G472">
        <v>187.00000000000003</v>
      </c>
      <c r="H472" t="s">
        <v>1577</v>
      </c>
    </row>
    <row r="473" spans="1:8" x14ac:dyDescent="0.35">
      <c r="A473" t="s">
        <v>275</v>
      </c>
      <c r="B473" t="s">
        <v>2180</v>
      </c>
      <c r="C473" t="s">
        <v>452</v>
      </c>
      <c r="D473" t="s">
        <v>131</v>
      </c>
      <c r="E473">
        <v>103</v>
      </c>
      <c r="F473" t="s">
        <v>1520</v>
      </c>
      <c r="G473">
        <v>113.30000000000001</v>
      </c>
      <c r="H473" t="s">
        <v>1578</v>
      </c>
    </row>
    <row r="474" spans="1:8" x14ac:dyDescent="0.35">
      <c r="A474" t="s">
        <v>275</v>
      </c>
      <c r="B474" t="s">
        <v>2180</v>
      </c>
      <c r="C474" t="s">
        <v>1978</v>
      </c>
      <c r="D474" t="s">
        <v>46</v>
      </c>
      <c r="E474">
        <v>84</v>
      </c>
      <c r="F474" t="s">
        <v>1567</v>
      </c>
      <c r="G474">
        <v>92.4</v>
      </c>
      <c r="H474" t="s">
        <v>1579</v>
      </c>
    </row>
    <row r="475" spans="1:8" x14ac:dyDescent="0.35">
      <c r="D475" t="s">
        <v>277</v>
      </c>
      <c r="E475">
        <v>1728</v>
      </c>
    </row>
    <row r="478" spans="1:8" x14ac:dyDescent="0.35">
      <c r="A478" t="s">
        <v>1364</v>
      </c>
    </row>
    <row r="479" spans="1:8" x14ac:dyDescent="0.35">
      <c r="A479" t="s">
        <v>701</v>
      </c>
    </row>
    <row r="480" spans="1:8" x14ac:dyDescent="0.35">
      <c r="A480" t="s">
        <v>2</v>
      </c>
      <c r="B480" t="s">
        <v>3</v>
      </c>
      <c r="C480" t="s">
        <v>4</v>
      </c>
      <c r="D480" t="s">
        <v>5</v>
      </c>
      <c r="E480" t="s">
        <v>6</v>
      </c>
      <c r="F480" t="s">
        <v>7</v>
      </c>
      <c r="G480" t="s">
        <v>8</v>
      </c>
    </row>
    <row r="481" spans="1:8" x14ac:dyDescent="0.35">
      <c r="A481" t="s">
        <v>278</v>
      </c>
      <c r="B481" t="s">
        <v>411</v>
      </c>
      <c r="C481" t="s">
        <v>2143</v>
      </c>
      <c r="D481" t="s">
        <v>183</v>
      </c>
      <c r="E481">
        <v>129</v>
      </c>
      <c r="F481" t="s">
        <v>1516</v>
      </c>
      <c r="G481">
        <v>141.9</v>
      </c>
      <c r="H481" t="s">
        <v>1605</v>
      </c>
    </row>
    <row r="482" spans="1:8" x14ac:dyDescent="0.35">
      <c r="A482" t="s">
        <v>278</v>
      </c>
      <c r="B482" t="s">
        <v>411</v>
      </c>
      <c r="C482" t="s">
        <v>2100</v>
      </c>
      <c r="D482" t="s">
        <v>166</v>
      </c>
      <c r="E482">
        <v>88</v>
      </c>
      <c r="F482" t="s">
        <v>1598</v>
      </c>
      <c r="G482">
        <v>96.800000000000011</v>
      </c>
      <c r="H482" t="s">
        <v>1509</v>
      </c>
    </row>
    <row r="483" spans="1:8" x14ac:dyDescent="0.35">
      <c r="A483" t="s">
        <v>278</v>
      </c>
      <c r="B483" t="s">
        <v>411</v>
      </c>
      <c r="C483" t="s">
        <v>2100</v>
      </c>
      <c r="D483" t="s">
        <v>41</v>
      </c>
      <c r="E483">
        <v>46</v>
      </c>
      <c r="F483" t="s">
        <v>1599</v>
      </c>
      <c r="G483">
        <v>50.6</v>
      </c>
      <c r="H483" t="s">
        <v>1606</v>
      </c>
    </row>
    <row r="484" spans="1:8" x14ac:dyDescent="0.35">
      <c r="A484" t="s">
        <v>278</v>
      </c>
      <c r="B484" t="s">
        <v>411</v>
      </c>
      <c r="C484" t="s">
        <v>2166</v>
      </c>
      <c r="D484" t="s">
        <v>164</v>
      </c>
      <c r="E484">
        <v>223</v>
      </c>
      <c r="F484" t="s">
        <v>1600</v>
      </c>
      <c r="G484">
        <v>245.3</v>
      </c>
      <c r="H484" t="s">
        <v>1607</v>
      </c>
    </row>
    <row r="485" spans="1:8" x14ac:dyDescent="0.35">
      <c r="A485" t="s">
        <v>278</v>
      </c>
      <c r="B485" t="s">
        <v>411</v>
      </c>
      <c r="C485" t="s">
        <v>1514</v>
      </c>
      <c r="D485" t="s">
        <v>39</v>
      </c>
      <c r="E485">
        <v>72</v>
      </c>
      <c r="F485" t="s">
        <v>1445</v>
      </c>
      <c r="G485">
        <v>79.2</v>
      </c>
      <c r="H485" t="s">
        <v>1560</v>
      </c>
    </row>
    <row r="486" spans="1:8" x14ac:dyDescent="0.35">
      <c r="A486" t="s">
        <v>278</v>
      </c>
      <c r="B486" t="s">
        <v>411</v>
      </c>
      <c r="C486" t="s">
        <v>2183</v>
      </c>
      <c r="D486" t="s">
        <v>1382</v>
      </c>
      <c r="E486">
        <v>129</v>
      </c>
      <c r="F486" t="s">
        <v>1495</v>
      </c>
      <c r="G486">
        <v>141.9</v>
      </c>
      <c r="H486" t="s">
        <v>1605</v>
      </c>
    </row>
    <row r="487" spans="1:8" x14ac:dyDescent="0.35">
      <c r="A487" t="s">
        <v>278</v>
      </c>
      <c r="B487" t="s">
        <v>411</v>
      </c>
      <c r="C487" t="s">
        <v>1514</v>
      </c>
      <c r="D487" t="s">
        <v>103</v>
      </c>
      <c r="E487">
        <v>120</v>
      </c>
      <c r="F487" t="s">
        <v>1443</v>
      </c>
      <c r="G487">
        <v>132</v>
      </c>
      <c r="H487" t="s">
        <v>1608</v>
      </c>
    </row>
    <row r="488" spans="1:8" x14ac:dyDescent="0.35">
      <c r="A488" t="s">
        <v>278</v>
      </c>
      <c r="B488" t="s">
        <v>411</v>
      </c>
      <c r="C488" t="s">
        <v>2184</v>
      </c>
      <c r="D488" t="s">
        <v>163</v>
      </c>
      <c r="E488">
        <v>126</v>
      </c>
      <c r="F488" t="s">
        <v>1601</v>
      </c>
      <c r="G488">
        <v>138.60000000000002</v>
      </c>
      <c r="H488" t="s">
        <v>1609</v>
      </c>
    </row>
    <row r="489" spans="1:8" x14ac:dyDescent="0.35">
      <c r="A489" t="s">
        <v>279</v>
      </c>
      <c r="B489" t="s">
        <v>411</v>
      </c>
      <c r="C489" t="s">
        <v>410</v>
      </c>
      <c r="D489" t="s">
        <v>69</v>
      </c>
      <c r="E489">
        <v>261</v>
      </c>
      <c r="F489" t="s">
        <v>1500</v>
      </c>
      <c r="G489">
        <v>287.10000000000002</v>
      </c>
      <c r="H489" t="s">
        <v>1610</v>
      </c>
    </row>
    <row r="490" spans="1:8" x14ac:dyDescent="0.35">
      <c r="A490" t="s">
        <v>278</v>
      </c>
      <c r="B490" t="s">
        <v>411</v>
      </c>
      <c r="C490" t="s">
        <v>2185</v>
      </c>
      <c r="D490" t="s">
        <v>58</v>
      </c>
      <c r="E490">
        <v>287</v>
      </c>
      <c r="F490" t="s">
        <v>1521</v>
      </c>
      <c r="G490">
        <v>315.70000000000005</v>
      </c>
      <c r="H490" t="s">
        <v>1611</v>
      </c>
    </row>
    <row r="491" spans="1:8" x14ac:dyDescent="0.35">
      <c r="A491" t="s">
        <v>278</v>
      </c>
      <c r="B491" t="s">
        <v>411</v>
      </c>
      <c r="C491" t="s">
        <v>1514</v>
      </c>
      <c r="D491" t="s">
        <v>104</v>
      </c>
      <c r="E491">
        <v>56</v>
      </c>
      <c r="F491" t="s">
        <v>1602</v>
      </c>
      <c r="G491">
        <v>61.600000000000009</v>
      </c>
      <c r="H491" t="s">
        <v>1503</v>
      </c>
    </row>
    <row r="492" spans="1:8" x14ac:dyDescent="0.35">
      <c r="A492" t="s">
        <v>278</v>
      </c>
      <c r="B492" t="s">
        <v>411</v>
      </c>
      <c r="C492" t="s">
        <v>2076</v>
      </c>
      <c r="D492" t="s">
        <v>161</v>
      </c>
      <c r="E492">
        <v>81</v>
      </c>
      <c r="F492" t="s">
        <v>505</v>
      </c>
      <c r="G492">
        <v>89.100000000000009</v>
      </c>
      <c r="H492">
        <v>81</v>
      </c>
    </row>
    <row r="493" spans="1:8" x14ac:dyDescent="0.35">
      <c r="A493" t="s">
        <v>278</v>
      </c>
      <c r="B493" t="s">
        <v>411</v>
      </c>
      <c r="C493" t="s">
        <v>410</v>
      </c>
      <c r="D493" t="s">
        <v>40</v>
      </c>
      <c r="E493">
        <v>70</v>
      </c>
      <c r="F493" t="s">
        <v>1465</v>
      </c>
      <c r="G493">
        <v>77</v>
      </c>
      <c r="H493" t="s">
        <v>1612</v>
      </c>
    </row>
    <row r="494" spans="1:8" x14ac:dyDescent="0.35">
      <c r="A494" t="s">
        <v>278</v>
      </c>
      <c r="B494" t="s">
        <v>411</v>
      </c>
      <c r="C494" t="s">
        <v>2076</v>
      </c>
      <c r="D494" t="s">
        <v>162</v>
      </c>
      <c r="E494">
        <v>136</v>
      </c>
      <c r="F494" t="s">
        <v>1603</v>
      </c>
      <c r="G494">
        <v>149.60000000000002</v>
      </c>
      <c r="H494" t="s">
        <v>1613</v>
      </c>
    </row>
    <row r="495" spans="1:8" x14ac:dyDescent="0.35">
      <c r="A495" t="s">
        <v>278</v>
      </c>
      <c r="B495" t="s">
        <v>411</v>
      </c>
      <c r="C495" t="s">
        <v>410</v>
      </c>
      <c r="D495" t="s">
        <v>115</v>
      </c>
      <c r="E495">
        <v>98</v>
      </c>
      <c r="F495" t="s">
        <v>1604</v>
      </c>
      <c r="G495">
        <v>107.80000000000001</v>
      </c>
      <c r="H495" t="s">
        <v>1614</v>
      </c>
    </row>
    <row r="496" spans="1:8" x14ac:dyDescent="0.35">
      <c r="D496" t="s">
        <v>282</v>
      </c>
      <c r="E496">
        <v>1922</v>
      </c>
    </row>
    <row r="499" spans="1:8" x14ac:dyDescent="0.35">
      <c r="A499" t="s">
        <v>1364</v>
      </c>
    </row>
    <row r="500" spans="1:8" x14ac:dyDescent="0.35">
      <c r="A500" t="s">
        <v>673</v>
      </c>
    </row>
    <row r="501" spans="1:8" x14ac:dyDescent="0.35">
      <c r="A501" t="s">
        <v>2</v>
      </c>
      <c r="B501" t="s">
        <v>3</v>
      </c>
      <c r="C501" t="s">
        <v>4</v>
      </c>
      <c r="D501" t="s">
        <v>5</v>
      </c>
      <c r="E501" t="s">
        <v>6</v>
      </c>
      <c r="F501" t="s">
        <v>7</v>
      </c>
      <c r="G501" t="s">
        <v>8</v>
      </c>
    </row>
    <row r="502" spans="1:8" x14ac:dyDescent="0.35">
      <c r="A502" t="s">
        <v>283</v>
      </c>
      <c r="B502" t="s">
        <v>2186</v>
      </c>
      <c r="C502" t="s">
        <v>2187</v>
      </c>
      <c r="D502" t="s">
        <v>60</v>
      </c>
      <c r="E502">
        <v>170</v>
      </c>
      <c r="F502" t="s">
        <v>149</v>
      </c>
      <c r="G502">
        <v>187.00000000000003</v>
      </c>
    </row>
    <row r="503" spans="1:8" x14ac:dyDescent="0.35">
      <c r="A503" t="s">
        <v>284</v>
      </c>
      <c r="B503" t="s">
        <v>2188</v>
      </c>
      <c r="C503" t="s">
        <v>432</v>
      </c>
      <c r="D503" t="s">
        <v>140</v>
      </c>
      <c r="E503">
        <v>74</v>
      </c>
      <c r="F503" t="s">
        <v>1807</v>
      </c>
      <c r="G503">
        <v>81.400000000000006</v>
      </c>
      <c r="H503" t="s">
        <v>1806</v>
      </c>
    </row>
    <row r="504" spans="1:8" x14ac:dyDescent="0.35">
      <c r="A504" t="s">
        <v>284</v>
      </c>
      <c r="B504" t="s">
        <v>2189</v>
      </c>
      <c r="C504" t="s">
        <v>432</v>
      </c>
      <c r="D504" t="s">
        <v>141</v>
      </c>
      <c r="E504">
        <v>242</v>
      </c>
      <c r="F504" t="s">
        <v>1534</v>
      </c>
      <c r="G504">
        <v>266.20000000000005</v>
      </c>
      <c r="H504" t="s">
        <v>1586</v>
      </c>
    </row>
    <row r="505" spans="1:8" x14ac:dyDescent="0.35">
      <c r="A505" t="s">
        <v>284</v>
      </c>
      <c r="B505" t="s">
        <v>2188</v>
      </c>
      <c r="C505" t="s">
        <v>432</v>
      </c>
      <c r="D505" t="s">
        <v>24</v>
      </c>
      <c r="E505">
        <v>37</v>
      </c>
      <c r="F505" t="s">
        <v>1580</v>
      </c>
      <c r="G505">
        <v>40.700000000000003</v>
      </c>
      <c r="H505" t="s">
        <v>1587</v>
      </c>
    </row>
    <row r="506" spans="1:8" x14ac:dyDescent="0.35">
      <c r="A506" t="s">
        <v>284</v>
      </c>
      <c r="B506" t="s">
        <v>2188</v>
      </c>
      <c r="C506" t="s">
        <v>432</v>
      </c>
      <c r="D506" t="s">
        <v>25</v>
      </c>
      <c r="E506">
        <v>80</v>
      </c>
      <c r="F506" t="s">
        <v>1451</v>
      </c>
      <c r="G506">
        <v>88</v>
      </c>
      <c r="H506" t="s">
        <v>1588</v>
      </c>
    </row>
    <row r="507" spans="1:8" x14ac:dyDescent="0.35">
      <c r="A507" t="s">
        <v>284</v>
      </c>
      <c r="B507" t="s">
        <v>2188</v>
      </c>
      <c r="C507" t="s">
        <v>432</v>
      </c>
      <c r="D507" t="s">
        <v>26</v>
      </c>
      <c r="E507">
        <v>77</v>
      </c>
      <c r="F507" t="s">
        <v>1581</v>
      </c>
      <c r="G507">
        <v>84.7</v>
      </c>
      <c r="H507" t="s">
        <v>1589</v>
      </c>
    </row>
    <row r="508" spans="1:8" x14ac:dyDescent="0.35">
      <c r="A508" t="s">
        <v>285</v>
      </c>
      <c r="B508" t="s">
        <v>2190</v>
      </c>
      <c r="C508" t="s">
        <v>2191</v>
      </c>
      <c r="D508" t="s">
        <v>123</v>
      </c>
      <c r="E508">
        <v>89</v>
      </c>
      <c r="F508" t="s">
        <v>1582</v>
      </c>
      <c r="G508">
        <v>97.9</v>
      </c>
      <c r="H508" t="s">
        <v>1590</v>
      </c>
    </row>
    <row r="509" spans="1:8" x14ac:dyDescent="0.35">
      <c r="A509" t="s">
        <v>286</v>
      </c>
      <c r="B509" t="s">
        <v>2192</v>
      </c>
      <c r="C509" t="s">
        <v>2191</v>
      </c>
      <c r="D509" t="s">
        <v>31</v>
      </c>
      <c r="E509">
        <v>83</v>
      </c>
      <c r="F509" t="s">
        <v>1583</v>
      </c>
      <c r="G509">
        <v>91.300000000000011</v>
      </c>
      <c r="H509" t="s">
        <v>1591</v>
      </c>
    </row>
    <row r="510" spans="1:8" x14ac:dyDescent="0.35">
      <c r="A510" t="s">
        <v>287</v>
      </c>
      <c r="B510" t="s">
        <v>2193</v>
      </c>
      <c r="C510" t="s">
        <v>1936</v>
      </c>
      <c r="D510" t="s">
        <v>20</v>
      </c>
      <c r="E510">
        <v>72</v>
      </c>
      <c r="F510" t="s">
        <v>1519</v>
      </c>
      <c r="G510">
        <v>79.2</v>
      </c>
      <c r="H510" t="s">
        <v>1464</v>
      </c>
    </row>
    <row r="511" spans="1:8" x14ac:dyDescent="0.35">
      <c r="A511" t="s">
        <v>1374</v>
      </c>
      <c r="B511" t="s">
        <v>2194</v>
      </c>
      <c r="C511" t="s">
        <v>1919</v>
      </c>
      <c r="D511" t="s">
        <v>33</v>
      </c>
      <c r="E511">
        <v>80</v>
      </c>
      <c r="F511" t="s">
        <v>1582</v>
      </c>
      <c r="G511">
        <v>88</v>
      </c>
      <c r="H511" t="s">
        <v>1592</v>
      </c>
    </row>
    <row r="512" spans="1:8" x14ac:dyDescent="0.35">
      <c r="A512" t="s">
        <v>301</v>
      </c>
      <c r="B512" t="s">
        <v>2195</v>
      </c>
      <c r="C512" t="s">
        <v>2160</v>
      </c>
      <c r="D512" t="s">
        <v>87</v>
      </c>
      <c r="E512">
        <v>62</v>
      </c>
      <c r="F512" t="s">
        <v>1584</v>
      </c>
      <c r="G512">
        <v>68.2</v>
      </c>
      <c r="H512" t="s">
        <v>1593</v>
      </c>
    </row>
    <row r="513" spans="1:8" x14ac:dyDescent="0.35">
      <c r="A513" t="s">
        <v>200</v>
      </c>
      <c r="B513" t="s">
        <v>2196</v>
      </c>
      <c r="C513" t="s">
        <v>2197</v>
      </c>
      <c r="D513" t="s">
        <v>15</v>
      </c>
      <c r="E513">
        <v>105</v>
      </c>
      <c r="F513" t="s">
        <v>1520</v>
      </c>
      <c r="G513">
        <v>115.50000000000001</v>
      </c>
      <c r="H513" t="s">
        <v>1594</v>
      </c>
    </row>
    <row r="514" spans="1:8" x14ac:dyDescent="0.35">
      <c r="A514" t="s">
        <v>296</v>
      </c>
      <c r="B514" t="s">
        <v>2165</v>
      </c>
      <c r="C514" t="s">
        <v>2183</v>
      </c>
      <c r="D514" t="s">
        <v>19</v>
      </c>
      <c r="E514">
        <v>254</v>
      </c>
      <c r="F514" t="s">
        <v>1534</v>
      </c>
      <c r="G514">
        <v>279.40000000000003</v>
      </c>
      <c r="H514" t="s">
        <v>1595</v>
      </c>
    </row>
    <row r="515" spans="1:8" x14ac:dyDescent="0.35">
      <c r="A515" t="s">
        <v>1800</v>
      </c>
      <c r="B515" t="s">
        <v>1803</v>
      </c>
      <c r="C515" t="s">
        <v>1801</v>
      </c>
      <c r="D515" t="s">
        <v>92</v>
      </c>
      <c r="E515">
        <v>50</v>
      </c>
      <c r="F515" t="s">
        <v>1439</v>
      </c>
      <c r="G515">
        <v>55</v>
      </c>
      <c r="H515" t="s">
        <v>1804</v>
      </c>
    </row>
    <row r="516" spans="1:8" x14ac:dyDescent="0.35">
      <c r="A516" t="s">
        <v>1381</v>
      </c>
      <c r="B516" t="s">
        <v>2198</v>
      </c>
      <c r="C516" t="s">
        <v>2199</v>
      </c>
      <c r="D516" t="s">
        <v>52</v>
      </c>
      <c r="E516">
        <v>142</v>
      </c>
      <c r="F516" t="s">
        <v>1419</v>
      </c>
      <c r="G516">
        <v>156.20000000000002</v>
      </c>
      <c r="H516" t="s">
        <v>1596</v>
      </c>
    </row>
    <row r="517" spans="1:8" x14ac:dyDescent="0.35">
      <c r="A517" t="s">
        <v>288</v>
      </c>
      <c r="B517" t="s">
        <v>2200</v>
      </c>
      <c r="C517" t="s">
        <v>432</v>
      </c>
      <c r="D517" t="s">
        <v>21</v>
      </c>
      <c r="E517">
        <v>40</v>
      </c>
      <c r="F517" t="s">
        <v>1805</v>
      </c>
      <c r="G517">
        <v>44</v>
      </c>
      <c r="H517" t="s">
        <v>1554</v>
      </c>
    </row>
    <row r="518" spans="1:8" x14ac:dyDescent="0.35">
      <c r="A518" t="s">
        <v>288</v>
      </c>
      <c r="B518" t="s">
        <v>2200</v>
      </c>
      <c r="C518" t="s">
        <v>432</v>
      </c>
      <c r="D518" t="s">
        <v>12</v>
      </c>
      <c r="E518">
        <v>47</v>
      </c>
      <c r="F518" t="s">
        <v>1580</v>
      </c>
      <c r="G518">
        <v>51.7</v>
      </c>
      <c r="H518" t="s">
        <v>1597</v>
      </c>
    </row>
    <row r="519" spans="1:8" x14ac:dyDescent="0.35">
      <c r="A519" t="s">
        <v>288</v>
      </c>
      <c r="B519" t="s">
        <v>2200</v>
      </c>
      <c r="C519" t="s">
        <v>1994</v>
      </c>
      <c r="D519" t="s">
        <v>10</v>
      </c>
      <c r="E519">
        <v>230</v>
      </c>
      <c r="F519" t="s">
        <v>1418</v>
      </c>
      <c r="G519">
        <v>253.00000000000003</v>
      </c>
      <c r="H519" t="s">
        <v>1562</v>
      </c>
    </row>
    <row r="520" spans="1:8" x14ac:dyDescent="0.35">
      <c r="D520" t="s">
        <v>289</v>
      </c>
      <c r="E520">
        <v>1764</v>
      </c>
    </row>
    <row r="523" spans="1:8" x14ac:dyDescent="0.35">
      <c r="A523" t="s">
        <v>1364</v>
      </c>
    </row>
    <row r="524" spans="1:8" x14ac:dyDescent="0.35">
      <c r="A524" t="s">
        <v>643</v>
      </c>
    </row>
    <row r="525" spans="1:8" x14ac:dyDescent="0.35">
      <c r="A525" t="s">
        <v>2</v>
      </c>
      <c r="B525" t="s">
        <v>3</v>
      </c>
      <c r="C525" t="s">
        <v>4</v>
      </c>
      <c r="D525" t="s">
        <v>5</v>
      </c>
      <c r="E525" t="s">
        <v>6</v>
      </c>
      <c r="F525" t="s">
        <v>7</v>
      </c>
      <c r="G525" t="s">
        <v>8</v>
      </c>
    </row>
    <row r="526" spans="1:8" x14ac:dyDescent="0.35">
      <c r="A526" t="s">
        <v>290</v>
      </c>
      <c r="B526" t="s">
        <v>2201</v>
      </c>
      <c r="C526" t="s">
        <v>2133</v>
      </c>
      <c r="D526" t="s">
        <v>34</v>
      </c>
      <c r="E526">
        <v>115</v>
      </c>
      <c r="F526" t="s">
        <v>149</v>
      </c>
      <c r="G526">
        <v>126.50000000000001</v>
      </c>
    </row>
    <row r="527" spans="1:8" x14ac:dyDescent="0.35">
      <c r="A527" t="s">
        <v>291</v>
      </c>
      <c r="B527" t="s">
        <v>2202</v>
      </c>
      <c r="C527" t="s">
        <v>2203</v>
      </c>
      <c r="D527" t="s">
        <v>84</v>
      </c>
      <c r="E527">
        <v>134</v>
      </c>
      <c r="F527" t="s">
        <v>1739</v>
      </c>
      <c r="G527">
        <v>147.4</v>
      </c>
      <c r="H527" t="s">
        <v>1740</v>
      </c>
    </row>
    <row r="528" spans="1:8" x14ac:dyDescent="0.35">
      <c r="A528" t="s">
        <v>292</v>
      </c>
      <c r="B528" t="s">
        <v>454</v>
      </c>
      <c r="C528" t="s">
        <v>2047</v>
      </c>
      <c r="D528" t="s">
        <v>63</v>
      </c>
      <c r="E528">
        <v>154</v>
      </c>
      <c r="F528" t="s">
        <v>1532</v>
      </c>
      <c r="G528">
        <v>169.4</v>
      </c>
      <c r="H528" t="s">
        <v>1538</v>
      </c>
    </row>
    <row r="529" spans="1:8" x14ac:dyDescent="0.35">
      <c r="A529" t="s">
        <v>292</v>
      </c>
      <c r="B529" t="s">
        <v>454</v>
      </c>
      <c r="C529" t="s">
        <v>2077</v>
      </c>
      <c r="D529" t="s">
        <v>64</v>
      </c>
      <c r="E529">
        <v>59</v>
      </c>
      <c r="F529" t="s">
        <v>1439</v>
      </c>
      <c r="G529">
        <v>64.900000000000006</v>
      </c>
      <c r="H529" t="s">
        <v>1423</v>
      </c>
    </row>
    <row r="530" spans="1:8" x14ac:dyDescent="0.35">
      <c r="A530" t="s">
        <v>293</v>
      </c>
      <c r="B530" t="s">
        <v>2204</v>
      </c>
      <c r="C530" t="s">
        <v>2205</v>
      </c>
      <c r="D530" t="s">
        <v>165</v>
      </c>
      <c r="E530">
        <v>74</v>
      </c>
      <c r="F530" t="s">
        <v>1445</v>
      </c>
      <c r="G530">
        <v>81.400000000000006</v>
      </c>
      <c r="H530" t="s">
        <v>1537</v>
      </c>
    </row>
    <row r="531" spans="1:8" x14ac:dyDescent="0.35">
      <c r="A531" t="s">
        <v>294</v>
      </c>
      <c r="B531" t="s">
        <v>2206</v>
      </c>
      <c r="C531" t="s">
        <v>1887</v>
      </c>
      <c r="D531" t="s">
        <v>1384</v>
      </c>
      <c r="E531">
        <v>82</v>
      </c>
      <c r="F531" t="s">
        <v>479</v>
      </c>
      <c r="G531">
        <v>90.2</v>
      </c>
      <c r="H531">
        <v>82</v>
      </c>
    </row>
    <row r="532" spans="1:8" x14ac:dyDescent="0.35">
      <c r="A532" t="s">
        <v>295</v>
      </c>
      <c r="B532" t="s">
        <v>2207</v>
      </c>
      <c r="C532" t="s">
        <v>2208</v>
      </c>
      <c r="D532" t="s">
        <v>68</v>
      </c>
      <c r="E532">
        <v>245</v>
      </c>
      <c r="F532" t="s">
        <v>1734</v>
      </c>
      <c r="G532">
        <v>269.5</v>
      </c>
      <c r="H532" t="s">
        <v>1735</v>
      </c>
    </row>
    <row r="533" spans="1:8" x14ac:dyDescent="0.35">
      <c r="A533" t="s">
        <v>297</v>
      </c>
      <c r="B533" t="s">
        <v>2209</v>
      </c>
      <c r="C533" t="s">
        <v>1962</v>
      </c>
      <c r="D533" t="s">
        <v>1385</v>
      </c>
      <c r="E533">
        <v>103</v>
      </c>
      <c r="F533" t="s">
        <v>1443</v>
      </c>
      <c r="G533">
        <v>113.30000000000001</v>
      </c>
      <c r="H533" t="s">
        <v>1741</v>
      </c>
    </row>
    <row r="534" spans="1:8" x14ac:dyDescent="0.35">
      <c r="A534" t="s">
        <v>280</v>
      </c>
      <c r="B534" t="s">
        <v>2210</v>
      </c>
      <c r="C534" t="s">
        <v>2013</v>
      </c>
      <c r="D534" t="s">
        <v>1383</v>
      </c>
      <c r="E534">
        <v>97</v>
      </c>
      <c r="F534" t="s">
        <v>505</v>
      </c>
      <c r="G534">
        <v>106.7</v>
      </c>
      <c r="H534">
        <v>97</v>
      </c>
    </row>
    <row r="535" spans="1:8" x14ac:dyDescent="0.35">
      <c r="A535" t="s">
        <v>298</v>
      </c>
      <c r="B535" t="s">
        <v>2211</v>
      </c>
      <c r="C535" t="s">
        <v>1999</v>
      </c>
      <c r="D535" t="s">
        <v>32</v>
      </c>
      <c r="E535">
        <v>179</v>
      </c>
      <c r="F535" t="s">
        <v>1463</v>
      </c>
      <c r="G535">
        <v>196.9</v>
      </c>
      <c r="H535" t="s">
        <v>1738</v>
      </c>
    </row>
    <row r="536" spans="1:8" x14ac:dyDescent="0.35">
      <c r="A536" t="s">
        <v>299</v>
      </c>
      <c r="B536" t="s">
        <v>2073</v>
      </c>
      <c r="C536" t="s">
        <v>2199</v>
      </c>
      <c r="D536" t="s">
        <v>18</v>
      </c>
      <c r="E536">
        <v>147</v>
      </c>
      <c r="F536" t="s">
        <v>1532</v>
      </c>
      <c r="G536">
        <v>161.70000000000002</v>
      </c>
      <c r="H536" t="s">
        <v>1737</v>
      </c>
    </row>
    <row r="537" spans="1:8" x14ac:dyDescent="0.35">
      <c r="A537" t="s">
        <v>300</v>
      </c>
      <c r="B537" t="s">
        <v>2212</v>
      </c>
      <c r="C537" t="s">
        <v>2213</v>
      </c>
      <c r="D537" t="s">
        <v>71</v>
      </c>
      <c r="E537">
        <v>51</v>
      </c>
      <c r="F537" t="s">
        <v>505</v>
      </c>
      <c r="G537">
        <v>56.1</v>
      </c>
      <c r="H537">
        <v>51</v>
      </c>
    </row>
    <row r="538" spans="1:8" x14ac:dyDescent="0.35">
      <c r="A538" t="s">
        <v>302</v>
      </c>
      <c r="B538" t="s">
        <v>2214</v>
      </c>
      <c r="C538" t="s">
        <v>2215</v>
      </c>
      <c r="D538" t="s">
        <v>22</v>
      </c>
      <c r="E538">
        <v>223</v>
      </c>
      <c r="F538" t="s">
        <v>1418</v>
      </c>
      <c r="G538">
        <v>245.3</v>
      </c>
      <c r="H538" t="s">
        <v>1736</v>
      </c>
    </row>
    <row r="539" spans="1:8" x14ac:dyDescent="0.35">
      <c r="A539" t="s">
        <v>305</v>
      </c>
      <c r="B539" t="s">
        <v>2216</v>
      </c>
      <c r="C539" t="s">
        <v>1895</v>
      </c>
      <c r="D539" t="s">
        <v>66</v>
      </c>
      <c r="E539">
        <v>100</v>
      </c>
      <c r="F539" t="s">
        <v>1601</v>
      </c>
      <c r="G539">
        <v>110.00000000000001</v>
      </c>
      <c r="H539" t="s">
        <v>1742</v>
      </c>
    </row>
    <row r="540" spans="1:8" x14ac:dyDescent="0.35">
      <c r="A540" t="s">
        <v>303</v>
      </c>
      <c r="B540" t="s">
        <v>1968</v>
      </c>
      <c r="C540" t="s">
        <v>2217</v>
      </c>
      <c r="D540" t="s">
        <v>78</v>
      </c>
      <c r="E540">
        <v>93</v>
      </c>
      <c r="F540" t="s">
        <v>1743</v>
      </c>
      <c r="G540">
        <v>102.30000000000001</v>
      </c>
      <c r="H540" t="s">
        <v>1744</v>
      </c>
    </row>
    <row r="541" spans="1:8" x14ac:dyDescent="0.35">
      <c r="D541" t="s">
        <v>304</v>
      </c>
      <c r="E541">
        <v>1741</v>
      </c>
    </row>
    <row r="544" spans="1:8" x14ac:dyDescent="0.35">
      <c r="A544" t="s">
        <v>1365</v>
      </c>
    </row>
    <row r="545" spans="1:8" x14ac:dyDescent="0.35">
      <c r="A545" t="s">
        <v>750</v>
      </c>
    </row>
    <row r="546" spans="1:8" x14ac:dyDescent="0.35">
      <c r="A546" t="s">
        <v>2</v>
      </c>
      <c r="B546" t="s">
        <v>3</v>
      </c>
      <c r="C546" t="s">
        <v>4</v>
      </c>
      <c r="D546" t="s">
        <v>5</v>
      </c>
      <c r="E546" t="s">
        <v>6</v>
      </c>
      <c r="F546" t="s">
        <v>7</v>
      </c>
      <c r="G546" t="s">
        <v>8</v>
      </c>
    </row>
    <row r="547" spans="1:8" x14ac:dyDescent="0.35">
      <c r="A547" t="s">
        <v>306</v>
      </c>
      <c r="B547" t="s">
        <v>417</v>
      </c>
      <c r="C547" t="s">
        <v>416</v>
      </c>
      <c r="D547" t="s">
        <v>40</v>
      </c>
      <c r="E547">
        <v>70</v>
      </c>
      <c r="F547" t="s">
        <v>1814</v>
      </c>
      <c r="G547">
        <v>77</v>
      </c>
      <c r="H547" t="s">
        <v>2218</v>
      </c>
    </row>
    <row r="548" spans="1:8" x14ac:dyDescent="0.35">
      <c r="A548" t="s">
        <v>306</v>
      </c>
      <c r="B548" t="s">
        <v>417</v>
      </c>
      <c r="C548" t="s">
        <v>416</v>
      </c>
      <c r="D548" t="s">
        <v>164</v>
      </c>
      <c r="E548">
        <v>223</v>
      </c>
      <c r="F548" t="s">
        <v>2219</v>
      </c>
      <c r="G548">
        <v>246</v>
      </c>
      <c r="H548" t="s">
        <v>2220</v>
      </c>
    </row>
    <row r="549" spans="1:8" x14ac:dyDescent="0.35">
      <c r="A549" t="s">
        <v>306</v>
      </c>
      <c r="B549" t="s">
        <v>417</v>
      </c>
      <c r="C549" t="s">
        <v>2083</v>
      </c>
      <c r="D549" t="s">
        <v>41</v>
      </c>
      <c r="E549">
        <v>46</v>
      </c>
      <c r="F549" t="s">
        <v>1826</v>
      </c>
      <c r="G549">
        <v>51</v>
      </c>
      <c r="H549" t="s">
        <v>1606</v>
      </c>
    </row>
    <row r="550" spans="1:8" x14ac:dyDescent="0.35">
      <c r="A550" t="s">
        <v>306</v>
      </c>
      <c r="B550" t="s">
        <v>417</v>
      </c>
      <c r="C550" t="s">
        <v>2083</v>
      </c>
      <c r="D550" t="s">
        <v>161</v>
      </c>
      <c r="E550">
        <v>81</v>
      </c>
      <c r="F550" t="s">
        <v>1794</v>
      </c>
      <c r="G550">
        <v>90</v>
      </c>
      <c r="H550" t="s">
        <v>1825</v>
      </c>
    </row>
    <row r="551" spans="1:8" x14ac:dyDescent="0.35">
      <c r="A551" t="s">
        <v>308</v>
      </c>
      <c r="B551" t="s">
        <v>2221</v>
      </c>
      <c r="C551" t="s">
        <v>2222</v>
      </c>
      <c r="D551" t="s">
        <v>82</v>
      </c>
      <c r="E551">
        <v>340</v>
      </c>
      <c r="F551" t="s">
        <v>1812</v>
      </c>
      <c r="G551">
        <v>374</v>
      </c>
      <c r="H551" t="s">
        <v>1770</v>
      </c>
    </row>
    <row r="552" spans="1:8" x14ac:dyDescent="0.35">
      <c r="A552" t="s">
        <v>309</v>
      </c>
      <c r="B552" t="s">
        <v>2221</v>
      </c>
      <c r="C552" t="s">
        <v>2223</v>
      </c>
      <c r="D552" t="s">
        <v>29</v>
      </c>
      <c r="E552">
        <v>87</v>
      </c>
      <c r="F552" t="s">
        <v>1453</v>
      </c>
      <c r="G552">
        <v>96</v>
      </c>
      <c r="H552" t="s">
        <v>1824</v>
      </c>
    </row>
    <row r="553" spans="1:8" x14ac:dyDescent="0.35">
      <c r="A553" t="s">
        <v>309</v>
      </c>
      <c r="B553" t="s">
        <v>2221</v>
      </c>
      <c r="C553" t="s">
        <v>2223</v>
      </c>
      <c r="D553" t="s">
        <v>30</v>
      </c>
      <c r="E553">
        <v>253</v>
      </c>
      <c r="F553" t="s">
        <v>1407</v>
      </c>
      <c r="G553">
        <v>279</v>
      </c>
      <c r="H553" t="s">
        <v>2224</v>
      </c>
    </row>
    <row r="554" spans="1:8" x14ac:dyDescent="0.35">
      <c r="A554" t="s">
        <v>212</v>
      </c>
      <c r="B554" t="s">
        <v>2101</v>
      </c>
      <c r="C554" t="s">
        <v>2222</v>
      </c>
      <c r="D554" t="s">
        <v>19</v>
      </c>
      <c r="E554">
        <v>254</v>
      </c>
      <c r="F554" t="s">
        <v>1407</v>
      </c>
      <c r="G554">
        <v>280</v>
      </c>
      <c r="H554" t="s">
        <v>1595</v>
      </c>
    </row>
    <row r="555" spans="1:8" x14ac:dyDescent="0.35">
      <c r="A555" t="s">
        <v>317</v>
      </c>
      <c r="B555" t="s">
        <v>2225</v>
      </c>
      <c r="C555" t="s">
        <v>2029</v>
      </c>
      <c r="D555" t="s">
        <v>20</v>
      </c>
      <c r="E555">
        <v>72</v>
      </c>
      <c r="F555" t="s">
        <v>1632</v>
      </c>
      <c r="G555">
        <v>80</v>
      </c>
      <c r="H555" t="s">
        <v>1616</v>
      </c>
    </row>
    <row r="556" spans="1:8" x14ac:dyDescent="0.35">
      <c r="A556" t="s">
        <v>341</v>
      </c>
      <c r="B556" t="s">
        <v>2226</v>
      </c>
      <c r="C556" t="s">
        <v>2184</v>
      </c>
      <c r="D556" t="s">
        <v>58</v>
      </c>
      <c r="E556">
        <v>287</v>
      </c>
      <c r="F556" t="s">
        <v>1823</v>
      </c>
      <c r="G556">
        <v>316</v>
      </c>
      <c r="H556" t="s">
        <v>1683</v>
      </c>
    </row>
    <row r="557" spans="1:8" x14ac:dyDescent="0.35">
      <c r="D557" t="s">
        <v>311</v>
      </c>
      <c r="E557">
        <v>1713</v>
      </c>
    </row>
    <row r="560" spans="1:8" x14ac:dyDescent="0.35">
      <c r="A560" t="s">
        <v>1365</v>
      </c>
    </row>
    <row r="561" spans="1:8" x14ac:dyDescent="0.35">
      <c r="A561" t="s">
        <v>745</v>
      </c>
    </row>
    <row r="562" spans="1:8" x14ac:dyDescent="0.35">
      <c r="A562" t="s">
        <v>2</v>
      </c>
      <c r="B562" t="s">
        <v>3</v>
      </c>
      <c r="C562" t="s">
        <v>4</v>
      </c>
      <c r="D562" t="s">
        <v>5</v>
      </c>
      <c r="E562" t="s">
        <v>6</v>
      </c>
      <c r="F562" t="s">
        <v>7</v>
      </c>
      <c r="G562" t="s">
        <v>8</v>
      </c>
    </row>
    <row r="563" spans="1:8" x14ac:dyDescent="0.35">
      <c r="A563" t="s">
        <v>312</v>
      </c>
      <c r="B563" t="s">
        <v>2227</v>
      </c>
      <c r="C563" t="s">
        <v>2033</v>
      </c>
      <c r="D563" t="s">
        <v>36</v>
      </c>
      <c r="E563">
        <v>119</v>
      </c>
      <c r="F563" t="s">
        <v>2228</v>
      </c>
      <c r="G563">
        <v>130.9</v>
      </c>
      <c r="H563" t="s">
        <v>2229</v>
      </c>
    </row>
    <row r="564" spans="1:8" x14ac:dyDescent="0.35">
      <c r="A564" t="s">
        <v>313</v>
      </c>
      <c r="B564" t="s">
        <v>2227</v>
      </c>
      <c r="C564" t="s">
        <v>1962</v>
      </c>
      <c r="D564" t="s">
        <v>1383</v>
      </c>
      <c r="E564">
        <v>97</v>
      </c>
      <c r="F564" t="s">
        <v>2230</v>
      </c>
      <c r="G564">
        <v>106.7</v>
      </c>
      <c r="H564" t="s">
        <v>2231</v>
      </c>
    </row>
    <row r="565" spans="1:8" x14ac:dyDescent="0.35">
      <c r="A565" t="s">
        <v>314</v>
      </c>
      <c r="B565" t="s">
        <v>2232</v>
      </c>
      <c r="C565" t="s">
        <v>2233</v>
      </c>
      <c r="D565" t="s">
        <v>15</v>
      </c>
      <c r="E565">
        <v>105</v>
      </c>
      <c r="F565" t="s">
        <v>2234</v>
      </c>
      <c r="G565">
        <v>115.50000000000001</v>
      </c>
      <c r="H565" t="s">
        <v>2235</v>
      </c>
    </row>
    <row r="566" spans="1:8" x14ac:dyDescent="0.35">
      <c r="A566" t="s">
        <v>315</v>
      </c>
      <c r="B566" t="s">
        <v>417</v>
      </c>
      <c r="C566" t="s">
        <v>2112</v>
      </c>
      <c r="D566" t="s">
        <v>1382</v>
      </c>
      <c r="E566">
        <v>129</v>
      </c>
      <c r="F566" t="s">
        <v>2236</v>
      </c>
      <c r="G566">
        <v>141.9</v>
      </c>
      <c r="H566" t="s">
        <v>2237</v>
      </c>
    </row>
    <row r="567" spans="1:8" x14ac:dyDescent="0.35">
      <c r="A567" t="s">
        <v>316</v>
      </c>
      <c r="B567" t="s">
        <v>455</v>
      </c>
      <c r="C567" t="s">
        <v>1938</v>
      </c>
      <c r="D567" t="s">
        <v>63</v>
      </c>
      <c r="E567">
        <v>154</v>
      </c>
      <c r="F567" t="s">
        <v>2238</v>
      </c>
      <c r="G567">
        <v>169.4</v>
      </c>
      <c r="H567" t="s">
        <v>2239</v>
      </c>
    </row>
    <row r="568" spans="1:8" x14ac:dyDescent="0.35">
      <c r="A568" t="s">
        <v>316</v>
      </c>
      <c r="B568" t="s">
        <v>455</v>
      </c>
      <c r="C568" t="s">
        <v>1913</v>
      </c>
      <c r="D568" t="s">
        <v>64</v>
      </c>
      <c r="E568">
        <v>59</v>
      </c>
      <c r="F568" t="s">
        <v>1814</v>
      </c>
      <c r="G568">
        <v>64.900000000000006</v>
      </c>
      <c r="H568" t="s">
        <v>2240</v>
      </c>
    </row>
    <row r="569" spans="1:8" x14ac:dyDescent="0.35">
      <c r="A569" t="s">
        <v>319</v>
      </c>
      <c r="B569" t="s">
        <v>442</v>
      </c>
      <c r="C569" t="s">
        <v>441</v>
      </c>
      <c r="D569" t="s">
        <v>14</v>
      </c>
      <c r="E569">
        <v>76</v>
      </c>
      <c r="F569" t="s">
        <v>505</v>
      </c>
      <c r="G569">
        <v>83.600000000000009</v>
      </c>
      <c r="H569" t="s">
        <v>1873</v>
      </c>
    </row>
    <row r="570" spans="1:8" x14ac:dyDescent="0.35">
      <c r="A570" t="s">
        <v>325</v>
      </c>
      <c r="B570" t="s">
        <v>2241</v>
      </c>
      <c r="C570" t="s">
        <v>462</v>
      </c>
      <c r="D570" t="s">
        <v>33</v>
      </c>
      <c r="E570">
        <v>80</v>
      </c>
      <c r="F570" t="s">
        <v>2242</v>
      </c>
      <c r="G570">
        <v>88</v>
      </c>
      <c r="H570" t="s">
        <v>2243</v>
      </c>
    </row>
    <row r="571" spans="1:8" x14ac:dyDescent="0.35">
      <c r="A571" t="s">
        <v>325</v>
      </c>
      <c r="B571" t="s">
        <v>2241</v>
      </c>
      <c r="C571" t="s">
        <v>462</v>
      </c>
      <c r="D571" t="s">
        <v>89</v>
      </c>
      <c r="E571">
        <v>59</v>
      </c>
      <c r="F571" t="s">
        <v>1784</v>
      </c>
      <c r="G571">
        <v>64.900000000000006</v>
      </c>
      <c r="H571" t="s">
        <v>1471</v>
      </c>
    </row>
    <row r="572" spans="1:8" x14ac:dyDescent="0.35">
      <c r="A572" t="s">
        <v>320</v>
      </c>
      <c r="B572" t="s">
        <v>2244</v>
      </c>
      <c r="C572" t="s">
        <v>2245</v>
      </c>
      <c r="D572" t="s">
        <v>84</v>
      </c>
      <c r="E572">
        <v>134</v>
      </c>
      <c r="F572" t="s">
        <v>2236</v>
      </c>
      <c r="G572">
        <v>147.4</v>
      </c>
      <c r="H572" t="s">
        <v>2246</v>
      </c>
    </row>
    <row r="573" spans="1:8" x14ac:dyDescent="0.35">
      <c r="A573" t="s">
        <v>321</v>
      </c>
      <c r="B573" t="s">
        <v>2247</v>
      </c>
      <c r="C573" t="s">
        <v>2178</v>
      </c>
      <c r="D573" t="s">
        <v>165</v>
      </c>
      <c r="E573">
        <v>242</v>
      </c>
      <c r="F573" t="s">
        <v>1785</v>
      </c>
      <c r="G573">
        <v>266.20000000000005</v>
      </c>
      <c r="H573" t="s">
        <v>1786</v>
      </c>
    </row>
    <row r="574" spans="1:8" x14ac:dyDescent="0.35">
      <c r="A574" t="s">
        <v>460</v>
      </c>
      <c r="B574" t="s">
        <v>2192</v>
      </c>
      <c r="C574" t="s">
        <v>2248</v>
      </c>
      <c r="D574" t="s">
        <v>101</v>
      </c>
      <c r="E574">
        <v>260</v>
      </c>
      <c r="F574" t="s">
        <v>1882</v>
      </c>
      <c r="G574">
        <v>286</v>
      </c>
      <c r="H574" t="s">
        <v>1881</v>
      </c>
    </row>
    <row r="575" spans="1:8" x14ac:dyDescent="0.35">
      <c r="A575" t="s">
        <v>460</v>
      </c>
      <c r="B575" t="s">
        <v>2192</v>
      </c>
      <c r="C575" t="s">
        <v>2249</v>
      </c>
      <c r="D575" t="s">
        <v>126</v>
      </c>
      <c r="E575">
        <v>154</v>
      </c>
      <c r="F575" t="s">
        <v>2238</v>
      </c>
      <c r="G575">
        <v>169.4</v>
      </c>
      <c r="H575" t="s">
        <v>2239</v>
      </c>
    </row>
    <row r="576" spans="1:8" x14ac:dyDescent="0.35">
      <c r="A576" t="s">
        <v>318</v>
      </c>
      <c r="B576" t="s">
        <v>1802</v>
      </c>
      <c r="C576" t="s">
        <v>2103</v>
      </c>
      <c r="D576" t="s">
        <v>92</v>
      </c>
      <c r="E576">
        <v>36</v>
      </c>
      <c r="F576" t="s">
        <v>1602</v>
      </c>
      <c r="G576">
        <v>39.6</v>
      </c>
      <c r="H576" t="s">
        <v>1808</v>
      </c>
    </row>
    <row r="577" spans="1:8" x14ac:dyDescent="0.35">
      <c r="A577" t="s">
        <v>318</v>
      </c>
      <c r="B577" t="s">
        <v>1802</v>
      </c>
      <c r="C577" t="s">
        <v>2103</v>
      </c>
      <c r="D577" t="s">
        <v>71</v>
      </c>
      <c r="E577">
        <v>51</v>
      </c>
      <c r="F577" t="s">
        <v>1580</v>
      </c>
      <c r="G577">
        <v>56.1</v>
      </c>
      <c r="H577" t="s">
        <v>1466</v>
      </c>
    </row>
    <row r="578" spans="1:8" x14ac:dyDescent="0.35">
      <c r="D578" t="s">
        <v>322</v>
      </c>
      <c r="E578">
        <v>1755</v>
      </c>
    </row>
    <row r="581" spans="1:8" x14ac:dyDescent="0.35">
      <c r="A581" t="s">
        <v>1365</v>
      </c>
    </row>
    <row r="582" spans="1:8" x14ac:dyDescent="0.35">
      <c r="A582" t="s">
        <v>728</v>
      </c>
    </row>
    <row r="583" spans="1:8" x14ac:dyDescent="0.35">
      <c r="A583" t="s">
        <v>2</v>
      </c>
      <c r="B583" t="s">
        <v>3</v>
      </c>
      <c r="C583" t="s">
        <v>4</v>
      </c>
      <c r="D583" t="s">
        <v>5</v>
      </c>
      <c r="E583" t="s">
        <v>6</v>
      </c>
      <c r="F583" t="s">
        <v>7</v>
      </c>
      <c r="G583" t="s">
        <v>8</v>
      </c>
    </row>
    <row r="584" spans="1:8" x14ac:dyDescent="0.35">
      <c r="A584" t="s">
        <v>81</v>
      </c>
      <c r="B584" t="s">
        <v>2250</v>
      </c>
      <c r="C584" t="s">
        <v>2027</v>
      </c>
      <c r="D584" t="s">
        <v>32</v>
      </c>
      <c r="E584">
        <v>179</v>
      </c>
      <c r="F584" t="s">
        <v>2251</v>
      </c>
      <c r="G584">
        <v>197</v>
      </c>
      <c r="H584" t="s">
        <v>2252</v>
      </c>
    </row>
    <row r="585" spans="1:8" x14ac:dyDescent="0.35">
      <c r="A585" t="s">
        <v>283</v>
      </c>
      <c r="B585" t="s">
        <v>2186</v>
      </c>
      <c r="C585" t="s">
        <v>2253</v>
      </c>
      <c r="D585" t="s">
        <v>56</v>
      </c>
      <c r="E585">
        <v>224</v>
      </c>
      <c r="F585" t="s">
        <v>1751</v>
      </c>
      <c r="G585">
        <v>247</v>
      </c>
      <c r="H585" t="s">
        <v>2254</v>
      </c>
    </row>
    <row r="586" spans="1:8" x14ac:dyDescent="0.35">
      <c r="A586" t="s">
        <v>1367</v>
      </c>
      <c r="B586" t="s">
        <v>2255</v>
      </c>
      <c r="C586" t="s">
        <v>2166</v>
      </c>
      <c r="D586" t="s">
        <v>52</v>
      </c>
      <c r="E586">
        <v>142</v>
      </c>
      <c r="F586" t="s">
        <v>2256</v>
      </c>
      <c r="G586">
        <v>157</v>
      </c>
      <c r="H586" t="s">
        <v>2257</v>
      </c>
    </row>
    <row r="587" spans="1:8" x14ac:dyDescent="0.35">
      <c r="A587" t="s">
        <v>323</v>
      </c>
      <c r="B587" t="s">
        <v>2258</v>
      </c>
      <c r="C587" t="s">
        <v>2029</v>
      </c>
      <c r="D587" t="s">
        <v>80</v>
      </c>
      <c r="E587">
        <v>67</v>
      </c>
      <c r="F587" t="s">
        <v>2259</v>
      </c>
      <c r="G587">
        <v>74</v>
      </c>
      <c r="H587" t="s">
        <v>2260</v>
      </c>
    </row>
    <row r="588" spans="1:8" x14ac:dyDescent="0.35">
      <c r="A588" t="s">
        <v>324</v>
      </c>
      <c r="B588" t="s">
        <v>2202</v>
      </c>
      <c r="C588" t="s">
        <v>2261</v>
      </c>
      <c r="D588" t="s">
        <v>22</v>
      </c>
      <c r="E588">
        <v>223</v>
      </c>
      <c r="F588" t="s">
        <v>2262</v>
      </c>
      <c r="G588">
        <v>246</v>
      </c>
      <c r="H588" t="s">
        <v>2263</v>
      </c>
    </row>
    <row r="589" spans="1:8" x14ac:dyDescent="0.35">
      <c r="A589" t="s">
        <v>345</v>
      </c>
      <c r="B589" t="s">
        <v>2264</v>
      </c>
      <c r="C589" t="s">
        <v>462</v>
      </c>
      <c r="D589" t="s">
        <v>97</v>
      </c>
      <c r="E589">
        <v>64</v>
      </c>
      <c r="F589" t="s">
        <v>2265</v>
      </c>
      <c r="G589">
        <v>71</v>
      </c>
      <c r="H589" t="s">
        <v>2266</v>
      </c>
    </row>
    <row r="590" spans="1:8" x14ac:dyDescent="0.35">
      <c r="A590" t="s">
        <v>345</v>
      </c>
      <c r="B590" t="s">
        <v>2267</v>
      </c>
      <c r="C590" t="s">
        <v>462</v>
      </c>
      <c r="D590" t="s">
        <v>95</v>
      </c>
      <c r="E590">
        <v>49</v>
      </c>
      <c r="F590" t="s">
        <v>1580</v>
      </c>
      <c r="G590">
        <v>54</v>
      </c>
      <c r="H590" t="s">
        <v>1827</v>
      </c>
    </row>
    <row r="591" spans="1:8" x14ac:dyDescent="0.35">
      <c r="A591" t="s">
        <v>307</v>
      </c>
      <c r="B591" t="s">
        <v>1388</v>
      </c>
      <c r="C591" t="s">
        <v>2160</v>
      </c>
      <c r="D591" t="s">
        <v>87</v>
      </c>
      <c r="E591">
        <v>18</v>
      </c>
      <c r="F591" t="s">
        <v>476</v>
      </c>
      <c r="G591">
        <v>20</v>
      </c>
      <c r="H591">
        <v>18</v>
      </c>
    </row>
    <row r="592" spans="1:8" x14ac:dyDescent="0.35">
      <c r="A592" t="s">
        <v>307</v>
      </c>
      <c r="B592" t="s">
        <v>1388</v>
      </c>
      <c r="C592" t="s">
        <v>2160</v>
      </c>
      <c r="D592" t="s">
        <v>86</v>
      </c>
      <c r="E592">
        <v>40</v>
      </c>
      <c r="F592" t="s">
        <v>144</v>
      </c>
      <c r="G592">
        <v>44</v>
      </c>
      <c r="H592">
        <v>40</v>
      </c>
    </row>
    <row r="593" spans="1:8" x14ac:dyDescent="0.35">
      <c r="A593" t="s">
        <v>326</v>
      </c>
      <c r="B593" t="s">
        <v>2268</v>
      </c>
      <c r="C593" t="s">
        <v>2269</v>
      </c>
      <c r="D593" t="s">
        <v>68</v>
      </c>
      <c r="E593">
        <v>245</v>
      </c>
      <c r="F593" t="s">
        <v>1407</v>
      </c>
      <c r="G593">
        <v>270</v>
      </c>
      <c r="H593" t="s">
        <v>1415</v>
      </c>
    </row>
    <row r="594" spans="1:8" x14ac:dyDescent="0.35">
      <c r="A594" t="s">
        <v>326</v>
      </c>
      <c r="B594" t="s">
        <v>2268</v>
      </c>
      <c r="C594" t="s">
        <v>2270</v>
      </c>
      <c r="D594" t="s">
        <v>50</v>
      </c>
      <c r="E594">
        <v>102</v>
      </c>
      <c r="F594" t="s">
        <v>2271</v>
      </c>
      <c r="G594">
        <v>113</v>
      </c>
      <c r="H594" t="s">
        <v>2272</v>
      </c>
    </row>
    <row r="595" spans="1:8" x14ac:dyDescent="0.35">
      <c r="A595" t="s">
        <v>338</v>
      </c>
      <c r="B595" t="s">
        <v>2273</v>
      </c>
      <c r="C595" t="s">
        <v>2274</v>
      </c>
      <c r="D595" t="s">
        <v>131</v>
      </c>
      <c r="E595">
        <v>103</v>
      </c>
      <c r="F595" t="s">
        <v>2275</v>
      </c>
      <c r="G595">
        <v>114</v>
      </c>
      <c r="H595" t="s">
        <v>2276</v>
      </c>
    </row>
    <row r="596" spans="1:8" x14ac:dyDescent="0.35">
      <c r="A596" t="s">
        <v>339</v>
      </c>
      <c r="B596" t="s">
        <v>2277</v>
      </c>
      <c r="C596" t="s">
        <v>1932</v>
      </c>
      <c r="D596" t="s">
        <v>1384</v>
      </c>
      <c r="E596">
        <v>82</v>
      </c>
      <c r="F596" t="s">
        <v>1784</v>
      </c>
      <c r="G596">
        <v>91</v>
      </c>
      <c r="H596" t="s">
        <v>2278</v>
      </c>
    </row>
    <row r="597" spans="1:8" x14ac:dyDescent="0.35">
      <c r="A597" t="s">
        <v>193</v>
      </c>
      <c r="B597" t="s">
        <v>2067</v>
      </c>
      <c r="C597" t="s">
        <v>419</v>
      </c>
      <c r="D597" t="s">
        <v>162</v>
      </c>
      <c r="E597">
        <v>136</v>
      </c>
      <c r="F597" t="s">
        <v>2279</v>
      </c>
      <c r="G597">
        <v>150</v>
      </c>
      <c r="H597" t="s">
        <v>2280</v>
      </c>
    </row>
    <row r="598" spans="1:8" x14ac:dyDescent="0.35">
      <c r="A598" t="s">
        <v>329</v>
      </c>
      <c r="B598" t="s">
        <v>2281</v>
      </c>
      <c r="C598" t="s">
        <v>416</v>
      </c>
      <c r="D598" t="s">
        <v>113</v>
      </c>
      <c r="E598">
        <v>23</v>
      </c>
      <c r="F598" t="s">
        <v>475</v>
      </c>
      <c r="G598">
        <v>26</v>
      </c>
      <c r="H598" t="s">
        <v>1461</v>
      </c>
    </row>
    <row r="599" spans="1:8" x14ac:dyDescent="0.35">
      <c r="D599" t="s">
        <v>331</v>
      </c>
      <c r="E599">
        <v>1697</v>
      </c>
    </row>
    <row r="602" spans="1:8" x14ac:dyDescent="0.35">
      <c r="A602" t="s">
        <v>1365</v>
      </c>
    </row>
    <row r="603" spans="1:8" x14ac:dyDescent="0.35">
      <c r="A603" t="s">
        <v>701</v>
      </c>
    </row>
    <row r="604" spans="1:8" x14ac:dyDescent="0.35">
      <c r="A604" t="s">
        <v>2</v>
      </c>
      <c r="B604" t="s">
        <v>3</v>
      </c>
      <c r="C604" t="s">
        <v>4</v>
      </c>
      <c r="D604" t="s">
        <v>5</v>
      </c>
      <c r="E604" t="s">
        <v>6</v>
      </c>
      <c r="F604" t="s">
        <v>7</v>
      </c>
      <c r="G604" t="s">
        <v>8</v>
      </c>
    </row>
    <row r="605" spans="1:8" x14ac:dyDescent="0.35">
      <c r="A605" t="s">
        <v>332</v>
      </c>
      <c r="B605" t="s">
        <v>2282</v>
      </c>
      <c r="C605" t="s">
        <v>2022</v>
      </c>
      <c r="D605" t="s">
        <v>30</v>
      </c>
      <c r="E605">
        <v>253</v>
      </c>
      <c r="F605" t="s">
        <v>1407</v>
      </c>
      <c r="G605">
        <v>279</v>
      </c>
      <c r="H605" t="s">
        <v>1809</v>
      </c>
    </row>
    <row r="606" spans="1:8" x14ac:dyDescent="0.35">
      <c r="A606" t="s">
        <v>336</v>
      </c>
      <c r="B606" t="s">
        <v>2283</v>
      </c>
      <c r="C606" t="s">
        <v>2068</v>
      </c>
      <c r="D606" t="s">
        <v>48</v>
      </c>
      <c r="E606">
        <v>144</v>
      </c>
      <c r="F606" t="s">
        <v>1416</v>
      </c>
      <c r="G606">
        <v>159</v>
      </c>
      <c r="H606" t="s">
        <v>1811</v>
      </c>
    </row>
    <row r="607" spans="1:8" x14ac:dyDescent="0.35">
      <c r="A607" t="s">
        <v>336</v>
      </c>
      <c r="B607" t="s">
        <v>2283</v>
      </c>
      <c r="C607" t="s">
        <v>2068</v>
      </c>
      <c r="D607" t="s">
        <v>44</v>
      </c>
      <c r="E607">
        <v>61</v>
      </c>
      <c r="F607" t="s">
        <v>1536</v>
      </c>
      <c r="G607">
        <v>68</v>
      </c>
      <c r="H607" t="s">
        <v>1816</v>
      </c>
    </row>
    <row r="608" spans="1:8" x14ac:dyDescent="0.35">
      <c r="A608" t="s">
        <v>38</v>
      </c>
      <c r="B608" t="s">
        <v>418</v>
      </c>
      <c r="C608" t="s">
        <v>2284</v>
      </c>
      <c r="D608" t="s">
        <v>115</v>
      </c>
      <c r="E608">
        <v>98</v>
      </c>
      <c r="F608" t="s">
        <v>1807</v>
      </c>
      <c r="G608">
        <v>108</v>
      </c>
      <c r="H608" t="s">
        <v>1813</v>
      </c>
    </row>
    <row r="609" spans="1:8" x14ac:dyDescent="0.35">
      <c r="A609" t="s">
        <v>38</v>
      </c>
      <c r="B609" t="s">
        <v>418</v>
      </c>
      <c r="C609" t="s">
        <v>2284</v>
      </c>
      <c r="D609" t="s">
        <v>183</v>
      </c>
      <c r="E609">
        <v>129</v>
      </c>
      <c r="F609" t="s">
        <v>1651</v>
      </c>
      <c r="G609">
        <v>142</v>
      </c>
      <c r="H609" t="s">
        <v>1817</v>
      </c>
    </row>
    <row r="610" spans="1:8" x14ac:dyDescent="0.35">
      <c r="A610" t="s">
        <v>38</v>
      </c>
      <c r="B610" t="s">
        <v>418</v>
      </c>
      <c r="C610" t="s">
        <v>2284</v>
      </c>
      <c r="D610" t="s">
        <v>41</v>
      </c>
      <c r="E610">
        <v>46</v>
      </c>
      <c r="F610" t="s">
        <v>1805</v>
      </c>
      <c r="G610">
        <v>51</v>
      </c>
      <c r="H610" t="s">
        <v>1606</v>
      </c>
    </row>
    <row r="611" spans="1:8" x14ac:dyDescent="0.35">
      <c r="A611" t="s">
        <v>38</v>
      </c>
      <c r="B611" t="s">
        <v>418</v>
      </c>
      <c r="C611" t="s">
        <v>2284</v>
      </c>
      <c r="D611" t="s">
        <v>164</v>
      </c>
      <c r="E611">
        <v>223</v>
      </c>
      <c r="F611" t="s">
        <v>1820</v>
      </c>
      <c r="G611">
        <v>246</v>
      </c>
      <c r="H611" t="s">
        <v>1819</v>
      </c>
    </row>
    <row r="612" spans="1:8" x14ac:dyDescent="0.35">
      <c r="A612" t="s">
        <v>354</v>
      </c>
      <c r="B612" t="s">
        <v>2285</v>
      </c>
      <c r="C612" t="s">
        <v>2286</v>
      </c>
      <c r="D612" t="s">
        <v>24</v>
      </c>
      <c r="E612">
        <v>40</v>
      </c>
      <c r="F612" t="s">
        <v>472</v>
      </c>
      <c r="G612">
        <v>44</v>
      </c>
      <c r="H612" t="s">
        <v>1756</v>
      </c>
    </row>
    <row r="613" spans="1:8" x14ac:dyDescent="0.35">
      <c r="A613" t="s">
        <v>335</v>
      </c>
      <c r="B613" t="s">
        <v>431</v>
      </c>
      <c r="C613" t="s">
        <v>430</v>
      </c>
      <c r="D613" t="s">
        <v>141</v>
      </c>
      <c r="E613">
        <v>242</v>
      </c>
      <c r="F613" t="s">
        <v>1407</v>
      </c>
      <c r="G613">
        <v>266.20000000000005</v>
      </c>
      <c r="H613" t="s">
        <v>1810</v>
      </c>
    </row>
    <row r="614" spans="1:8" x14ac:dyDescent="0.35">
      <c r="A614" t="s">
        <v>335</v>
      </c>
      <c r="B614" t="s">
        <v>431</v>
      </c>
      <c r="C614" t="s">
        <v>430</v>
      </c>
      <c r="D614" t="s">
        <v>140</v>
      </c>
      <c r="E614">
        <v>74</v>
      </c>
      <c r="F614" t="s">
        <v>1814</v>
      </c>
      <c r="G614">
        <v>81.400000000000006</v>
      </c>
      <c r="H614" t="s">
        <v>1815</v>
      </c>
    </row>
    <row r="615" spans="1:8" x14ac:dyDescent="0.35">
      <c r="A615" t="s">
        <v>335</v>
      </c>
      <c r="B615" t="s">
        <v>2287</v>
      </c>
      <c r="C615" t="s">
        <v>430</v>
      </c>
      <c r="D615" t="s">
        <v>142</v>
      </c>
      <c r="E615">
        <v>155</v>
      </c>
      <c r="F615" t="s">
        <v>1821</v>
      </c>
      <c r="G615">
        <v>170.5</v>
      </c>
      <c r="H615" t="s">
        <v>1822</v>
      </c>
    </row>
    <row r="616" spans="1:8" x14ac:dyDescent="0.35">
      <c r="A616" t="s">
        <v>342</v>
      </c>
      <c r="B616" t="s">
        <v>2288</v>
      </c>
      <c r="C616" t="s">
        <v>2171</v>
      </c>
      <c r="D616" t="s">
        <v>12</v>
      </c>
      <c r="E616">
        <v>47</v>
      </c>
      <c r="F616" t="s">
        <v>1686</v>
      </c>
      <c r="G616">
        <v>52</v>
      </c>
      <c r="H616" t="s">
        <v>1818</v>
      </c>
    </row>
    <row r="617" spans="1:8" x14ac:dyDescent="0.35">
      <c r="A617" t="s">
        <v>340</v>
      </c>
      <c r="B617" t="s">
        <v>2289</v>
      </c>
      <c r="C617" t="s">
        <v>2185</v>
      </c>
      <c r="D617" t="s">
        <v>82</v>
      </c>
      <c r="E617">
        <v>340</v>
      </c>
      <c r="F617" t="s">
        <v>1812</v>
      </c>
      <c r="G617">
        <v>374</v>
      </c>
      <c r="H617" t="s">
        <v>1770</v>
      </c>
    </row>
    <row r="618" spans="1:8" x14ac:dyDescent="0.35">
      <c r="D618" t="s">
        <v>343</v>
      </c>
      <c r="E618">
        <v>1852</v>
      </c>
    </row>
    <row r="621" spans="1:8" x14ac:dyDescent="0.35">
      <c r="A621" t="s">
        <v>1365</v>
      </c>
    </row>
    <row r="622" spans="1:8" x14ac:dyDescent="0.35">
      <c r="A622" t="s">
        <v>673</v>
      </c>
    </row>
    <row r="623" spans="1:8" x14ac:dyDescent="0.35">
      <c r="A623" t="s">
        <v>2</v>
      </c>
      <c r="B623" t="s">
        <v>3</v>
      </c>
      <c r="C623" t="s">
        <v>4</v>
      </c>
      <c r="D623" t="s">
        <v>5</v>
      </c>
      <c r="E623" t="s">
        <v>6</v>
      </c>
      <c r="F623" t="s">
        <v>7</v>
      </c>
      <c r="G623" t="s">
        <v>8</v>
      </c>
    </row>
    <row r="624" spans="1:8" x14ac:dyDescent="0.35">
      <c r="A624" t="s">
        <v>344</v>
      </c>
      <c r="B624" t="s">
        <v>2290</v>
      </c>
      <c r="C624" t="s">
        <v>1994</v>
      </c>
      <c r="D624" t="s">
        <v>20</v>
      </c>
      <c r="E624">
        <v>72</v>
      </c>
      <c r="F624" t="s">
        <v>1832</v>
      </c>
      <c r="G624">
        <v>80</v>
      </c>
      <c r="H624" t="s">
        <v>1833</v>
      </c>
    </row>
    <row r="625" spans="1:8" x14ac:dyDescent="0.35">
      <c r="A625" t="s">
        <v>346</v>
      </c>
      <c r="B625" t="s">
        <v>2291</v>
      </c>
      <c r="C625" t="s">
        <v>2055</v>
      </c>
      <c r="D625" t="s">
        <v>31</v>
      </c>
      <c r="E625">
        <v>83</v>
      </c>
      <c r="F625" t="s">
        <v>1836</v>
      </c>
      <c r="G625">
        <v>92</v>
      </c>
      <c r="H625" t="s">
        <v>1837</v>
      </c>
    </row>
    <row r="626" spans="1:8" x14ac:dyDescent="0.35">
      <c r="A626" t="s">
        <v>346</v>
      </c>
      <c r="B626" t="s">
        <v>2291</v>
      </c>
      <c r="C626" t="s">
        <v>2055</v>
      </c>
      <c r="D626" t="s">
        <v>123</v>
      </c>
      <c r="E626">
        <v>89</v>
      </c>
      <c r="F626" t="s">
        <v>1522</v>
      </c>
      <c r="G626">
        <v>98</v>
      </c>
      <c r="H626" t="s">
        <v>1834</v>
      </c>
    </row>
    <row r="627" spans="1:8" x14ac:dyDescent="0.35">
      <c r="A627" t="s">
        <v>347</v>
      </c>
      <c r="B627" t="s">
        <v>2292</v>
      </c>
      <c r="C627" t="s">
        <v>2293</v>
      </c>
      <c r="D627" t="s">
        <v>17</v>
      </c>
      <c r="E627">
        <v>276</v>
      </c>
      <c r="F627" t="s">
        <v>1500</v>
      </c>
      <c r="G627">
        <v>304</v>
      </c>
      <c r="H627" t="s">
        <v>1557</v>
      </c>
    </row>
    <row r="628" spans="1:8" x14ac:dyDescent="0.35">
      <c r="A628" t="s">
        <v>347</v>
      </c>
      <c r="B628" t="s">
        <v>2292</v>
      </c>
      <c r="C628" t="s">
        <v>2293</v>
      </c>
      <c r="D628" t="s">
        <v>13</v>
      </c>
      <c r="E628">
        <v>94</v>
      </c>
      <c r="F628" t="s">
        <v>1582</v>
      </c>
      <c r="G628">
        <v>104</v>
      </c>
      <c r="H628" t="s">
        <v>1831</v>
      </c>
    </row>
    <row r="629" spans="1:8" x14ac:dyDescent="0.35">
      <c r="A629" t="s">
        <v>347</v>
      </c>
      <c r="B629" t="s">
        <v>2292</v>
      </c>
      <c r="C629" t="s">
        <v>2293</v>
      </c>
      <c r="D629" t="s">
        <v>19</v>
      </c>
      <c r="E629">
        <v>254</v>
      </c>
      <c r="F629" t="s">
        <v>1750</v>
      </c>
      <c r="G629">
        <v>280</v>
      </c>
      <c r="H629" t="s">
        <v>1438</v>
      </c>
    </row>
    <row r="630" spans="1:8" x14ac:dyDescent="0.35">
      <c r="A630" t="s">
        <v>349</v>
      </c>
      <c r="B630" t="s">
        <v>2294</v>
      </c>
      <c r="C630" t="s">
        <v>1799</v>
      </c>
      <c r="D630" t="s">
        <v>92</v>
      </c>
      <c r="E630">
        <v>100</v>
      </c>
      <c r="F630" t="s">
        <v>1459</v>
      </c>
      <c r="G630">
        <v>110</v>
      </c>
      <c r="H630" t="s">
        <v>1830</v>
      </c>
    </row>
    <row r="631" spans="1:8" x14ac:dyDescent="0.35">
      <c r="A631" t="s">
        <v>38</v>
      </c>
      <c r="B631" t="s">
        <v>418</v>
      </c>
      <c r="C631" t="s">
        <v>2104</v>
      </c>
      <c r="D631" t="s">
        <v>36</v>
      </c>
      <c r="E631">
        <v>119</v>
      </c>
      <c r="F631" t="s">
        <v>1650</v>
      </c>
      <c r="G631">
        <v>131</v>
      </c>
      <c r="H631" t="s">
        <v>1829</v>
      </c>
    </row>
    <row r="632" spans="1:8" x14ac:dyDescent="0.35">
      <c r="A632" t="s">
        <v>1371</v>
      </c>
      <c r="B632" t="s">
        <v>2295</v>
      </c>
      <c r="C632" t="s">
        <v>2001</v>
      </c>
      <c r="D632" t="s">
        <v>29</v>
      </c>
      <c r="E632">
        <v>87</v>
      </c>
      <c r="F632" t="s">
        <v>1490</v>
      </c>
      <c r="G632">
        <v>96</v>
      </c>
      <c r="H632" t="s">
        <v>1835</v>
      </c>
    </row>
    <row r="633" spans="1:8" x14ac:dyDescent="0.35">
      <c r="A633" t="s">
        <v>38</v>
      </c>
      <c r="B633" t="s">
        <v>418</v>
      </c>
      <c r="C633" t="s">
        <v>2104</v>
      </c>
      <c r="D633" t="s">
        <v>104</v>
      </c>
      <c r="E633">
        <v>56</v>
      </c>
      <c r="F633" t="s">
        <v>1439</v>
      </c>
      <c r="G633">
        <v>62</v>
      </c>
      <c r="H633" t="s">
        <v>1525</v>
      </c>
    </row>
    <row r="634" spans="1:8" x14ac:dyDescent="0.35">
      <c r="A634" t="s">
        <v>38</v>
      </c>
      <c r="B634" t="s">
        <v>418</v>
      </c>
      <c r="C634" t="s">
        <v>2147</v>
      </c>
      <c r="D634" t="s">
        <v>103</v>
      </c>
      <c r="E634">
        <v>120</v>
      </c>
      <c r="F634" t="s">
        <v>1650</v>
      </c>
      <c r="G634">
        <v>132</v>
      </c>
      <c r="H634" t="s">
        <v>1524</v>
      </c>
    </row>
    <row r="635" spans="1:8" x14ac:dyDescent="0.35">
      <c r="A635" t="s">
        <v>38</v>
      </c>
      <c r="B635" t="s">
        <v>418</v>
      </c>
      <c r="C635" t="s">
        <v>2233</v>
      </c>
      <c r="D635" t="s">
        <v>165</v>
      </c>
      <c r="E635">
        <v>242</v>
      </c>
      <c r="F635" t="s">
        <v>1407</v>
      </c>
      <c r="G635">
        <v>267</v>
      </c>
      <c r="H635" t="s">
        <v>1828</v>
      </c>
    </row>
    <row r="636" spans="1:8" x14ac:dyDescent="0.35">
      <c r="A636" t="s">
        <v>38</v>
      </c>
      <c r="B636" t="s">
        <v>418</v>
      </c>
      <c r="C636" t="s">
        <v>2233</v>
      </c>
      <c r="D636" t="s">
        <v>163</v>
      </c>
      <c r="E636">
        <v>126</v>
      </c>
      <c r="F636" t="s">
        <v>1523</v>
      </c>
      <c r="G636">
        <v>139</v>
      </c>
      <c r="H636" t="s">
        <v>1680</v>
      </c>
    </row>
    <row r="637" spans="1:8" x14ac:dyDescent="0.35">
      <c r="D637" t="s">
        <v>350</v>
      </c>
      <c r="E637">
        <v>1718</v>
      </c>
    </row>
    <row r="640" spans="1:8" x14ac:dyDescent="0.35">
      <c r="A640" t="s">
        <v>1365</v>
      </c>
    </row>
    <row r="641" spans="1:8" x14ac:dyDescent="0.35">
      <c r="A641" t="s">
        <v>643</v>
      </c>
    </row>
    <row r="642" spans="1:8" x14ac:dyDescent="0.35">
      <c r="A642" t="s">
        <v>2</v>
      </c>
      <c r="B642" t="s">
        <v>3</v>
      </c>
      <c r="C642" t="s">
        <v>4</v>
      </c>
      <c r="D642" t="s">
        <v>5</v>
      </c>
      <c r="E642" t="s">
        <v>6</v>
      </c>
      <c r="F642" t="s">
        <v>7</v>
      </c>
      <c r="G642" t="s">
        <v>8</v>
      </c>
    </row>
    <row r="643" spans="1:8" x14ac:dyDescent="0.35">
      <c r="A643" t="s">
        <v>351</v>
      </c>
      <c r="B643" t="s">
        <v>2296</v>
      </c>
      <c r="C643" t="s">
        <v>2297</v>
      </c>
      <c r="D643" t="s">
        <v>22</v>
      </c>
      <c r="E643">
        <v>223</v>
      </c>
      <c r="F643" t="s">
        <v>1407</v>
      </c>
      <c r="G643">
        <v>246</v>
      </c>
      <c r="H643" t="s">
        <v>1623</v>
      </c>
    </row>
    <row r="644" spans="1:8" x14ac:dyDescent="0.35">
      <c r="A644" t="s">
        <v>352</v>
      </c>
      <c r="B644" t="s">
        <v>2296</v>
      </c>
      <c r="C644" t="s">
        <v>2298</v>
      </c>
      <c r="D644" t="s">
        <v>16</v>
      </c>
      <c r="E644">
        <v>154</v>
      </c>
      <c r="F644" t="s">
        <v>1838</v>
      </c>
      <c r="G644">
        <v>170</v>
      </c>
      <c r="H644" t="s">
        <v>1839</v>
      </c>
    </row>
    <row r="645" spans="1:8" x14ac:dyDescent="0.35">
      <c r="A645" t="s">
        <v>353</v>
      </c>
      <c r="B645" t="s">
        <v>2299</v>
      </c>
      <c r="C645" t="s">
        <v>2300</v>
      </c>
      <c r="D645" t="s">
        <v>1383</v>
      </c>
      <c r="E645">
        <v>97</v>
      </c>
      <c r="F645" t="s">
        <v>1838</v>
      </c>
      <c r="G645">
        <v>107</v>
      </c>
      <c r="H645" t="s">
        <v>1842</v>
      </c>
    </row>
    <row r="646" spans="1:8" x14ac:dyDescent="0.35">
      <c r="A646" t="s">
        <v>337</v>
      </c>
      <c r="B646" t="s">
        <v>2301</v>
      </c>
      <c r="C646" t="s">
        <v>2065</v>
      </c>
      <c r="D646" t="s">
        <v>87</v>
      </c>
      <c r="E646">
        <v>62</v>
      </c>
      <c r="F646" t="s">
        <v>1843</v>
      </c>
      <c r="G646">
        <v>69</v>
      </c>
      <c r="H646" t="s">
        <v>1624</v>
      </c>
    </row>
    <row r="647" spans="1:8" x14ac:dyDescent="0.35">
      <c r="A647" t="s">
        <v>355</v>
      </c>
      <c r="B647" t="s">
        <v>2302</v>
      </c>
      <c r="C647" t="s">
        <v>2303</v>
      </c>
      <c r="D647" t="s">
        <v>10</v>
      </c>
      <c r="E647">
        <v>230</v>
      </c>
      <c r="F647" t="s">
        <v>1407</v>
      </c>
      <c r="G647">
        <v>253</v>
      </c>
      <c r="H647" t="s">
        <v>1442</v>
      </c>
    </row>
    <row r="648" spans="1:8" x14ac:dyDescent="0.35">
      <c r="A648" t="s">
        <v>357</v>
      </c>
      <c r="B648" t="s">
        <v>2304</v>
      </c>
      <c r="C648" t="s">
        <v>2138</v>
      </c>
      <c r="D648" t="s">
        <v>34</v>
      </c>
      <c r="E648">
        <v>115</v>
      </c>
      <c r="F648" t="s">
        <v>1516</v>
      </c>
      <c r="G648">
        <v>127</v>
      </c>
      <c r="H648" t="s">
        <v>1840</v>
      </c>
    </row>
    <row r="649" spans="1:8" x14ac:dyDescent="0.35">
      <c r="A649" t="s">
        <v>193</v>
      </c>
      <c r="B649" t="s">
        <v>2067</v>
      </c>
      <c r="C649" t="s">
        <v>2305</v>
      </c>
      <c r="D649" t="s">
        <v>69</v>
      </c>
      <c r="E649">
        <v>261</v>
      </c>
      <c r="F649" t="s">
        <v>1436</v>
      </c>
      <c r="G649">
        <v>288</v>
      </c>
      <c r="H649" t="s">
        <v>1755</v>
      </c>
    </row>
    <row r="650" spans="1:8" x14ac:dyDescent="0.35">
      <c r="A650" t="s">
        <v>359</v>
      </c>
      <c r="B650" t="s">
        <v>2306</v>
      </c>
      <c r="C650" t="s">
        <v>419</v>
      </c>
      <c r="D650" t="s">
        <v>21</v>
      </c>
      <c r="E650">
        <v>40</v>
      </c>
      <c r="F650" t="s">
        <v>1602</v>
      </c>
      <c r="G650">
        <v>44</v>
      </c>
      <c r="H650" t="s">
        <v>1554</v>
      </c>
    </row>
    <row r="651" spans="1:8" x14ac:dyDescent="0.35">
      <c r="A651" t="s">
        <v>348</v>
      </c>
      <c r="B651" t="s">
        <v>2307</v>
      </c>
      <c r="C651" t="s">
        <v>1930</v>
      </c>
      <c r="D651" t="s">
        <v>75</v>
      </c>
      <c r="E651">
        <v>32</v>
      </c>
      <c r="F651" t="s">
        <v>1844</v>
      </c>
      <c r="G651">
        <v>36</v>
      </c>
      <c r="H651" t="s">
        <v>1625</v>
      </c>
    </row>
    <row r="652" spans="1:8" x14ac:dyDescent="0.35">
      <c r="A652" t="s">
        <v>360</v>
      </c>
      <c r="B652" t="s">
        <v>2308</v>
      </c>
      <c r="C652" t="s">
        <v>2309</v>
      </c>
      <c r="D652" t="s">
        <v>78</v>
      </c>
      <c r="E652">
        <v>93</v>
      </c>
      <c r="F652" t="s">
        <v>1459</v>
      </c>
      <c r="G652">
        <v>103</v>
      </c>
      <c r="H652" t="s">
        <v>1841</v>
      </c>
    </row>
    <row r="653" spans="1:8" x14ac:dyDescent="0.35">
      <c r="A653" t="s">
        <v>360</v>
      </c>
      <c r="B653" t="s">
        <v>2310</v>
      </c>
      <c r="C653" t="s">
        <v>2309</v>
      </c>
      <c r="D653" t="s">
        <v>68</v>
      </c>
      <c r="E653">
        <v>245</v>
      </c>
      <c r="F653" t="s">
        <v>1418</v>
      </c>
      <c r="G653">
        <v>270</v>
      </c>
      <c r="H653" t="s">
        <v>1473</v>
      </c>
    </row>
    <row r="654" spans="1:8" x14ac:dyDescent="0.35">
      <c r="A654" t="s">
        <v>356</v>
      </c>
      <c r="B654" t="s">
        <v>2311</v>
      </c>
      <c r="C654" t="s">
        <v>2062</v>
      </c>
      <c r="D654" t="s">
        <v>48</v>
      </c>
      <c r="E654">
        <v>144</v>
      </c>
      <c r="F654" t="s">
        <v>149</v>
      </c>
      <c r="G654">
        <v>159</v>
      </c>
    </row>
    <row r="655" spans="1:8" x14ac:dyDescent="0.35">
      <c r="D655" t="s">
        <v>361</v>
      </c>
      <c r="E655">
        <v>1552</v>
      </c>
      <c r="G655">
        <v>1708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F1D72-4CDC-440D-8112-F3D6C8403FD5}">
  <dimension ref="A1:AT74"/>
  <sheetViews>
    <sheetView zoomScale="109" zoomScaleNormal="72" workbookViewId="0">
      <pane ySplit="1" topLeftCell="A18" activePane="bottomLeft" state="frozen"/>
      <selection pane="bottomLeft" activeCell="A44" sqref="A44:XFD44"/>
    </sheetView>
  </sheetViews>
  <sheetFormatPr defaultRowHeight="14.5" x14ac:dyDescent="0.35"/>
  <cols>
    <col min="2" max="2" width="8.453125" bestFit="1" customWidth="1"/>
    <col min="3" max="5" width="3.1796875" bestFit="1" customWidth="1"/>
    <col min="6" max="6" width="5.81640625" bestFit="1" customWidth="1"/>
    <col min="7" max="7" width="3.1796875" bestFit="1" customWidth="1"/>
    <col min="8" max="8" width="3.1796875" style="5" hidden="1" customWidth="1"/>
    <col min="9" max="14" width="2.54296875" bestFit="1" customWidth="1"/>
    <col min="15" max="15" width="2.54296875" style="5" hidden="1" customWidth="1"/>
    <col min="16" max="17" width="3.26953125" bestFit="1" customWidth="1"/>
    <col min="18" max="18" width="3.26953125" style="264" bestFit="1" customWidth="1"/>
    <col min="19" max="21" width="3.26953125" bestFit="1" customWidth="1"/>
    <col min="22" max="22" width="3.26953125" style="5" hidden="1" customWidth="1"/>
    <col min="23" max="28" width="2.81640625" bestFit="1" customWidth="1"/>
    <col min="29" max="29" width="2.81640625" style="5" hidden="1" customWidth="1"/>
    <col min="30" max="35" width="2.54296875" bestFit="1" customWidth="1"/>
    <col min="36" max="36" width="2.54296875" style="5" hidden="1" customWidth="1"/>
    <col min="37" max="37" width="33.26953125" style="264" customWidth="1"/>
    <col min="38" max="38" width="2.7265625" style="2" bestFit="1" customWidth="1"/>
    <col min="39" max="39" width="2" style="2" bestFit="1" customWidth="1"/>
    <col min="40" max="40" width="2.7265625" style="2" bestFit="1" customWidth="1"/>
    <col min="41" max="41" width="2.26953125" style="2" bestFit="1" customWidth="1"/>
    <col min="42" max="42" width="2" style="2" bestFit="1" customWidth="1"/>
  </cols>
  <sheetData>
    <row r="1" spans="1:46" x14ac:dyDescent="0.35">
      <c r="A1" s="11"/>
      <c r="B1" s="384" t="s">
        <v>362</v>
      </c>
      <c r="C1" s="384"/>
      <c r="D1" s="384"/>
      <c r="E1" s="384"/>
      <c r="F1" s="384"/>
      <c r="G1" s="384"/>
      <c r="H1" s="20"/>
      <c r="I1" s="385" t="s">
        <v>363</v>
      </c>
      <c r="J1" s="385"/>
      <c r="K1" s="385"/>
      <c r="L1" s="385"/>
      <c r="M1" s="385"/>
      <c r="N1" s="385"/>
      <c r="O1" s="20"/>
      <c r="P1" s="384" t="s">
        <v>364</v>
      </c>
      <c r="Q1" s="384"/>
      <c r="R1" s="384"/>
      <c r="S1" s="384"/>
      <c r="T1" s="384"/>
      <c r="U1" s="384"/>
      <c r="V1" s="20"/>
      <c r="W1" s="385" t="s">
        <v>365</v>
      </c>
      <c r="X1" s="385"/>
      <c r="Y1" s="385"/>
      <c r="Z1" s="385"/>
      <c r="AA1" s="385"/>
      <c r="AB1" s="385"/>
      <c r="AC1" s="20"/>
      <c r="AD1" s="384" t="s">
        <v>366</v>
      </c>
      <c r="AE1" s="384"/>
      <c r="AF1" s="384"/>
      <c r="AG1" s="384"/>
      <c r="AH1" s="384"/>
      <c r="AI1" s="384"/>
      <c r="AJ1" s="19"/>
      <c r="AL1" s="15" t="s">
        <v>362</v>
      </c>
      <c r="AM1" s="15" t="s">
        <v>363</v>
      </c>
      <c r="AN1" s="15" t="s">
        <v>364</v>
      </c>
      <c r="AO1" s="15" t="s">
        <v>365</v>
      </c>
      <c r="AP1" s="15" t="s">
        <v>366</v>
      </c>
    </row>
    <row r="2" spans="1:46" x14ac:dyDescent="0.35">
      <c r="A2" s="11"/>
      <c r="B2" s="17" t="s">
        <v>367</v>
      </c>
      <c r="C2" s="17" t="s">
        <v>368</v>
      </c>
      <c r="D2" s="17" t="s">
        <v>369</v>
      </c>
      <c r="E2" s="17" t="s">
        <v>370</v>
      </c>
      <c r="F2" s="17" t="s">
        <v>371</v>
      </c>
      <c r="G2" s="17" t="s">
        <v>372</v>
      </c>
      <c r="H2" s="18" t="s">
        <v>373</v>
      </c>
      <c r="I2" s="14" t="s">
        <v>374</v>
      </c>
      <c r="J2" s="14" t="s">
        <v>375</v>
      </c>
      <c r="K2" s="14" t="s">
        <v>376</v>
      </c>
      <c r="L2" s="14" t="s">
        <v>377</v>
      </c>
      <c r="M2" s="14" t="s">
        <v>378</v>
      </c>
      <c r="N2" s="14" t="s">
        <v>379</v>
      </c>
      <c r="O2" s="18" t="s">
        <v>380</v>
      </c>
      <c r="P2" s="17" t="s">
        <v>381</v>
      </c>
      <c r="Q2" s="17" t="s">
        <v>382</v>
      </c>
      <c r="R2" s="301" t="s">
        <v>383</v>
      </c>
      <c r="S2" s="17" t="s">
        <v>384</v>
      </c>
      <c r="T2" s="17" t="s">
        <v>385</v>
      </c>
      <c r="U2" s="17" t="s">
        <v>386</v>
      </c>
      <c r="V2" s="18" t="s">
        <v>387</v>
      </c>
      <c r="W2" s="14" t="s">
        <v>388</v>
      </c>
      <c r="X2" s="14" t="s">
        <v>389</v>
      </c>
      <c r="Y2" s="14" t="s">
        <v>390</v>
      </c>
      <c r="Z2" s="14" t="s">
        <v>391</v>
      </c>
      <c r="AA2" s="14" t="s">
        <v>392</v>
      </c>
      <c r="AB2" s="14" t="s">
        <v>393</v>
      </c>
      <c r="AC2" s="18" t="s">
        <v>394</v>
      </c>
      <c r="AD2" s="17" t="s">
        <v>395</v>
      </c>
      <c r="AE2" s="17" t="s">
        <v>396</v>
      </c>
      <c r="AF2" s="17" t="s">
        <v>397</v>
      </c>
      <c r="AG2" s="17" t="s">
        <v>398</v>
      </c>
      <c r="AH2" s="17" t="s">
        <v>399</v>
      </c>
      <c r="AI2" s="17" t="s">
        <v>400</v>
      </c>
      <c r="AJ2" s="16"/>
      <c r="AL2" s="15" t="s">
        <v>362</v>
      </c>
      <c r="AM2" s="15" t="s">
        <v>363</v>
      </c>
      <c r="AN2" s="15" t="s">
        <v>364</v>
      </c>
      <c r="AO2" s="15" t="s">
        <v>365</v>
      </c>
      <c r="AP2" s="15" t="s">
        <v>366</v>
      </c>
      <c r="AT2" t="e" cm="1">
        <f t="array" ref="AT2">count</f>
        <v>#NAME?</v>
      </c>
    </row>
    <row r="3" spans="1:46" x14ac:dyDescent="0.35">
      <c r="A3" s="14" t="s">
        <v>163</v>
      </c>
      <c r="B3" s="9">
        <f>COUNTIF('TT '!$D$4:$D$31,TALLY!A3)</f>
        <v>0</v>
      </c>
      <c r="C3" s="9">
        <f>COUNTIF('TT '!$D$38:$D$49,TALLY!A3)</f>
        <v>0</v>
      </c>
      <c r="D3" s="9">
        <f>COUNTIF('TT '!$D$56:$D$78,TALLY!A3)</f>
        <v>0</v>
      </c>
      <c r="E3" s="9">
        <f>COUNTIF('TT '!$D$85:$D$105,TALLY!A3)</f>
        <v>1</v>
      </c>
      <c r="F3" s="9">
        <f>COUNTIF('TT '!$D$112:$D$126,TALLY!A3)</f>
        <v>0</v>
      </c>
      <c r="G3" s="9">
        <f>COUNTIF('TT '!$D$133:$D$147,TALLY!A3)</f>
        <v>0</v>
      </c>
      <c r="H3" s="9">
        <f>COUNTIF('TT '!$D$4:$D$31,TALLY!G3)</f>
        <v>0</v>
      </c>
      <c r="I3" s="11">
        <f>COUNTIF('TT '!$D$154:$D$173,TALLY!A3)</f>
        <v>0</v>
      </c>
      <c r="J3" s="11">
        <f>COUNTIF('TT '!$D$180:$D$197,TALLY!A3)</f>
        <v>1</v>
      </c>
      <c r="K3" s="11">
        <f>COUNTIF('TT '!$D$204:$D$216,TALLY!A3)</f>
        <v>0</v>
      </c>
      <c r="L3" s="11">
        <f>COUNTIF('TT '!$D$223:$D$235,TALLY!A3)</f>
        <v>0</v>
      </c>
      <c r="M3" s="11">
        <f>COUNTIF('TT '!$D$242:$D$257,TALLY!A3)</f>
        <v>1</v>
      </c>
      <c r="N3" s="11">
        <f>COUNTIF('TT '!$D$264:$D$276,TALLY!A3)</f>
        <v>0</v>
      </c>
      <c r="O3" s="8" t="e">
        <f>COUNTIF([8]TT!$D$36:$D$41,$A3)</f>
        <v>#VALUE!</v>
      </c>
      <c r="P3" s="12">
        <f>COUNTIF('TT '!$D$283:$D$294,TALLY!A3)</f>
        <v>1</v>
      </c>
      <c r="Q3" s="12">
        <f>COUNTIF('TT '!$D$301:$D$317,TALLY!A3)</f>
        <v>0</v>
      </c>
      <c r="R3" s="302">
        <f>COUNTIF('TT '!$D$324:$D$339,TALLY!A3)</f>
        <v>0</v>
      </c>
      <c r="S3" s="12">
        <f>COUNTIF('TT '!$D$346:$D$362,TALLY!A3)</f>
        <v>0</v>
      </c>
      <c r="T3" s="12">
        <f>COUNTIF('TT '!$D$369:$D$383,TALLY!A3)</f>
        <v>0</v>
      </c>
      <c r="U3" s="12">
        <f>COUNTIF('TT '!$D$390:$D$409,TALLY!A3)</f>
        <v>0</v>
      </c>
      <c r="V3" s="8" t="e">
        <f>COUNTIF([8]TT!$D$36:$D$41,$A3)</f>
        <v>#VALUE!</v>
      </c>
      <c r="W3" s="11">
        <f>COUNTIF('TT '!$D$416:$D$429,TALLY!A3)</f>
        <v>0</v>
      </c>
      <c r="X3" s="11">
        <f>COUNTIF('TT '!$D$436:$D$449,TALLY!A3)</f>
        <v>0</v>
      </c>
      <c r="Y3" s="11">
        <f>COUNTIF('TT '!$D$456:$D$474,TALLY!A3)</f>
        <v>0</v>
      </c>
      <c r="Z3" s="11">
        <f>COUNTIF('TT '!$D$481:$D$495,TALLY!A3)</f>
        <v>1</v>
      </c>
      <c r="AA3" s="11">
        <f>COUNTIF('TT '!$D$502:$D$519,TALLY!A3)</f>
        <v>0</v>
      </c>
      <c r="AB3" s="10">
        <f>COUNTIF('TT '!$D$526:$D$540,TALLY!A3)</f>
        <v>0</v>
      </c>
      <c r="AC3" s="8" t="e">
        <f>COUNTIF([8]TT!$D$36:$D$41,$A3)</f>
        <v>#VALUE!</v>
      </c>
      <c r="AD3" s="9">
        <f>COUNTIF('TT '!$D$547:$D$556,TALLY!A3)</f>
        <v>0</v>
      </c>
      <c r="AE3" s="9">
        <f>COUNTIF('TT '!$D$563:$D$577,TALLY!A3)</f>
        <v>0</v>
      </c>
      <c r="AF3" s="9">
        <f>COUNTIF('TT '!$D$584:$D$598,TALLY!A3)</f>
        <v>0</v>
      </c>
      <c r="AG3" s="9">
        <f>COUNTIF('TT '!$D$605:$D$617,TALLY!A3)</f>
        <v>0</v>
      </c>
      <c r="AH3" s="9">
        <f>COUNTIF('TT '!$D$624:$D$636,TALLY!A3)</f>
        <v>1</v>
      </c>
      <c r="AI3" s="9">
        <f>COUNTIF('TT '!$D$643:$D$654,TALLY!A3)</f>
        <v>0</v>
      </c>
      <c r="AJ3" s="8" t="e">
        <f>COUNTIF([8]TT!$D$36:$D$41,$A3)</f>
        <v>#VALUE!</v>
      </c>
      <c r="AK3" s="265" t="str">
        <f>CONCATENATE(B3,C3,D3,E3,F3,G3,I3,J3,K3,L3,M3,N3,P3,Q3,R3,S3,T3,U3,W3,X3,Y3,Z3,AA3,AB3,AD3,AE3,AF3,AG3,AH3,AI3)</f>
        <v>000100010010100000000100000010</v>
      </c>
      <c r="AL3" s="1">
        <f t="shared" ref="AL3:AL66" si="0">SUM(B3:G3)</f>
        <v>1</v>
      </c>
      <c r="AM3" s="1">
        <f t="shared" ref="AM3:AM66" si="1">SUM(I3:N3)</f>
        <v>2</v>
      </c>
      <c r="AN3" s="1">
        <f t="shared" ref="AN3:AN66" si="2">SUM(P3:U3)</f>
        <v>1</v>
      </c>
      <c r="AO3" s="1">
        <f t="shared" ref="AO3:AO66" si="3">SUM(W3:AB3)</f>
        <v>1</v>
      </c>
      <c r="AP3" s="1">
        <f t="shared" ref="AP3:AP66" si="4">SUM(AD3:AI3)</f>
        <v>1</v>
      </c>
    </row>
    <row r="4" spans="1:46" x14ac:dyDescent="0.35">
      <c r="A4" s="14" t="s">
        <v>40</v>
      </c>
      <c r="B4" s="9">
        <f>COUNTIF('TT '!$D$4:$D$31,TALLY!A4)</f>
        <v>0</v>
      </c>
      <c r="C4" s="9">
        <f>COUNTIF('TT '!$D$38:$D$49,TALLY!A4)</f>
        <v>0</v>
      </c>
      <c r="D4" s="9">
        <f>COUNTIF('TT '!$D$56:$D$78,TALLY!A4)</f>
        <v>1</v>
      </c>
      <c r="E4" s="9">
        <f>COUNTIF('TT '!$D$85:$D$105,TALLY!A4)</f>
        <v>0</v>
      </c>
      <c r="F4" s="9">
        <f>COUNTIF('TT '!$D$112:$D$126,TALLY!A4)</f>
        <v>1</v>
      </c>
      <c r="G4" s="9">
        <f>COUNTIF('TT '!$D$133:$D$147,TALLY!A4)</f>
        <v>0</v>
      </c>
      <c r="H4" s="9">
        <f>COUNTIF('TT '!$D$4:$D$31,TALLY!G4)</f>
        <v>0</v>
      </c>
      <c r="I4" s="11">
        <f>COUNTIF('TT '!$D$154:$D$173,TALLY!A4)</f>
        <v>0</v>
      </c>
      <c r="J4" s="11">
        <f>COUNTIF('TT '!$D$180:$D$197,TALLY!A4)</f>
        <v>1</v>
      </c>
      <c r="K4" s="11">
        <f>COUNTIF('TT '!$D$204:$D$216,TALLY!A4)</f>
        <v>0</v>
      </c>
      <c r="L4" s="11">
        <f>COUNTIF('TT '!$D$223:$D$235,TALLY!A4)</f>
        <v>0</v>
      </c>
      <c r="M4" s="11">
        <f>COUNTIF('TT '!$D$242:$D$257,TALLY!A4)</f>
        <v>1</v>
      </c>
      <c r="N4" s="11">
        <f>COUNTIF('TT '!$D$264:$D$276,TALLY!A4)</f>
        <v>0</v>
      </c>
      <c r="O4" s="8" t="e">
        <f>COUNTIF([8]TT!$D$36:$D$41,$A4)</f>
        <v>#VALUE!</v>
      </c>
      <c r="P4" s="12">
        <f>COUNTIF('TT '!$D$283:$D$294,TALLY!A4)</f>
        <v>0</v>
      </c>
      <c r="Q4" s="12">
        <f>COUNTIF('TT '!$D$301:$D$317,TALLY!A4)</f>
        <v>1</v>
      </c>
      <c r="R4" s="302">
        <f>COUNTIF('TT '!$D$324:$D$339,TALLY!A4)</f>
        <v>0</v>
      </c>
      <c r="S4" s="12">
        <f>COUNTIF('TT '!$D$346:$D$362,TALLY!A4)</f>
        <v>0</v>
      </c>
      <c r="T4" s="12">
        <f>COUNTIF('TT '!$D$369:$D$383,TALLY!A4)</f>
        <v>0</v>
      </c>
      <c r="U4" s="12">
        <f>COUNTIF('TT '!$D$390:$D$409,TALLY!A4)</f>
        <v>0</v>
      </c>
      <c r="V4" s="8" t="e">
        <f>COUNTIF([8]TT!$D$36:$D$41,$A4)</f>
        <v>#VALUE!</v>
      </c>
      <c r="W4" s="11">
        <f>COUNTIF('TT '!$D$416:$D$429,TALLY!A4)</f>
        <v>0</v>
      </c>
      <c r="X4" s="11">
        <f>COUNTIF('TT '!$D$436:$D$449,TALLY!A4)</f>
        <v>0</v>
      </c>
      <c r="Y4" s="11">
        <f>COUNTIF('TT '!$D$456:$D$474,TALLY!A4)</f>
        <v>0</v>
      </c>
      <c r="Z4" s="11">
        <f>COUNTIF('TT '!$D$481:$D$495,TALLY!A4)</f>
        <v>1</v>
      </c>
      <c r="AA4" s="11">
        <f>COUNTIF('TT '!$D$502:$D$519,TALLY!A4)</f>
        <v>0</v>
      </c>
      <c r="AB4" s="10">
        <f>COUNTIF('TT '!$D$526:$D$540,TALLY!A4)</f>
        <v>0</v>
      </c>
      <c r="AC4" s="8" t="e">
        <f>COUNTIF([8]TT!$D$36:$D$41,$A4)</f>
        <v>#VALUE!</v>
      </c>
      <c r="AD4" s="9">
        <f>COUNTIF('TT '!$D$547:$D$556,TALLY!A4)</f>
        <v>1</v>
      </c>
      <c r="AE4" s="9">
        <f>COUNTIF('TT '!$D$563:$D$577,TALLY!A4)</f>
        <v>0</v>
      </c>
      <c r="AF4" s="9">
        <f>COUNTIF('TT '!$D$584:$D$598,TALLY!A4)</f>
        <v>0</v>
      </c>
      <c r="AG4" s="9">
        <f>COUNTIF('TT '!$D$605:$D$617,TALLY!A4)</f>
        <v>0</v>
      </c>
      <c r="AH4" s="9">
        <f>COUNTIF('TT '!$D$624:$D$636,TALLY!A4)</f>
        <v>0</v>
      </c>
      <c r="AI4" s="9">
        <f>COUNTIF('TT '!$D$643:$D$654,TALLY!A4)</f>
        <v>0</v>
      </c>
      <c r="AJ4" s="8" t="e">
        <f>COUNTIF([8]TT!$D$36:$D$41,$A4)</f>
        <v>#VALUE!</v>
      </c>
      <c r="AK4" s="265" t="str">
        <f t="shared" ref="AK4:AK34" si="5">CONCATENATE(B4,C4,D4,E4,F4,G4,I4,J4,K4,L4,M4,N4,P4,Q4,R4,S4,T4,U4,W4,X4,Y4,Z4,AA4,AB4,AD4,AE4,AF4,AG4,AH4,AI4)</f>
        <v>001010010010010000000100100000</v>
      </c>
      <c r="AL4" s="1">
        <f t="shared" si="0"/>
        <v>2</v>
      </c>
      <c r="AM4" s="1">
        <f t="shared" si="1"/>
        <v>2</v>
      </c>
      <c r="AN4" s="1">
        <f t="shared" si="2"/>
        <v>1</v>
      </c>
      <c r="AO4" s="1">
        <f t="shared" si="3"/>
        <v>1</v>
      </c>
      <c r="AP4" s="1">
        <f t="shared" si="4"/>
        <v>1</v>
      </c>
    </row>
    <row r="5" spans="1:46" x14ac:dyDescent="0.35">
      <c r="A5" s="14" t="s">
        <v>166</v>
      </c>
      <c r="B5" s="9">
        <f>COUNTIF('TT '!$D$4:$D$31,TALLY!A5)</f>
        <v>0</v>
      </c>
      <c r="C5" s="9">
        <f>COUNTIF('TT '!$D$38:$D$49,TALLY!A5)</f>
        <v>0</v>
      </c>
      <c r="D5" s="9">
        <f>COUNTIF('TT '!$D$56:$D$78,TALLY!A5)</f>
        <v>1</v>
      </c>
      <c r="E5" s="9">
        <f>COUNTIF('TT '!$D$85:$D$105,TALLY!A5)</f>
        <v>0</v>
      </c>
      <c r="F5" s="9">
        <f>COUNTIF('TT '!$D$112:$D$126,TALLY!A5)</f>
        <v>0</v>
      </c>
      <c r="G5" s="9">
        <f>COUNTIF('TT '!$D$133:$D$147,TALLY!A5)</f>
        <v>0</v>
      </c>
      <c r="H5" s="9">
        <f>COUNTIF('TT '!$D$4:$D$31,TALLY!G5)</f>
        <v>0</v>
      </c>
      <c r="I5" s="11">
        <f>COUNTIF('TT '!$D$154:$D$173,TALLY!A5)</f>
        <v>0</v>
      </c>
      <c r="J5" s="11">
        <f>COUNTIF('TT '!$D$180:$D$197,TALLY!A5)</f>
        <v>1</v>
      </c>
      <c r="K5" s="11">
        <f>COUNTIF('TT '!$D$204:$D$216,TALLY!A5)</f>
        <v>0</v>
      </c>
      <c r="L5" s="11">
        <f>COUNTIF('TT '!$D$223:$D$235,TALLY!A5)</f>
        <v>0</v>
      </c>
      <c r="M5" s="11">
        <f>COUNTIF('TT '!$D$242:$D$257,TALLY!A5)</f>
        <v>0</v>
      </c>
      <c r="N5" s="11">
        <f>COUNTIF('TT '!$D$264:$D$276,TALLY!A5)</f>
        <v>0</v>
      </c>
      <c r="O5" s="8" t="e">
        <f>COUNTIF([8]TT!$D$36:$D$41,$A5)</f>
        <v>#VALUE!</v>
      </c>
      <c r="P5" s="12">
        <f>COUNTIF('TT '!$D$283:$D$294,TALLY!A5)</f>
        <v>0</v>
      </c>
      <c r="Q5" s="12">
        <f>COUNTIF('TT '!$D$301:$D$317,TALLY!A5)</f>
        <v>0</v>
      </c>
      <c r="R5" s="302">
        <f>COUNTIF('TT '!$D$324:$D$339,TALLY!A5)</f>
        <v>1</v>
      </c>
      <c r="S5" s="12">
        <f>COUNTIF('TT '!$D$346:$D$362,TALLY!A5)</f>
        <v>0</v>
      </c>
      <c r="T5" s="12">
        <f>COUNTIF('TT '!$D$369:$D$383,TALLY!A5)</f>
        <v>0</v>
      </c>
      <c r="U5" s="12">
        <f>COUNTIF('TT '!$D$390:$D$409,TALLY!A5)</f>
        <v>1</v>
      </c>
      <c r="V5" s="8" t="e">
        <f>COUNTIF([8]TT!$D$36:$D$41,$A5)</f>
        <v>#VALUE!</v>
      </c>
      <c r="W5" s="11">
        <f>COUNTIF('TT '!$D$416:$D$429,TALLY!A5)</f>
        <v>0</v>
      </c>
      <c r="X5" s="11">
        <f>COUNTIF('TT '!$D$436:$D$449,TALLY!A5)</f>
        <v>0</v>
      </c>
      <c r="Y5" s="11">
        <f>COUNTIF('TT '!$D$456:$D$474,TALLY!A5)</f>
        <v>0</v>
      </c>
      <c r="Z5" s="11">
        <f>COUNTIF('TT '!$D$481:$D$495,TALLY!A5)</f>
        <v>1</v>
      </c>
      <c r="AA5" s="11">
        <f>COUNTIF('TT '!$D$502:$D$519,TALLY!A5)</f>
        <v>0</v>
      </c>
      <c r="AB5" s="10">
        <f>COUNTIF('TT '!$D$526:$D$540,TALLY!A5)</f>
        <v>0</v>
      </c>
      <c r="AC5" s="8" t="e">
        <f>COUNTIF([8]TT!$D$36:$D$41,$A5)</f>
        <v>#VALUE!</v>
      </c>
      <c r="AD5" s="9">
        <f>COUNTIF('TT '!$D$547:$D$556,TALLY!A5)</f>
        <v>0</v>
      </c>
      <c r="AE5" s="9">
        <f>COUNTIF('TT '!$D$563:$D$577,TALLY!A5)</f>
        <v>0</v>
      </c>
      <c r="AF5" s="9">
        <f>COUNTIF('TT '!$D$584:$D$598,TALLY!A5)</f>
        <v>0</v>
      </c>
      <c r="AG5" s="9">
        <f>COUNTIF('TT '!$D$605:$D$617,TALLY!A5)</f>
        <v>0</v>
      </c>
      <c r="AH5" s="9">
        <f>COUNTIF('TT '!$D$624:$D$636,TALLY!A5)</f>
        <v>0</v>
      </c>
      <c r="AI5" s="9">
        <f>COUNTIF('TT '!$D$643:$D$654,TALLY!A5)</f>
        <v>0</v>
      </c>
      <c r="AJ5" s="8" t="e">
        <f>COUNTIF([8]TT!$D$36:$D$41,$A5)</f>
        <v>#VALUE!</v>
      </c>
      <c r="AK5" s="265" t="str">
        <f t="shared" si="5"/>
        <v>001000010000001001000100000000</v>
      </c>
      <c r="AL5" s="1">
        <f t="shared" si="0"/>
        <v>1</v>
      </c>
      <c r="AM5" s="1">
        <f t="shared" si="1"/>
        <v>1</v>
      </c>
      <c r="AN5" s="1">
        <f t="shared" si="2"/>
        <v>2</v>
      </c>
      <c r="AO5" s="1">
        <f t="shared" si="3"/>
        <v>1</v>
      </c>
      <c r="AP5" s="1">
        <f t="shared" si="4"/>
        <v>0</v>
      </c>
    </row>
    <row r="6" spans="1:46" x14ac:dyDescent="0.35">
      <c r="A6" s="14" t="s">
        <v>162</v>
      </c>
      <c r="B6" s="9">
        <f>COUNTIF('TT '!$D$4:$D$31,TALLY!A6)</f>
        <v>1</v>
      </c>
      <c r="C6" s="9">
        <f>COUNTIF('TT '!$D$38:$D$49,TALLY!A6)</f>
        <v>0</v>
      </c>
      <c r="D6" s="9">
        <f>COUNTIF('TT '!$D$56:$D$78,TALLY!A6)</f>
        <v>0</v>
      </c>
      <c r="E6" s="9">
        <f>COUNTIF('TT '!$D$85:$D$105,TALLY!A6)</f>
        <v>1</v>
      </c>
      <c r="F6" s="9">
        <f>COUNTIF('TT '!$D$112:$D$126,TALLY!A6)</f>
        <v>0</v>
      </c>
      <c r="G6" s="9">
        <f>COUNTIF('TT '!$D$133:$D$147,TALLY!A6)</f>
        <v>0</v>
      </c>
      <c r="H6" s="9">
        <f>COUNTIF('TT '!$D$4:$D$31,TALLY!G6)</f>
        <v>0</v>
      </c>
      <c r="I6" s="11">
        <f>COUNTIF('TT '!$D$154:$D$173,TALLY!A6)</f>
        <v>0</v>
      </c>
      <c r="J6" s="11">
        <f>COUNTIF('TT '!$D$180:$D$197,TALLY!A6)</f>
        <v>1</v>
      </c>
      <c r="K6" s="11">
        <f>COUNTIF('TT '!$D$204:$D$216,TALLY!A6)</f>
        <v>0</v>
      </c>
      <c r="L6" s="11">
        <f>COUNTIF('TT '!$D$223:$D$235,TALLY!A6)</f>
        <v>0</v>
      </c>
      <c r="M6" s="11">
        <f>COUNTIF('TT '!$D$242:$D$257,TALLY!A6)</f>
        <v>0</v>
      </c>
      <c r="N6" s="11">
        <f>COUNTIF('TT '!$D$264:$D$276,TALLY!A6)</f>
        <v>0</v>
      </c>
      <c r="O6" s="8" t="e">
        <f>COUNTIF([8]TT!$D$36:$D$41,$A6)</f>
        <v>#VALUE!</v>
      </c>
      <c r="P6" s="12">
        <f>COUNTIF('TT '!$D$283:$D$294,TALLY!A6)</f>
        <v>0</v>
      </c>
      <c r="Q6" s="12">
        <f>COUNTIF('TT '!$D$301:$D$317,TALLY!A6)</f>
        <v>1</v>
      </c>
      <c r="R6" s="302">
        <f>COUNTIF('TT '!$D$324:$D$339,TALLY!A6)</f>
        <v>0</v>
      </c>
      <c r="S6" s="12">
        <f>COUNTIF('TT '!$D$346:$D$362,TALLY!A6)</f>
        <v>0</v>
      </c>
      <c r="T6" s="12">
        <f>COUNTIF('TT '!$D$369:$D$383,TALLY!A6)</f>
        <v>0</v>
      </c>
      <c r="U6" s="12">
        <f>COUNTIF('TT '!$D$390:$D$409,TALLY!A6)</f>
        <v>0</v>
      </c>
      <c r="V6" s="8" t="e">
        <f>COUNTIF([8]TT!$D$36:$D$41,$A6)</f>
        <v>#VALUE!</v>
      </c>
      <c r="W6" s="11">
        <f>COUNTIF('TT '!$D$416:$D$429,TALLY!A6)</f>
        <v>0</v>
      </c>
      <c r="X6" s="11">
        <f>COUNTIF('TT '!$D$436:$D$449,TALLY!A6)</f>
        <v>0</v>
      </c>
      <c r="Y6" s="11">
        <f>COUNTIF('TT '!$D$456:$D$474,TALLY!A6)</f>
        <v>0</v>
      </c>
      <c r="Z6" s="11">
        <f>COUNTIF('TT '!$D$481:$D$495,TALLY!A6)</f>
        <v>1</v>
      </c>
      <c r="AA6" s="11">
        <f>COUNTIF('TT '!$D$502:$D$519,TALLY!A6)</f>
        <v>0</v>
      </c>
      <c r="AB6" s="10">
        <f>COUNTIF('TT '!$D$526:$D$540,TALLY!A6)</f>
        <v>0</v>
      </c>
      <c r="AC6" s="8" t="e">
        <f>COUNTIF([8]TT!$D$36:$D$41,$A6)</f>
        <v>#VALUE!</v>
      </c>
      <c r="AD6" s="9">
        <f>COUNTIF('TT '!$D$547:$D$556,TALLY!A6)</f>
        <v>0</v>
      </c>
      <c r="AE6" s="9">
        <f>COUNTIF('TT '!$D$563:$D$577,TALLY!A6)</f>
        <v>0</v>
      </c>
      <c r="AF6" s="9">
        <f>COUNTIF('TT '!$D$584:$D$598,TALLY!A6)</f>
        <v>1</v>
      </c>
      <c r="AG6" s="9">
        <f>COUNTIF('TT '!$D$605:$D$617,TALLY!A6)</f>
        <v>0</v>
      </c>
      <c r="AH6" s="9">
        <f>COUNTIF('TT '!$D$624:$D$636,TALLY!A6)</f>
        <v>0</v>
      </c>
      <c r="AI6" s="9">
        <f>COUNTIF('TT '!$D$643:$D$654,TALLY!A6)</f>
        <v>0</v>
      </c>
      <c r="AJ6" s="8" t="e">
        <f>COUNTIF([8]TT!$D$36:$D$41,$A6)</f>
        <v>#VALUE!</v>
      </c>
      <c r="AK6" s="265" t="str">
        <f t="shared" si="5"/>
        <v>100100010000010000000100001000</v>
      </c>
      <c r="AL6" s="1">
        <f t="shared" si="0"/>
        <v>2</v>
      </c>
      <c r="AM6" s="1">
        <f t="shared" si="1"/>
        <v>1</v>
      </c>
      <c r="AN6" s="1">
        <f t="shared" si="2"/>
        <v>1</v>
      </c>
      <c r="AO6" s="1">
        <f t="shared" si="3"/>
        <v>1</v>
      </c>
      <c r="AP6" s="1">
        <f t="shared" si="4"/>
        <v>1</v>
      </c>
    </row>
    <row r="7" spans="1:46" x14ac:dyDescent="0.35">
      <c r="A7" s="14" t="s">
        <v>165</v>
      </c>
      <c r="B7" s="9">
        <f>COUNTIF('TT '!$D$4:$D$31,TALLY!A7)</f>
        <v>0</v>
      </c>
      <c r="C7" s="9">
        <f>COUNTIF('TT '!$D$38:$D$49,TALLY!A7)</f>
        <v>0</v>
      </c>
      <c r="D7" s="9">
        <f>COUNTIF('TT '!$D$56:$D$78,TALLY!A7)</f>
        <v>1</v>
      </c>
      <c r="E7" s="9">
        <f>COUNTIF('TT '!$D$85:$D$105,TALLY!A7)</f>
        <v>0</v>
      </c>
      <c r="F7" s="9">
        <f>COUNTIF('TT '!$D$112:$D$126,TALLY!A7)</f>
        <v>0</v>
      </c>
      <c r="G7" s="9">
        <f>COUNTIF('TT '!$D$133:$D$147,TALLY!A7)</f>
        <v>0</v>
      </c>
      <c r="H7" s="9">
        <f>COUNTIF('TT '!$D$4:$D$31,TALLY!G7)</f>
        <v>0</v>
      </c>
      <c r="I7" s="11">
        <f>COUNTIF('TT '!$D$154:$D$173,TALLY!A7)</f>
        <v>0</v>
      </c>
      <c r="J7" s="11">
        <f>COUNTIF('TT '!$D$180:$D$197,TALLY!A7)</f>
        <v>1</v>
      </c>
      <c r="K7" s="11">
        <f>COUNTIF('TT '!$D$204:$D$216,TALLY!A7)</f>
        <v>0</v>
      </c>
      <c r="L7" s="11">
        <f>COUNTIF('TT '!$D$223:$D$235,TALLY!A7)</f>
        <v>0</v>
      </c>
      <c r="M7" s="11">
        <f>COUNTIF('TT '!$D$242:$D$257,TALLY!A7)</f>
        <v>0</v>
      </c>
      <c r="N7" s="11">
        <f>COUNTIF('TT '!$D$264:$D$276,TALLY!A7)</f>
        <v>1</v>
      </c>
      <c r="O7" s="8" t="e">
        <f>COUNTIF([8]TT!$D$36:$D$41,$A7)</f>
        <v>#VALUE!</v>
      </c>
      <c r="P7" s="12">
        <f>COUNTIF('TT '!$D$283:$D$294,TALLY!A7)</f>
        <v>0</v>
      </c>
      <c r="Q7" s="12">
        <f>COUNTIF('TT '!$D$301:$D$317,TALLY!A7)</f>
        <v>1</v>
      </c>
      <c r="R7" s="302">
        <f>COUNTIF('TT '!$D$324:$D$339,TALLY!A7)</f>
        <v>0</v>
      </c>
      <c r="S7" s="12">
        <f>COUNTIF('TT '!$D$346:$D$362,TALLY!A7)</f>
        <v>0</v>
      </c>
      <c r="T7" s="12">
        <f>COUNTIF('TT '!$D$369:$D$383,TALLY!A7)</f>
        <v>0</v>
      </c>
      <c r="U7" s="12">
        <f>COUNTIF('TT '!$D$390:$D$409,TALLY!A7)</f>
        <v>1</v>
      </c>
      <c r="V7" s="8" t="e">
        <f>COUNTIF([8]TT!$D$36:$D$41,$A7)</f>
        <v>#VALUE!</v>
      </c>
      <c r="W7" s="11">
        <f>COUNTIF('TT '!$D$416:$D$429,TALLY!A7)</f>
        <v>0</v>
      </c>
      <c r="X7" s="11">
        <f>COUNTIF('TT '!$D$436:$D$449,TALLY!A7)</f>
        <v>1</v>
      </c>
      <c r="Y7" s="11">
        <f>COUNTIF('TT '!$D$456:$D$474,TALLY!A7)</f>
        <v>0</v>
      </c>
      <c r="Z7" s="11">
        <f>COUNTIF('TT '!$D$481:$D$495,TALLY!A7)</f>
        <v>0</v>
      </c>
      <c r="AA7" s="11">
        <f>COUNTIF('TT '!$D$502:$D$519,TALLY!A7)</f>
        <v>0</v>
      </c>
      <c r="AB7" s="10">
        <f>COUNTIF('TT '!$D$526:$D$540,TALLY!A7)</f>
        <v>1</v>
      </c>
      <c r="AC7" s="8" t="e">
        <f>COUNTIF([8]TT!$D$36:$D$41,$A7)</f>
        <v>#VALUE!</v>
      </c>
      <c r="AD7" s="9">
        <f>COUNTIF('TT '!$D$547:$D$556,TALLY!A7)</f>
        <v>0</v>
      </c>
      <c r="AE7" s="9">
        <f>COUNTIF('TT '!$D$563:$D$577,TALLY!A7)</f>
        <v>1</v>
      </c>
      <c r="AF7" s="9">
        <f>COUNTIF('TT '!$D$584:$D$598,TALLY!A7)</f>
        <v>0</v>
      </c>
      <c r="AG7" s="9">
        <f>COUNTIF('TT '!$D$605:$D$617,TALLY!A7)</f>
        <v>0</v>
      </c>
      <c r="AH7" s="9">
        <f>COUNTIF('TT '!$D$624:$D$636,TALLY!A7)</f>
        <v>1</v>
      </c>
      <c r="AI7" s="9">
        <f>COUNTIF('TT '!$D$643:$D$654,TALLY!A7)</f>
        <v>0</v>
      </c>
      <c r="AJ7" s="8" t="e">
        <f>COUNTIF([8]TT!$D$36:$D$41,$A7)</f>
        <v>#VALUE!</v>
      </c>
      <c r="AK7" s="265" t="str">
        <f t="shared" si="5"/>
        <v>001000010001010001010001010010</v>
      </c>
      <c r="AL7" s="1">
        <f t="shared" si="0"/>
        <v>1</v>
      </c>
      <c r="AM7" s="1">
        <f t="shared" si="1"/>
        <v>2</v>
      </c>
      <c r="AN7" s="1">
        <f t="shared" si="2"/>
        <v>2</v>
      </c>
      <c r="AO7" s="1">
        <f t="shared" si="3"/>
        <v>2</v>
      </c>
      <c r="AP7" s="1">
        <f t="shared" si="4"/>
        <v>2</v>
      </c>
    </row>
    <row r="8" spans="1:46" x14ac:dyDescent="0.35">
      <c r="A8" s="14" t="s">
        <v>103</v>
      </c>
      <c r="B8" s="9">
        <f>COUNTIF('TT '!$D$4:$D$31,TALLY!A8)</f>
        <v>0</v>
      </c>
      <c r="C8" s="9">
        <f>COUNTIF('TT '!$D$38:$D$49,TALLY!A8)</f>
        <v>0</v>
      </c>
      <c r="D8" s="9">
        <f>COUNTIF('TT '!$D$56:$D$78,TALLY!A8)</f>
        <v>0</v>
      </c>
      <c r="E8" s="9">
        <f>COUNTIF('TT '!$D$85:$D$105,TALLY!A8)</f>
        <v>1</v>
      </c>
      <c r="F8" s="9">
        <f>COUNTIF('TT '!$D$112:$D$126,TALLY!A8)</f>
        <v>0</v>
      </c>
      <c r="G8" s="9">
        <f>COUNTIF('TT '!$D$133:$D$147,TALLY!A8)</f>
        <v>0</v>
      </c>
      <c r="H8" s="9">
        <f>COUNTIF('TT '!$D$4:$D$31,TALLY!G8)</f>
        <v>0</v>
      </c>
      <c r="I8" s="11">
        <f>COUNTIF('TT '!$D$154:$D$173,TALLY!A8)</f>
        <v>0</v>
      </c>
      <c r="J8" s="11">
        <f>COUNTIF('TT '!$D$180:$D$197,TALLY!A8)</f>
        <v>1</v>
      </c>
      <c r="K8" s="11">
        <f>COUNTIF('TT '!$D$204:$D$216,TALLY!A8)</f>
        <v>0</v>
      </c>
      <c r="L8" s="11">
        <f>COUNTIF('TT '!$D$223:$D$235,TALLY!A8)</f>
        <v>0</v>
      </c>
      <c r="M8" s="11">
        <f>COUNTIF('TT '!$D$242:$D$257,TALLY!A8)</f>
        <v>1</v>
      </c>
      <c r="N8" s="11">
        <f>COUNTIF('TT '!$D$264:$D$276,TALLY!A8)</f>
        <v>0</v>
      </c>
      <c r="O8" s="8" t="e">
        <f>COUNTIF([8]TT!$D$36:$D$41,$A8)</f>
        <v>#VALUE!</v>
      </c>
      <c r="P8" s="12">
        <f>COUNTIF('TT '!$D$283:$D$294,TALLY!A8)</f>
        <v>0</v>
      </c>
      <c r="Q8" s="12">
        <f>COUNTIF('TT '!$D$301:$D$317,TALLY!A8)</f>
        <v>0</v>
      </c>
      <c r="R8" s="302">
        <f>COUNTIF('TT '!$D$324:$D$339,TALLY!A8)</f>
        <v>0</v>
      </c>
      <c r="S8" s="12">
        <f>COUNTIF('TT '!$D$346:$D$362,TALLY!A8)</f>
        <v>0</v>
      </c>
      <c r="T8" s="12">
        <f>COUNTIF('TT '!$D$369:$D$383,TALLY!A8)</f>
        <v>1</v>
      </c>
      <c r="U8" s="12">
        <f>COUNTIF('TT '!$D$390:$D$409,TALLY!A8)</f>
        <v>0</v>
      </c>
      <c r="V8" s="8" t="e">
        <f>COUNTIF([8]TT!$D$36:$D$41,$A8)</f>
        <v>#VALUE!</v>
      </c>
      <c r="W8" s="11">
        <f>COUNTIF('TT '!$D$416:$D$429,TALLY!A8)</f>
        <v>0</v>
      </c>
      <c r="X8" s="11">
        <f>COUNTIF('TT '!$D$436:$D$449,TALLY!A8)</f>
        <v>0</v>
      </c>
      <c r="Y8" s="11">
        <f>COUNTIF('TT '!$D$456:$D$474,TALLY!A8)</f>
        <v>0</v>
      </c>
      <c r="Z8" s="11">
        <f>COUNTIF('TT '!$D$481:$D$495,TALLY!A8)</f>
        <v>1</v>
      </c>
      <c r="AA8" s="11">
        <f>COUNTIF('TT '!$D$502:$D$519,TALLY!A8)</f>
        <v>0</v>
      </c>
      <c r="AB8" s="10">
        <f>COUNTIF('TT '!$D$526:$D$540,TALLY!A8)</f>
        <v>0</v>
      </c>
      <c r="AC8" s="8" t="e">
        <f>COUNTIF([8]TT!$D$36:$D$41,$A8)</f>
        <v>#VALUE!</v>
      </c>
      <c r="AD8" s="9">
        <f>COUNTIF('TT '!$D$547:$D$556,TALLY!A8)</f>
        <v>0</v>
      </c>
      <c r="AE8" s="9">
        <f>COUNTIF('TT '!$D$563:$D$577,TALLY!A8)</f>
        <v>0</v>
      </c>
      <c r="AF8" s="9">
        <f>COUNTIF('TT '!$D$584:$D$598,TALLY!A8)</f>
        <v>0</v>
      </c>
      <c r="AG8" s="9">
        <f>COUNTIF('TT '!$D$605:$D$617,TALLY!A8)</f>
        <v>0</v>
      </c>
      <c r="AH8" s="9">
        <f>COUNTIF('TT '!$D$624:$D$636,TALLY!A8)</f>
        <v>1</v>
      </c>
      <c r="AI8" s="9">
        <f>COUNTIF('TT '!$D$643:$D$654,TALLY!A8)</f>
        <v>0</v>
      </c>
      <c r="AJ8" s="8" t="e">
        <f>COUNTIF([8]TT!$D$36:$D$41,$A8)</f>
        <v>#VALUE!</v>
      </c>
      <c r="AK8" s="265" t="str">
        <f t="shared" si="5"/>
        <v>000100010010000010000100000010</v>
      </c>
      <c r="AL8" s="1">
        <f t="shared" si="0"/>
        <v>1</v>
      </c>
      <c r="AM8" s="1">
        <f t="shared" si="1"/>
        <v>2</v>
      </c>
      <c r="AN8" s="1">
        <f t="shared" si="2"/>
        <v>1</v>
      </c>
      <c r="AO8" s="1">
        <f t="shared" si="3"/>
        <v>1</v>
      </c>
      <c r="AP8" s="1">
        <f t="shared" si="4"/>
        <v>1</v>
      </c>
    </row>
    <row r="9" spans="1:46" x14ac:dyDescent="0.35">
      <c r="A9" s="14" t="s">
        <v>69</v>
      </c>
      <c r="B9" s="9">
        <f>COUNTIF('TT '!$D$4:$D$31,TALLY!A9)</f>
        <v>0</v>
      </c>
      <c r="C9" s="9">
        <f>COUNTIF('TT '!$D$38:$D$49,TALLY!A9)</f>
        <v>0</v>
      </c>
      <c r="D9" s="9">
        <f>COUNTIF('TT '!$D$56:$D$78,TALLY!A9)</f>
        <v>0</v>
      </c>
      <c r="E9" s="9">
        <f>COUNTIF('TT '!$D$85:$D$105,TALLY!A9)</f>
        <v>1</v>
      </c>
      <c r="F9" s="9">
        <f>COUNTIF('TT '!$D$112:$D$126,TALLY!A9)</f>
        <v>0</v>
      </c>
      <c r="G9" s="9">
        <f>COUNTIF('TT '!$D$133:$D$147,TALLY!A9)</f>
        <v>0</v>
      </c>
      <c r="H9" s="9">
        <f>COUNTIF('TT '!$D$4:$D$31,TALLY!G9)</f>
        <v>0</v>
      </c>
      <c r="I9" s="11">
        <f>COUNTIF('TT '!$D$154:$D$173,TALLY!A9)</f>
        <v>0</v>
      </c>
      <c r="J9" s="11">
        <f>COUNTIF('TT '!$D$180:$D$197,TALLY!A9)</f>
        <v>1</v>
      </c>
      <c r="K9" s="11">
        <f>COUNTIF('TT '!$D$204:$D$216,TALLY!A9)</f>
        <v>0</v>
      </c>
      <c r="L9" s="11">
        <f>COUNTIF('TT '!$D$223:$D$235,TALLY!A9)</f>
        <v>0</v>
      </c>
      <c r="M9" s="11">
        <f>COUNTIF('TT '!$D$242:$D$257,TALLY!A9)</f>
        <v>1</v>
      </c>
      <c r="N9" s="11">
        <f>COUNTIF('TT '!$D$264:$D$276,TALLY!A9)</f>
        <v>0</v>
      </c>
      <c r="O9" s="8" t="e">
        <f>COUNTIF([8]TT!$D$36:$D$41,$A9)</f>
        <v>#VALUE!</v>
      </c>
      <c r="P9" s="12">
        <f>COUNTIF('TT '!$D$283:$D$294,TALLY!A9)</f>
        <v>0</v>
      </c>
      <c r="Q9" s="12">
        <f>COUNTIF('TT '!$D$301:$D$317,TALLY!A9)</f>
        <v>0</v>
      </c>
      <c r="R9" s="302">
        <f>COUNTIF('TT '!$D$324:$D$339,TALLY!A9)</f>
        <v>1</v>
      </c>
      <c r="S9" s="12">
        <f>COUNTIF('TT '!$D$346:$D$362,TALLY!A9)</f>
        <v>0</v>
      </c>
      <c r="T9" s="12">
        <f>COUNTIF('TT '!$D$369:$D$383,TALLY!A9)</f>
        <v>0</v>
      </c>
      <c r="U9" s="12">
        <f>COUNTIF('TT '!$D$390:$D$409,TALLY!A9)</f>
        <v>0</v>
      </c>
      <c r="V9" s="8" t="e">
        <f>COUNTIF([8]TT!$D$36:$D$41,$A9)</f>
        <v>#VALUE!</v>
      </c>
      <c r="W9" s="11">
        <f>COUNTIF('TT '!$D$416:$D$429,TALLY!A9)</f>
        <v>0</v>
      </c>
      <c r="X9" s="11">
        <f>COUNTIF('TT '!$D$436:$D$449,TALLY!A9)</f>
        <v>0</v>
      </c>
      <c r="Y9" s="11">
        <f>COUNTIF('TT '!$D$456:$D$474,TALLY!A9)</f>
        <v>0</v>
      </c>
      <c r="Z9" s="11">
        <f>COUNTIF('TT '!$D$481:$D$495,TALLY!A9)</f>
        <v>1</v>
      </c>
      <c r="AA9" s="11">
        <f>COUNTIF('TT '!$D$502:$D$519,TALLY!A9)</f>
        <v>0</v>
      </c>
      <c r="AB9" s="10">
        <f>COUNTIF('TT '!$D$526:$D$540,TALLY!A9)</f>
        <v>0</v>
      </c>
      <c r="AC9" s="8" t="e">
        <f>COUNTIF([8]TT!$D$36:$D$41,$A9)</f>
        <v>#VALUE!</v>
      </c>
      <c r="AD9" s="9">
        <f>COUNTIF('TT '!$D$547:$D$556,TALLY!A9)</f>
        <v>0</v>
      </c>
      <c r="AE9" s="9">
        <f>COUNTIF('TT '!$D$563:$D$577,TALLY!A9)</f>
        <v>0</v>
      </c>
      <c r="AF9" s="9">
        <f>COUNTIF('TT '!$D$584:$D$598,TALLY!A9)</f>
        <v>0</v>
      </c>
      <c r="AG9" s="9">
        <f>COUNTIF('TT '!$D$605:$D$617,TALLY!A9)</f>
        <v>0</v>
      </c>
      <c r="AH9" s="9">
        <f>COUNTIF('TT '!$D$624:$D$636,TALLY!A9)</f>
        <v>0</v>
      </c>
      <c r="AI9" s="9">
        <f>COUNTIF('TT '!$D$643:$D$654,TALLY!A9)</f>
        <v>1</v>
      </c>
      <c r="AJ9" s="8" t="e">
        <f>COUNTIF([8]TT!$D$36:$D$41,$A9)</f>
        <v>#VALUE!</v>
      </c>
      <c r="AK9" s="265" t="str">
        <f t="shared" si="5"/>
        <v>000100010010001000000100000001</v>
      </c>
      <c r="AL9" s="1">
        <f t="shared" si="0"/>
        <v>1</v>
      </c>
      <c r="AM9" s="1">
        <f t="shared" si="1"/>
        <v>2</v>
      </c>
      <c r="AN9" s="1">
        <f t="shared" si="2"/>
        <v>1</v>
      </c>
      <c r="AO9" s="1">
        <f t="shared" si="3"/>
        <v>1</v>
      </c>
      <c r="AP9" s="1">
        <f t="shared" si="4"/>
        <v>1</v>
      </c>
    </row>
    <row r="10" spans="1:46" x14ac:dyDescent="0.35">
      <c r="A10" s="14" t="s">
        <v>58</v>
      </c>
      <c r="B10" s="9">
        <f>COUNTIF('TT '!$D$4:$D$31,TALLY!A10)</f>
        <v>1</v>
      </c>
      <c r="C10" s="9">
        <f>COUNTIF('TT '!$D$38:$D$49,TALLY!A10)</f>
        <v>0</v>
      </c>
      <c r="D10" s="9">
        <f>COUNTIF('TT '!$D$56:$D$78,TALLY!A10)</f>
        <v>0</v>
      </c>
      <c r="E10" s="9">
        <f>COUNTIF('TT '!$D$85:$D$105,TALLY!A10)</f>
        <v>1</v>
      </c>
      <c r="F10" s="9">
        <f>COUNTIF('TT '!$D$112:$D$126,TALLY!A10)</f>
        <v>0</v>
      </c>
      <c r="G10" s="9">
        <f>COUNTIF('TT '!$D$133:$D$147,TALLY!A10)</f>
        <v>0</v>
      </c>
      <c r="H10" s="9">
        <f>COUNTIF('TT '!$D$4:$D$31,TALLY!G10)</f>
        <v>0</v>
      </c>
      <c r="I10" s="11">
        <f>COUNTIF('TT '!$D$154:$D$173,TALLY!A10)</f>
        <v>0</v>
      </c>
      <c r="J10" s="11">
        <f>COUNTIF('TT '!$D$180:$D$197,TALLY!A10)</f>
        <v>1</v>
      </c>
      <c r="K10" s="11">
        <f>COUNTIF('TT '!$D$204:$D$216,TALLY!A10)</f>
        <v>0</v>
      </c>
      <c r="L10" s="11">
        <f>COUNTIF('TT '!$D$223:$D$235,TALLY!A10)</f>
        <v>0</v>
      </c>
      <c r="M10" s="11">
        <f>COUNTIF('TT '!$D$242:$D$257,TALLY!A10)</f>
        <v>0</v>
      </c>
      <c r="N10" s="11">
        <f>COUNTIF('TT '!$D$264:$D$276,TALLY!A10)</f>
        <v>0</v>
      </c>
      <c r="O10" s="8" t="e">
        <f>COUNTIF([8]TT!$D$36:$D$41,$A10)</f>
        <v>#VALUE!</v>
      </c>
      <c r="P10" s="12">
        <f>COUNTIF('TT '!$D$283:$D$294,TALLY!A10)</f>
        <v>1</v>
      </c>
      <c r="Q10" s="12">
        <f>COUNTIF('TT '!$D$301:$D$317,TALLY!A10)</f>
        <v>0</v>
      </c>
      <c r="R10" s="302">
        <f>COUNTIF('TT '!$D$324:$D$339,TALLY!A10)</f>
        <v>0</v>
      </c>
      <c r="S10" s="12">
        <f>COUNTIF('TT '!$D$346:$D$362,TALLY!A10)</f>
        <v>0</v>
      </c>
      <c r="T10" s="12">
        <f>COUNTIF('TT '!$D$369:$D$383,TALLY!A10)</f>
        <v>1</v>
      </c>
      <c r="U10" s="12">
        <f>COUNTIF('TT '!$D$390:$D$409,TALLY!A10)</f>
        <v>0</v>
      </c>
      <c r="V10" s="8" t="e">
        <f>COUNTIF([8]TT!$D$36:$D$41,$A10)</f>
        <v>#VALUE!</v>
      </c>
      <c r="W10" s="11">
        <f>COUNTIF('TT '!$D$416:$D$429,TALLY!A10)</f>
        <v>0</v>
      </c>
      <c r="X10" s="11">
        <f>COUNTIF('TT '!$D$436:$D$449,TALLY!A10)</f>
        <v>0</v>
      </c>
      <c r="Y10" s="11">
        <f>COUNTIF('TT '!$D$456:$D$474,TALLY!A10)</f>
        <v>0</v>
      </c>
      <c r="Z10" s="11">
        <f>COUNTIF('TT '!$D$481:$D$495,TALLY!A10)</f>
        <v>1</v>
      </c>
      <c r="AA10" s="11">
        <f>COUNTIF('TT '!$D$502:$D$519,TALLY!A10)</f>
        <v>0</v>
      </c>
      <c r="AB10" s="10">
        <f>COUNTIF('TT '!$D$526:$D$540,TALLY!A10)</f>
        <v>0</v>
      </c>
      <c r="AC10" s="8" t="e">
        <f>COUNTIF([8]TT!$D$36:$D$41,$A10)</f>
        <v>#VALUE!</v>
      </c>
      <c r="AD10" s="9">
        <f>COUNTIF('TT '!$D$547:$D$556,TALLY!A10)</f>
        <v>1</v>
      </c>
      <c r="AE10" s="9">
        <f>COUNTIF('TT '!$D$563:$D$577,TALLY!A10)</f>
        <v>0</v>
      </c>
      <c r="AF10" s="9">
        <f>COUNTIF('TT '!$D$584:$D$598,TALLY!A10)</f>
        <v>0</v>
      </c>
      <c r="AG10" s="9">
        <f>COUNTIF('TT '!$D$605:$D$617,TALLY!A10)</f>
        <v>0</v>
      </c>
      <c r="AH10" s="9">
        <f>COUNTIF('TT '!$D$624:$D$636,TALLY!A10)</f>
        <v>0</v>
      </c>
      <c r="AI10" s="9">
        <f>COUNTIF('TT '!$D$643:$D$654,TALLY!A10)</f>
        <v>0</v>
      </c>
      <c r="AJ10" s="8" t="e">
        <f>COUNTIF([8]TT!$D$36:$D$41,$A10)</f>
        <v>#VALUE!</v>
      </c>
      <c r="AK10" s="265" t="str">
        <f t="shared" si="5"/>
        <v>100100010000100010000100100000</v>
      </c>
      <c r="AL10" s="1">
        <f t="shared" si="0"/>
        <v>2</v>
      </c>
      <c r="AM10" s="1">
        <f t="shared" si="1"/>
        <v>1</v>
      </c>
      <c r="AN10" s="1">
        <f t="shared" si="2"/>
        <v>2</v>
      </c>
      <c r="AO10" s="1">
        <f t="shared" si="3"/>
        <v>1</v>
      </c>
      <c r="AP10" s="1">
        <f t="shared" si="4"/>
        <v>1</v>
      </c>
    </row>
    <row r="11" spans="1:46" x14ac:dyDescent="0.35">
      <c r="A11" s="14" t="s">
        <v>36</v>
      </c>
      <c r="B11" s="9">
        <f>COUNTIF('TT '!$D$4:$D$31,TALLY!A11)</f>
        <v>1</v>
      </c>
      <c r="C11" s="9">
        <f>COUNTIF('TT '!$D$38:$D$49,TALLY!A11)</f>
        <v>0</v>
      </c>
      <c r="D11" s="9">
        <f>COUNTIF('TT '!$D$56:$D$78,TALLY!A11)</f>
        <v>1</v>
      </c>
      <c r="E11" s="9">
        <f>COUNTIF('TT '!$D$85:$D$105,TALLY!A11)</f>
        <v>0</v>
      </c>
      <c r="F11" s="9">
        <f>COUNTIF('TT '!$D$112:$D$126,TALLY!A11)</f>
        <v>0</v>
      </c>
      <c r="G11" s="9">
        <f>COUNTIF('TT '!$D$133:$D$147,TALLY!A11)</f>
        <v>0</v>
      </c>
      <c r="H11" s="9">
        <f>COUNTIF('TT '!$D$4:$D$31,TALLY!G11)</f>
        <v>0</v>
      </c>
      <c r="I11" s="11">
        <f>COUNTIF('TT '!$D$154:$D$173,TALLY!A11)</f>
        <v>0</v>
      </c>
      <c r="J11" s="11">
        <f>COUNTIF('TT '!$D$180:$D$197,TALLY!A11)</f>
        <v>1</v>
      </c>
      <c r="K11" s="11">
        <f>COUNTIF('TT '!$D$204:$D$216,TALLY!A11)</f>
        <v>0</v>
      </c>
      <c r="L11" s="11">
        <f>COUNTIF('TT '!$D$223:$D$235,TALLY!A11)</f>
        <v>0</v>
      </c>
      <c r="M11" s="11">
        <f>COUNTIF('TT '!$D$242:$D$257,TALLY!A11)</f>
        <v>0</v>
      </c>
      <c r="N11" s="11">
        <f>COUNTIF('TT '!$D$264:$D$276,TALLY!A11)</f>
        <v>1</v>
      </c>
      <c r="O11" s="8" t="e">
        <f>COUNTIF([8]TT!$D$36:$D$41,$A11)</f>
        <v>#VALUE!</v>
      </c>
      <c r="P11" s="12">
        <f>COUNTIF('TT '!$D$283:$D$294,TALLY!A11)</f>
        <v>0</v>
      </c>
      <c r="Q11" s="12">
        <f>COUNTIF('TT '!$D$301:$D$317,TALLY!A11)</f>
        <v>1</v>
      </c>
      <c r="R11" s="302">
        <f>COUNTIF('TT '!$D$324:$D$339,TALLY!A11)</f>
        <v>0</v>
      </c>
      <c r="S11" s="12">
        <f>COUNTIF('TT '!$D$346:$D$362,TALLY!A11)</f>
        <v>0</v>
      </c>
      <c r="T11" s="12">
        <f>COUNTIF('TT '!$D$369:$D$383,TALLY!A11)</f>
        <v>0</v>
      </c>
      <c r="U11" s="12">
        <f>COUNTIF('TT '!$D$390:$D$409,TALLY!A11)</f>
        <v>1</v>
      </c>
      <c r="V11" s="8" t="e">
        <f>COUNTIF([8]TT!$D$36:$D$41,$A11)</f>
        <v>#VALUE!</v>
      </c>
      <c r="W11" s="11">
        <f>COUNTIF('TT '!$D$416:$D$429,TALLY!A11)</f>
        <v>1</v>
      </c>
      <c r="X11" s="11">
        <f>COUNTIF('TT '!$D$436:$D$449,TALLY!A11)</f>
        <v>0</v>
      </c>
      <c r="Y11" s="11">
        <f>COUNTIF('TT '!$D$456:$D$474,TALLY!A11)</f>
        <v>0</v>
      </c>
      <c r="Z11" s="11">
        <f>COUNTIF('TT '!$D$481:$D$495,TALLY!A11)</f>
        <v>0</v>
      </c>
      <c r="AA11" s="11">
        <f>COUNTIF('TT '!$D$502:$D$519,TALLY!A11)</f>
        <v>0</v>
      </c>
      <c r="AB11" s="10">
        <f>COUNTIF('TT '!$D$526:$D$540,TALLY!A11)</f>
        <v>0</v>
      </c>
      <c r="AC11" s="8" t="e">
        <f>COUNTIF([8]TT!$D$36:$D$41,$A11)</f>
        <v>#VALUE!</v>
      </c>
      <c r="AD11" s="9">
        <f>COUNTIF('TT '!$D$547:$D$556,TALLY!A11)</f>
        <v>0</v>
      </c>
      <c r="AE11" s="9">
        <f>COUNTIF('TT '!$D$563:$D$577,TALLY!A11)</f>
        <v>1</v>
      </c>
      <c r="AF11" s="9">
        <f>COUNTIF('TT '!$D$584:$D$598,TALLY!A11)</f>
        <v>0</v>
      </c>
      <c r="AG11" s="9">
        <f>COUNTIF('TT '!$D$605:$D$617,TALLY!A11)</f>
        <v>0</v>
      </c>
      <c r="AH11" s="9">
        <f>COUNTIF('TT '!$D$624:$D$636,TALLY!A11)</f>
        <v>1</v>
      </c>
      <c r="AI11" s="9">
        <f>COUNTIF('TT '!$D$643:$D$654,TALLY!A11)</f>
        <v>0</v>
      </c>
      <c r="AJ11" s="8" t="e">
        <f>COUNTIF([8]TT!$D$36:$D$41,$A11)</f>
        <v>#VALUE!</v>
      </c>
      <c r="AK11" s="265" t="str">
        <f t="shared" si="5"/>
        <v>101000010001010001100000010010</v>
      </c>
      <c r="AL11" s="1">
        <f t="shared" si="0"/>
        <v>2</v>
      </c>
      <c r="AM11" s="1">
        <f t="shared" si="1"/>
        <v>2</v>
      </c>
      <c r="AN11" s="1">
        <f t="shared" si="2"/>
        <v>2</v>
      </c>
      <c r="AO11" s="1">
        <f t="shared" si="3"/>
        <v>1</v>
      </c>
      <c r="AP11" s="1">
        <f t="shared" si="4"/>
        <v>2</v>
      </c>
    </row>
    <row r="12" spans="1:46" x14ac:dyDescent="0.35">
      <c r="A12" s="14" t="s">
        <v>66</v>
      </c>
      <c r="B12" s="9">
        <f>COUNTIF('TT '!$D$4:$D$31,TALLY!A12)</f>
        <v>1</v>
      </c>
      <c r="C12" s="9">
        <f>COUNTIF('TT '!$D$38:$D$49,TALLY!A12)</f>
        <v>0</v>
      </c>
      <c r="D12" s="9">
        <f>COUNTIF('TT '!$D$56:$D$78,TALLY!A12)</f>
        <v>0</v>
      </c>
      <c r="E12" s="9">
        <f>COUNTIF('TT '!$D$85:$D$105,TALLY!A12)</f>
        <v>1</v>
      </c>
      <c r="F12" s="9">
        <f>COUNTIF('TT '!$D$112:$D$126,TALLY!A12)</f>
        <v>0</v>
      </c>
      <c r="G12" s="9">
        <f>COUNTIF('TT '!$D$133:$D$147,TALLY!A12)</f>
        <v>0</v>
      </c>
      <c r="H12" s="9">
        <f>COUNTIF('TT '!$D$4:$D$31,TALLY!G12)</f>
        <v>0</v>
      </c>
      <c r="I12" s="11">
        <f>COUNTIF('TT '!$D$154:$D$173,TALLY!A12)</f>
        <v>0</v>
      </c>
      <c r="J12" s="11">
        <f>COUNTIF('TT '!$D$180:$D$197,TALLY!A12)</f>
        <v>1</v>
      </c>
      <c r="K12" s="11">
        <f>COUNTIF('TT '!$D$204:$D$216,TALLY!A12)</f>
        <v>0</v>
      </c>
      <c r="L12" s="11">
        <f>COUNTIF('TT '!$D$223:$D$235,TALLY!A12)</f>
        <v>0</v>
      </c>
      <c r="M12" s="11">
        <f>COUNTIF('TT '!$D$242:$D$257,TALLY!A12)</f>
        <v>0</v>
      </c>
      <c r="N12" s="11">
        <f>COUNTIF('TT '!$D$264:$D$276,TALLY!A12)</f>
        <v>0</v>
      </c>
      <c r="O12" s="8" t="e">
        <f>COUNTIF([8]TT!$D$36:$D$41,$A12)</f>
        <v>#VALUE!</v>
      </c>
      <c r="P12" s="12">
        <f>COUNTIF('TT '!$D$283:$D$294,TALLY!A12)</f>
        <v>1</v>
      </c>
      <c r="Q12" s="12">
        <f>COUNTIF('TT '!$D$301:$D$317,TALLY!A12)</f>
        <v>0</v>
      </c>
      <c r="R12" s="302">
        <f>COUNTIF('TT '!$D$324:$D$339,TALLY!A12)</f>
        <v>0</v>
      </c>
      <c r="S12" s="12">
        <f>COUNTIF('TT '!$D$346:$D$362,TALLY!A12)</f>
        <v>0</v>
      </c>
      <c r="T12" s="12">
        <f>COUNTIF('TT '!$D$369:$D$383,TALLY!A12)</f>
        <v>0</v>
      </c>
      <c r="U12" s="12">
        <f>COUNTIF('TT '!$D$390:$D$409,TALLY!A12)</f>
        <v>0</v>
      </c>
      <c r="V12" s="8" t="e">
        <f>COUNTIF([8]TT!$D$36:$D$41,$A12)</f>
        <v>#VALUE!</v>
      </c>
      <c r="W12" s="11">
        <f>COUNTIF('TT '!$D$416:$D$429,TALLY!A12)</f>
        <v>1</v>
      </c>
      <c r="X12" s="11">
        <f>COUNTIF('TT '!$D$436:$D$449,TALLY!A12)</f>
        <v>0</v>
      </c>
      <c r="Y12" s="11">
        <f>COUNTIF('TT '!$D$456:$D$474,TALLY!A12)</f>
        <v>0</v>
      </c>
      <c r="Z12" s="11">
        <f>COUNTIF('TT '!$D$481:$D$495,TALLY!A12)</f>
        <v>0</v>
      </c>
      <c r="AA12" s="11">
        <f>COUNTIF('TT '!$D$502:$D$519,TALLY!A12)</f>
        <v>0</v>
      </c>
      <c r="AB12" s="10">
        <f>COUNTIF('TT '!$D$526:$D$540,TALLY!A12)</f>
        <v>1</v>
      </c>
      <c r="AC12" s="8" t="e">
        <f>COUNTIF([8]TT!$D$36:$D$41,$A12)</f>
        <v>#VALUE!</v>
      </c>
      <c r="AD12" s="9">
        <f>COUNTIF('TT '!$D$547:$D$556,TALLY!A12)</f>
        <v>0</v>
      </c>
      <c r="AE12" s="9">
        <f>COUNTIF('TT '!$D$563:$D$577,TALLY!A12)</f>
        <v>0</v>
      </c>
      <c r="AF12" s="9">
        <f>COUNTIF('TT '!$D$584:$D$598,TALLY!A12)</f>
        <v>0</v>
      </c>
      <c r="AG12" s="9">
        <f>COUNTIF('TT '!$D$605:$D$617,TALLY!A12)</f>
        <v>0</v>
      </c>
      <c r="AH12" s="9">
        <f>COUNTIF('TT '!$D$624:$D$636,TALLY!A12)</f>
        <v>0</v>
      </c>
      <c r="AI12" s="9">
        <f>COUNTIF('TT '!$D$643:$D$654,TALLY!A12)</f>
        <v>0</v>
      </c>
      <c r="AJ12" s="8" t="e">
        <f>COUNTIF([8]TT!$D$36:$D$41,$A12)</f>
        <v>#VALUE!</v>
      </c>
      <c r="AK12" s="265" t="str">
        <f t="shared" si="5"/>
        <v>100100010000100000100001000000</v>
      </c>
      <c r="AL12" s="1">
        <f t="shared" si="0"/>
        <v>2</v>
      </c>
      <c r="AM12" s="1">
        <f t="shared" si="1"/>
        <v>1</v>
      </c>
      <c r="AN12" s="1">
        <f t="shared" si="2"/>
        <v>1</v>
      </c>
      <c r="AO12" s="1">
        <f t="shared" si="3"/>
        <v>2</v>
      </c>
      <c r="AP12" s="1">
        <f t="shared" si="4"/>
        <v>0</v>
      </c>
    </row>
    <row r="13" spans="1:46" x14ac:dyDescent="0.35">
      <c r="A13" s="14" t="s">
        <v>161</v>
      </c>
      <c r="B13" s="9">
        <f>COUNTIF('TT '!$D$4:$D$31,TALLY!A13)</f>
        <v>0</v>
      </c>
      <c r="C13" s="9">
        <f>COUNTIF('TT '!$D$38:$D$49,TALLY!A13)</f>
        <v>0</v>
      </c>
      <c r="D13" s="9">
        <f>COUNTIF('TT '!$D$56:$D$78,TALLY!A13)</f>
        <v>1</v>
      </c>
      <c r="E13" s="9">
        <f>COUNTIF('TT '!$D$85:$D$105,TALLY!A13)</f>
        <v>0</v>
      </c>
      <c r="F13" s="9">
        <f>COUNTIF('TT '!$D$112:$D$126,TALLY!A13)</f>
        <v>0</v>
      </c>
      <c r="G13" s="9">
        <f>COUNTIF('TT '!$D$133:$D$147,TALLY!A13)</f>
        <v>0</v>
      </c>
      <c r="H13" s="9">
        <f>COUNTIF('TT '!$D$4:$D$31,TALLY!G13)</f>
        <v>0</v>
      </c>
      <c r="I13" s="11">
        <f>COUNTIF('TT '!$D$154:$D$173,TALLY!A13)</f>
        <v>0</v>
      </c>
      <c r="J13" s="11">
        <f>COUNTIF('TT '!$D$180:$D$197,TALLY!A13)</f>
        <v>1</v>
      </c>
      <c r="K13" s="11">
        <f>COUNTIF('TT '!$D$204:$D$216,TALLY!A13)</f>
        <v>0</v>
      </c>
      <c r="L13" s="11">
        <f>COUNTIF('TT '!$D$223:$D$235,TALLY!A13)</f>
        <v>0</v>
      </c>
      <c r="M13" s="11">
        <f>COUNTIF('TT '!$D$242:$D$257,TALLY!A13)</f>
        <v>1</v>
      </c>
      <c r="N13" s="11">
        <f>COUNTIF('TT '!$D$264:$D$276,TALLY!A13)</f>
        <v>0</v>
      </c>
      <c r="O13" s="8" t="e">
        <f>COUNTIF([8]TT!$D$36:$D$41,$A13)</f>
        <v>#VALUE!</v>
      </c>
      <c r="P13" s="12">
        <f>COUNTIF('TT '!$D$283:$D$294,TALLY!A13)</f>
        <v>0</v>
      </c>
      <c r="Q13" s="12">
        <f>COUNTIF('TT '!$D$301:$D$317,TALLY!A13)</f>
        <v>0</v>
      </c>
      <c r="R13" s="302">
        <f>COUNTIF('TT '!$D$324:$D$339,TALLY!A13)</f>
        <v>1</v>
      </c>
      <c r="S13" s="12">
        <f>COUNTIF('TT '!$D$346:$D$362,TALLY!A13)</f>
        <v>0</v>
      </c>
      <c r="T13" s="12">
        <f>COUNTIF('TT '!$D$369:$D$383,TALLY!A13)</f>
        <v>0</v>
      </c>
      <c r="U13" s="12">
        <f>COUNTIF('TT '!$D$390:$D$409,TALLY!A13)</f>
        <v>0</v>
      </c>
      <c r="V13" s="8" t="e">
        <f>COUNTIF([8]TT!$D$36:$D$41,$A13)</f>
        <v>#VALUE!</v>
      </c>
      <c r="W13" s="11">
        <f>COUNTIF('TT '!$D$416:$D$429,TALLY!A13)</f>
        <v>0</v>
      </c>
      <c r="X13" s="11">
        <f>COUNTIF('TT '!$D$436:$D$449,TALLY!A13)</f>
        <v>0</v>
      </c>
      <c r="Y13" s="11">
        <f>COUNTIF('TT '!$D$456:$D$474,TALLY!A13)</f>
        <v>0</v>
      </c>
      <c r="Z13" s="11">
        <f>COUNTIF('TT '!$D$481:$D$495,TALLY!A13)</f>
        <v>1</v>
      </c>
      <c r="AA13" s="11">
        <f>COUNTIF('TT '!$D$502:$D$519,TALLY!A13)</f>
        <v>0</v>
      </c>
      <c r="AB13" s="10">
        <f>COUNTIF('TT '!$D$526:$D$540,TALLY!A13)</f>
        <v>0</v>
      </c>
      <c r="AC13" s="8" t="e">
        <f>COUNTIF([8]TT!$D$36:$D$41,$A13)</f>
        <v>#VALUE!</v>
      </c>
      <c r="AD13" s="9">
        <f>COUNTIF('TT '!$D$547:$D$556,TALLY!A13)</f>
        <v>1</v>
      </c>
      <c r="AE13" s="9">
        <f>COUNTIF('TT '!$D$563:$D$577,TALLY!A13)</f>
        <v>0</v>
      </c>
      <c r="AF13" s="9">
        <f>COUNTIF('TT '!$D$584:$D$598,TALLY!A13)</f>
        <v>0</v>
      </c>
      <c r="AG13" s="9">
        <f>COUNTIF('TT '!$D$605:$D$617,TALLY!A13)</f>
        <v>0</v>
      </c>
      <c r="AH13" s="9">
        <f>COUNTIF('TT '!$D$624:$D$636,TALLY!A13)</f>
        <v>0</v>
      </c>
      <c r="AI13" s="9">
        <f>COUNTIF('TT '!$D$643:$D$654,TALLY!A13)</f>
        <v>0</v>
      </c>
      <c r="AJ13" s="8" t="e">
        <f>COUNTIF([8]TT!$D$36:$D$41,$A13)</f>
        <v>#VALUE!</v>
      </c>
      <c r="AK13" s="265" t="str">
        <f t="shared" si="5"/>
        <v>001000010010001000000100100000</v>
      </c>
      <c r="AL13" s="1">
        <f t="shared" si="0"/>
        <v>1</v>
      </c>
      <c r="AM13" s="1">
        <f t="shared" si="1"/>
        <v>2</v>
      </c>
      <c r="AN13" s="1">
        <f t="shared" si="2"/>
        <v>1</v>
      </c>
      <c r="AO13" s="1">
        <f t="shared" si="3"/>
        <v>1</v>
      </c>
      <c r="AP13" s="1">
        <f t="shared" si="4"/>
        <v>1</v>
      </c>
    </row>
    <row r="14" spans="1:46" x14ac:dyDescent="0.35">
      <c r="A14" s="14" t="s">
        <v>41</v>
      </c>
      <c r="B14" s="9">
        <f>COUNTIF('TT '!$D$4:$D$31,TALLY!A14)</f>
        <v>0</v>
      </c>
      <c r="C14" s="9">
        <f>COUNTIF('TT '!$D$38:$D$49,TALLY!A14)</f>
        <v>0</v>
      </c>
      <c r="D14" s="9">
        <f>COUNTIF('TT '!$D$56:$D$78,TALLY!A14)</f>
        <v>1</v>
      </c>
      <c r="E14" s="9">
        <f>COUNTIF('TT '!$D$85:$D$105,TALLY!A14)</f>
        <v>0</v>
      </c>
      <c r="F14" s="9">
        <f>COUNTIF('TT '!$D$112:$D$126,TALLY!A14)</f>
        <v>0</v>
      </c>
      <c r="G14" s="9">
        <f>COUNTIF('TT '!$D$133:$D$147,TALLY!A14)</f>
        <v>1</v>
      </c>
      <c r="H14" s="9">
        <f>COUNTIF('TT '!$D$4:$D$31,TALLY!G14)</f>
        <v>0</v>
      </c>
      <c r="I14" s="11">
        <f>COUNTIF('TT '!$D$154:$D$173,TALLY!A14)</f>
        <v>0</v>
      </c>
      <c r="J14" s="11">
        <f>COUNTIF('TT '!$D$180:$D$197,TALLY!A14)</f>
        <v>1</v>
      </c>
      <c r="K14" s="11">
        <f>COUNTIF('TT '!$D$204:$D$216,TALLY!A14)</f>
        <v>0</v>
      </c>
      <c r="L14" s="11">
        <f>COUNTIF('TT '!$D$223:$D$235,TALLY!A14)</f>
        <v>0</v>
      </c>
      <c r="M14" s="11">
        <f>COUNTIF('TT '!$D$242:$D$257,TALLY!A14)</f>
        <v>0</v>
      </c>
      <c r="N14" s="11">
        <f>COUNTIF('TT '!$D$264:$D$276,TALLY!A14)</f>
        <v>0</v>
      </c>
      <c r="O14" s="8" t="e">
        <f>COUNTIF([8]TT!$D$36:$D$41,$A14)</f>
        <v>#VALUE!</v>
      </c>
      <c r="P14" s="12">
        <f>COUNTIF('TT '!$D$283:$D$294,TALLY!A14)</f>
        <v>0</v>
      </c>
      <c r="Q14" s="12">
        <f>COUNTIF('TT '!$D$301:$D$317,TALLY!A14)</f>
        <v>1</v>
      </c>
      <c r="R14" s="302">
        <f>COUNTIF('TT '!$D$324:$D$339,TALLY!A14)</f>
        <v>0</v>
      </c>
      <c r="S14" s="12">
        <f>COUNTIF('TT '!$D$346:$D$362,TALLY!A14)</f>
        <v>0</v>
      </c>
      <c r="T14" s="12">
        <f>COUNTIF('TT '!$D$369:$D$383,TALLY!A14)</f>
        <v>0</v>
      </c>
      <c r="U14" s="12">
        <f>COUNTIF('TT '!$D$390:$D$409,TALLY!A14)</f>
        <v>0</v>
      </c>
      <c r="V14" s="8" t="e">
        <f>COUNTIF([8]TT!$D$36:$D$41,$A14)</f>
        <v>#VALUE!</v>
      </c>
      <c r="W14" s="11">
        <f>COUNTIF('TT '!$D$416:$D$429,TALLY!A14)</f>
        <v>0</v>
      </c>
      <c r="X14" s="11">
        <f>COUNTIF('TT '!$D$436:$D$449,TALLY!A14)</f>
        <v>0</v>
      </c>
      <c r="Y14" s="11">
        <f>COUNTIF('TT '!$D$456:$D$474,TALLY!A14)</f>
        <v>0</v>
      </c>
      <c r="Z14" s="11">
        <f>COUNTIF('TT '!$D$481:$D$495,TALLY!A14)</f>
        <v>1</v>
      </c>
      <c r="AA14" s="11">
        <f>COUNTIF('TT '!$D$502:$D$519,TALLY!A14)</f>
        <v>0</v>
      </c>
      <c r="AB14" s="10">
        <f>COUNTIF('TT '!$D$526:$D$540,TALLY!A14)</f>
        <v>0</v>
      </c>
      <c r="AC14" s="8" t="e">
        <f>COUNTIF([8]TT!$D$36:$D$41,$A14)</f>
        <v>#VALUE!</v>
      </c>
      <c r="AD14" s="9">
        <f>COUNTIF('TT '!$D$547:$D$556,TALLY!A14)</f>
        <v>1</v>
      </c>
      <c r="AE14" s="9">
        <f>COUNTIF('TT '!$D$563:$D$577,TALLY!A14)</f>
        <v>0</v>
      </c>
      <c r="AF14" s="9">
        <f>COUNTIF('TT '!$D$584:$D$598,TALLY!A14)</f>
        <v>0</v>
      </c>
      <c r="AG14" s="9">
        <f>COUNTIF('TT '!$D$605:$D$617,TALLY!A14)</f>
        <v>1</v>
      </c>
      <c r="AH14" s="9">
        <f>COUNTIF('TT '!$D$624:$D$636,TALLY!A14)</f>
        <v>0</v>
      </c>
      <c r="AI14" s="9">
        <f>COUNTIF('TT '!$D$643:$D$654,TALLY!A14)</f>
        <v>0</v>
      </c>
      <c r="AJ14" s="8" t="e">
        <f>COUNTIF([8]TT!$D$36:$D$41,$A14)</f>
        <v>#VALUE!</v>
      </c>
      <c r="AK14" s="265" t="str">
        <f t="shared" si="5"/>
        <v>001001010000010000000100100100</v>
      </c>
      <c r="AL14" s="1">
        <f t="shared" si="0"/>
        <v>2</v>
      </c>
      <c r="AM14" s="1">
        <f t="shared" si="1"/>
        <v>1</v>
      </c>
      <c r="AN14" s="1">
        <f t="shared" si="2"/>
        <v>1</v>
      </c>
      <c r="AO14" s="1">
        <f t="shared" si="3"/>
        <v>1</v>
      </c>
      <c r="AP14" s="1">
        <f t="shared" si="4"/>
        <v>2</v>
      </c>
    </row>
    <row r="15" spans="1:46" x14ac:dyDescent="0.35">
      <c r="A15" s="14" t="s">
        <v>164</v>
      </c>
      <c r="B15" s="9">
        <f>COUNTIF('TT '!$D$4:$D$31,TALLY!A15)</f>
        <v>0</v>
      </c>
      <c r="C15" s="9">
        <f>COUNTIF('TT '!$D$38:$D$49,TALLY!A15)</f>
        <v>0</v>
      </c>
      <c r="D15" s="9">
        <f>COUNTIF('TT '!$D$56:$D$78,TALLY!A15)</f>
        <v>1</v>
      </c>
      <c r="E15" s="9">
        <f>COUNTIF('TT '!$D$85:$D$105,TALLY!A15)</f>
        <v>0</v>
      </c>
      <c r="F15" s="9">
        <f>COUNTIF('TT '!$D$112:$D$126,TALLY!A15)</f>
        <v>0</v>
      </c>
      <c r="G15" s="9">
        <f>COUNTIF('TT '!$D$133:$D$147,TALLY!A15)</f>
        <v>0</v>
      </c>
      <c r="H15" s="9">
        <f>COUNTIF('TT '!$D$4:$D$31,TALLY!G15)</f>
        <v>0</v>
      </c>
      <c r="I15" s="11">
        <f>COUNTIF('TT '!$D$154:$D$173,TALLY!A15)</f>
        <v>0</v>
      </c>
      <c r="J15" s="11">
        <f>COUNTIF('TT '!$D$180:$D$197,TALLY!A15)</f>
        <v>1</v>
      </c>
      <c r="K15" s="11">
        <f>COUNTIF('TT '!$D$204:$D$216,TALLY!A15)</f>
        <v>0</v>
      </c>
      <c r="L15" s="11">
        <f>COUNTIF('TT '!$D$223:$D$235,TALLY!A15)</f>
        <v>0</v>
      </c>
      <c r="M15" s="11">
        <f>COUNTIF('TT '!$D$242:$D$257,TALLY!A15)</f>
        <v>1</v>
      </c>
      <c r="N15" s="11">
        <f>COUNTIF('TT '!$D$264:$D$276,TALLY!A15)</f>
        <v>0</v>
      </c>
      <c r="O15" s="8" t="e">
        <f>COUNTIF([8]TT!$D$36:$D$41,$A15)</f>
        <v>#VALUE!</v>
      </c>
      <c r="P15" s="12">
        <f>COUNTIF('TT '!$D$283:$D$294,TALLY!A15)</f>
        <v>0</v>
      </c>
      <c r="Q15" s="12">
        <f>COUNTIF('TT '!$D$301:$D$317,TALLY!A15)</f>
        <v>0</v>
      </c>
      <c r="R15" s="302">
        <f>COUNTIF('TT '!$D$324:$D$339,TALLY!A15)</f>
        <v>0</v>
      </c>
      <c r="S15" s="12">
        <f>COUNTIF('TT '!$D$346:$D$362,TALLY!A15)</f>
        <v>0</v>
      </c>
      <c r="T15" s="12">
        <f>COUNTIF('TT '!$D$369:$D$383,TALLY!A15)</f>
        <v>0</v>
      </c>
      <c r="U15" s="12">
        <f>COUNTIF('TT '!$D$390:$D$409,TALLY!A15)</f>
        <v>0</v>
      </c>
      <c r="V15" s="8" t="e">
        <f>COUNTIF([8]TT!$D$36:$D$41,$A15)</f>
        <v>#VALUE!</v>
      </c>
      <c r="W15" s="11">
        <f>COUNTIF('TT '!$D$416:$D$429,TALLY!A15)</f>
        <v>0</v>
      </c>
      <c r="X15" s="11">
        <f>COUNTIF('TT '!$D$436:$D$449,TALLY!A15)</f>
        <v>0</v>
      </c>
      <c r="Y15" s="11">
        <f>COUNTIF('TT '!$D$456:$D$474,TALLY!A15)</f>
        <v>0</v>
      </c>
      <c r="Z15" s="11">
        <f>COUNTIF('TT '!$D$481:$D$495,TALLY!A15)</f>
        <v>1</v>
      </c>
      <c r="AA15" s="11">
        <f>COUNTIF('TT '!$D$502:$D$519,TALLY!A15)</f>
        <v>0</v>
      </c>
      <c r="AB15" s="10">
        <f>COUNTIF('TT '!$D$526:$D$540,TALLY!A15)</f>
        <v>0</v>
      </c>
      <c r="AC15" s="8" t="e">
        <f>COUNTIF([8]TT!$D$36:$D$41,$A15)</f>
        <v>#VALUE!</v>
      </c>
      <c r="AD15" s="9">
        <f>COUNTIF('TT '!$D$547:$D$556,TALLY!A15)</f>
        <v>1</v>
      </c>
      <c r="AE15" s="9">
        <f>COUNTIF('TT '!$D$563:$D$577,TALLY!A15)</f>
        <v>0</v>
      </c>
      <c r="AF15" s="9">
        <f>COUNTIF('TT '!$D$584:$D$598,TALLY!A15)</f>
        <v>0</v>
      </c>
      <c r="AG15" s="9">
        <f>COUNTIF('TT '!$D$605:$D$617,TALLY!A15)</f>
        <v>1</v>
      </c>
      <c r="AH15" s="9">
        <f>COUNTIF('TT '!$D$624:$D$636,TALLY!A15)</f>
        <v>0</v>
      </c>
      <c r="AI15" s="9">
        <f>COUNTIF('TT '!$D$643:$D$654,TALLY!A15)</f>
        <v>0</v>
      </c>
      <c r="AJ15" s="8" t="e">
        <f>COUNTIF([8]TT!$D$36:$D$41,$A15)</f>
        <v>#VALUE!</v>
      </c>
      <c r="AK15" s="265" t="str">
        <f t="shared" si="5"/>
        <v>001000010010000000000100100100</v>
      </c>
      <c r="AL15" s="1">
        <f t="shared" si="0"/>
        <v>1</v>
      </c>
      <c r="AM15" s="1">
        <f t="shared" si="1"/>
        <v>2</v>
      </c>
      <c r="AN15" s="1">
        <f t="shared" si="2"/>
        <v>0</v>
      </c>
      <c r="AO15" s="1">
        <f t="shared" si="3"/>
        <v>1</v>
      </c>
      <c r="AP15" s="1">
        <f t="shared" si="4"/>
        <v>2</v>
      </c>
    </row>
    <row r="16" spans="1:46" x14ac:dyDescent="0.35">
      <c r="A16" s="14" t="s">
        <v>39</v>
      </c>
      <c r="B16" s="9">
        <f>COUNTIF('TT '!$D$4:$D$31,TALLY!A16)</f>
        <v>0</v>
      </c>
      <c r="C16" s="9">
        <f>COUNTIF('TT '!$D$38:$D$49,TALLY!A16)</f>
        <v>0</v>
      </c>
      <c r="D16" s="9">
        <f>COUNTIF('TT '!$D$56:$D$78,TALLY!A16)</f>
        <v>1</v>
      </c>
      <c r="E16" s="9">
        <f>COUNTIF('TT '!$D$85:$D$105,TALLY!A16)</f>
        <v>0</v>
      </c>
      <c r="F16" s="9">
        <f>COUNTIF('TT '!$D$112:$D$126,TALLY!A16)</f>
        <v>1</v>
      </c>
      <c r="G16" s="9">
        <f>COUNTIF('TT '!$D$133:$D$147,TALLY!A16)</f>
        <v>0</v>
      </c>
      <c r="H16" s="9">
        <f>COUNTIF('TT '!$D$4:$D$31,TALLY!G16)</f>
        <v>0</v>
      </c>
      <c r="I16" s="11">
        <f>COUNTIF('TT '!$D$154:$D$173,TALLY!A16)</f>
        <v>0</v>
      </c>
      <c r="J16" s="11">
        <f>COUNTIF('TT '!$D$180:$D$197,TALLY!A16)</f>
        <v>1</v>
      </c>
      <c r="K16" s="11">
        <f>COUNTIF('TT '!$D$204:$D$216,TALLY!A16)</f>
        <v>0</v>
      </c>
      <c r="L16" s="11">
        <f>COUNTIF('TT '!$D$223:$D$235,TALLY!A16)</f>
        <v>0</v>
      </c>
      <c r="M16" s="11">
        <f>COUNTIF('TT '!$D$242:$D$257,TALLY!A16)</f>
        <v>0</v>
      </c>
      <c r="N16" s="11">
        <f>COUNTIF('TT '!$D$264:$D$276,TALLY!A16)</f>
        <v>0</v>
      </c>
      <c r="O16" s="8" t="e">
        <f>COUNTIF([8]TT!$D$36:$D$41,$A16)</f>
        <v>#VALUE!</v>
      </c>
      <c r="P16" s="12">
        <f>COUNTIF('TT '!$D$283:$D$294,TALLY!A16)</f>
        <v>0</v>
      </c>
      <c r="Q16" s="12">
        <f>COUNTIF('TT '!$D$301:$D$317,TALLY!A16)</f>
        <v>1</v>
      </c>
      <c r="R16" s="302">
        <f>COUNTIF('TT '!$D$324:$D$339,TALLY!A16)</f>
        <v>0</v>
      </c>
      <c r="S16" s="12">
        <f>COUNTIF('TT '!$D$346:$D$362,TALLY!A16)</f>
        <v>0</v>
      </c>
      <c r="T16" s="12">
        <f>COUNTIF('TT '!$D$369:$D$383,TALLY!A16)</f>
        <v>1</v>
      </c>
      <c r="U16" s="12">
        <f>COUNTIF('TT '!$D$390:$D$409,TALLY!A16)</f>
        <v>0</v>
      </c>
      <c r="V16" s="8" t="e">
        <f>COUNTIF([8]TT!$D$36:$D$41,$A16)</f>
        <v>#VALUE!</v>
      </c>
      <c r="W16" s="11">
        <f>COUNTIF('TT '!$D$416:$D$429,TALLY!A16)</f>
        <v>0</v>
      </c>
      <c r="X16" s="11">
        <f>COUNTIF('TT '!$D$436:$D$449,TALLY!A16)</f>
        <v>1</v>
      </c>
      <c r="Y16" s="11">
        <f>COUNTIF('TT '!$D$456:$D$474,TALLY!A16)</f>
        <v>0</v>
      </c>
      <c r="Z16" s="11">
        <f>COUNTIF('TT '!$D$481:$D$495,TALLY!A16)</f>
        <v>1</v>
      </c>
      <c r="AA16" s="11">
        <f>COUNTIF('TT '!$D$502:$D$519,TALLY!A16)</f>
        <v>0</v>
      </c>
      <c r="AB16" s="10">
        <f>COUNTIF('TT '!$D$526:$D$540,TALLY!A16)</f>
        <v>0</v>
      </c>
      <c r="AC16" s="8" t="e">
        <f>COUNTIF([8]TT!$D$36:$D$41,$A16)</f>
        <v>#VALUE!</v>
      </c>
      <c r="AD16" s="9">
        <f>COUNTIF('TT '!$D$547:$D$556,TALLY!A16)</f>
        <v>0</v>
      </c>
      <c r="AE16" s="9">
        <f>COUNTIF('TT '!$D$563:$D$577,TALLY!A16)</f>
        <v>0</v>
      </c>
      <c r="AF16" s="9">
        <f>COUNTIF('TT '!$D$584:$D$598,TALLY!A16)</f>
        <v>0</v>
      </c>
      <c r="AG16" s="9">
        <f>COUNTIF('TT '!$D$605:$D$617,TALLY!A16)</f>
        <v>0</v>
      </c>
      <c r="AH16" s="9">
        <f>COUNTIF('TT '!$D$624:$D$636,TALLY!A16)</f>
        <v>0</v>
      </c>
      <c r="AI16" s="9">
        <f>COUNTIF('TT '!$D$643:$D$654,TALLY!A16)</f>
        <v>0</v>
      </c>
      <c r="AJ16" s="8" t="e">
        <f>COUNTIF([8]TT!$D$36:$D$41,$A16)</f>
        <v>#VALUE!</v>
      </c>
      <c r="AK16" s="265" t="str">
        <f t="shared" si="5"/>
        <v>001010010000010010010100000000</v>
      </c>
      <c r="AL16" s="1">
        <f t="shared" si="0"/>
        <v>2</v>
      </c>
      <c r="AM16" s="1">
        <f t="shared" si="1"/>
        <v>1</v>
      </c>
      <c r="AN16" s="1">
        <f t="shared" si="2"/>
        <v>2</v>
      </c>
      <c r="AO16" s="1">
        <f t="shared" si="3"/>
        <v>2</v>
      </c>
      <c r="AP16" s="1">
        <f t="shared" si="4"/>
        <v>0</v>
      </c>
    </row>
    <row r="17" spans="1:42" x14ac:dyDescent="0.35">
      <c r="A17" s="14" t="s">
        <v>115</v>
      </c>
      <c r="B17" s="9">
        <f>COUNTIF('TT '!$D$4:$D$31,TALLY!A17)</f>
        <v>1</v>
      </c>
      <c r="C17" s="9">
        <f>COUNTIF('TT '!$D$38:$D$49,TALLY!A17)</f>
        <v>0</v>
      </c>
      <c r="D17" s="9">
        <f>COUNTIF('TT '!$D$56:$D$78,TALLY!A17)</f>
        <v>0</v>
      </c>
      <c r="E17" s="9">
        <f>COUNTIF('TT '!$D$85:$D$105,TALLY!A17)</f>
        <v>0</v>
      </c>
      <c r="F17" s="9">
        <f>COUNTIF('TT '!$D$112:$D$126,TALLY!A17)</f>
        <v>1</v>
      </c>
      <c r="G17" s="9">
        <f>COUNTIF('TT '!$D$133:$D$147,TALLY!A17)</f>
        <v>0</v>
      </c>
      <c r="H17" s="9">
        <f>COUNTIF('TT '!$D$4:$D$31,TALLY!G17)</f>
        <v>0</v>
      </c>
      <c r="I17" s="11">
        <f>COUNTIF('TT '!$D$154:$D$173,TALLY!A17)</f>
        <v>0</v>
      </c>
      <c r="J17" s="11">
        <f>COUNTIF('TT '!$D$180:$D$197,TALLY!A17)</f>
        <v>1</v>
      </c>
      <c r="K17" s="11">
        <f>COUNTIF('TT '!$D$204:$D$216,TALLY!A17)</f>
        <v>0</v>
      </c>
      <c r="L17" s="11">
        <f>COUNTIF('TT '!$D$223:$D$235,TALLY!A17)</f>
        <v>0</v>
      </c>
      <c r="M17" s="11">
        <f>COUNTIF('TT '!$D$242:$D$257,TALLY!A17)</f>
        <v>0</v>
      </c>
      <c r="N17" s="11">
        <f>COUNTIF('TT '!$D$264:$D$276,TALLY!A17)</f>
        <v>0</v>
      </c>
      <c r="O17" s="8" t="e">
        <f>COUNTIF([8]TT!$D$36:$D$41,$A17)</f>
        <v>#VALUE!</v>
      </c>
      <c r="P17" s="12">
        <f>COUNTIF('TT '!$D$283:$D$294,TALLY!A17)</f>
        <v>0</v>
      </c>
      <c r="Q17" s="12">
        <f>COUNTIF('TT '!$D$301:$D$317,TALLY!A17)</f>
        <v>0</v>
      </c>
      <c r="R17" s="302">
        <f>COUNTIF('TT '!$D$324:$D$339,TALLY!A17)</f>
        <v>0</v>
      </c>
      <c r="S17" s="12">
        <f>COUNTIF('TT '!$D$346:$D$362,TALLY!A17)</f>
        <v>0</v>
      </c>
      <c r="T17" s="12">
        <f>COUNTIF('TT '!$D$369:$D$383,TALLY!A17)</f>
        <v>1</v>
      </c>
      <c r="U17" s="12">
        <f>COUNTIF('TT '!$D$390:$D$409,TALLY!A17)</f>
        <v>0</v>
      </c>
      <c r="V17" s="8" t="e">
        <f>COUNTIF([8]TT!$D$36:$D$41,$A17)</f>
        <v>#VALUE!</v>
      </c>
      <c r="W17" s="11">
        <f>COUNTIF('TT '!$D$416:$D$429,TALLY!A17)</f>
        <v>0</v>
      </c>
      <c r="X17" s="11">
        <f>COUNTIF('TT '!$D$436:$D$449,TALLY!A17)</f>
        <v>1</v>
      </c>
      <c r="Y17" s="11">
        <f>COUNTIF('TT '!$D$456:$D$474,TALLY!A17)</f>
        <v>0</v>
      </c>
      <c r="Z17" s="11">
        <f>COUNTIF('TT '!$D$481:$D$495,TALLY!A17)</f>
        <v>1</v>
      </c>
      <c r="AA17" s="11">
        <f>COUNTIF('TT '!$D$502:$D$519,TALLY!A17)</f>
        <v>0</v>
      </c>
      <c r="AB17" s="10">
        <f>COUNTIF('TT '!$D$526:$D$540,TALLY!A17)</f>
        <v>0</v>
      </c>
      <c r="AC17" s="8" t="e">
        <f>COUNTIF([8]TT!$D$36:$D$41,$A17)</f>
        <v>#VALUE!</v>
      </c>
      <c r="AD17" s="9">
        <f>COUNTIF('TT '!$D$547:$D$556,TALLY!A17)</f>
        <v>0</v>
      </c>
      <c r="AE17" s="9">
        <f>COUNTIF('TT '!$D$563:$D$577,TALLY!A17)</f>
        <v>0</v>
      </c>
      <c r="AF17" s="9">
        <f>COUNTIF('TT '!$D$584:$D$598,TALLY!A17)</f>
        <v>0</v>
      </c>
      <c r="AG17" s="9">
        <f>COUNTIF('TT '!$D$605:$D$617,TALLY!A17)</f>
        <v>1</v>
      </c>
      <c r="AH17" s="9">
        <f>COUNTIF('TT '!$D$624:$D$636,TALLY!A17)</f>
        <v>0</v>
      </c>
      <c r="AI17" s="9">
        <f>COUNTIF('TT '!$D$643:$D$654,TALLY!A17)</f>
        <v>0</v>
      </c>
      <c r="AJ17" s="8" t="e">
        <f>COUNTIF([8]TT!$D$36:$D$41,$A17)</f>
        <v>#VALUE!</v>
      </c>
      <c r="AK17" s="265" t="str">
        <f t="shared" si="5"/>
        <v>100010010000000010010100000100</v>
      </c>
      <c r="AL17" s="1">
        <f t="shared" si="0"/>
        <v>2</v>
      </c>
      <c r="AM17" s="1">
        <f t="shared" si="1"/>
        <v>1</v>
      </c>
      <c r="AN17" s="1">
        <f t="shared" si="2"/>
        <v>1</v>
      </c>
      <c r="AO17" s="1">
        <f t="shared" si="3"/>
        <v>2</v>
      </c>
      <c r="AP17" s="1">
        <f t="shared" si="4"/>
        <v>1</v>
      </c>
    </row>
    <row r="18" spans="1:42" x14ac:dyDescent="0.35">
      <c r="A18" s="14" t="s">
        <v>104</v>
      </c>
      <c r="B18" s="9">
        <f>COUNTIF('TT '!$D$4:$D$31,TALLY!A18)</f>
        <v>0</v>
      </c>
      <c r="C18" s="9">
        <f>COUNTIF('TT '!$D$38:$D$49,TALLY!A18)</f>
        <v>0</v>
      </c>
      <c r="D18" s="9">
        <f>COUNTIF('TT '!$D$56:$D$78,TALLY!A18)</f>
        <v>0</v>
      </c>
      <c r="E18" s="9">
        <f>COUNTIF('TT '!$D$85:$D$105,TALLY!A18)</f>
        <v>1</v>
      </c>
      <c r="F18" s="9">
        <f>COUNTIF('TT '!$D$112:$D$126,TALLY!A18)</f>
        <v>0</v>
      </c>
      <c r="G18" s="9">
        <f>COUNTIF('TT '!$D$133:$D$147,TALLY!A18)</f>
        <v>0</v>
      </c>
      <c r="H18" s="9">
        <f>COUNTIF('TT '!$D$4:$D$31,TALLY!G18)</f>
        <v>0</v>
      </c>
      <c r="I18" s="11">
        <f>COUNTIF('TT '!$D$154:$D$173,TALLY!A18)</f>
        <v>0</v>
      </c>
      <c r="J18" s="11">
        <f>COUNTIF('TT '!$D$180:$D$197,TALLY!A18)</f>
        <v>1</v>
      </c>
      <c r="K18" s="11">
        <f>COUNTIF('TT '!$D$204:$D$216,TALLY!A18)</f>
        <v>0</v>
      </c>
      <c r="L18" s="11">
        <f>COUNTIF('TT '!$D$223:$D$235,TALLY!A18)</f>
        <v>0</v>
      </c>
      <c r="M18" s="11">
        <f>COUNTIF('TT '!$D$242:$D$257,TALLY!A18)</f>
        <v>1</v>
      </c>
      <c r="N18" s="11">
        <f>COUNTIF('TT '!$D$264:$D$276,TALLY!A18)</f>
        <v>0</v>
      </c>
      <c r="O18" s="8" t="e">
        <f>COUNTIF([8]TT!$D$36:$D$41,$A18)</f>
        <v>#VALUE!</v>
      </c>
      <c r="P18" s="12">
        <f>COUNTIF('TT '!$D$283:$D$294,TALLY!A18)</f>
        <v>0</v>
      </c>
      <c r="Q18" s="12">
        <f>COUNTIF('TT '!$D$301:$D$317,TALLY!A18)</f>
        <v>0</v>
      </c>
      <c r="R18" s="302">
        <f>COUNTIF('TT '!$D$324:$D$339,TALLY!A18)</f>
        <v>0</v>
      </c>
      <c r="S18" s="12">
        <f>COUNTIF('TT '!$D$346:$D$362,TALLY!A18)</f>
        <v>0</v>
      </c>
      <c r="T18" s="12">
        <f>COUNTIF('TT '!$D$369:$D$383,TALLY!A18)</f>
        <v>1</v>
      </c>
      <c r="U18" s="12">
        <f>COUNTIF('TT '!$D$390:$D$409,TALLY!A18)</f>
        <v>0</v>
      </c>
      <c r="V18" s="8" t="e">
        <f>COUNTIF([8]TT!$D$36:$D$41,$A18)</f>
        <v>#VALUE!</v>
      </c>
      <c r="W18" s="11">
        <f>COUNTIF('TT '!$D$416:$D$429,TALLY!A18)</f>
        <v>0</v>
      </c>
      <c r="X18" s="11">
        <f>COUNTIF('TT '!$D$436:$D$449,TALLY!A18)</f>
        <v>0</v>
      </c>
      <c r="Y18" s="11">
        <f>COUNTIF('TT '!$D$456:$D$474,TALLY!A18)</f>
        <v>0</v>
      </c>
      <c r="Z18" s="11">
        <f>COUNTIF('TT '!$D$481:$D$495,TALLY!A18)</f>
        <v>1</v>
      </c>
      <c r="AA18" s="11">
        <f>COUNTIF('TT '!$D$502:$D$519,TALLY!A18)</f>
        <v>0</v>
      </c>
      <c r="AB18" s="10">
        <f>COUNTIF('TT '!$D$526:$D$540,TALLY!A18)</f>
        <v>0</v>
      </c>
      <c r="AC18" s="8" t="e">
        <f>COUNTIF([8]TT!$D$36:$D$41,$A18)</f>
        <v>#VALUE!</v>
      </c>
      <c r="AD18" s="9">
        <f>COUNTIF('TT '!$D$547:$D$556,TALLY!A18)</f>
        <v>0</v>
      </c>
      <c r="AE18" s="9">
        <f>COUNTIF('TT '!$D$563:$D$577,TALLY!A18)</f>
        <v>0</v>
      </c>
      <c r="AF18" s="9">
        <f>COUNTIF('TT '!$D$584:$D$598,TALLY!A18)</f>
        <v>0</v>
      </c>
      <c r="AG18" s="9">
        <f>COUNTIF('TT '!$D$605:$D$617,TALLY!A18)</f>
        <v>0</v>
      </c>
      <c r="AH18" s="9">
        <f>COUNTIF('TT '!$D$624:$D$636,TALLY!A18)</f>
        <v>1</v>
      </c>
      <c r="AI18" s="9">
        <f>COUNTIF('TT '!$D$643:$D$654,TALLY!A18)</f>
        <v>0</v>
      </c>
      <c r="AJ18" s="8" t="e">
        <f>COUNTIF([8]TT!$D$36:$D$41,$A18)</f>
        <v>#VALUE!</v>
      </c>
      <c r="AK18" s="265" t="str">
        <f t="shared" si="5"/>
        <v>000100010010000010000100000010</v>
      </c>
      <c r="AL18" s="1">
        <f t="shared" si="0"/>
        <v>1</v>
      </c>
      <c r="AM18" s="1">
        <f t="shared" si="1"/>
        <v>2</v>
      </c>
      <c r="AN18" s="1">
        <f t="shared" si="2"/>
        <v>1</v>
      </c>
      <c r="AO18" s="1">
        <f t="shared" si="3"/>
        <v>1</v>
      </c>
      <c r="AP18" s="1">
        <f t="shared" si="4"/>
        <v>1</v>
      </c>
    </row>
    <row r="19" spans="1:42" x14ac:dyDescent="0.35">
      <c r="A19" s="14" t="s">
        <v>1382</v>
      </c>
      <c r="B19" s="9">
        <f>COUNTIF('TT '!$D$4:$D$31,TALLY!A19)</f>
        <v>0</v>
      </c>
      <c r="C19" s="9">
        <f>COUNTIF('TT '!$D$38:$D$49,TALLY!A19)</f>
        <v>0</v>
      </c>
      <c r="D19" s="9">
        <f>COUNTIF('TT '!$D$56:$D$78,TALLY!A19)</f>
        <v>1</v>
      </c>
      <c r="E19" s="9">
        <f>COUNTIF('TT '!$D$85:$D$105,TALLY!A19)</f>
        <v>0</v>
      </c>
      <c r="F19" s="9">
        <f>COUNTIF('TT '!$D$112:$D$126,TALLY!A19)</f>
        <v>1</v>
      </c>
      <c r="G19" s="9">
        <f>COUNTIF('TT '!$D$133:$D$147,TALLY!A19)</f>
        <v>0</v>
      </c>
      <c r="H19" s="9">
        <f>COUNTIF('TT '!$D$4:$D$31,TALLY!G19)</f>
        <v>0</v>
      </c>
      <c r="I19" s="11">
        <f>COUNTIF('TT '!$D$154:$D$173,TALLY!A19)</f>
        <v>0</v>
      </c>
      <c r="J19" s="11">
        <f>COUNTIF('TT '!$D$180:$D$197,TALLY!A19)</f>
        <v>1</v>
      </c>
      <c r="K19" s="11">
        <f>COUNTIF('TT '!$D$204:$D$216,TALLY!A19)</f>
        <v>0</v>
      </c>
      <c r="L19" s="11">
        <f>COUNTIF('TT '!$D$223:$D$235,TALLY!A19)</f>
        <v>0</v>
      </c>
      <c r="M19" s="11">
        <f>COUNTIF('TT '!$D$242:$D$257,TALLY!A19)</f>
        <v>1</v>
      </c>
      <c r="N19" s="11">
        <f>COUNTIF('TT '!$D$264:$D$276,TALLY!A19)</f>
        <v>0</v>
      </c>
      <c r="O19" s="8" t="e">
        <f>COUNTIF([8]TT!$D$36:$D$41,$A19)</f>
        <v>#VALUE!</v>
      </c>
      <c r="P19" s="12">
        <f>COUNTIF('TT '!$D$283:$D$294,TALLY!A19)</f>
        <v>0</v>
      </c>
      <c r="Q19" s="12">
        <f>COUNTIF('TT '!$D$301:$D$317,TALLY!A19)</f>
        <v>0</v>
      </c>
      <c r="R19" s="302">
        <f>COUNTIF('TT '!$D$324:$D$339,TALLY!A19)</f>
        <v>0</v>
      </c>
      <c r="S19" s="12">
        <f>COUNTIF('TT '!$D$346:$D$362,TALLY!A19)</f>
        <v>0</v>
      </c>
      <c r="T19" s="12">
        <f>COUNTIF('TT '!$D$369:$D$383,TALLY!A19)</f>
        <v>1</v>
      </c>
      <c r="U19" s="12">
        <f>COUNTIF('TT '!$D$390:$D$409,TALLY!A19)</f>
        <v>0</v>
      </c>
      <c r="V19" s="8" t="e">
        <f>COUNTIF([8]TT!$D$36:$D$41,$A19)</f>
        <v>#VALUE!</v>
      </c>
      <c r="W19" s="11">
        <f>COUNTIF('TT '!$D$416:$D$429,TALLY!A19)</f>
        <v>0</v>
      </c>
      <c r="X19" s="11">
        <f>COUNTIF('TT '!$D$436:$D$449,TALLY!A19)</f>
        <v>0</v>
      </c>
      <c r="Y19" s="11">
        <f>COUNTIF('TT '!$D$456:$D$474,TALLY!A19)</f>
        <v>0</v>
      </c>
      <c r="Z19" s="11">
        <f>COUNTIF('TT '!$D$481:$D$495,TALLY!A19)</f>
        <v>1</v>
      </c>
      <c r="AA19" s="11">
        <f>COUNTIF('TT '!$D$502:$D$519,TALLY!A19)</f>
        <v>0</v>
      </c>
      <c r="AB19" s="10">
        <f>COUNTIF('TT '!$D$526:$D$540,TALLY!A19)</f>
        <v>0</v>
      </c>
      <c r="AC19" s="8" t="e">
        <f>COUNTIF([8]TT!$D$36:$D$41,$A19)</f>
        <v>#VALUE!</v>
      </c>
      <c r="AD19" s="9">
        <f>COUNTIF('TT '!$D$547:$D$556,TALLY!A19)</f>
        <v>0</v>
      </c>
      <c r="AE19" s="9">
        <f>COUNTIF('TT '!$D$563:$D$577,TALLY!A19)</f>
        <v>1</v>
      </c>
      <c r="AF19" s="9">
        <f>COUNTIF('TT '!$D$584:$D$598,TALLY!A19)</f>
        <v>0</v>
      </c>
      <c r="AG19" s="9">
        <f>COUNTIF('TT '!$D$605:$D$617,TALLY!A19)</f>
        <v>0</v>
      </c>
      <c r="AH19" s="9">
        <f>COUNTIF('TT '!$D$624:$D$636,TALLY!A19)</f>
        <v>0</v>
      </c>
      <c r="AI19" s="9">
        <f>COUNTIF('TT '!$D$643:$D$654,TALLY!A19)</f>
        <v>0</v>
      </c>
      <c r="AJ19" s="8" t="e">
        <f>COUNTIF([8]TT!$D$36:$D$41,$A19)</f>
        <v>#VALUE!</v>
      </c>
      <c r="AK19" s="265" t="str">
        <f t="shared" si="5"/>
        <v>001010010010000010000100010000</v>
      </c>
      <c r="AL19" s="1">
        <f t="shared" si="0"/>
        <v>2</v>
      </c>
      <c r="AM19" s="1">
        <f t="shared" si="1"/>
        <v>2</v>
      </c>
      <c r="AN19" s="1">
        <f t="shared" si="2"/>
        <v>1</v>
      </c>
      <c r="AO19" s="1">
        <f t="shared" si="3"/>
        <v>1</v>
      </c>
      <c r="AP19" s="1">
        <f t="shared" si="4"/>
        <v>1</v>
      </c>
    </row>
    <row r="20" spans="1:42" x14ac:dyDescent="0.35">
      <c r="A20" s="14" t="s">
        <v>183</v>
      </c>
      <c r="B20" s="9">
        <f>COUNTIF('TT '!$D$4:$D$31,TALLY!A20)</f>
        <v>0</v>
      </c>
      <c r="C20" s="9">
        <f>COUNTIF('TT '!$D$38:$D$49,TALLY!A20)</f>
        <v>0</v>
      </c>
      <c r="D20" s="9">
        <f>COUNTIF('TT '!$D$56:$D$78,TALLY!A20)</f>
        <v>1</v>
      </c>
      <c r="E20" s="9">
        <f>COUNTIF('TT '!$D$85:$D$105,TALLY!A20)</f>
        <v>0</v>
      </c>
      <c r="F20" s="9">
        <f>COUNTIF('TT '!$D$112:$D$126,TALLY!A20)</f>
        <v>0</v>
      </c>
      <c r="G20" s="9">
        <f>COUNTIF('TT '!$D$133:$D$147,TALLY!A20)</f>
        <v>0</v>
      </c>
      <c r="H20" s="9">
        <f>COUNTIF('TT '!$D$4:$D$31,TALLY!G20)</f>
        <v>0</v>
      </c>
      <c r="I20" s="11">
        <f>COUNTIF('TT '!$D$154:$D$173,TALLY!A20)</f>
        <v>0</v>
      </c>
      <c r="J20" s="11">
        <f>COUNTIF('TT '!$D$180:$D$197,TALLY!A20)</f>
        <v>1</v>
      </c>
      <c r="K20" s="11">
        <f>COUNTIF('TT '!$D$204:$D$216,TALLY!A20)</f>
        <v>0</v>
      </c>
      <c r="L20" s="11">
        <f>COUNTIF('TT '!$D$223:$D$235,TALLY!A20)</f>
        <v>0</v>
      </c>
      <c r="M20" s="11">
        <f>COUNTIF('TT '!$D$242:$D$257,TALLY!A20)</f>
        <v>1</v>
      </c>
      <c r="N20" s="11">
        <f>COUNTIF('TT '!$D$264:$D$276,TALLY!A20)</f>
        <v>0</v>
      </c>
      <c r="O20" s="8" t="e">
        <f>COUNTIF([8]TT!$D$36:$D$41,$A20)</f>
        <v>#VALUE!</v>
      </c>
      <c r="P20" s="12">
        <f>COUNTIF('TT '!$D$283:$D$294,TALLY!A20)</f>
        <v>0</v>
      </c>
      <c r="Q20" s="12">
        <f>COUNTIF('TT '!$D$301:$D$317,TALLY!A20)</f>
        <v>0</v>
      </c>
      <c r="R20" s="302">
        <f>COUNTIF('TT '!$D$324:$D$339,TALLY!A20)</f>
        <v>0</v>
      </c>
      <c r="S20" s="12">
        <f>COUNTIF('TT '!$D$346:$D$362,TALLY!A20)</f>
        <v>0</v>
      </c>
      <c r="T20" s="12">
        <f>COUNTIF('TT '!$D$369:$D$383,TALLY!A20)</f>
        <v>1</v>
      </c>
      <c r="U20" s="12">
        <f>COUNTIF('TT '!$D$390:$D$409,TALLY!A20)</f>
        <v>0</v>
      </c>
      <c r="V20" s="8" t="e">
        <f>COUNTIF([8]TT!$D$36:$D$41,$A20)</f>
        <v>#VALUE!</v>
      </c>
      <c r="W20" s="11">
        <f>COUNTIF('TT '!$D$416:$D$429,TALLY!A20)</f>
        <v>0</v>
      </c>
      <c r="X20" s="11">
        <f>COUNTIF('TT '!$D$436:$D$449,TALLY!A20)</f>
        <v>0</v>
      </c>
      <c r="Y20" s="11">
        <f>COUNTIF('TT '!$D$456:$D$474,TALLY!A20)</f>
        <v>0</v>
      </c>
      <c r="Z20" s="11">
        <f>COUNTIF('TT '!$D$481:$D$495,TALLY!A20)</f>
        <v>1</v>
      </c>
      <c r="AA20" s="11">
        <f>COUNTIF('TT '!$D$502:$D$519,TALLY!A20)</f>
        <v>0</v>
      </c>
      <c r="AB20" s="10">
        <f>COUNTIF('TT '!$D$526:$D$540,TALLY!A20)</f>
        <v>0</v>
      </c>
      <c r="AC20" s="8" t="e">
        <f>COUNTIF([8]TT!$D$36:$D$41,$A20)</f>
        <v>#VALUE!</v>
      </c>
      <c r="AD20" s="9">
        <f>COUNTIF('TT '!$D$547:$D$556,TALLY!A20)</f>
        <v>0</v>
      </c>
      <c r="AE20" s="9">
        <f>COUNTIF('TT '!$D$563:$D$577,TALLY!A20)</f>
        <v>0</v>
      </c>
      <c r="AF20" s="9">
        <f>COUNTIF('TT '!$D$584:$D$598,TALLY!A20)</f>
        <v>0</v>
      </c>
      <c r="AG20" s="9">
        <f>COUNTIF('TT '!$D$605:$D$617,TALLY!A20)</f>
        <v>1</v>
      </c>
      <c r="AH20" s="9">
        <f>COUNTIF('TT '!$D$624:$D$636,TALLY!A20)</f>
        <v>0</v>
      </c>
      <c r="AI20" s="9">
        <f>COUNTIF('TT '!$D$643:$D$654,TALLY!A20)</f>
        <v>0</v>
      </c>
      <c r="AJ20" s="8" t="e">
        <f>COUNTIF([8]TT!$D$36:$D$41,$A20)</f>
        <v>#VALUE!</v>
      </c>
      <c r="AK20" s="265" t="str">
        <f t="shared" si="5"/>
        <v>001000010010000010000100000100</v>
      </c>
      <c r="AL20" s="1">
        <f t="shared" si="0"/>
        <v>1</v>
      </c>
      <c r="AM20" s="1">
        <f t="shared" si="1"/>
        <v>2</v>
      </c>
      <c r="AN20" s="1">
        <f t="shared" si="2"/>
        <v>1</v>
      </c>
      <c r="AO20" s="1">
        <f t="shared" si="3"/>
        <v>1</v>
      </c>
      <c r="AP20" s="1">
        <f t="shared" si="4"/>
        <v>1</v>
      </c>
    </row>
    <row r="21" spans="1:42" x14ac:dyDescent="0.35">
      <c r="A21" s="13" t="s">
        <v>142</v>
      </c>
      <c r="B21" s="9">
        <f>COUNTIF('TT '!$D$4:$D$31,TALLY!A21)</f>
        <v>0</v>
      </c>
      <c r="C21" s="9">
        <f>COUNTIF('TT '!$D$38:$D$49,TALLY!A21)</f>
        <v>0</v>
      </c>
      <c r="D21" s="9">
        <f>COUNTIF('TT '!$D$56:$D$78,TALLY!A21)</f>
        <v>1</v>
      </c>
      <c r="E21" s="9">
        <f>COUNTIF('TT '!$D$85:$D$105,TALLY!A21)</f>
        <v>0</v>
      </c>
      <c r="F21" s="9">
        <f>COUNTIF('TT '!$D$112:$D$126,TALLY!A21)</f>
        <v>0</v>
      </c>
      <c r="G21" s="9">
        <f>COUNTIF('TT '!$D$133:$D$147,TALLY!A21)</f>
        <v>1</v>
      </c>
      <c r="H21" s="9">
        <f>COUNTIF('TT '!$D$4:$D$31,TALLY!G21)</f>
        <v>0</v>
      </c>
      <c r="I21" s="11">
        <f>COUNTIF('TT '!$D$154:$D$173,TALLY!A21)</f>
        <v>0</v>
      </c>
      <c r="J21" s="11">
        <f>COUNTIF('TT '!$D$180:$D$197,TALLY!A21)</f>
        <v>0</v>
      </c>
      <c r="K21" s="11">
        <f>COUNTIF('TT '!$D$204:$D$216,TALLY!A21)</f>
        <v>0</v>
      </c>
      <c r="L21" s="11">
        <f>COUNTIF('TT '!$D$223:$D$235,TALLY!A21)</f>
        <v>1</v>
      </c>
      <c r="M21" s="11">
        <f>COUNTIF('TT '!$D$242:$D$257,TALLY!A21)</f>
        <v>0</v>
      </c>
      <c r="N21" s="11">
        <f>COUNTIF('TT '!$D$264:$D$276,TALLY!A21)</f>
        <v>0</v>
      </c>
      <c r="O21" s="8" t="e">
        <f>COUNTIF([8]TT!$D$36:$D$41,$A21)</f>
        <v>#VALUE!</v>
      </c>
      <c r="P21" s="12">
        <f>COUNTIF('TT '!$D$283:$D$294,TALLY!A21)</f>
        <v>0</v>
      </c>
      <c r="Q21" s="12">
        <f>COUNTIF('TT '!$D$301:$D$317,TALLY!A21)</f>
        <v>0</v>
      </c>
      <c r="R21" s="302">
        <f>COUNTIF('TT '!$D$324:$D$339,TALLY!A21)</f>
        <v>0</v>
      </c>
      <c r="S21" s="12">
        <f>COUNTIF('TT '!$D$346:$D$362,TALLY!A21)</f>
        <v>0</v>
      </c>
      <c r="T21" s="12">
        <f>COUNTIF('TT '!$D$369:$D$383,TALLY!A21)</f>
        <v>0</v>
      </c>
      <c r="U21" s="12">
        <f>COUNTIF('TT '!$D$390:$D$409,TALLY!A21)</f>
        <v>1</v>
      </c>
      <c r="V21" s="8" t="e">
        <f>COUNTIF([8]TT!$D$36:$D$41,$A21)</f>
        <v>#VALUE!</v>
      </c>
      <c r="W21" s="11">
        <f>COUNTIF('TT '!$D$416:$D$429,TALLY!A21)</f>
        <v>1</v>
      </c>
      <c r="X21" s="11">
        <f>COUNTIF('TT '!$D$436:$D$449,TALLY!A21)</f>
        <v>0</v>
      </c>
      <c r="Y21" s="11">
        <f>COUNTIF('TT '!$D$456:$D$474,TALLY!A21)</f>
        <v>0</v>
      </c>
      <c r="Z21" s="11">
        <f>COUNTIF('TT '!$D$481:$D$495,TALLY!A21)</f>
        <v>0</v>
      </c>
      <c r="AA21" s="11">
        <f>COUNTIF('TT '!$D$502:$D$519,TALLY!A21)</f>
        <v>0</v>
      </c>
      <c r="AB21" s="10">
        <f>COUNTIF('TT '!$D$526:$D$540,TALLY!A21)</f>
        <v>0</v>
      </c>
      <c r="AC21" s="8" t="e">
        <f>COUNTIF([8]TT!$D$36:$D$41,$A21)</f>
        <v>#VALUE!</v>
      </c>
      <c r="AD21" s="9">
        <f>COUNTIF('TT '!$D$547:$D$556,TALLY!A21)</f>
        <v>0</v>
      </c>
      <c r="AE21" s="9">
        <f>COUNTIF('TT '!$D$563:$D$577,TALLY!A21)</f>
        <v>0</v>
      </c>
      <c r="AF21" s="9">
        <f>COUNTIF('TT '!$D$584:$D$598,TALLY!A21)</f>
        <v>0</v>
      </c>
      <c r="AG21" s="9">
        <f>COUNTIF('TT '!$D$605:$D$617,TALLY!A21)</f>
        <v>1</v>
      </c>
      <c r="AH21" s="9">
        <f>COUNTIF('TT '!$D$624:$D$636,TALLY!A21)</f>
        <v>0</v>
      </c>
      <c r="AI21" s="9">
        <f>COUNTIF('TT '!$D$643:$D$654,TALLY!A21)</f>
        <v>0</v>
      </c>
      <c r="AJ21" s="8" t="e">
        <f>COUNTIF([8]TT!$D$36:$D$41,$A21)</f>
        <v>#VALUE!</v>
      </c>
      <c r="AK21" s="265" t="str">
        <f t="shared" si="5"/>
        <v>001001000100000001100000000100</v>
      </c>
      <c r="AL21" s="1">
        <f t="shared" si="0"/>
        <v>2</v>
      </c>
      <c r="AM21" s="1">
        <f t="shared" si="1"/>
        <v>1</v>
      </c>
      <c r="AN21" s="1">
        <f t="shared" si="2"/>
        <v>1</v>
      </c>
      <c r="AO21" s="1">
        <f t="shared" si="3"/>
        <v>1</v>
      </c>
      <c r="AP21" s="1">
        <f t="shared" si="4"/>
        <v>1</v>
      </c>
    </row>
    <row r="22" spans="1:42" x14ac:dyDescent="0.35">
      <c r="A22" s="13" t="s">
        <v>140</v>
      </c>
      <c r="B22" s="9">
        <f>COUNTIF('TT '!$D$4:$D$31,TALLY!A22)</f>
        <v>0</v>
      </c>
      <c r="C22" s="9">
        <f>COUNTIF('TT '!$D$38:$D$49,TALLY!A22)</f>
        <v>0</v>
      </c>
      <c r="D22" s="9">
        <f>COUNTIF('TT '!$D$56:$D$78,TALLY!A22)</f>
        <v>0</v>
      </c>
      <c r="E22" s="9">
        <f>COUNTIF('TT '!$D$85:$D$105,TALLY!A22)</f>
        <v>0</v>
      </c>
      <c r="F22" s="9">
        <f>COUNTIF('TT '!$D$112:$D$126,TALLY!A22)</f>
        <v>0</v>
      </c>
      <c r="G22" s="9">
        <f>COUNTIF('TT '!$D$133:$D$147,TALLY!A22)</f>
        <v>1</v>
      </c>
      <c r="H22" s="9">
        <f>COUNTIF('TT '!$D$4:$D$31,TALLY!G22)</f>
        <v>0</v>
      </c>
      <c r="I22" s="11">
        <f>COUNTIF('TT '!$D$154:$D$173,TALLY!A22)</f>
        <v>0</v>
      </c>
      <c r="J22" s="11">
        <f>COUNTIF('TT '!$D$180:$D$197,TALLY!A22)</f>
        <v>0</v>
      </c>
      <c r="K22" s="11">
        <f>COUNTIF('TT '!$D$204:$D$216,TALLY!A22)</f>
        <v>0</v>
      </c>
      <c r="L22" s="11">
        <f>COUNTIF('TT '!$D$223:$D$235,TALLY!A22)</f>
        <v>1</v>
      </c>
      <c r="M22" s="11">
        <f>COUNTIF('TT '!$D$242:$D$257,TALLY!A22)</f>
        <v>0</v>
      </c>
      <c r="N22" s="11">
        <f>COUNTIF('TT '!$D$264:$D$276,TALLY!A22)</f>
        <v>0</v>
      </c>
      <c r="O22" s="8" t="e">
        <f>COUNTIF([8]TT!$D$36:$D$41,$A22)</f>
        <v>#VALUE!</v>
      </c>
      <c r="P22" s="12">
        <f>COUNTIF('TT '!$D$283:$D$294,TALLY!A22)</f>
        <v>1</v>
      </c>
      <c r="Q22" s="12">
        <f>COUNTIF('TT '!$D$301:$D$317,TALLY!A22)</f>
        <v>0</v>
      </c>
      <c r="R22" s="302">
        <f>COUNTIF('TT '!$D$324:$D$339,TALLY!A22)</f>
        <v>0</v>
      </c>
      <c r="S22" s="12">
        <f>COUNTIF('TT '!$D$346:$D$362,TALLY!A22)</f>
        <v>0</v>
      </c>
      <c r="T22" s="12">
        <f>COUNTIF('TT '!$D$369:$D$383,TALLY!A22)</f>
        <v>0</v>
      </c>
      <c r="U22" s="12">
        <f>COUNTIF('TT '!$D$390:$D$409,TALLY!A22)</f>
        <v>1</v>
      </c>
      <c r="V22" s="8" t="e">
        <f>COUNTIF([8]TT!$D$36:$D$41,$A22)</f>
        <v>#VALUE!</v>
      </c>
      <c r="W22" s="11">
        <f>COUNTIF('TT '!$D$416:$D$429,TALLY!A22)</f>
        <v>0</v>
      </c>
      <c r="X22" s="11">
        <f>COUNTIF('TT '!$D$436:$D$449,TALLY!A22)</f>
        <v>0</v>
      </c>
      <c r="Y22" s="11">
        <f>COUNTIF('TT '!$D$456:$D$474,TALLY!A22)</f>
        <v>0</v>
      </c>
      <c r="Z22" s="11">
        <f>COUNTIF('TT '!$D$481:$D$495,TALLY!A22)</f>
        <v>0</v>
      </c>
      <c r="AA22" s="11">
        <f>COUNTIF('TT '!$D$502:$D$519,TALLY!A22)</f>
        <v>1</v>
      </c>
      <c r="AB22" s="10">
        <f>COUNTIF('TT '!$D$526:$D$540,TALLY!A22)</f>
        <v>0</v>
      </c>
      <c r="AC22" s="8" t="e">
        <f>COUNTIF([8]TT!$D$36:$D$41,$A22)</f>
        <v>#VALUE!</v>
      </c>
      <c r="AD22" s="9">
        <f>COUNTIF('TT '!$D$547:$D$556,TALLY!A22)</f>
        <v>0</v>
      </c>
      <c r="AE22" s="9">
        <f>COUNTIF('TT '!$D$563:$D$577,TALLY!A22)</f>
        <v>0</v>
      </c>
      <c r="AF22" s="9">
        <f>COUNTIF('TT '!$D$584:$D$598,TALLY!A22)</f>
        <v>0</v>
      </c>
      <c r="AG22" s="9">
        <f>COUNTIF('TT '!$D$605:$D$617,TALLY!A22)</f>
        <v>1</v>
      </c>
      <c r="AH22" s="9">
        <f>COUNTIF('TT '!$D$624:$D$636,TALLY!A22)</f>
        <v>0</v>
      </c>
      <c r="AI22" s="9">
        <f>COUNTIF('TT '!$D$643:$D$654,TALLY!A22)</f>
        <v>0</v>
      </c>
      <c r="AJ22" s="8" t="e">
        <f>COUNTIF([8]TT!$D$36:$D$41,$A22)</f>
        <v>#VALUE!</v>
      </c>
      <c r="AK22" s="265" t="str">
        <f t="shared" si="5"/>
        <v>000001000100100001000010000100</v>
      </c>
      <c r="AL22" s="1">
        <f t="shared" si="0"/>
        <v>1</v>
      </c>
      <c r="AM22" s="1">
        <f t="shared" si="1"/>
        <v>1</v>
      </c>
      <c r="AN22" s="1">
        <f t="shared" si="2"/>
        <v>2</v>
      </c>
      <c r="AO22" s="1">
        <f t="shared" si="3"/>
        <v>1</v>
      </c>
      <c r="AP22" s="1">
        <f t="shared" si="4"/>
        <v>1</v>
      </c>
    </row>
    <row r="23" spans="1:42" x14ac:dyDescent="0.35">
      <c r="A23" s="13" t="s">
        <v>26</v>
      </c>
      <c r="B23" s="9">
        <f>COUNTIF('TT '!$D$4:$D$31,TALLY!A23)</f>
        <v>0</v>
      </c>
      <c r="C23" s="9">
        <f>COUNTIF('TT '!$D$38:$D$49,TALLY!A23)</f>
        <v>0</v>
      </c>
      <c r="D23" s="9">
        <f>COUNTIF('TT '!$D$56:$D$78,TALLY!A23)</f>
        <v>0</v>
      </c>
      <c r="E23" s="9">
        <f>COUNTIF('TT '!$D$85:$D$105,TALLY!A23)</f>
        <v>0</v>
      </c>
      <c r="F23" s="9">
        <f>COUNTIF('TT '!$D$112:$D$126,TALLY!A23)</f>
        <v>0</v>
      </c>
      <c r="G23" s="9">
        <f>COUNTIF('TT '!$D$133:$D$147,TALLY!A23)</f>
        <v>0</v>
      </c>
      <c r="H23" s="9">
        <f>COUNTIF('TT '!$D$4:$D$31,TALLY!G23)</f>
        <v>0</v>
      </c>
      <c r="I23" s="11">
        <f>COUNTIF('TT '!$D$154:$D$173,TALLY!A23)</f>
        <v>1</v>
      </c>
      <c r="J23" s="11">
        <f>COUNTIF('TT '!$D$180:$D$197,TALLY!A23)</f>
        <v>0</v>
      </c>
      <c r="K23" s="11">
        <f>COUNTIF('TT '!$D$204:$D$216,TALLY!A23)</f>
        <v>0</v>
      </c>
      <c r="L23" s="11">
        <f>COUNTIF('TT '!$D$223:$D$235,TALLY!A23)</f>
        <v>0</v>
      </c>
      <c r="M23" s="11">
        <f>COUNTIF('TT '!$D$242:$D$257,TALLY!A23)</f>
        <v>0</v>
      </c>
      <c r="N23" s="11">
        <f>COUNTIF('TT '!$D$264:$D$276,TALLY!A23)</f>
        <v>0</v>
      </c>
      <c r="O23" s="8" t="e">
        <f>COUNTIF([8]TT!$D$36:$D$41,$A23)</f>
        <v>#VALUE!</v>
      </c>
      <c r="P23" s="12">
        <f>COUNTIF('TT '!$D$283:$D$294,TALLY!A23)</f>
        <v>0</v>
      </c>
      <c r="Q23" s="12">
        <f>COUNTIF('TT '!$D$301:$D$317,TALLY!A23)</f>
        <v>0</v>
      </c>
      <c r="R23" s="302">
        <f>COUNTIF('TT '!$D$324:$D$339,TALLY!A23)</f>
        <v>1</v>
      </c>
      <c r="S23" s="12">
        <f>COUNTIF('TT '!$D$346:$D$362,TALLY!A23)</f>
        <v>0</v>
      </c>
      <c r="T23" s="12">
        <f>COUNTIF('TT '!$D$369:$D$383,TALLY!A23)</f>
        <v>0</v>
      </c>
      <c r="U23" s="12">
        <f>COUNTIF('TT '!$D$390:$D$409,TALLY!A23)</f>
        <v>0</v>
      </c>
      <c r="V23" s="8" t="e">
        <f>COUNTIF([8]TT!$D$36:$D$41,$A23)</f>
        <v>#VALUE!</v>
      </c>
      <c r="W23" s="11">
        <f>COUNTIF('TT '!$D$416:$D$429,TALLY!A23)</f>
        <v>0</v>
      </c>
      <c r="X23" s="11">
        <f>COUNTIF('TT '!$D$436:$D$449,TALLY!A23)</f>
        <v>0</v>
      </c>
      <c r="Y23" s="11">
        <f>COUNTIF('TT '!$D$456:$D$474,TALLY!A23)</f>
        <v>1</v>
      </c>
      <c r="Z23" s="11">
        <f>COUNTIF('TT '!$D$481:$D$495,TALLY!A23)</f>
        <v>0</v>
      </c>
      <c r="AA23" s="11">
        <f>COUNTIF('TT '!$D$502:$D$519,TALLY!A23)</f>
        <v>1</v>
      </c>
      <c r="AB23" s="10">
        <f>COUNTIF('TT '!$D$526:$D$540,TALLY!A23)</f>
        <v>0</v>
      </c>
      <c r="AC23" s="8" t="e">
        <f>COUNTIF([8]TT!$D$36:$D$41,$A23)</f>
        <v>#VALUE!</v>
      </c>
      <c r="AD23" s="9">
        <f>COUNTIF('TT '!$D$547:$D$556,TALLY!A23)</f>
        <v>0</v>
      </c>
      <c r="AE23" s="9">
        <f>COUNTIF('TT '!$D$563:$D$577,TALLY!A23)</f>
        <v>0</v>
      </c>
      <c r="AF23" s="9">
        <f>COUNTIF('TT '!$D$584:$D$598,TALLY!A23)</f>
        <v>0</v>
      </c>
      <c r="AG23" s="9">
        <f>COUNTIF('TT '!$D$605:$D$617,TALLY!A23)</f>
        <v>0</v>
      </c>
      <c r="AH23" s="9">
        <f>COUNTIF('TT '!$D$624:$D$636,TALLY!A23)</f>
        <v>0</v>
      </c>
      <c r="AI23" s="9">
        <f>COUNTIF('TT '!$D$643:$D$654,TALLY!A23)</f>
        <v>0</v>
      </c>
      <c r="AJ23" s="8" t="e">
        <f>COUNTIF([8]TT!$D$36:$D$41,$A23)</f>
        <v>#VALUE!</v>
      </c>
      <c r="AK23" s="265" t="str">
        <f t="shared" si="5"/>
        <v>000000100000001000001010000000</v>
      </c>
      <c r="AL23" s="1">
        <f t="shared" si="0"/>
        <v>0</v>
      </c>
      <c r="AM23" s="1">
        <f t="shared" si="1"/>
        <v>1</v>
      </c>
      <c r="AN23" s="1">
        <f t="shared" si="2"/>
        <v>1</v>
      </c>
      <c r="AO23" s="1">
        <f t="shared" si="3"/>
        <v>2</v>
      </c>
      <c r="AP23" s="1">
        <f t="shared" si="4"/>
        <v>0</v>
      </c>
    </row>
    <row r="24" spans="1:42" x14ac:dyDescent="0.35">
      <c r="A24" s="13" t="s">
        <v>29</v>
      </c>
      <c r="B24" s="9">
        <f>COUNTIF('TT '!$D$4:$D$31,TALLY!A24)</f>
        <v>1</v>
      </c>
      <c r="C24" s="9">
        <f>COUNTIF('TT '!$D$38:$D$49,TALLY!A24)</f>
        <v>0</v>
      </c>
      <c r="D24" s="9">
        <f>COUNTIF('TT '!$D$56:$D$78,TALLY!A24)</f>
        <v>0</v>
      </c>
      <c r="E24" s="9">
        <f>COUNTIF('TT '!$D$85:$D$105,TALLY!A24)</f>
        <v>1</v>
      </c>
      <c r="F24" s="9">
        <f>COUNTIF('TT '!$D$112:$D$126,TALLY!A24)</f>
        <v>0</v>
      </c>
      <c r="G24" s="9">
        <f>COUNTIF('TT '!$D$133:$D$147,TALLY!A24)</f>
        <v>0</v>
      </c>
      <c r="H24" s="9">
        <f>COUNTIF('TT '!$D$4:$D$31,TALLY!G24)</f>
        <v>0</v>
      </c>
      <c r="I24" s="11">
        <f>COUNTIF('TT '!$D$154:$D$173,TALLY!A24)</f>
        <v>1</v>
      </c>
      <c r="J24" s="11">
        <f>COUNTIF('TT '!$D$180:$D$197,TALLY!A24)</f>
        <v>0</v>
      </c>
      <c r="K24" s="11">
        <f>COUNTIF('TT '!$D$204:$D$216,TALLY!A24)</f>
        <v>0</v>
      </c>
      <c r="L24" s="11">
        <f>COUNTIF('TT '!$D$223:$D$235,TALLY!A24)</f>
        <v>0</v>
      </c>
      <c r="M24" s="11">
        <f>COUNTIF('TT '!$D$242:$D$257,TALLY!A24)</f>
        <v>0</v>
      </c>
      <c r="N24" s="11">
        <f>COUNTIF('TT '!$D$264:$D$276,TALLY!A24)</f>
        <v>0</v>
      </c>
      <c r="O24" s="8" t="e">
        <f>COUNTIF([8]TT!$D$36:$D$41,$A24)</f>
        <v>#VALUE!</v>
      </c>
      <c r="P24" s="12">
        <f>COUNTIF('TT '!$D$283:$D$294,TALLY!A24)</f>
        <v>0</v>
      </c>
      <c r="Q24" s="12">
        <f>COUNTIF('TT '!$D$301:$D$317,TALLY!A24)</f>
        <v>1</v>
      </c>
      <c r="R24" s="302">
        <f>COUNTIF('TT '!$D$324:$D$339,TALLY!A24)</f>
        <v>0</v>
      </c>
      <c r="S24" s="12">
        <f>COUNTIF('TT '!$D$346:$D$362,TALLY!A24)</f>
        <v>0</v>
      </c>
      <c r="T24" s="12">
        <f>COUNTIF('TT '!$D$369:$D$383,TALLY!A24)</f>
        <v>0</v>
      </c>
      <c r="U24" s="12">
        <f>COUNTIF('TT '!$D$390:$D$409,TALLY!A24)</f>
        <v>1</v>
      </c>
      <c r="V24" s="8" t="e">
        <f>COUNTIF([8]TT!$D$36:$D$41,$A24)</f>
        <v>#VALUE!</v>
      </c>
      <c r="W24" s="11">
        <f>COUNTIF('TT '!$D$416:$D$429,TALLY!A24)</f>
        <v>0</v>
      </c>
      <c r="X24" s="11">
        <f>COUNTIF('TT '!$D$436:$D$449,TALLY!A24)</f>
        <v>1</v>
      </c>
      <c r="Y24" s="11">
        <f>COUNTIF('TT '!$D$456:$D$474,TALLY!A24)</f>
        <v>0</v>
      </c>
      <c r="Z24" s="11">
        <f>COUNTIF('TT '!$D$481:$D$495,TALLY!A24)</f>
        <v>0</v>
      </c>
      <c r="AA24" s="11">
        <f>COUNTIF('TT '!$D$502:$D$519,TALLY!A24)</f>
        <v>0</v>
      </c>
      <c r="AB24" s="10">
        <f>COUNTIF('TT '!$D$526:$D$540,TALLY!A24)</f>
        <v>0</v>
      </c>
      <c r="AC24" s="8" t="e">
        <f>COUNTIF([8]TT!$D$36:$D$41,$A24)</f>
        <v>#VALUE!</v>
      </c>
      <c r="AD24" s="9">
        <f>COUNTIF('TT '!$D$547:$D$556,TALLY!A24)</f>
        <v>1</v>
      </c>
      <c r="AE24" s="9">
        <f>COUNTIF('TT '!$D$563:$D$577,TALLY!A24)</f>
        <v>0</v>
      </c>
      <c r="AF24" s="9">
        <f>COUNTIF('TT '!$D$584:$D$598,TALLY!A24)</f>
        <v>0</v>
      </c>
      <c r="AG24" s="9">
        <f>COUNTIF('TT '!$D$605:$D$617,TALLY!A24)</f>
        <v>0</v>
      </c>
      <c r="AH24" s="9">
        <f>COUNTIF('TT '!$D$624:$D$636,TALLY!A24)</f>
        <v>1</v>
      </c>
      <c r="AI24" s="9">
        <f>COUNTIF('TT '!$D$643:$D$654,TALLY!A24)</f>
        <v>0</v>
      </c>
      <c r="AJ24" s="8" t="e">
        <f>COUNTIF([8]TT!$D$36:$D$41,$A24)</f>
        <v>#VALUE!</v>
      </c>
      <c r="AK24" s="265" t="str">
        <f t="shared" si="5"/>
        <v>100100100000010001010000100010</v>
      </c>
      <c r="AL24" s="1">
        <f t="shared" si="0"/>
        <v>2</v>
      </c>
      <c r="AM24" s="1">
        <f t="shared" si="1"/>
        <v>1</v>
      </c>
      <c r="AN24" s="1">
        <f t="shared" si="2"/>
        <v>2</v>
      </c>
      <c r="AO24" s="1">
        <f t="shared" si="3"/>
        <v>1</v>
      </c>
      <c r="AP24" s="1">
        <f t="shared" si="4"/>
        <v>2</v>
      </c>
    </row>
    <row r="25" spans="1:42" x14ac:dyDescent="0.35">
      <c r="A25" s="13" t="s">
        <v>101</v>
      </c>
      <c r="B25" s="9">
        <f>COUNTIF('TT '!$D$4:$D$31,TALLY!A25)</f>
        <v>1</v>
      </c>
      <c r="C25" s="9">
        <f>COUNTIF('TT '!$D$38:$D$49,TALLY!A25)</f>
        <v>0</v>
      </c>
      <c r="D25" s="9">
        <f>COUNTIF('TT '!$D$56:$D$78,TALLY!A25)</f>
        <v>0</v>
      </c>
      <c r="E25" s="9">
        <f>COUNTIF('TT '!$D$85:$D$105,TALLY!A25)</f>
        <v>1</v>
      </c>
      <c r="F25" s="9">
        <f>COUNTIF('TT '!$D$112:$D$126,TALLY!A25)</f>
        <v>0</v>
      </c>
      <c r="G25" s="9">
        <f>COUNTIF('TT '!$D$133:$D$147,TALLY!A25)</f>
        <v>0</v>
      </c>
      <c r="H25" s="9">
        <f>COUNTIF('TT '!$D$4:$D$31,TALLY!G25)</f>
        <v>0</v>
      </c>
      <c r="I25" s="11">
        <f>COUNTIF('TT '!$D$154:$D$173,TALLY!A25)</f>
        <v>0</v>
      </c>
      <c r="J25" s="11">
        <f>COUNTIF('TT '!$D$180:$D$197,TALLY!A25)</f>
        <v>0</v>
      </c>
      <c r="K25" s="11">
        <f>COUNTIF('TT '!$D$204:$D$216,TALLY!A25)</f>
        <v>0</v>
      </c>
      <c r="L25" s="11">
        <f>COUNTIF('TT '!$D$223:$D$235,TALLY!A25)</f>
        <v>1</v>
      </c>
      <c r="M25" s="11">
        <f>COUNTIF('TT '!$D$242:$D$257,TALLY!A25)</f>
        <v>0</v>
      </c>
      <c r="N25" s="11">
        <f>COUNTIF('TT '!$D$264:$D$276,TALLY!A25)</f>
        <v>0</v>
      </c>
      <c r="O25" s="8" t="e">
        <f>COUNTIF([8]TT!$D$36:$D$41,$A25)</f>
        <v>#VALUE!</v>
      </c>
      <c r="P25" s="12">
        <f>COUNTIF('TT '!$D$283:$D$294,TALLY!A25)</f>
        <v>0</v>
      </c>
      <c r="Q25" s="12">
        <f>COUNTIF('TT '!$D$301:$D$317,TALLY!A25)</f>
        <v>0</v>
      </c>
      <c r="R25" s="302">
        <f>COUNTIF('TT '!$D$324:$D$339,TALLY!A25)</f>
        <v>0</v>
      </c>
      <c r="S25" s="12">
        <f>COUNTIF('TT '!$D$346:$D$362,TALLY!A25)</f>
        <v>1</v>
      </c>
      <c r="T25" s="12">
        <f>COUNTIF('TT '!$D$369:$D$383,TALLY!A25)</f>
        <v>0</v>
      </c>
      <c r="U25" s="12">
        <f>COUNTIF('TT '!$D$390:$D$409,TALLY!A25)</f>
        <v>0</v>
      </c>
      <c r="V25" s="8" t="e">
        <f>COUNTIF([8]TT!$D$36:$D$41,$A25)</f>
        <v>#VALUE!</v>
      </c>
      <c r="W25" s="11">
        <f>COUNTIF('TT '!$D$416:$D$429,TALLY!A25)</f>
        <v>0</v>
      </c>
      <c r="X25" s="11">
        <f>COUNTIF('TT '!$D$436:$D$449,TALLY!A25)</f>
        <v>0</v>
      </c>
      <c r="Y25" s="11">
        <f>COUNTIF('TT '!$D$456:$D$474,TALLY!A25)</f>
        <v>1</v>
      </c>
      <c r="Z25" s="11">
        <f>COUNTIF('TT '!$D$481:$D$495,TALLY!A25)</f>
        <v>0</v>
      </c>
      <c r="AA25" s="11">
        <f>COUNTIF('TT '!$D$502:$D$519,TALLY!A25)</f>
        <v>0</v>
      </c>
      <c r="AB25" s="10">
        <f>COUNTIF('TT '!$D$526:$D$540,TALLY!A25)</f>
        <v>0</v>
      </c>
      <c r="AC25" s="8" t="e">
        <f>COUNTIF([8]TT!$D$36:$D$41,$A25)</f>
        <v>#VALUE!</v>
      </c>
      <c r="AD25" s="9">
        <f>COUNTIF('TT '!$D$547:$D$556,TALLY!A25)</f>
        <v>0</v>
      </c>
      <c r="AE25" s="9">
        <f>COUNTIF('TT '!$D$563:$D$577,TALLY!A25)</f>
        <v>1</v>
      </c>
      <c r="AF25" s="9">
        <f>COUNTIF('TT '!$D$584:$D$598,TALLY!A25)</f>
        <v>0</v>
      </c>
      <c r="AG25" s="9">
        <f>COUNTIF('TT '!$D$605:$D$617,TALLY!A25)</f>
        <v>0</v>
      </c>
      <c r="AH25" s="9">
        <f>COUNTIF('TT '!$D$624:$D$636,TALLY!A25)</f>
        <v>0</v>
      </c>
      <c r="AI25" s="9">
        <f>COUNTIF('TT '!$D$643:$D$654,TALLY!A25)</f>
        <v>0</v>
      </c>
      <c r="AJ25" s="8" t="e">
        <f>COUNTIF([8]TT!$D$36:$D$41,$A25)</f>
        <v>#VALUE!</v>
      </c>
      <c r="AK25" s="265" t="str">
        <f t="shared" si="5"/>
        <v>100100000100000100001000010000</v>
      </c>
      <c r="AL25" s="1">
        <f t="shared" si="0"/>
        <v>2</v>
      </c>
      <c r="AM25" s="1">
        <f t="shared" si="1"/>
        <v>1</v>
      </c>
      <c r="AN25" s="1">
        <f t="shared" si="2"/>
        <v>1</v>
      </c>
      <c r="AO25" s="1">
        <f t="shared" si="3"/>
        <v>1</v>
      </c>
      <c r="AP25" s="1">
        <f t="shared" si="4"/>
        <v>1</v>
      </c>
    </row>
    <row r="26" spans="1:42" x14ac:dyDescent="0.35">
      <c r="A26" s="13" t="s">
        <v>63</v>
      </c>
      <c r="B26" s="9">
        <f>COUNTIF('TT '!$D$4:$D$31,TALLY!A26)</f>
        <v>0</v>
      </c>
      <c r="C26" s="9">
        <f>COUNTIF('TT '!$D$38:$D$49,TALLY!A26)</f>
        <v>1</v>
      </c>
      <c r="D26" s="9">
        <f>COUNTIF('TT '!$D$56:$D$78,TALLY!A26)</f>
        <v>0</v>
      </c>
      <c r="E26" s="9">
        <f>COUNTIF('TT '!$D$85:$D$105,TALLY!A26)</f>
        <v>0</v>
      </c>
      <c r="F26" s="9">
        <f>COUNTIF('TT '!$D$112:$D$126,TALLY!A26)</f>
        <v>0</v>
      </c>
      <c r="G26" s="9">
        <f>COUNTIF('TT '!$D$133:$D$147,TALLY!A26)</f>
        <v>0</v>
      </c>
      <c r="H26" s="9">
        <f>COUNTIF('TT '!$D$4:$D$31,TALLY!G26)</f>
        <v>0</v>
      </c>
      <c r="I26" s="11">
        <f>COUNTIF('TT '!$D$154:$D$173,TALLY!A26)</f>
        <v>1</v>
      </c>
      <c r="J26" s="11">
        <f>COUNTIF('TT '!$D$180:$D$197,TALLY!A26)</f>
        <v>0</v>
      </c>
      <c r="K26" s="11">
        <f>COUNTIF('TT '!$D$204:$D$216,TALLY!A26)</f>
        <v>0</v>
      </c>
      <c r="L26" s="11">
        <f>COUNTIF('TT '!$D$223:$D$235,TALLY!A26)</f>
        <v>0</v>
      </c>
      <c r="M26" s="11">
        <f>COUNTIF('TT '!$D$242:$D$257,TALLY!A26)</f>
        <v>0</v>
      </c>
      <c r="N26" s="11">
        <f>COUNTIF('TT '!$D$264:$D$276,TALLY!A26)</f>
        <v>1</v>
      </c>
      <c r="O26" s="8" t="e">
        <f>COUNTIF([8]TT!$D$36:$D$41,$A26)</f>
        <v>#VALUE!</v>
      </c>
      <c r="P26" s="12">
        <f>COUNTIF('TT '!$D$283:$D$294,TALLY!A26)</f>
        <v>0</v>
      </c>
      <c r="Q26" s="12">
        <f>COUNTIF('TT '!$D$301:$D$317,TALLY!A26)</f>
        <v>0</v>
      </c>
      <c r="R26" s="302">
        <f>COUNTIF('TT '!$D$324:$D$339,TALLY!A26)</f>
        <v>1</v>
      </c>
      <c r="S26" s="12">
        <f>COUNTIF('TT '!$D$346:$D$362,TALLY!A26)</f>
        <v>0</v>
      </c>
      <c r="T26" s="12">
        <f>COUNTIF('TT '!$D$369:$D$383,TALLY!A26)</f>
        <v>0</v>
      </c>
      <c r="U26" s="12">
        <f>COUNTIF('TT '!$D$390:$D$409,TALLY!A26)</f>
        <v>0</v>
      </c>
      <c r="V26" s="8" t="e">
        <f>COUNTIF([8]TT!$D$36:$D$41,$A26)</f>
        <v>#VALUE!</v>
      </c>
      <c r="W26" s="11">
        <f>COUNTIF('TT '!$D$416:$D$429,TALLY!A26)</f>
        <v>0</v>
      </c>
      <c r="X26" s="11">
        <f>COUNTIF('TT '!$D$436:$D$449,TALLY!A26)</f>
        <v>1</v>
      </c>
      <c r="Y26" s="11">
        <f>COUNTIF('TT '!$D$456:$D$474,TALLY!A26)</f>
        <v>0</v>
      </c>
      <c r="Z26" s="11">
        <f>COUNTIF('TT '!$D$481:$D$495,TALLY!A26)</f>
        <v>0</v>
      </c>
      <c r="AA26" s="11">
        <f>COUNTIF('TT '!$D$502:$D$519,TALLY!A26)</f>
        <v>0</v>
      </c>
      <c r="AB26" s="10">
        <f>COUNTIF('TT '!$D$526:$D$540,TALLY!A26)</f>
        <v>1</v>
      </c>
      <c r="AC26" s="8" t="e">
        <f>COUNTIF([8]TT!$D$36:$D$41,$A26)</f>
        <v>#VALUE!</v>
      </c>
      <c r="AD26" s="9">
        <f>COUNTIF('TT '!$D$547:$D$556,TALLY!A26)</f>
        <v>0</v>
      </c>
      <c r="AE26" s="9">
        <f>COUNTIF('TT '!$D$563:$D$577,TALLY!A26)</f>
        <v>1</v>
      </c>
      <c r="AF26" s="9">
        <f>COUNTIF('TT '!$D$584:$D$598,TALLY!A26)</f>
        <v>0</v>
      </c>
      <c r="AG26" s="9">
        <f>COUNTIF('TT '!$D$605:$D$617,TALLY!A26)</f>
        <v>0</v>
      </c>
      <c r="AH26" s="9">
        <f>COUNTIF('TT '!$D$624:$D$636,TALLY!A26)</f>
        <v>0</v>
      </c>
      <c r="AI26" s="9">
        <f>COUNTIF('TT '!$D$643:$D$654,TALLY!A26)</f>
        <v>0</v>
      </c>
      <c r="AJ26" s="8" t="e">
        <f>COUNTIF([8]TT!$D$36:$D$41,$A26)</f>
        <v>#VALUE!</v>
      </c>
      <c r="AK26" s="265" t="str">
        <f t="shared" si="5"/>
        <v>010000100001001000010001010000</v>
      </c>
      <c r="AL26" s="1">
        <f t="shared" si="0"/>
        <v>1</v>
      </c>
      <c r="AM26" s="1">
        <f t="shared" si="1"/>
        <v>2</v>
      </c>
      <c r="AN26" s="1">
        <f t="shared" si="2"/>
        <v>1</v>
      </c>
      <c r="AO26" s="1">
        <f t="shared" si="3"/>
        <v>2</v>
      </c>
      <c r="AP26" s="1">
        <f t="shared" si="4"/>
        <v>1</v>
      </c>
    </row>
    <row r="27" spans="1:42" x14ac:dyDescent="0.35">
      <c r="A27" s="13" t="s">
        <v>30</v>
      </c>
      <c r="B27" s="9">
        <f>COUNTIF('TT '!$D$4:$D$31,TALLY!A27)</f>
        <v>1</v>
      </c>
      <c r="C27" s="9">
        <f>COUNTIF('TT '!$D$38:$D$49,TALLY!A27)</f>
        <v>0</v>
      </c>
      <c r="D27" s="9">
        <f>COUNTIF('TT '!$D$56:$D$78,TALLY!A27)</f>
        <v>0</v>
      </c>
      <c r="E27" s="9">
        <f>COUNTIF('TT '!$D$85:$D$105,TALLY!A27)</f>
        <v>0</v>
      </c>
      <c r="F27" s="9">
        <f>COUNTIF('TT '!$D$112:$D$126,TALLY!A27)</f>
        <v>1</v>
      </c>
      <c r="G27" s="9">
        <f>COUNTIF('TT '!$D$133:$D$147,TALLY!A27)</f>
        <v>0</v>
      </c>
      <c r="H27" s="9">
        <f>COUNTIF('TT '!$D$4:$D$31,TALLY!G27)</f>
        <v>0</v>
      </c>
      <c r="I27" s="11">
        <f>COUNTIF('TT '!$D$154:$D$173,TALLY!A27)</f>
        <v>0</v>
      </c>
      <c r="J27" s="11">
        <f>COUNTIF('TT '!$D$180:$D$197,TALLY!A27)</f>
        <v>0</v>
      </c>
      <c r="K27" s="11">
        <f>COUNTIF('TT '!$D$204:$D$216,TALLY!A27)</f>
        <v>0</v>
      </c>
      <c r="L27" s="11">
        <f>COUNTIF('TT '!$D$223:$D$235,TALLY!A27)</f>
        <v>1</v>
      </c>
      <c r="M27" s="11">
        <f>COUNTIF('TT '!$D$242:$D$257,TALLY!A27)</f>
        <v>0</v>
      </c>
      <c r="N27" s="11">
        <f>COUNTIF('TT '!$D$264:$D$276,TALLY!A27)</f>
        <v>0</v>
      </c>
      <c r="O27" s="8" t="e">
        <f>COUNTIF([8]TT!$D$36:$D$41,$A27)</f>
        <v>#VALUE!</v>
      </c>
      <c r="P27" s="12">
        <f>COUNTIF('TT '!$D$283:$D$294,TALLY!A27)</f>
        <v>0</v>
      </c>
      <c r="Q27" s="12">
        <f>COUNTIF('TT '!$D$301:$D$317,TALLY!A27)</f>
        <v>1</v>
      </c>
      <c r="R27" s="302">
        <f>COUNTIF('TT '!$D$324:$D$339,TALLY!A27)</f>
        <v>0</v>
      </c>
      <c r="S27" s="12">
        <f>COUNTIF('TT '!$D$346:$D$362,TALLY!A27)</f>
        <v>0</v>
      </c>
      <c r="T27" s="12">
        <f>COUNTIF('TT '!$D$369:$D$383,TALLY!A27)</f>
        <v>0</v>
      </c>
      <c r="U27" s="12">
        <f>COUNTIF('TT '!$D$390:$D$409,TALLY!A27)</f>
        <v>1</v>
      </c>
      <c r="V27" s="8" t="e">
        <f>COUNTIF([8]TT!$D$36:$D$41,$A27)</f>
        <v>#VALUE!</v>
      </c>
      <c r="W27" s="11">
        <f>COUNTIF('TT '!$D$416:$D$429,TALLY!A27)</f>
        <v>1</v>
      </c>
      <c r="X27" s="11">
        <f>COUNTIF('TT '!$D$436:$D$449,TALLY!A27)</f>
        <v>0</v>
      </c>
      <c r="Y27" s="11">
        <f>COUNTIF('TT '!$D$456:$D$474,TALLY!A27)</f>
        <v>0</v>
      </c>
      <c r="Z27" s="11">
        <f>COUNTIF('TT '!$D$481:$D$495,TALLY!A27)</f>
        <v>0</v>
      </c>
      <c r="AA27" s="11">
        <f>COUNTIF('TT '!$D$502:$D$519,TALLY!A27)</f>
        <v>0</v>
      </c>
      <c r="AB27" s="10">
        <f>COUNTIF('TT '!$D$526:$D$540,TALLY!A27)</f>
        <v>0</v>
      </c>
      <c r="AC27" s="8" t="e">
        <f>COUNTIF([8]TT!$D$36:$D$41,$A27)</f>
        <v>#VALUE!</v>
      </c>
      <c r="AD27" s="9">
        <f>COUNTIF('TT '!$D$547:$D$556,TALLY!A27)</f>
        <v>1</v>
      </c>
      <c r="AE27" s="9">
        <f>COUNTIF('TT '!$D$563:$D$577,TALLY!A27)</f>
        <v>0</v>
      </c>
      <c r="AF27" s="9">
        <f>COUNTIF('TT '!$D$584:$D$598,TALLY!A27)</f>
        <v>0</v>
      </c>
      <c r="AG27" s="9">
        <f>COUNTIF('TT '!$D$605:$D$617,TALLY!A27)</f>
        <v>1</v>
      </c>
      <c r="AH27" s="9">
        <f>COUNTIF('TT '!$D$624:$D$636,TALLY!A27)</f>
        <v>0</v>
      </c>
      <c r="AI27" s="9">
        <f>COUNTIF('TT '!$D$643:$D$654,TALLY!A27)</f>
        <v>0</v>
      </c>
      <c r="AJ27" s="8" t="e">
        <f>COUNTIF([8]TT!$D$36:$D$41,$A27)</f>
        <v>#VALUE!</v>
      </c>
      <c r="AK27" s="265" t="str">
        <f t="shared" si="5"/>
        <v>100010000100010001100000100100</v>
      </c>
      <c r="AL27" s="1">
        <f t="shared" si="0"/>
        <v>2</v>
      </c>
      <c r="AM27" s="1">
        <f t="shared" si="1"/>
        <v>1</v>
      </c>
      <c r="AN27" s="1">
        <f t="shared" si="2"/>
        <v>2</v>
      </c>
      <c r="AO27" s="1">
        <f t="shared" si="3"/>
        <v>1</v>
      </c>
      <c r="AP27" s="1">
        <f t="shared" si="4"/>
        <v>2</v>
      </c>
    </row>
    <row r="28" spans="1:42" x14ac:dyDescent="0.35">
      <c r="A28" s="13" t="s">
        <v>82</v>
      </c>
      <c r="B28" s="9">
        <f>COUNTIF('TT '!$D$4:$D$31,TALLY!A28)</f>
        <v>0</v>
      </c>
      <c r="C28" s="9">
        <f>COUNTIF('TT '!$D$38:$D$49,TALLY!A28)</f>
        <v>1</v>
      </c>
      <c r="D28" s="9">
        <f>COUNTIF('TT '!$D$56:$D$78,TALLY!A28)</f>
        <v>0</v>
      </c>
      <c r="E28" s="9">
        <f>COUNTIF('TT '!$D$85:$D$105,TALLY!A28)</f>
        <v>0</v>
      </c>
      <c r="F28" s="9">
        <f>COUNTIF('TT '!$D$112:$D$126,TALLY!A28)</f>
        <v>1</v>
      </c>
      <c r="G28" s="9">
        <f>COUNTIF('TT '!$D$133:$D$147,TALLY!A28)</f>
        <v>0</v>
      </c>
      <c r="H28" s="9">
        <f>COUNTIF('TT '!$D$4:$D$31,TALLY!G28)</f>
        <v>0</v>
      </c>
      <c r="I28" s="11">
        <f>COUNTIF('TT '!$D$154:$D$173,TALLY!A28)</f>
        <v>1</v>
      </c>
      <c r="J28" s="11">
        <f>COUNTIF('TT '!$D$180:$D$197,TALLY!A28)</f>
        <v>0</v>
      </c>
      <c r="K28" s="11">
        <f>COUNTIF('TT '!$D$204:$D$216,TALLY!A28)</f>
        <v>0</v>
      </c>
      <c r="L28" s="11">
        <f>COUNTIF('TT '!$D$223:$D$235,TALLY!A28)</f>
        <v>0</v>
      </c>
      <c r="M28" s="11">
        <f>COUNTIF('TT '!$D$242:$D$257,TALLY!A28)</f>
        <v>0</v>
      </c>
      <c r="N28" s="11">
        <f>COUNTIF('TT '!$D$264:$D$276,TALLY!A28)</f>
        <v>0</v>
      </c>
      <c r="O28" s="8" t="e">
        <f>COUNTIF([8]TT!$D$36:$D$41,$A28)</f>
        <v>#VALUE!</v>
      </c>
      <c r="P28" s="12">
        <f>COUNTIF('TT '!$D$283:$D$294,TALLY!A28)</f>
        <v>0</v>
      </c>
      <c r="Q28" s="12">
        <f>COUNTIF('TT '!$D$301:$D$317,TALLY!A28)</f>
        <v>1</v>
      </c>
      <c r="R28" s="302">
        <f>COUNTIF('TT '!$D$324:$D$339,TALLY!A28)</f>
        <v>0</v>
      </c>
      <c r="S28" s="12">
        <f>COUNTIF('TT '!$D$346:$D$362,TALLY!A28)</f>
        <v>0</v>
      </c>
      <c r="T28" s="12">
        <f>COUNTIF('TT '!$D$369:$D$383,TALLY!A28)</f>
        <v>0</v>
      </c>
      <c r="U28" s="12">
        <f>COUNTIF('TT '!$D$390:$D$409,TALLY!A28)</f>
        <v>1</v>
      </c>
      <c r="V28" s="8" t="e">
        <f>COUNTIF([8]TT!$D$36:$D$41,$A28)</f>
        <v>#VALUE!</v>
      </c>
      <c r="W28" s="11">
        <f>COUNTIF('TT '!$D$416:$D$429,TALLY!A28)</f>
        <v>0</v>
      </c>
      <c r="X28" s="11">
        <f>COUNTIF('TT '!$D$436:$D$449,TALLY!A28)</f>
        <v>0</v>
      </c>
      <c r="Y28" s="11">
        <f>COUNTIF('TT '!$D$456:$D$474,TALLY!A28)</f>
        <v>0</v>
      </c>
      <c r="Z28" s="11">
        <f>COUNTIF('TT '!$D$481:$D$495,TALLY!A28)</f>
        <v>0</v>
      </c>
      <c r="AA28" s="11">
        <f>COUNTIF('TT '!$D$502:$D$519,TALLY!A28)</f>
        <v>0</v>
      </c>
      <c r="AB28" s="10">
        <f>COUNTIF('TT '!$D$526:$D$540,TALLY!A28)</f>
        <v>0</v>
      </c>
      <c r="AC28" s="8" t="e">
        <f>COUNTIF([8]TT!$D$36:$D$41,$A28)</f>
        <v>#VALUE!</v>
      </c>
      <c r="AD28" s="9">
        <f>COUNTIF('TT '!$D$547:$D$556,TALLY!A28)</f>
        <v>1</v>
      </c>
      <c r="AE28" s="9">
        <f>COUNTIF('TT '!$D$563:$D$577,TALLY!A28)</f>
        <v>0</v>
      </c>
      <c r="AF28" s="9">
        <f>COUNTIF('TT '!$D$584:$D$598,TALLY!A28)</f>
        <v>0</v>
      </c>
      <c r="AG28" s="9">
        <f>COUNTIF('TT '!$D$605:$D$617,TALLY!A28)</f>
        <v>1</v>
      </c>
      <c r="AH28" s="9">
        <f>COUNTIF('TT '!$D$624:$D$636,TALLY!A28)</f>
        <v>0</v>
      </c>
      <c r="AI28" s="9">
        <f>COUNTIF('TT '!$D$643:$D$654,TALLY!A28)</f>
        <v>0</v>
      </c>
      <c r="AJ28" s="8" t="e">
        <f>COUNTIF([8]TT!$D$36:$D$41,$A28)</f>
        <v>#VALUE!</v>
      </c>
      <c r="AK28" s="265" t="str">
        <f t="shared" si="5"/>
        <v>010010100000010001000000100100</v>
      </c>
      <c r="AL28" s="1">
        <f t="shared" si="0"/>
        <v>2</v>
      </c>
      <c r="AM28" s="1">
        <f t="shared" si="1"/>
        <v>1</v>
      </c>
      <c r="AN28" s="1">
        <f t="shared" si="2"/>
        <v>2</v>
      </c>
      <c r="AO28" s="1">
        <f t="shared" si="3"/>
        <v>0</v>
      </c>
      <c r="AP28" s="1">
        <f t="shared" si="4"/>
        <v>2</v>
      </c>
    </row>
    <row r="29" spans="1:42" x14ac:dyDescent="0.35">
      <c r="A29" s="13" t="s">
        <v>126</v>
      </c>
      <c r="B29" s="9">
        <f>COUNTIF('TT '!$D$4:$D$31,TALLY!A29)</f>
        <v>1</v>
      </c>
      <c r="C29" s="9">
        <f>COUNTIF('TT '!$D$38:$D$49,TALLY!A29)</f>
        <v>0</v>
      </c>
      <c r="D29" s="9">
        <f>COUNTIF('TT '!$D$56:$D$78,TALLY!A29)</f>
        <v>0</v>
      </c>
      <c r="E29" s="9">
        <f>COUNTIF('TT '!$D$85:$D$105,TALLY!A29)</f>
        <v>0</v>
      </c>
      <c r="F29" s="9">
        <f>COUNTIF('TT '!$D$112:$D$126,TALLY!A29)</f>
        <v>1</v>
      </c>
      <c r="G29" s="9">
        <f>COUNTIF('TT '!$D$133:$D$147,TALLY!A29)</f>
        <v>0</v>
      </c>
      <c r="H29" s="9">
        <f>COUNTIF('TT '!$D$4:$D$31,TALLY!G29)</f>
        <v>0</v>
      </c>
      <c r="I29" s="11">
        <f>COUNTIF('TT '!$D$154:$D$173,TALLY!A29)</f>
        <v>0</v>
      </c>
      <c r="J29" s="11">
        <f>COUNTIF('TT '!$D$180:$D$197,TALLY!A29)</f>
        <v>0</v>
      </c>
      <c r="K29" s="11">
        <f>COUNTIF('TT '!$D$204:$D$216,TALLY!A29)</f>
        <v>0</v>
      </c>
      <c r="L29" s="11">
        <f>COUNTIF('TT '!$D$223:$D$235,TALLY!A29)</f>
        <v>1</v>
      </c>
      <c r="M29" s="11">
        <f>COUNTIF('TT '!$D$242:$D$257,TALLY!A29)</f>
        <v>0</v>
      </c>
      <c r="N29" s="11">
        <f>COUNTIF('TT '!$D$264:$D$276,TALLY!A29)</f>
        <v>0</v>
      </c>
      <c r="O29" s="8" t="e">
        <f>COUNTIF([8]TT!$D$36:$D$41,$A29)</f>
        <v>#VALUE!</v>
      </c>
      <c r="P29" s="12">
        <f>COUNTIF('TT '!$D$283:$D$294,TALLY!A29)</f>
        <v>0</v>
      </c>
      <c r="Q29" s="12">
        <f>COUNTIF('TT '!$D$301:$D$317,TALLY!A29)</f>
        <v>0</v>
      </c>
      <c r="R29" s="302">
        <f>COUNTIF('TT '!$D$324:$D$339,TALLY!A29)</f>
        <v>0</v>
      </c>
      <c r="S29" s="12">
        <f>COUNTIF('TT '!$D$346:$D$362,TALLY!A29)</f>
        <v>1</v>
      </c>
      <c r="T29" s="12">
        <f>COUNTIF('TT '!$D$369:$D$383,TALLY!A29)</f>
        <v>0</v>
      </c>
      <c r="U29" s="12">
        <f>COUNTIF('TT '!$D$390:$D$409,TALLY!A29)</f>
        <v>0</v>
      </c>
      <c r="V29" s="8" t="e">
        <f>COUNTIF([8]TT!$D$36:$D$41,$A29)</f>
        <v>#VALUE!</v>
      </c>
      <c r="W29" s="11">
        <f>COUNTIF('TT '!$D$416:$D$429,TALLY!A29)</f>
        <v>1</v>
      </c>
      <c r="X29" s="11">
        <f>COUNTIF('TT '!$D$436:$D$449,TALLY!A29)</f>
        <v>0</v>
      </c>
      <c r="Y29" s="11">
        <f>COUNTIF('TT '!$D$456:$D$474,TALLY!A29)</f>
        <v>0</v>
      </c>
      <c r="Z29" s="11">
        <f>COUNTIF('TT '!$D$481:$D$495,TALLY!A29)</f>
        <v>0</v>
      </c>
      <c r="AA29" s="11">
        <f>COUNTIF('TT '!$D$502:$D$519,TALLY!A29)</f>
        <v>0</v>
      </c>
      <c r="AB29" s="10">
        <f>COUNTIF('TT '!$D$526:$D$540,TALLY!A29)</f>
        <v>0</v>
      </c>
      <c r="AC29" s="8" t="e">
        <f>COUNTIF([8]TT!$D$36:$D$41,$A29)</f>
        <v>#VALUE!</v>
      </c>
      <c r="AD29" s="9">
        <f>COUNTIF('TT '!$D$547:$D$556,TALLY!A29)</f>
        <v>0</v>
      </c>
      <c r="AE29" s="9">
        <f>COUNTIF('TT '!$D$563:$D$577,TALLY!A29)</f>
        <v>1</v>
      </c>
      <c r="AF29" s="9">
        <f>COUNTIF('TT '!$D$584:$D$598,TALLY!A29)</f>
        <v>0</v>
      </c>
      <c r="AG29" s="9">
        <f>COUNTIF('TT '!$D$605:$D$617,TALLY!A29)</f>
        <v>0</v>
      </c>
      <c r="AH29" s="9">
        <f>COUNTIF('TT '!$D$624:$D$636,TALLY!A29)</f>
        <v>0</v>
      </c>
      <c r="AI29" s="9">
        <f>COUNTIF('TT '!$D$643:$D$654,TALLY!A29)</f>
        <v>0</v>
      </c>
      <c r="AJ29" s="8" t="e">
        <f>COUNTIF([8]TT!$D$36:$D$41,$A29)</f>
        <v>#VALUE!</v>
      </c>
      <c r="AK29" s="265" t="str">
        <f t="shared" si="5"/>
        <v>100010000100000100100000010000</v>
      </c>
      <c r="AL29" s="1">
        <f t="shared" si="0"/>
        <v>2</v>
      </c>
      <c r="AM29" s="1">
        <f t="shared" si="1"/>
        <v>1</v>
      </c>
      <c r="AN29" s="1">
        <f t="shared" si="2"/>
        <v>1</v>
      </c>
      <c r="AO29" s="1">
        <f t="shared" si="3"/>
        <v>1</v>
      </c>
      <c r="AP29" s="1">
        <f t="shared" si="4"/>
        <v>1</v>
      </c>
    </row>
    <row r="30" spans="1:42" x14ac:dyDescent="0.35">
      <c r="A30" s="13" t="s">
        <v>84</v>
      </c>
      <c r="B30" s="9">
        <f>COUNTIF('TT '!$D$4:$D$31,TALLY!A30)</f>
        <v>1</v>
      </c>
      <c r="C30" s="9">
        <f>COUNTIF('TT '!$D$38:$D$49,TALLY!A30)</f>
        <v>0</v>
      </c>
      <c r="D30" s="9">
        <f>COUNTIF('TT '!$D$56:$D$78,TALLY!A30)</f>
        <v>0</v>
      </c>
      <c r="E30" s="9">
        <f>COUNTIF('TT '!$D$85:$D$105,TALLY!A30)</f>
        <v>0</v>
      </c>
      <c r="F30" s="9">
        <f>COUNTIF('TT '!$D$112:$D$126,TALLY!A30)</f>
        <v>0</v>
      </c>
      <c r="G30" s="9">
        <f>COUNTIF('TT '!$D$133:$D$147,TALLY!A30)</f>
        <v>1</v>
      </c>
      <c r="H30" s="9">
        <f>COUNTIF('TT '!$D$4:$D$31,TALLY!G30)</f>
        <v>0</v>
      </c>
      <c r="I30" s="11">
        <f>COUNTIF('TT '!$D$154:$D$173,TALLY!A30)</f>
        <v>0</v>
      </c>
      <c r="J30" s="11">
        <f>COUNTIF('TT '!$D$180:$D$197,TALLY!A30)</f>
        <v>0</v>
      </c>
      <c r="K30" s="11">
        <f>COUNTIF('TT '!$D$204:$D$216,TALLY!A30)</f>
        <v>0</v>
      </c>
      <c r="L30" s="11">
        <f>COUNTIF('TT '!$D$223:$D$235,TALLY!A30)</f>
        <v>1</v>
      </c>
      <c r="M30" s="11">
        <f>COUNTIF('TT '!$D$242:$D$257,TALLY!A30)</f>
        <v>0</v>
      </c>
      <c r="N30" s="11">
        <f>COUNTIF('TT '!$D$264:$D$276,TALLY!A30)</f>
        <v>0</v>
      </c>
      <c r="O30" s="8" t="e">
        <f>COUNTIF([8]TT!$D$36:$D$41,$A30)</f>
        <v>#VALUE!</v>
      </c>
      <c r="P30" s="12">
        <f>COUNTIF('TT '!$D$283:$D$294,TALLY!A30)</f>
        <v>0</v>
      </c>
      <c r="Q30" s="12">
        <f>COUNTIF('TT '!$D$301:$D$317,TALLY!A30)</f>
        <v>0</v>
      </c>
      <c r="R30" s="302">
        <f>COUNTIF('TT '!$D$324:$D$339,TALLY!A30)</f>
        <v>1</v>
      </c>
      <c r="S30" s="12">
        <f>COUNTIF('TT '!$D$346:$D$362,TALLY!A30)</f>
        <v>0</v>
      </c>
      <c r="T30" s="12">
        <f>COUNTIF('TT '!$D$369:$D$383,TALLY!A30)</f>
        <v>1</v>
      </c>
      <c r="U30" s="12">
        <f>COUNTIF('TT '!$D$390:$D$409,TALLY!A30)</f>
        <v>0</v>
      </c>
      <c r="V30" s="8" t="e">
        <f>COUNTIF([8]TT!$D$36:$D$41,$A30)</f>
        <v>#VALUE!</v>
      </c>
      <c r="W30" s="11">
        <f>COUNTIF('TT '!$D$416:$D$429,TALLY!A30)</f>
        <v>0</v>
      </c>
      <c r="X30" s="11">
        <f>COUNTIF('TT '!$D$436:$D$449,TALLY!A30)</f>
        <v>0</v>
      </c>
      <c r="Y30" s="11">
        <f>COUNTIF('TT '!$D$456:$D$474,TALLY!A30)</f>
        <v>0</v>
      </c>
      <c r="Z30" s="11">
        <f>COUNTIF('TT '!$D$481:$D$495,TALLY!A30)</f>
        <v>0</v>
      </c>
      <c r="AA30" s="11">
        <f>COUNTIF('TT '!$D$502:$D$519,TALLY!A30)</f>
        <v>0</v>
      </c>
      <c r="AB30" s="10">
        <f>COUNTIF('TT '!$D$526:$D$540,TALLY!A30)</f>
        <v>1</v>
      </c>
      <c r="AC30" s="8" t="e">
        <f>COUNTIF([8]TT!$D$36:$D$41,$A30)</f>
        <v>#VALUE!</v>
      </c>
      <c r="AD30" s="9">
        <f>COUNTIF('TT '!$D$547:$D$556,TALLY!A30)</f>
        <v>0</v>
      </c>
      <c r="AE30" s="9">
        <f>COUNTIF('TT '!$D$563:$D$577,TALLY!A30)</f>
        <v>1</v>
      </c>
      <c r="AF30" s="9">
        <f>COUNTIF('TT '!$D$584:$D$598,TALLY!A30)</f>
        <v>0</v>
      </c>
      <c r="AG30" s="9">
        <f>COUNTIF('TT '!$D$605:$D$617,TALLY!A30)</f>
        <v>0</v>
      </c>
      <c r="AH30" s="9">
        <f>COUNTIF('TT '!$D$624:$D$636,TALLY!A30)</f>
        <v>0</v>
      </c>
      <c r="AI30" s="9">
        <f>COUNTIF('TT '!$D$643:$D$654,TALLY!A30)</f>
        <v>0</v>
      </c>
      <c r="AJ30" s="8" t="e">
        <f>COUNTIF([8]TT!$D$36:$D$41,$A30)</f>
        <v>#VALUE!</v>
      </c>
      <c r="AK30" s="265" t="str">
        <f t="shared" si="5"/>
        <v>100001000100001010000001010000</v>
      </c>
      <c r="AL30" s="1">
        <f t="shared" si="0"/>
        <v>2</v>
      </c>
      <c r="AM30" s="1">
        <f t="shared" si="1"/>
        <v>1</v>
      </c>
      <c r="AN30" s="1">
        <f t="shared" si="2"/>
        <v>2</v>
      </c>
      <c r="AO30" s="1">
        <f t="shared" si="3"/>
        <v>1</v>
      </c>
      <c r="AP30" s="1">
        <f t="shared" si="4"/>
        <v>1</v>
      </c>
    </row>
    <row r="31" spans="1:42" x14ac:dyDescent="0.35">
      <c r="A31" s="13" t="s">
        <v>25</v>
      </c>
      <c r="B31" s="9">
        <f>COUNTIF('TT '!$D$4:$D$31,TALLY!A31)</f>
        <v>0</v>
      </c>
      <c r="C31" s="9">
        <f>COUNTIF('TT '!$D$38:$D$49,TALLY!A31)</f>
        <v>0</v>
      </c>
      <c r="D31" s="9">
        <f>COUNTIF('TT '!$D$56:$D$78,TALLY!A31)</f>
        <v>0</v>
      </c>
      <c r="E31" s="9">
        <f>COUNTIF('TT '!$D$85:$D$105,TALLY!A31)</f>
        <v>0</v>
      </c>
      <c r="F31" s="9">
        <f>COUNTIF('TT '!$D$112:$D$126,TALLY!A31)</f>
        <v>0</v>
      </c>
      <c r="G31" s="9">
        <f>COUNTIF('TT '!$D$133:$D$147,TALLY!A31)</f>
        <v>1</v>
      </c>
      <c r="H31" s="9">
        <f>COUNTIF('TT '!$D$4:$D$31,TALLY!G31)</f>
        <v>0</v>
      </c>
      <c r="I31" s="11">
        <f>COUNTIF('TT '!$D$154:$D$173,TALLY!A31)</f>
        <v>0</v>
      </c>
      <c r="J31" s="11">
        <f>COUNTIF('TT '!$D$180:$D$197,TALLY!A31)</f>
        <v>0</v>
      </c>
      <c r="K31" s="11">
        <f>COUNTIF('TT '!$D$204:$D$216,TALLY!A31)</f>
        <v>0</v>
      </c>
      <c r="L31" s="11">
        <f>COUNTIF('TT '!$D$223:$D$235,TALLY!A31)</f>
        <v>1</v>
      </c>
      <c r="M31" s="11">
        <f>COUNTIF('TT '!$D$242:$D$257,TALLY!A31)</f>
        <v>0</v>
      </c>
      <c r="N31" s="11">
        <f>COUNTIF('TT '!$D$264:$D$276,TALLY!A31)</f>
        <v>0</v>
      </c>
      <c r="O31" s="8" t="e">
        <f>COUNTIF([8]TT!$D$36:$D$41,$A31)</f>
        <v>#VALUE!</v>
      </c>
      <c r="P31" s="12">
        <f>COUNTIF('TT '!$D$283:$D$294,TALLY!A31)</f>
        <v>0</v>
      </c>
      <c r="Q31" s="12">
        <f>COUNTIF('TT '!$D$301:$D$317,TALLY!A31)</f>
        <v>0</v>
      </c>
      <c r="R31" s="302">
        <f>COUNTIF('TT '!$D$324:$D$339,TALLY!A31)</f>
        <v>1</v>
      </c>
      <c r="S31" s="12">
        <f>COUNTIF('TT '!$D$346:$D$362,TALLY!A31)</f>
        <v>0</v>
      </c>
      <c r="T31" s="12">
        <f>COUNTIF('TT '!$D$369:$D$383,TALLY!A31)</f>
        <v>0</v>
      </c>
      <c r="U31" s="12">
        <f>COUNTIF('TT '!$D$390:$D$409,TALLY!A31)</f>
        <v>0</v>
      </c>
      <c r="V31" s="8" t="e">
        <f>COUNTIF([8]TT!$D$36:$D$41,$A31)</f>
        <v>#VALUE!</v>
      </c>
      <c r="W31" s="11">
        <f>COUNTIF('TT '!$D$416:$D$429,TALLY!A31)</f>
        <v>0</v>
      </c>
      <c r="X31" s="11">
        <f>COUNTIF('TT '!$D$436:$D$449,TALLY!A31)</f>
        <v>0</v>
      </c>
      <c r="Y31" s="11">
        <f>COUNTIF('TT '!$D$456:$D$474,TALLY!A31)</f>
        <v>1</v>
      </c>
      <c r="Z31" s="11">
        <f>COUNTIF('TT '!$D$481:$D$495,TALLY!A31)</f>
        <v>0</v>
      </c>
      <c r="AA31" s="11">
        <f>COUNTIF('TT '!$D$502:$D$519,TALLY!A31)</f>
        <v>1</v>
      </c>
      <c r="AB31" s="10">
        <f>COUNTIF('TT '!$D$526:$D$540,TALLY!A31)</f>
        <v>0</v>
      </c>
      <c r="AC31" s="8" t="e">
        <f>COUNTIF([8]TT!$D$36:$D$41,$A31)</f>
        <v>#VALUE!</v>
      </c>
      <c r="AD31" s="9">
        <f>COUNTIF('TT '!$D$547:$D$556,TALLY!A31)</f>
        <v>0</v>
      </c>
      <c r="AE31" s="9">
        <f>COUNTIF('TT '!$D$563:$D$577,TALLY!A31)</f>
        <v>0</v>
      </c>
      <c r="AF31" s="9">
        <f>COUNTIF('TT '!$D$584:$D$598,TALLY!A31)</f>
        <v>0</v>
      </c>
      <c r="AG31" s="9">
        <f>COUNTIF('TT '!$D$605:$D$617,TALLY!A31)</f>
        <v>0</v>
      </c>
      <c r="AH31" s="9">
        <f>COUNTIF('TT '!$D$624:$D$636,TALLY!A31)</f>
        <v>0</v>
      </c>
      <c r="AI31" s="9">
        <f>COUNTIF('TT '!$D$643:$D$654,TALLY!A31)</f>
        <v>0</v>
      </c>
      <c r="AJ31" s="8" t="e">
        <f>COUNTIF([8]TT!$D$36:$D$41,$A31)</f>
        <v>#VALUE!</v>
      </c>
      <c r="AK31" s="265" t="str">
        <f t="shared" si="5"/>
        <v>000001000100001000001010000000</v>
      </c>
      <c r="AL31" s="1">
        <f t="shared" si="0"/>
        <v>1</v>
      </c>
      <c r="AM31" s="1">
        <f t="shared" si="1"/>
        <v>1</v>
      </c>
      <c r="AN31" s="1">
        <f t="shared" si="2"/>
        <v>1</v>
      </c>
      <c r="AO31" s="1">
        <f t="shared" si="3"/>
        <v>2</v>
      </c>
      <c r="AP31" s="1">
        <f t="shared" si="4"/>
        <v>0</v>
      </c>
    </row>
    <row r="32" spans="1:42" x14ac:dyDescent="0.35">
      <c r="A32" s="13" t="s">
        <v>24</v>
      </c>
      <c r="B32" s="9">
        <f>COUNTIF('TT '!$D$4:$D$31,TALLY!A32)</f>
        <v>0</v>
      </c>
      <c r="C32" s="9">
        <f>COUNTIF('TT '!$D$38:$D$49,TALLY!A32)</f>
        <v>0</v>
      </c>
      <c r="D32" s="9">
        <f>COUNTIF('TT '!$D$56:$D$78,TALLY!A32)</f>
        <v>0</v>
      </c>
      <c r="E32" s="9">
        <f>COUNTIF('TT '!$D$85:$D$105,TALLY!A32)</f>
        <v>1</v>
      </c>
      <c r="F32" s="9">
        <f>COUNTIF('TT '!$D$112:$D$126,TALLY!A32)</f>
        <v>0</v>
      </c>
      <c r="G32" s="9">
        <f>COUNTIF('TT '!$D$133:$D$147,TALLY!A32)</f>
        <v>0</v>
      </c>
      <c r="H32" s="9">
        <f>COUNTIF('TT '!$D$4:$D$31,TALLY!G32)</f>
        <v>0</v>
      </c>
      <c r="I32" s="11">
        <f>COUNTIF('TT '!$D$154:$D$173,TALLY!A32)</f>
        <v>0</v>
      </c>
      <c r="J32" s="11">
        <f>COUNTIF('TT '!$D$180:$D$197,TALLY!A32)</f>
        <v>0</v>
      </c>
      <c r="K32" s="11">
        <f>COUNTIF('TT '!$D$204:$D$216,TALLY!A32)</f>
        <v>0</v>
      </c>
      <c r="L32" s="11">
        <f>COUNTIF('TT '!$D$223:$D$235,TALLY!A32)</f>
        <v>1</v>
      </c>
      <c r="M32" s="11">
        <f>COUNTIF('TT '!$D$242:$D$257,TALLY!A32)</f>
        <v>0</v>
      </c>
      <c r="N32" s="11">
        <f>COUNTIF('TT '!$D$264:$D$276,TALLY!A32)</f>
        <v>0</v>
      </c>
      <c r="O32" s="8" t="e">
        <f>COUNTIF([8]TT!$D$36:$D$41,$A32)</f>
        <v>#VALUE!</v>
      </c>
      <c r="P32" s="12">
        <f>COUNTIF('TT '!$D$283:$D$294,TALLY!A32)</f>
        <v>0</v>
      </c>
      <c r="Q32" s="12">
        <f>COUNTIF('TT '!$D$301:$D$317,TALLY!A32)</f>
        <v>0</v>
      </c>
      <c r="R32" s="302">
        <f>COUNTIF('TT '!$D$324:$D$339,TALLY!A32)</f>
        <v>1</v>
      </c>
      <c r="S32" s="12">
        <f>COUNTIF('TT '!$D$346:$D$362,TALLY!A32)</f>
        <v>0</v>
      </c>
      <c r="T32" s="12">
        <f>COUNTIF('TT '!$D$369:$D$383,TALLY!A32)</f>
        <v>0</v>
      </c>
      <c r="U32" s="12">
        <f>COUNTIF('TT '!$D$390:$D$409,TALLY!A32)</f>
        <v>0</v>
      </c>
      <c r="V32" s="8" t="e">
        <f>COUNTIF([8]TT!$D$36:$D$41,$A32)</f>
        <v>#VALUE!</v>
      </c>
      <c r="W32" s="11">
        <f>COUNTIF('TT '!$D$416:$D$429,TALLY!A32)</f>
        <v>0</v>
      </c>
      <c r="X32" s="11">
        <f>COUNTIF('TT '!$D$436:$D$449,TALLY!A32)</f>
        <v>0</v>
      </c>
      <c r="Y32" s="11">
        <f>COUNTIF('TT '!$D$456:$D$474,TALLY!A32)</f>
        <v>1</v>
      </c>
      <c r="Z32" s="11">
        <f>COUNTIF('TT '!$D$481:$D$495,TALLY!A32)</f>
        <v>0</v>
      </c>
      <c r="AA32" s="11">
        <f>COUNTIF('TT '!$D$502:$D$519,TALLY!A32)</f>
        <v>1</v>
      </c>
      <c r="AB32" s="10">
        <f>COUNTIF('TT '!$D$526:$D$540,TALLY!A32)</f>
        <v>0</v>
      </c>
      <c r="AC32" s="8" t="e">
        <f>COUNTIF([8]TT!$D$36:$D$41,$A32)</f>
        <v>#VALUE!</v>
      </c>
      <c r="AD32" s="9">
        <f>COUNTIF('TT '!$D$547:$D$556,TALLY!A32)</f>
        <v>0</v>
      </c>
      <c r="AE32" s="9">
        <f>COUNTIF('TT '!$D$563:$D$577,TALLY!A32)</f>
        <v>0</v>
      </c>
      <c r="AF32" s="9">
        <f>COUNTIF('TT '!$D$584:$D$598,TALLY!A32)</f>
        <v>0</v>
      </c>
      <c r="AG32" s="9">
        <f>COUNTIF('TT '!$D$605:$D$617,TALLY!A32)</f>
        <v>1</v>
      </c>
      <c r="AH32" s="9">
        <f>COUNTIF('TT '!$D$624:$D$636,TALLY!A32)</f>
        <v>0</v>
      </c>
      <c r="AI32" s="9">
        <f>COUNTIF('TT '!$D$643:$D$654,TALLY!A32)</f>
        <v>0</v>
      </c>
      <c r="AJ32" s="8" t="e">
        <f>COUNTIF([8]TT!$D$36:$D$41,$A32)</f>
        <v>#VALUE!</v>
      </c>
      <c r="AK32" s="265" t="str">
        <f t="shared" si="5"/>
        <v>000100000100001000001010000100</v>
      </c>
      <c r="AL32" s="1">
        <f t="shared" si="0"/>
        <v>1</v>
      </c>
      <c r="AM32" s="1">
        <f t="shared" si="1"/>
        <v>1</v>
      </c>
      <c r="AN32" s="1">
        <f t="shared" si="2"/>
        <v>1</v>
      </c>
      <c r="AO32" s="1">
        <f t="shared" si="3"/>
        <v>2</v>
      </c>
      <c r="AP32" s="1">
        <f t="shared" si="4"/>
        <v>1</v>
      </c>
    </row>
    <row r="33" spans="1:42" x14ac:dyDescent="0.35">
      <c r="A33" s="13" t="s">
        <v>141</v>
      </c>
      <c r="B33" s="9">
        <f>COUNTIF('TT '!$D$4:$D$31,TALLY!A33)</f>
        <v>0</v>
      </c>
      <c r="C33" s="9">
        <f>COUNTIF('TT '!$D$38:$D$49,TALLY!A33)</f>
        <v>0</v>
      </c>
      <c r="D33" s="9">
        <f>COUNTIF('TT '!$D$56:$D$78,TALLY!A33)</f>
        <v>0</v>
      </c>
      <c r="E33" s="9">
        <f>COUNTIF('TT '!$D$85:$D$105,TALLY!A33)</f>
        <v>0</v>
      </c>
      <c r="F33" s="9">
        <f>COUNTIF('TT '!$D$112:$D$126,TALLY!A33)</f>
        <v>0</v>
      </c>
      <c r="G33" s="9">
        <f>COUNTIF('TT '!$D$133:$D$147,TALLY!A33)</f>
        <v>0</v>
      </c>
      <c r="H33" s="9">
        <f>COUNTIF('TT '!$D$4:$D$31,TALLY!G33)</f>
        <v>0</v>
      </c>
      <c r="I33" s="11">
        <f>COUNTIF('TT '!$D$154:$D$173,TALLY!A33)</f>
        <v>0</v>
      </c>
      <c r="J33" s="11">
        <f>COUNTIF('TT '!$D$180:$D$197,TALLY!A33)</f>
        <v>0</v>
      </c>
      <c r="K33" s="11">
        <f>COUNTIF('TT '!$D$204:$D$216,TALLY!A33)</f>
        <v>0</v>
      </c>
      <c r="L33" s="11">
        <f>COUNTIF('TT '!$D$223:$D$235,TALLY!A33)</f>
        <v>1</v>
      </c>
      <c r="M33" s="11">
        <f>COUNTIF('TT '!$D$242:$D$257,TALLY!A33)</f>
        <v>0</v>
      </c>
      <c r="N33" s="11">
        <f>COUNTIF('TT '!$D$264:$D$276,TALLY!A33)</f>
        <v>0</v>
      </c>
      <c r="O33" s="8" t="e">
        <f>COUNTIF([8]TT!$D$36:$D$41,$A33)</f>
        <v>#VALUE!</v>
      </c>
      <c r="P33" s="12">
        <f>COUNTIF('TT '!$D$283:$D$294,TALLY!A33)</f>
        <v>1</v>
      </c>
      <c r="Q33" s="12">
        <f>COUNTIF('TT '!$D$301:$D$317,TALLY!A33)</f>
        <v>0</v>
      </c>
      <c r="R33" s="302">
        <f>COUNTIF('TT '!$D$324:$D$339,TALLY!A33)</f>
        <v>0</v>
      </c>
      <c r="S33" s="12">
        <f>COUNTIF('TT '!$D$346:$D$362,TALLY!A33)</f>
        <v>0</v>
      </c>
      <c r="T33" s="12">
        <f>COUNTIF('TT '!$D$369:$D$383,TALLY!A33)</f>
        <v>0</v>
      </c>
      <c r="U33" s="12">
        <f>COUNTIF('TT '!$D$390:$D$409,TALLY!A33)</f>
        <v>1</v>
      </c>
      <c r="V33" s="8" t="e">
        <f>COUNTIF([8]TT!$D$36:$D$41,$A33)</f>
        <v>#VALUE!</v>
      </c>
      <c r="W33" s="11">
        <f>COUNTIF('TT '!$D$416:$D$429,TALLY!A33)</f>
        <v>1</v>
      </c>
      <c r="X33" s="11">
        <f>COUNTIF('TT '!$D$436:$D$449,TALLY!A33)</f>
        <v>0</v>
      </c>
      <c r="Y33" s="11">
        <f>COUNTIF('TT '!$D$456:$D$474,TALLY!A33)</f>
        <v>0</v>
      </c>
      <c r="Z33" s="11">
        <f>COUNTIF('TT '!$D$481:$D$495,TALLY!A33)</f>
        <v>0</v>
      </c>
      <c r="AA33" s="11">
        <f>COUNTIF('TT '!$D$502:$D$519,TALLY!A33)</f>
        <v>1</v>
      </c>
      <c r="AB33" s="10">
        <f>COUNTIF('TT '!$D$526:$D$540,TALLY!A33)</f>
        <v>0</v>
      </c>
      <c r="AC33" s="8" t="e">
        <f>COUNTIF([8]TT!$D$36:$D$41,$A33)</f>
        <v>#VALUE!</v>
      </c>
      <c r="AD33" s="9">
        <f>COUNTIF('TT '!$D$547:$D$556,TALLY!A33)</f>
        <v>0</v>
      </c>
      <c r="AE33" s="9">
        <f>COUNTIF('TT '!$D$563:$D$577,TALLY!A33)</f>
        <v>0</v>
      </c>
      <c r="AF33" s="9">
        <f>COUNTIF('TT '!$D$584:$D$598,TALLY!A33)</f>
        <v>0</v>
      </c>
      <c r="AG33" s="9">
        <f>COUNTIF('TT '!$D$605:$D$617,TALLY!A33)</f>
        <v>1</v>
      </c>
      <c r="AH33" s="9">
        <f>COUNTIF('TT '!$D$624:$D$636,TALLY!A33)</f>
        <v>0</v>
      </c>
      <c r="AI33" s="9">
        <f>COUNTIF('TT '!$D$643:$D$654,TALLY!A33)</f>
        <v>0</v>
      </c>
      <c r="AJ33" s="8" t="e">
        <f>COUNTIF([8]TT!$D$36:$D$41,$A33)</f>
        <v>#VALUE!</v>
      </c>
      <c r="AK33" s="265" t="str">
        <f t="shared" si="5"/>
        <v>000000000100100001100010000100</v>
      </c>
      <c r="AL33" s="1">
        <f t="shared" si="0"/>
        <v>0</v>
      </c>
      <c r="AM33" s="1">
        <f t="shared" si="1"/>
        <v>1</v>
      </c>
      <c r="AN33" s="1">
        <f t="shared" si="2"/>
        <v>2</v>
      </c>
      <c r="AO33" s="1">
        <f t="shared" si="3"/>
        <v>2</v>
      </c>
      <c r="AP33" s="1">
        <f t="shared" si="4"/>
        <v>1</v>
      </c>
    </row>
    <row r="34" spans="1:42" x14ac:dyDescent="0.35">
      <c r="A34" s="13" t="s">
        <v>89</v>
      </c>
      <c r="B34" s="9">
        <f>COUNTIF('TT '!$D$4:$D$31,TALLY!A34)</f>
        <v>0</v>
      </c>
      <c r="C34" s="9">
        <f>COUNTIF('TT '!$D$38:$D$49,TALLY!A34)</f>
        <v>0</v>
      </c>
      <c r="D34" s="9">
        <f>COUNTIF('TT '!$D$56:$D$78,TALLY!A34)</f>
        <v>1</v>
      </c>
      <c r="E34" s="9">
        <f>COUNTIF('TT '!$D$85:$D$105,TALLY!A34)</f>
        <v>0</v>
      </c>
      <c r="F34" s="9">
        <f>COUNTIF('TT '!$D$112:$D$126,TALLY!A34)</f>
        <v>1</v>
      </c>
      <c r="G34" s="9">
        <f>COUNTIF('TT '!$D$133:$D$147,TALLY!A34)</f>
        <v>0</v>
      </c>
      <c r="H34" s="9">
        <f>COUNTIF('TT '!$D$4:$D$31,TALLY!G34)</f>
        <v>0</v>
      </c>
      <c r="I34" s="11">
        <f>COUNTIF('TT '!$D$154:$D$173,TALLY!A34)</f>
        <v>1</v>
      </c>
      <c r="J34" s="11">
        <f>COUNTIF('TT '!$D$180:$D$197,TALLY!A34)</f>
        <v>0</v>
      </c>
      <c r="K34" s="11">
        <f>COUNTIF('TT '!$D$204:$D$216,TALLY!A34)</f>
        <v>0</v>
      </c>
      <c r="L34" s="11">
        <f>COUNTIF('TT '!$D$223:$D$235,TALLY!A34)</f>
        <v>0</v>
      </c>
      <c r="M34" s="11">
        <f>COUNTIF('TT '!$D$242:$D$257,TALLY!A34)</f>
        <v>0</v>
      </c>
      <c r="N34" s="11">
        <f>COUNTIF('TT '!$D$264:$D$276,TALLY!A34)</f>
        <v>0</v>
      </c>
      <c r="O34" s="8" t="e">
        <f>COUNTIF([8]TT!$D$36:$D$41,$A34)</f>
        <v>#VALUE!</v>
      </c>
      <c r="P34" s="12">
        <f>COUNTIF('TT '!$D$283:$D$294,TALLY!A34)</f>
        <v>1</v>
      </c>
      <c r="Q34" s="12">
        <f>COUNTIF('TT '!$D$301:$D$317,TALLY!A34)</f>
        <v>0</v>
      </c>
      <c r="R34" s="302">
        <f>COUNTIF('TT '!$D$324:$D$339,TALLY!A34)</f>
        <v>0</v>
      </c>
      <c r="S34" s="12">
        <f>COUNTIF('TT '!$D$346:$D$362,TALLY!A34)</f>
        <v>0</v>
      </c>
      <c r="T34" s="12">
        <f>COUNTIF('TT '!$D$369:$D$383,TALLY!A34)</f>
        <v>1</v>
      </c>
      <c r="U34" s="12">
        <f>COUNTIF('TT '!$D$390:$D$409,TALLY!A34)</f>
        <v>0</v>
      </c>
      <c r="V34" s="8" t="e">
        <f>COUNTIF([8]TT!$D$36:$D$41,$A34)</f>
        <v>#VALUE!</v>
      </c>
      <c r="W34" s="11">
        <f>COUNTIF('TT '!$D$416:$D$429,TALLY!A34)</f>
        <v>1</v>
      </c>
      <c r="X34" s="11">
        <f>COUNTIF('TT '!$D$436:$D$449,TALLY!A34)</f>
        <v>0</v>
      </c>
      <c r="Y34" s="11">
        <f>COUNTIF('TT '!$D$456:$D$474,TALLY!A34)</f>
        <v>0</v>
      </c>
      <c r="Z34" s="11">
        <f>COUNTIF('TT '!$D$481:$D$495,TALLY!A34)</f>
        <v>0</v>
      </c>
      <c r="AA34" s="11">
        <f>COUNTIF('TT '!$D$502:$D$519,TALLY!A34)</f>
        <v>0</v>
      </c>
      <c r="AB34" s="10">
        <f>COUNTIF('TT '!$D$526:$D$540,TALLY!A34)</f>
        <v>0</v>
      </c>
      <c r="AC34" s="8" t="e">
        <f>COUNTIF([8]TT!$D$36:$D$41,$A34)</f>
        <v>#VALUE!</v>
      </c>
      <c r="AD34" s="9">
        <f>COUNTIF('TT '!$D$547:$D$556,TALLY!A34)</f>
        <v>0</v>
      </c>
      <c r="AE34" s="9">
        <f>COUNTIF('TT '!$D$563:$D$577,TALLY!A34)</f>
        <v>1</v>
      </c>
      <c r="AF34" s="9">
        <f>COUNTIF('TT '!$D$584:$D$598,TALLY!A34)</f>
        <v>0</v>
      </c>
      <c r="AG34" s="9">
        <f>COUNTIF('TT '!$D$605:$D$617,TALLY!A34)</f>
        <v>0</v>
      </c>
      <c r="AH34" s="9">
        <f>COUNTIF('TT '!$D$624:$D$636,TALLY!A34)</f>
        <v>0</v>
      </c>
      <c r="AI34" s="9">
        <f>COUNTIF('TT '!$D$643:$D$654,TALLY!A34)</f>
        <v>0</v>
      </c>
      <c r="AJ34" s="8" t="e">
        <f>COUNTIF([8]TT!$D$36:$D$41,$A34)</f>
        <v>#VALUE!</v>
      </c>
      <c r="AK34" s="265" t="str">
        <f t="shared" si="5"/>
        <v>001010100000100010100000010000</v>
      </c>
      <c r="AL34" s="1">
        <f t="shared" si="0"/>
        <v>2</v>
      </c>
      <c r="AM34" s="1">
        <f t="shared" si="1"/>
        <v>1</v>
      </c>
      <c r="AN34" s="1">
        <f t="shared" si="2"/>
        <v>2</v>
      </c>
      <c r="AO34" s="1">
        <f t="shared" si="3"/>
        <v>1</v>
      </c>
      <c r="AP34" s="1">
        <f t="shared" si="4"/>
        <v>1</v>
      </c>
    </row>
    <row r="35" spans="1:42" x14ac:dyDescent="0.35">
      <c r="A35" s="13" t="s">
        <v>33</v>
      </c>
      <c r="B35" s="9">
        <f>COUNTIF('TT '!$D$4:$D$31,TALLY!A35)</f>
        <v>1</v>
      </c>
      <c r="C35" s="9">
        <f>COUNTIF('TT '!$D$38:$D$49,TALLY!A35)</f>
        <v>0</v>
      </c>
      <c r="D35" s="9">
        <f>COUNTIF('TT '!$D$56:$D$78,TALLY!A35)</f>
        <v>1</v>
      </c>
      <c r="E35" s="9">
        <f>COUNTIF('TT '!$D$85:$D$105,TALLY!A35)</f>
        <v>0</v>
      </c>
      <c r="F35" s="9">
        <f>COUNTIF('TT '!$D$112:$D$126,TALLY!A35)</f>
        <v>0</v>
      </c>
      <c r="G35" s="9">
        <f>COUNTIF('TT '!$D$133:$D$147,TALLY!A35)</f>
        <v>0</v>
      </c>
      <c r="H35" s="9">
        <f>COUNTIF('TT '!$D$4:$D$31,TALLY!G35)</f>
        <v>0</v>
      </c>
      <c r="I35" s="11">
        <f>COUNTIF('TT '!$D$154:$D$173,TALLY!A35)</f>
        <v>1</v>
      </c>
      <c r="J35" s="11">
        <f>COUNTIF('TT '!$D$180:$D$197,TALLY!A35)</f>
        <v>0</v>
      </c>
      <c r="K35" s="11">
        <f>COUNTIF('TT '!$D$204:$D$216,TALLY!A35)</f>
        <v>0</v>
      </c>
      <c r="L35" s="11">
        <f>COUNTIF('TT '!$D$223:$D$235,TALLY!A35)</f>
        <v>0</v>
      </c>
      <c r="M35" s="11">
        <f>COUNTIF('TT '!$D$242:$D$257,TALLY!A35)</f>
        <v>0</v>
      </c>
      <c r="N35" s="11">
        <f>COUNTIF('TT '!$D$264:$D$276,TALLY!A35)</f>
        <v>0</v>
      </c>
      <c r="O35" s="8" t="e">
        <f>COUNTIF([8]TT!$D$36:$D$41,$A35)</f>
        <v>#VALUE!</v>
      </c>
      <c r="P35" s="12">
        <f>COUNTIF('TT '!$D$283:$D$294,TALLY!A35)</f>
        <v>0</v>
      </c>
      <c r="Q35" s="12">
        <f>COUNTIF('TT '!$D$301:$D$317,TALLY!A35)</f>
        <v>1</v>
      </c>
      <c r="R35" s="302">
        <f>COUNTIF('TT '!$D$324:$D$339,TALLY!A35)</f>
        <v>0</v>
      </c>
      <c r="S35" s="12">
        <f>COUNTIF('TT '!$D$346:$D$362,TALLY!A35)</f>
        <v>0</v>
      </c>
      <c r="T35" s="12">
        <f>COUNTIF('TT '!$D$369:$D$383,TALLY!A35)</f>
        <v>0</v>
      </c>
      <c r="U35" s="12">
        <f>COUNTIF('TT '!$D$390:$D$409,TALLY!A35)</f>
        <v>1</v>
      </c>
      <c r="V35" s="8" t="e">
        <f>COUNTIF([8]TT!$D$36:$D$41,$A35)</f>
        <v>#VALUE!</v>
      </c>
      <c r="W35" s="11">
        <f>COUNTIF('TT '!$D$416:$D$429,TALLY!A35)</f>
        <v>1</v>
      </c>
      <c r="X35" s="11">
        <f>COUNTIF('TT '!$D$436:$D$449,TALLY!A35)</f>
        <v>0</v>
      </c>
      <c r="Y35" s="11">
        <f>COUNTIF('TT '!$D$456:$D$474,TALLY!A35)</f>
        <v>0</v>
      </c>
      <c r="Z35" s="11">
        <f>COUNTIF('TT '!$D$481:$D$495,TALLY!A35)</f>
        <v>0</v>
      </c>
      <c r="AA35" s="11">
        <f>COUNTIF('TT '!$D$502:$D$519,TALLY!A35)</f>
        <v>1</v>
      </c>
      <c r="AB35" s="10">
        <f>COUNTIF('TT '!$D$526:$D$540,TALLY!A35)</f>
        <v>0</v>
      </c>
      <c r="AC35" s="8" t="e">
        <f>COUNTIF([8]TT!$D$36:$D$41,$A35)</f>
        <v>#VALUE!</v>
      </c>
      <c r="AD35" s="9">
        <f>COUNTIF('TT '!$D$547:$D$556,TALLY!A35)</f>
        <v>0</v>
      </c>
      <c r="AE35" s="9">
        <f>COUNTIF('TT '!$D$563:$D$577,TALLY!A35)</f>
        <v>1</v>
      </c>
      <c r="AF35" s="9">
        <f>COUNTIF('TT '!$D$584:$D$598,TALLY!A35)</f>
        <v>0</v>
      </c>
      <c r="AG35" s="9">
        <f>COUNTIF('TT '!$D$605:$D$617,TALLY!A35)</f>
        <v>0</v>
      </c>
      <c r="AH35" s="9">
        <f>COUNTIF('TT '!$D$624:$D$636,TALLY!A35)</f>
        <v>0</v>
      </c>
      <c r="AI35" s="9">
        <f>COUNTIF('TT '!$D$643:$D$654,TALLY!A35)</f>
        <v>0</v>
      </c>
      <c r="AJ35" s="8" t="e">
        <f>COUNTIF([8]TT!$D$36:$D$41,$A35)</f>
        <v>#VALUE!</v>
      </c>
      <c r="AK35" s="265" t="str">
        <f t="shared" ref="AK35:AK66" si="6">CONCATENATE(B35,C35,D35,E35,F35,G35,I35,J35,K35,L35,M35,N35,P35,Q35,R35,S35,T35,U35,W35,X35,Y35,Z35,AA35,AB35,AD35,AE35,AF35,AG35,AH35,AI35)</f>
        <v>101000100000010001100010010000</v>
      </c>
      <c r="AL35" s="1">
        <f t="shared" si="0"/>
        <v>2</v>
      </c>
      <c r="AM35" s="1">
        <f t="shared" si="1"/>
        <v>1</v>
      </c>
      <c r="AN35" s="1">
        <f t="shared" si="2"/>
        <v>2</v>
      </c>
      <c r="AO35" s="1">
        <f t="shared" si="3"/>
        <v>2</v>
      </c>
      <c r="AP35" s="1">
        <f t="shared" si="4"/>
        <v>1</v>
      </c>
    </row>
    <row r="36" spans="1:42" x14ac:dyDescent="0.35">
      <c r="A36" s="13" t="s">
        <v>64</v>
      </c>
      <c r="B36" s="9">
        <f>COUNTIF('TT '!$D$4:$D$31,TALLY!A36)</f>
        <v>0</v>
      </c>
      <c r="C36" s="9">
        <f>COUNTIF('TT '!$D$38:$D$49,TALLY!A36)</f>
        <v>1</v>
      </c>
      <c r="D36" s="9">
        <f>COUNTIF('TT '!$D$56:$D$78,TALLY!A36)</f>
        <v>0</v>
      </c>
      <c r="E36" s="9">
        <f>COUNTIF('TT '!$D$85:$D$105,TALLY!A36)</f>
        <v>0</v>
      </c>
      <c r="F36" s="9">
        <f>COUNTIF('TT '!$D$112:$D$126,TALLY!A36)</f>
        <v>0</v>
      </c>
      <c r="G36" s="9">
        <f>COUNTIF('TT '!$D$133:$D$147,TALLY!A36)</f>
        <v>0</v>
      </c>
      <c r="H36" s="9">
        <f>COUNTIF('TT '!$D$4:$D$31,TALLY!G36)</f>
        <v>0</v>
      </c>
      <c r="I36" s="11">
        <f>COUNTIF('TT '!$D$154:$D$173,TALLY!A36)</f>
        <v>1</v>
      </c>
      <c r="J36" s="11">
        <f>COUNTIF('TT '!$D$180:$D$197,TALLY!A36)</f>
        <v>0</v>
      </c>
      <c r="K36" s="11">
        <f>COUNTIF('TT '!$D$204:$D$216,TALLY!A36)</f>
        <v>0</v>
      </c>
      <c r="L36" s="11">
        <f>COUNTIF('TT '!$D$223:$D$235,TALLY!A36)</f>
        <v>0</v>
      </c>
      <c r="M36" s="11">
        <f>COUNTIF('TT '!$D$242:$D$257,TALLY!A36)</f>
        <v>0</v>
      </c>
      <c r="N36" s="11">
        <f>COUNTIF('TT '!$D$264:$D$276,TALLY!A36)</f>
        <v>1</v>
      </c>
      <c r="O36" s="8" t="e">
        <f>COUNTIF([8]TT!$D$36:$D$41,$A36)</f>
        <v>#VALUE!</v>
      </c>
      <c r="P36" s="12">
        <f>COUNTIF('TT '!$D$283:$D$294,TALLY!A36)</f>
        <v>0</v>
      </c>
      <c r="Q36" s="12">
        <f>COUNTIF('TT '!$D$301:$D$317,TALLY!A36)</f>
        <v>0</v>
      </c>
      <c r="R36" s="302">
        <f>COUNTIF('TT '!$D$324:$D$339,TALLY!A36)</f>
        <v>1</v>
      </c>
      <c r="S36" s="12">
        <f>COUNTIF('TT '!$D$346:$D$362,TALLY!A36)</f>
        <v>0</v>
      </c>
      <c r="T36" s="12">
        <f>COUNTIF('TT '!$D$369:$D$383,TALLY!A36)</f>
        <v>0</v>
      </c>
      <c r="U36" s="12">
        <f>COUNTIF('TT '!$D$390:$D$409,TALLY!A36)</f>
        <v>0</v>
      </c>
      <c r="V36" s="8" t="e">
        <f>COUNTIF([8]TT!$D$36:$D$41,$A36)</f>
        <v>#VALUE!</v>
      </c>
      <c r="W36" s="11">
        <f>COUNTIF('TT '!$D$416:$D$429,TALLY!A36)</f>
        <v>0</v>
      </c>
      <c r="X36" s="11">
        <f>COUNTIF('TT '!$D$436:$D$449,TALLY!A36)</f>
        <v>1</v>
      </c>
      <c r="Y36" s="11">
        <f>COUNTIF('TT '!$D$456:$D$474,TALLY!A36)</f>
        <v>0</v>
      </c>
      <c r="Z36" s="11">
        <f>COUNTIF('TT '!$D$481:$D$495,TALLY!A36)</f>
        <v>0</v>
      </c>
      <c r="AA36" s="11">
        <f>COUNTIF('TT '!$D$502:$D$519,TALLY!A36)</f>
        <v>0</v>
      </c>
      <c r="AB36" s="10">
        <f>COUNTIF('TT '!$D$526:$D$540,TALLY!A36)</f>
        <v>1</v>
      </c>
      <c r="AC36" s="8" t="e">
        <f>COUNTIF([8]TT!$D$36:$D$41,$A36)</f>
        <v>#VALUE!</v>
      </c>
      <c r="AD36" s="9">
        <f>COUNTIF('TT '!$D$547:$D$556,TALLY!A36)</f>
        <v>0</v>
      </c>
      <c r="AE36" s="9">
        <f>COUNTIF('TT '!$D$563:$D$577,TALLY!A36)</f>
        <v>1</v>
      </c>
      <c r="AF36" s="9">
        <f>COUNTIF('TT '!$D$584:$D$598,TALLY!A36)</f>
        <v>0</v>
      </c>
      <c r="AG36" s="9">
        <f>COUNTIF('TT '!$D$605:$D$617,TALLY!A36)</f>
        <v>0</v>
      </c>
      <c r="AH36" s="9">
        <f>COUNTIF('TT '!$D$624:$D$636,TALLY!A36)</f>
        <v>0</v>
      </c>
      <c r="AI36" s="9">
        <f>COUNTIF('TT '!$D$643:$D$654,TALLY!A36)</f>
        <v>0</v>
      </c>
      <c r="AJ36" s="8" t="e">
        <f>COUNTIF([8]TT!$D$36:$D$41,$A36)</f>
        <v>#VALUE!</v>
      </c>
      <c r="AK36" s="265" t="str">
        <f t="shared" si="6"/>
        <v>010000100001001000010001010000</v>
      </c>
      <c r="AL36" s="1">
        <f t="shared" si="0"/>
        <v>1</v>
      </c>
      <c r="AM36" s="1">
        <f t="shared" si="1"/>
        <v>2</v>
      </c>
      <c r="AN36" s="1">
        <f t="shared" si="2"/>
        <v>1</v>
      </c>
      <c r="AO36" s="1">
        <f t="shared" si="3"/>
        <v>2</v>
      </c>
      <c r="AP36" s="1">
        <f t="shared" si="4"/>
        <v>1</v>
      </c>
    </row>
    <row r="37" spans="1:42" x14ac:dyDescent="0.35">
      <c r="A37" s="13" t="s">
        <v>1383</v>
      </c>
      <c r="B37" s="9">
        <f>COUNTIF('TT '!$D$4:$D$31,TALLY!A37)</f>
        <v>0</v>
      </c>
      <c r="C37" s="9">
        <f>COUNTIF('TT '!$D$38:$D$49,TALLY!A37)</f>
        <v>0</v>
      </c>
      <c r="D37" s="9">
        <f>COUNTIF('TT '!$D$56:$D$78,TALLY!A37)</f>
        <v>1</v>
      </c>
      <c r="E37" s="9">
        <f>COUNTIF('TT '!$D$85:$D$105,TALLY!A37)</f>
        <v>0</v>
      </c>
      <c r="F37" s="9">
        <f>COUNTIF('TT '!$D$112:$D$126,TALLY!A37)</f>
        <v>0</v>
      </c>
      <c r="G37" s="9">
        <f>COUNTIF('TT '!$D$133:$D$147,TALLY!A37)</f>
        <v>0</v>
      </c>
      <c r="H37" s="9">
        <f>COUNTIF('TT '!$D$4:$D$31,TALLY!G37)</f>
        <v>0</v>
      </c>
      <c r="I37" s="11">
        <f>COUNTIF('TT '!$D$154:$D$173,TALLY!A37)</f>
        <v>1</v>
      </c>
      <c r="J37" s="11">
        <f>COUNTIF('TT '!$D$180:$D$197,TALLY!A37)</f>
        <v>0</v>
      </c>
      <c r="K37" s="11">
        <f>COUNTIF('TT '!$D$204:$D$216,TALLY!A37)</f>
        <v>0</v>
      </c>
      <c r="L37" s="11">
        <f>COUNTIF('TT '!$D$223:$D$235,TALLY!A37)</f>
        <v>0</v>
      </c>
      <c r="M37" s="11">
        <f>COUNTIF('TT '!$D$242:$D$257,TALLY!A37)</f>
        <v>0</v>
      </c>
      <c r="N37" s="11">
        <f>COUNTIF('TT '!$D$264:$D$276,TALLY!A37)</f>
        <v>0</v>
      </c>
      <c r="O37" s="8" t="e">
        <f>COUNTIF([8]TT!$D$36:$D$41,$A37)</f>
        <v>#VALUE!</v>
      </c>
      <c r="P37" s="12">
        <f>COUNTIF('TT '!$D$283:$D$294,TALLY!A37)</f>
        <v>0</v>
      </c>
      <c r="Q37" s="12">
        <f>COUNTIF('TT '!$D$301:$D$317,TALLY!A37)</f>
        <v>0</v>
      </c>
      <c r="R37" s="302">
        <f>COUNTIF('TT '!$D$324:$D$339,TALLY!A37)</f>
        <v>1</v>
      </c>
      <c r="S37" s="12">
        <f>COUNTIF('TT '!$D$346:$D$362,TALLY!A37)</f>
        <v>0</v>
      </c>
      <c r="T37" s="12">
        <f>COUNTIF('TT '!$D$369:$D$383,TALLY!A37)</f>
        <v>0</v>
      </c>
      <c r="U37" s="12">
        <f>COUNTIF('TT '!$D$390:$D$409,TALLY!A37)</f>
        <v>1</v>
      </c>
      <c r="V37" s="8" t="e">
        <f>COUNTIF([8]TT!$D$36:$D$41,$A37)</f>
        <v>#VALUE!</v>
      </c>
      <c r="W37" s="11">
        <f>COUNTIF('TT '!$D$416:$D$429,TALLY!A37)</f>
        <v>0</v>
      </c>
      <c r="X37" s="11">
        <f>COUNTIF('TT '!$D$436:$D$449,TALLY!A37)</f>
        <v>0</v>
      </c>
      <c r="Y37" s="11">
        <f>COUNTIF('TT '!$D$456:$D$474,TALLY!A37)</f>
        <v>0</v>
      </c>
      <c r="Z37" s="11">
        <f>COUNTIF('TT '!$D$481:$D$495,TALLY!A37)</f>
        <v>0</v>
      </c>
      <c r="AA37" s="11">
        <f>COUNTIF('TT '!$D$502:$D$519,TALLY!A37)</f>
        <v>0</v>
      </c>
      <c r="AB37" s="10">
        <f>COUNTIF('TT '!$D$526:$D$540,TALLY!A37)</f>
        <v>1</v>
      </c>
      <c r="AC37" s="8" t="e">
        <f>COUNTIF([8]TT!$D$36:$D$41,$A37)</f>
        <v>#VALUE!</v>
      </c>
      <c r="AD37" s="9">
        <f>COUNTIF('TT '!$D$547:$D$556,TALLY!A37)</f>
        <v>0</v>
      </c>
      <c r="AE37" s="9">
        <f>COUNTIF('TT '!$D$563:$D$577,TALLY!A37)</f>
        <v>1</v>
      </c>
      <c r="AF37" s="9">
        <f>COUNTIF('TT '!$D$584:$D$598,TALLY!A37)</f>
        <v>0</v>
      </c>
      <c r="AG37" s="9">
        <f>COUNTIF('TT '!$D$605:$D$617,TALLY!A37)</f>
        <v>0</v>
      </c>
      <c r="AH37" s="9">
        <f>COUNTIF('TT '!$D$624:$D$636,TALLY!A37)</f>
        <v>0</v>
      </c>
      <c r="AI37" s="9">
        <f>COUNTIF('TT '!$D$643:$D$654,TALLY!A37)</f>
        <v>1</v>
      </c>
      <c r="AJ37" s="8" t="e">
        <f>COUNTIF([8]TT!$D$36:$D$41,$A37)</f>
        <v>#VALUE!</v>
      </c>
      <c r="AK37" s="265" t="str">
        <f t="shared" si="6"/>
        <v>001000100000001001000001010001</v>
      </c>
      <c r="AL37" s="1">
        <f t="shared" si="0"/>
        <v>1</v>
      </c>
      <c r="AM37" s="1">
        <f t="shared" si="1"/>
        <v>1</v>
      </c>
      <c r="AN37" s="1">
        <f t="shared" si="2"/>
        <v>2</v>
      </c>
      <c r="AO37" s="1">
        <f t="shared" si="3"/>
        <v>1</v>
      </c>
      <c r="AP37" s="1">
        <f t="shared" si="4"/>
        <v>2</v>
      </c>
    </row>
    <row r="38" spans="1:42" x14ac:dyDescent="0.35">
      <c r="A38" s="13" t="s">
        <v>32</v>
      </c>
      <c r="B38" s="9">
        <f>COUNTIF('TT '!$D$4:$D$31,TALLY!A38)</f>
        <v>1</v>
      </c>
      <c r="C38" s="9">
        <f>COUNTIF('TT '!$D$38:$D$49,TALLY!A38)</f>
        <v>0</v>
      </c>
      <c r="D38" s="9">
        <f>COUNTIF('TT '!$D$56:$D$78,TALLY!A38)</f>
        <v>0</v>
      </c>
      <c r="E38" s="9">
        <f>COUNTIF('TT '!$D$85:$D$105,TALLY!A38)</f>
        <v>0</v>
      </c>
      <c r="F38" s="9">
        <f>COUNTIF('TT '!$D$112:$D$126,TALLY!A38)</f>
        <v>1</v>
      </c>
      <c r="G38" s="9">
        <f>COUNTIF('TT '!$D$133:$D$147,TALLY!A38)</f>
        <v>0</v>
      </c>
      <c r="H38" s="9">
        <f>COUNTIF('TT '!$D$4:$D$31,TALLY!G38)</f>
        <v>0</v>
      </c>
      <c r="I38" s="11">
        <f>COUNTIF('TT '!$D$154:$D$173,TALLY!A38)</f>
        <v>0</v>
      </c>
      <c r="J38" s="11">
        <f>COUNTIF('TT '!$D$180:$D$197,TALLY!A38)</f>
        <v>0</v>
      </c>
      <c r="K38" s="11">
        <f>COUNTIF('TT '!$D$204:$D$216,TALLY!A38)</f>
        <v>0</v>
      </c>
      <c r="L38" s="11">
        <f>COUNTIF('TT '!$D$223:$D$235,TALLY!A38)</f>
        <v>1</v>
      </c>
      <c r="M38" s="11">
        <f>COUNTIF('TT '!$D$242:$D$257,TALLY!A38)</f>
        <v>0</v>
      </c>
      <c r="N38" s="11">
        <f>COUNTIF('TT '!$D$264:$D$276,TALLY!A38)</f>
        <v>0</v>
      </c>
      <c r="O38" s="8" t="e">
        <f>COUNTIF([8]TT!$D$36:$D$41,$A38)</f>
        <v>#VALUE!</v>
      </c>
      <c r="P38" s="12">
        <f>COUNTIF('TT '!$D$283:$D$294,TALLY!A38)</f>
        <v>0</v>
      </c>
      <c r="Q38" s="12">
        <f>COUNTIF('TT '!$D$301:$D$317,TALLY!A38)</f>
        <v>1</v>
      </c>
      <c r="R38" s="302">
        <f>COUNTIF('TT '!$D$324:$D$339,TALLY!A38)</f>
        <v>0</v>
      </c>
      <c r="S38" s="12">
        <f>COUNTIF('TT '!$D$346:$D$362,TALLY!A38)</f>
        <v>0</v>
      </c>
      <c r="T38" s="12">
        <f>COUNTIF('TT '!$D$369:$D$383,TALLY!A38)</f>
        <v>0</v>
      </c>
      <c r="U38" s="12">
        <f>COUNTIF('TT '!$D$390:$D$409,TALLY!A38)</f>
        <v>1</v>
      </c>
      <c r="V38" s="8" t="e">
        <f>COUNTIF([8]TT!$D$36:$D$41,$A38)</f>
        <v>#VALUE!</v>
      </c>
      <c r="W38" s="11">
        <f>COUNTIF('TT '!$D$416:$D$429,TALLY!A38)</f>
        <v>0</v>
      </c>
      <c r="X38" s="11">
        <f>COUNTIF('TT '!$D$436:$D$449,TALLY!A38)</f>
        <v>1</v>
      </c>
      <c r="Y38" s="11">
        <f>COUNTIF('TT '!$D$456:$D$474,TALLY!A38)</f>
        <v>0</v>
      </c>
      <c r="Z38" s="11">
        <f>COUNTIF('TT '!$D$481:$D$495,TALLY!A38)</f>
        <v>0</v>
      </c>
      <c r="AA38" s="11">
        <f>COUNTIF('TT '!$D$502:$D$519,TALLY!A38)</f>
        <v>0</v>
      </c>
      <c r="AB38" s="10">
        <f>COUNTIF('TT '!$D$526:$D$540,TALLY!A38)</f>
        <v>1</v>
      </c>
      <c r="AC38" s="8" t="e">
        <f>COUNTIF([8]TT!$D$36:$D$41,$A38)</f>
        <v>#VALUE!</v>
      </c>
      <c r="AD38" s="9">
        <f>COUNTIF('TT '!$D$547:$D$556,TALLY!A38)</f>
        <v>0</v>
      </c>
      <c r="AE38" s="9">
        <f>COUNTIF('TT '!$D$563:$D$577,TALLY!A38)</f>
        <v>0</v>
      </c>
      <c r="AF38" s="9">
        <f>COUNTIF('TT '!$D$584:$D$598,TALLY!A38)</f>
        <v>1</v>
      </c>
      <c r="AG38" s="9">
        <f>COUNTIF('TT '!$D$605:$D$617,TALLY!A38)</f>
        <v>0</v>
      </c>
      <c r="AH38" s="9">
        <f>COUNTIF('TT '!$D$624:$D$636,TALLY!A38)</f>
        <v>0</v>
      </c>
      <c r="AI38" s="9">
        <f>COUNTIF('TT '!$D$643:$D$654,TALLY!A38)</f>
        <v>0</v>
      </c>
      <c r="AJ38" s="8" t="e">
        <f>COUNTIF([8]TT!$D$36:$D$41,$A38)</f>
        <v>#VALUE!</v>
      </c>
      <c r="AK38" s="265" t="str">
        <f t="shared" si="6"/>
        <v>100010000100010001010001001000</v>
      </c>
      <c r="AL38" s="1">
        <f t="shared" si="0"/>
        <v>2</v>
      </c>
      <c r="AM38" s="1">
        <f t="shared" si="1"/>
        <v>1</v>
      </c>
      <c r="AN38" s="1">
        <f t="shared" si="2"/>
        <v>2</v>
      </c>
      <c r="AO38" s="1">
        <f t="shared" si="3"/>
        <v>2</v>
      </c>
      <c r="AP38" s="1">
        <f t="shared" si="4"/>
        <v>1</v>
      </c>
    </row>
    <row r="39" spans="1:42" x14ac:dyDescent="0.35">
      <c r="A39" s="14" t="s">
        <v>15</v>
      </c>
      <c r="B39" s="9">
        <f>COUNTIF('TT '!$D$4:$D$31,TALLY!A39)</f>
        <v>1</v>
      </c>
      <c r="C39" s="9">
        <f>COUNTIF('TT '!$D$38:$D$49,TALLY!A39)</f>
        <v>0</v>
      </c>
      <c r="D39" s="9">
        <f>COUNTIF('TT '!$D$56:$D$78,TALLY!A39)</f>
        <v>0</v>
      </c>
      <c r="E39" s="9">
        <f>COUNTIF('TT '!$D$85:$D$105,TALLY!A39)</f>
        <v>0</v>
      </c>
      <c r="F39" s="9">
        <f>COUNTIF('TT '!$D$112:$D$126,TALLY!A39)</f>
        <v>0</v>
      </c>
      <c r="G39" s="9">
        <f>COUNTIF('TT '!$D$133:$D$147,TALLY!A39)</f>
        <v>1</v>
      </c>
      <c r="H39" s="9">
        <f>COUNTIF('TT '!$D$4:$D$31,TALLY!G39)</f>
        <v>0</v>
      </c>
      <c r="I39" s="11">
        <f>COUNTIF('TT '!$D$154:$D$173,TALLY!A39)</f>
        <v>1</v>
      </c>
      <c r="J39" s="11">
        <f>COUNTIF('TT '!$D$180:$D$197,TALLY!A39)</f>
        <v>0</v>
      </c>
      <c r="K39" s="11">
        <f>COUNTIF('TT '!$D$204:$D$216,TALLY!A39)</f>
        <v>0</v>
      </c>
      <c r="L39" s="11">
        <f>COUNTIF('TT '!$D$223:$D$235,TALLY!A39)</f>
        <v>0</v>
      </c>
      <c r="M39" s="11">
        <f>COUNTIF('TT '!$D$242:$D$257,TALLY!A39)</f>
        <v>0</v>
      </c>
      <c r="N39" s="11">
        <f>COUNTIF('TT '!$D$264:$D$276,TALLY!A39)</f>
        <v>0</v>
      </c>
      <c r="O39" s="8" t="e">
        <f>COUNTIF([8]TT!$D$36:$D$41,$A39)</f>
        <v>#VALUE!</v>
      </c>
      <c r="P39" s="12">
        <f>COUNTIF('TT '!$D$283:$D$294,TALLY!A39)</f>
        <v>0</v>
      </c>
      <c r="Q39" s="12">
        <f>COUNTIF('TT '!$D$301:$D$317,TALLY!A39)</f>
        <v>0</v>
      </c>
      <c r="R39" s="302">
        <f>COUNTIF('TT '!$D$324:$D$339,TALLY!A39)</f>
        <v>0</v>
      </c>
      <c r="S39" s="12">
        <f>COUNTIF('TT '!$D$346:$D$362,TALLY!A39)</f>
        <v>0</v>
      </c>
      <c r="T39" s="12">
        <f>COUNTIF('TT '!$D$369:$D$383,TALLY!A39)</f>
        <v>1</v>
      </c>
      <c r="U39" s="12">
        <f>COUNTIF('TT '!$D$390:$D$409,TALLY!A39)</f>
        <v>0</v>
      </c>
      <c r="V39" s="8" t="e">
        <f>COUNTIF([8]TT!$D$36:$D$41,$A39)</f>
        <v>#VALUE!</v>
      </c>
      <c r="W39" s="11">
        <f>COUNTIF('TT '!$D$416:$D$429,TALLY!A39)</f>
        <v>0</v>
      </c>
      <c r="X39" s="11">
        <f>COUNTIF('TT '!$D$436:$D$449,TALLY!A39)</f>
        <v>1</v>
      </c>
      <c r="Y39" s="11">
        <f>COUNTIF('TT '!$D$456:$D$474,TALLY!A39)</f>
        <v>0</v>
      </c>
      <c r="Z39" s="11">
        <f>COUNTIF('TT '!$D$481:$D$495,TALLY!A39)</f>
        <v>0</v>
      </c>
      <c r="AA39" s="11">
        <f>COUNTIF('TT '!$D$502:$D$519,TALLY!A39)</f>
        <v>1</v>
      </c>
      <c r="AB39" s="10">
        <f>COUNTIF('TT '!$D$526:$D$540,TALLY!A39)</f>
        <v>0</v>
      </c>
      <c r="AC39" s="8" t="e">
        <f>COUNTIF([8]TT!$D$36:$D$41,$A39)</f>
        <v>#VALUE!</v>
      </c>
      <c r="AD39" s="9">
        <f>COUNTIF('TT '!$D$547:$D$556,TALLY!A39)</f>
        <v>0</v>
      </c>
      <c r="AE39" s="9">
        <f>COUNTIF('TT '!$D$563:$D$577,TALLY!A39)</f>
        <v>1</v>
      </c>
      <c r="AF39" s="9">
        <f>COUNTIF('TT '!$D$584:$D$598,TALLY!A39)</f>
        <v>0</v>
      </c>
      <c r="AG39" s="9">
        <f>COUNTIF('TT '!$D$605:$D$617,TALLY!A39)</f>
        <v>0</v>
      </c>
      <c r="AH39" s="9">
        <f>COUNTIF('TT '!$D$624:$D$636,TALLY!A39)</f>
        <v>0</v>
      </c>
      <c r="AI39" s="9">
        <f>COUNTIF('TT '!$D$643:$D$654,TALLY!A39)</f>
        <v>0</v>
      </c>
      <c r="AJ39" s="8" t="e">
        <f>COUNTIF([8]TT!$D$36:$D$41,$A39)</f>
        <v>#VALUE!</v>
      </c>
      <c r="AK39" s="265" t="str">
        <f t="shared" si="6"/>
        <v>100001100000000010010010010000</v>
      </c>
      <c r="AL39" s="1">
        <f t="shared" si="0"/>
        <v>2</v>
      </c>
      <c r="AM39" s="1">
        <f t="shared" si="1"/>
        <v>1</v>
      </c>
      <c r="AN39" s="1">
        <f t="shared" si="2"/>
        <v>1</v>
      </c>
      <c r="AO39" s="1">
        <f t="shared" si="3"/>
        <v>2</v>
      </c>
      <c r="AP39" s="1">
        <f t="shared" si="4"/>
        <v>1</v>
      </c>
    </row>
    <row r="40" spans="1:42" x14ac:dyDescent="0.35">
      <c r="A40" s="14" t="s">
        <v>14</v>
      </c>
      <c r="B40" s="9">
        <f>COUNTIF('TT '!$D$4:$D$31,TALLY!A40)</f>
        <v>1</v>
      </c>
      <c r="C40" s="9">
        <f>COUNTIF('TT '!$D$38:$D$49,TALLY!A40)</f>
        <v>0</v>
      </c>
      <c r="D40" s="9">
        <f>COUNTIF('TT '!$D$56:$D$78,TALLY!A40)</f>
        <v>0</v>
      </c>
      <c r="E40" s="9">
        <f>COUNTIF('TT '!$D$85:$D$105,TALLY!A40)</f>
        <v>1</v>
      </c>
      <c r="F40" s="9">
        <f>COUNTIF('TT '!$D$112:$D$126,TALLY!A40)</f>
        <v>0</v>
      </c>
      <c r="G40" s="9">
        <f>COUNTIF('TT '!$D$133:$D$147,TALLY!A40)</f>
        <v>0</v>
      </c>
      <c r="H40" s="9">
        <f>COUNTIF('TT '!$D$4:$D$31,TALLY!G40)</f>
        <v>0</v>
      </c>
      <c r="I40" s="11">
        <f>COUNTIF('TT '!$D$154:$D$173,TALLY!A40)</f>
        <v>0</v>
      </c>
      <c r="J40" s="11">
        <f>COUNTIF('TT '!$D$180:$D$197,TALLY!A40)</f>
        <v>0</v>
      </c>
      <c r="K40" s="11">
        <f>COUNTIF('TT '!$D$204:$D$216,TALLY!A40)</f>
        <v>0</v>
      </c>
      <c r="L40" s="11">
        <f>COUNTIF('TT '!$D$223:$D$235,TALLY!A40)</f>
        <v>0</v>
      </c>
      <c r="M40" s="11">
        <f>COUNTIF('TT '!$D$242:$D$257,TALLY!A40)</f>
        <v>0</v>
      </c>
      <c r="N40" s="11">
        <f>COUNTIF('TT '!$D$264:$D$276,TALLY!A40)</f>
        <v>0</v>
      </c>
      <c r="O40" s="8" t="e">
        <f>COUNTIF([8]TT!$D$36:$D$41,$A40)</f>
        <v>#VALUE!</v>
      </c>
      <c r="P40" s="12">
        <f>COUNTIF('TT '!$D$283:$D$294,TALLY!A40)</f>
        <v>0</v>
      </c>
      <c r="Q40" s="12">
        <f>COUNTIF('TT '!$D$301:$D$317,TALLY!A40)</f>
        <v>0</v>
      </c>
      <c r="R40" s="302">
        <f>COUNTIF('TT '!$D$324:$D$339,TALLY!A40)</f>
        <v>0</v>
      </c>
      <c r="S40" s="12">
        <f>COUNTIF('TT '!$D$346:$D$362,TALLY!A40)</f>
        <v>1</v>
      </c>
      <c r="T40" s="12">
        <f>COUNTIF('TT '!$D$369:$D$383,TALLY!A40)</f>
        <v>0</v>
      </c>
      <c r="U40" s="12">
        <f>COUNTIF('TT '!$D$390:$D$409,TALLY!A40)</f>
        <v>1</v>
      </c>
      <c r="V40" s="8" t="e">
        <f>COUNTIF([8]TT!$D$36:$D$41,$A40)</f>
        <v>#VALUE!</v>
      </c>
      <c r="W40" s="11">
        <f>COUNTIF('TT '!$D$416:$D$429,TALLY!A40)</f>
        <v>0</v>
      </c>
      <c r="X40" s="11">
        <f>COUNTIF('TT '!$D$436:$D$449,TALLY!A40)</f>
        <v>0</v>
      </c>
      <c r="Y40" s="11">
        <f>COUNTIF('TT '!$D$456:$D$474,TALLY!A40)</f>
        <v>1</v>
      </c>
      <c r="Z40" s="11">
        <f>COUNTIF('TT '!$D$481:$D$495,TALLY!A40)</f>
        <v>0</v>
      </c>
      <c r="AA40" s="11">
        <f>COUNTIF('TT '!$D$502:$D$519,TALLY!A40)</f>
        <v>0</v>
      </c>
      <c r="AB40" s="10">
        <f>COUNTIF('TT '!$D$526:$D$540,TALLY!A40)</f>
        <v>0</v>
      </c>
      <c r="AC40" s="8" t="e">
        <f>COUNTIF([8]TT!$D$36:$D$41,$A40)</f>
        <v>#VALUE!</v>
      </c>
      <c r="AD40" s="9">
        <f>COUNTIF('TT '!$D$547:$D$556,TALLY!A40)</f>
        <v>0</v>
      </c>
      <c r="AE40" s="9">
        <f>COUNTIF('TT '!$D$563:$D$577,TALLY!A40)</f>
        <v>1</v>
      </c>
      <c r="AF40" s="9">
        <f>COUNTIF('TT '!$D$584:$D$598,TALLY!A40)</f>
        <v>0</v>
      </c>
      <c r="AG40" s="9">
        <f>COUNTIF('TT '!$D$605:$D$617,TALLY!A40)</f>
        <v>0</v>
      </c>
      <c r="AH40" s="9">
        <f>COUNTIF('TT '!$D$624:$D$636,TALLY!A40)</f>
        <v>0</v>
      </c>
      <c r="AI40" s="9">
        <f>COUNTIF('TT '!$D$643:$D$654,TALLY!A40)</f>
        <v>0</v>
      </c>
      <c r="AJ40" s="8" t="e">
        <f>COUNTIF([8]TT!$D$36:$D$41,$A40)</f>
        <v>#VALUE!</v>
      </c>
      <c r="AK40" s="265" t="str">
        <f t="shared" si="6"/>
        <v>100100000000000101001000010000</v>
      </c>
      <c r="AL40" s="1">
        <f t="shared" si="0"/>
        <v>2</v>
      </c>
      <c r="AM40" s="1">
        <f t="shared" si="1"/>
        <v>0</v>
      </c>
      <c r="AN40" s="1">
        <f t="shared" si="2"/>
        <v>2</v>
      </c>
      <c r="AO40" s="1">
        <f t="shared" si="3"/>
        <v>1</v>
      </c>
      <c r="AP40" s="1">
        <f t="shared" si="4"/>
        <v>1</v>
      </c>
    </row>
    <row r="41" spans="1:42" x14ac:dyDescent="0.35">
      <c r="A41" s="14" t="s">
        <v>12</v>
      </c>
      <c r="B41" s="9">
        <f>COUNTIF('TT '!$D$4:$D$31,TALLY!A41)</f>
        <v>1</v>
      </c>
      <c r="C41" s="9">
        <f>COUNTIF('TT '!$D$38:$D$49,TALLY!A41)</f>
        <v>0</v>
      </c>
      <c r="D41" s="9">
        <f>COUNTIF('TT '!$D$56:$D$78,TALLY!A41)</f>
        <v>0</v>
      </c>
      <c r="E41" s="9">
        <f>COUNTIF('TT '!$D$85:$D$105,TALLY!A41)</f>
        <v>1</v>
      </c>
      <c r="F41" s="9">
        <f>COUNTIF('TT '!$D$112:$D$126,TALLY!A41)</f>
        <v>0</v>
      </c>
      <c r="G41" s="9">
        <f>COUNTIF('TT '!$D$133:$D$147,TALLY!A41)</f>
        <v>0</v>
      </c>
      <c r="H41" s="9">
        <f>COUNTIF('TT '!$D$4:$D$31,TALLY!G41)</f>
        <v>0</v>
      </c>
      <c r="I41" s="11">
        <f>COUNTIF('TT '!$D$154:$D$173,TALLY!A41)</f>
        <v>0</v>
      </c>
      <c r="J41" s="11">
        <f>COUNTIF('TT '!$D$180:$D$197,TALLY!A41)</f>
        <v>0</v>
      </c>
      <c r="K41" s="11">
        <f>COUNTIF('TT '!$D$204:$D$216,TALLY!A41)</f>
        <v>0</v>
      </c>
      <c r="L41" s="11">
        <f>COUNTIF('TT '!$D$223:$D$235,TALLY!A41)</f>
        <v>0</v>
      </c>
      <c r="M41" s="11">
        <f>COUNTIF('TT '!$D$242:$D$257,TALLY!A41)</f>
        <v>1</v>
      </c>
      <c r="N41" s="11">
        <f>COUNTIF('TT '!$D$264:$D$276,TALLY!A41)</f>
        <v>0</v>
      </c>
      <c r="O41" s="8" t="e">
        <f>COUNTIF([8]TT!$D$36:$D$41,$A41)</f>
        <v>#VALUE!</v>
      </c>
      <c r="P41" s="12">
        <f>COUNTIF('TT '!$D$283:$D$294,TALLY!A41)</f>
        <v>0</v>
      </c>
      <c r="Q41" s="12">
        <f>COUNTIF('TT '!$D$301:$D$317,TALLY!A41)</f>
        <v>0</v>
      </c>
      <c r="R41" s="302">
        <f>COUNTIF('TT '!$D$324:$D$339,TALLY!A41)</f>
        <v>0</v>
      </c>
      <c r="S41" s="12">
        <f>COUNTIF('TT '!$D$346:$D$362,TALLY!A41)</f>
        <v>1</v>
      </c>
      <c r="T41" s="12">
        <f>COUNTIF('TT '!$D$369:$D$383,TALLY!A41)</f>
        <v>0</v>
      </c>
      <c r="U41" s="12">
        <f>COUNTIF('TT '!$D$390:$D$409,TALLY!A41)</f>
        <v>0</v>
      </c>
      <c r="V41" s="8" t="e">
        <f>COUNTIF([8]TT!$D$36:$D$41,$A41)</f>
        <v>#VALUE!</v>
      </c>
      <c r="W41" s="11">
        <f>COUNTIF('TT '!$D$416:$D$429,TALLY!A41)</f>
        <v>0</v>
      </c>
      <c r="X41" s="11">
        <f>COUNTIF('TT '!$D$436:$D$449,TALLY!A41)</f>
        <v>0</v>
      </c>
      <c r="Y41" s="11">
        <f>COUNTIF('TT '!$D$456:$D$474,TALLY!A41)</f>
        <v>0</v>
      </c>
      <c r="Z41" s="11">
        <f>COUNTIF('TT '!$D$481:$D$495,TALLY!A41)</f>
        <v>0</v>
      </c>
      <c r="AA41" s="11">
        <f>COUNTIF('TT '!$D$502:$D$519,TALLY!A41)</f>
        <v>1</v>
      </c>
      <c r="AB41" s="10">
        <f>COUNTIF('TT '!$D$526:$D$540,TALLY!A41)</f>
        <v>0</v>
      </c>
      <c r="AC41" s="8" t="e">
        <f>COUNTIF([8]TT!$D$36:$D$41,$A41)</f>
        <v>#VALUE!</v>
      </c>
      <c r="AD41" s="9">
        <f>COUNTIF('TT '!$D$547:$D$556,TALLY!A41)</f>
        <v>0</v>
      </c>
      <c r="AE41" s="9">
        <f>COUNTIF('TT '!$D$563:$D$577,TALLY!A41)</f>
        <v>0</v>
      </c>
      <c r="AF41" s="9">
        <f>COUNTIF('TT '!$D$584:$D$598,TALLY!A41)</f>
        <v>0</v>
      </c>
      <c r="AG41" s="9">
        <f>COUNTIF('TT '!$D$605:$D$617,TALLY!A41)</f>
        <v>1</v>
      </c>
      <c r="AH41" s="9">
        <f>COUNTIF('TT '!$D$624:$D$636,TALLY!A41)</f>
        <v>0</v>
      </c>
      <c r="AI41" s="9">
        <f>COUNTIF('TT '!$D$643:$D$654,TALLY!A41)</f>
        <v>0</v>
      </c>
      <c r="AJ41" s="8" t="e">
        <f>COUNTIF([8]TT!$D$36:$D$41,$A41)</f>
        <v>#VALUE!</v>
      </c>
      <c r="AK41" s="265" t="str">
        <f t="shared" si="6"/>
        <v>100100000010000100000010000100</v>
      </c>
      <c r="AL41" s="1">
        <f t="shared" si="0"/>
        <v>2</v>
      </c>
      <c r="AM41" s="1">
        <f t="shared" si="1"/>
        <v>1</v>
      </c>
      <c r="AN41" s="1">
        <f t="shared" si="2"/>
        <v>1</v>
      </c>
      <c r="AO41" s="1">
        <f t="shared" si="3"/>
        <v>1</v>
      </c>
      <c r="AP41" s="1">
        <f t="shared" si="4"/>
        <v>1</v>
      </c>
    </row>
    <row r="42" spans="1:42" s="5" customFormat="1" x14ac:dyDescent="0.35">
      <c r="A42" s="18" t="s">
        <v>13</v>
      </c>
      <c r="B42" s="9">
        <f>COUNTIF('TT '!$D$4:$D$31,TALLY!A42)</f>
        <v>1</v>
      </c>
      <c r="C42" s="9">
        <f>COUNTIF('TT '!$D$38:$D$49,TALLY!A42)</f>
        <v>0</v>
      </c>
      <c r="D42" s="9">
        <f>COUNTIF('TT '!$D$56:$D$78,TALLY!A42)</f>
        <v>0</v>
      </c>
      <c r="E42" s="9">
        <f>COUNTIF('TT '!$D$85:$D$105,TALLY!A42)</f>
        <v>1</v>
      </c>
      <c r="F42" s="9">
        <f>COUNTIF('TT '!$D$112:$D$126,TALLY!A42)</f>
        <v>0</v>
      </c>
      <c r="G42" s="9">
        <f>COUNTIF('TT '!$D$133:$D$147,TALLY!A42)</f>
        <v>0</v>
      </c>
      <c r="H42" s="9">
        <f>COUNTIF('TT '!$D$4:$D$31,TALLY!G42)</f>
        <v>0</v>
      </c>
      <c r="I42" s="11">
        <f>COUNTIF('TT '!$D$154:$D$173,TALLY!A42)</f>
        <v>0</v>
      </c>
      <c r="J42" s="11">
        <f>COUNTIF('TT '!$D$180:$D$197,TALLY!A42)</f>
        <v>0</v>
      </c>
      <c r="K42" s="11">
        <f>COUNTIF('TT '!$D$204:$D$216,TALLY!A42)</f>
        <v>0</v>
      </c>
      <c r="L42" s="11">
        <f>COUNTIF('TT '!$D$223:$D$235,TALLY!A42)</f>
        <v>0</v>
      </c>
      <c r="M42" s="11">
        <f>COUNTIF('TT '!$D$242:$D$257,TALLY!A42)</f>
        <v>0</v>
      </c>
      <c r="N42" s="11">
        <f>COUNTIF('TT '!$D$264:$D$276,TALLY!A42)</f>
        <v>1</v>
      </c>
      <c r="O42" s="8" t="e">
        <f>COUNTIF([8]TT!$D$36:$D$41,$A42)</f>
        <v>#VALUE!</v>
      </c>
      <c r="P42" s="12">
        <f>COUNTIF('TT '!$D$283:$D$294,TALLY!A42)</f>
        <v>0</v>
      </c>
      <c r="Q42" s="12">
        <f>COUNTIF('TT '!$D$301:$D$317,TALLY!A42)</f>
        <v>1</v>
      </c>
      <c r="R42" s="302">
        <f>COUNTIF('TT '!$D$324:$D$339,TALLY!A42)</f>
        <v>0</v>
      </c>
      <c r="S42" s="12">
        <f>COUNTIF('TT '!$D$346:$D$362,TALLY!A42)</f>
        <v>1</v>
      </c>
      <c r="T42" s="12">
        <f>COUNTIF('TT '!$D$369:$D$383,TALLY!A42)</f>
        <v>0</v>
      </c>
      <c r="U42" s="12">
        <f>COUNTIF('TT '!$D$390:$D$409,TALLY!A42)</f>
        <v>0</v>
      </c>
      <c r="V42" s="8" t="e">
        <f>COUNTIF([8]TT!$D$36:$D$41,$A42)</f>
        <v>#VALUE!</v>
      </c>
      <c r="W42" s="11">
        <f>COUNTIF('TT '!$D$416:$D$429,TALLY!A42)</f>
        <v>1</v>
      </c>
      <c r="X42" s="11">
        <f>COUNTIF('TT '!$D$436:$D$449,TALLY!A42)</f>
        <v>0</v>
      </c>
      <c r="Y42" s="11">
        <f>COUNTIF('TT '!$D$456:$D$474,TALLY!A42)</f>
        <v>0</v>
      </c>
      <c r="Z42" s="11">
        <f>COUNTIF('TT '!$D$481:$D$495,TALLY!A42)</f>
        <v>0</v>
      </c>
      <c r="AA42" s="11">
        <f>COUNTIF('TT '!$D$502:$D$519,TALLY!A42)</f>
        <v>0</v>
      </c>
      <c r="AB42" s="10">
        <f>COUNTIF('TT '!$D$526:$D$540,TALLY!A42)</f>
        <v>0</v>
      </c>
      <c r="AC42" s="8" t="e">
        <f>COUNTIF([8]TT!$D$36:$D$41,$A42)</f>
        <v>#VALUE!</v>
      </c>
      <c r="AD42" s="9">
        <f>COUNTIF('TT '!$D$547:$D$556,TALLY!A42)</f>
        <v>0</v>
      </c>
      <c r="AE42" s="9">
        <f>COUNTIF('TT '!$D$563:$D$577,TALLY!A42)</f>
        <v>0</v>
      </c>
      <c r="AF42" s="9">
        <f>COUNTIF('TT '!$D$584:$D$598,TALLY!A42)</f>
        <v>0</v>
      </c>
      <c r="AG42" s="9">
        <f>COUNTIF('TT '!$D$605:$D$617,TALLY!A42)</f>
        <v>0</v>
      </c>
      <c r="AH42" s="9">
        <f>COUNTIF('TT '!$D$624:$D$636,TALLY!A42)</f>
        <v>1</v>
      </c>
      <c r="AI42" s="9">
        <f>COUNTIF('TT '!$D$643:$D$654,TALLY!A42)</f>
        <v>0</v>
      </c>
      <c r="AJ42" s="8" t="e">
        <f>COUNTIF([8]TT!$D$36:$D$41,$A42)</f>
        <v>#VALUE!</v>
      </c>
      <c r="AK42" s="265" t="str">
        <f t="shared" si="6"/>
        <v>100100000001010100100000000010</v>
      </c>
      <c r="AL42" s="1">
        <f t="shared" si="0"/>
        <v>2</v>
      </c>
      <c r="AM42" s="1">
        <f t="shared" si="1"/>
        <v>1</v>
      </c>
      <c r="AN42" s="1">
        <f t="shared" si="2"/>
        <v>2</v>
      </c>
      <c r="AO42" s="1">
        <f t="shared" si="3"/>
        <v>1</v>
      </c>
      <c r="AP42" s="1">
        <f t="shared" si="4"/>
        <v>1</v>
      </c>
    </row>
    <row r="43" spans="1:42" x14ac:dyDescent="0.35">
      <c r="A43" s="14" t="s">
        <v>22</v>
      </c>
      <c r="B43" s="9">
        <f>COUNTIF('TT '!$D$4:$D$31,TALLY!A43)</f>
        <v>1</v>
      </c>
      <c r="C43" s="9">
        <f>COUNTIF('TT '!$D$38:$D$49,TALLY!A43)</f>
        <v>0</v>
      </c>
      <c r="D43" s="9">
        <f>COUNTIF('TT '!$D$56:$D$78,TALLY!A43)</f>
        <v>0</v>
      </c>
      <c r="E43" s="9">
        <f>COUNTIF('TT '!$D$85:$D$105,TALLY!A43)</f>
        <v>0</v>
      </c>
      <c r="F43" s="9">
        <f>COUNTIF('TT '!$D$112:$D$126,TALLY!A43)</f>
        <v>1</v>
      </c>
      <c r="G43" s="9">
        <f>COUNTIF('TT '!$D$133:$D$147,TALLY!A43)</f>
        <v>0</v>
      </c>
      <c r="H43" s="9">
        <f>COUNTIF('TT '!$D$4:$D$31,TALLY!G43)</f>
        <v>0</v>
      </c>
      <c r="I43" s="11">
        <f>COUNTIF('TT '!$D$154:$D$173,TALLY!A43)</f>
        <v>0</v>
      </c>
      <c r="J43" s="11">
        <f>COUNTIF('TT '!$D$180:$D$197,TALLY!A43)</f>
        <v>0</v>
      </c>
      <c r="K43" s="11">
        <f>COUNTIF('TT '!$D$204:$D$216,TALLY!A43)</f>
        <v>1</v>
      </c>
      <c r="L43" s="11">
        <f>COUNTIF('TT '!$D$223:$D$235,TALLY!A43)</f>
        <v>0</v>
      </c>
      <c r="M43" s="11">
        <f>COUNTIF('TT '!$D$242:$D$257,TALLY!A43)</f>
        <v>0</v>
      </c>
      <c r="N43" s="11">
        <f>COUNTIF('TT '!$D$264:$D$276,TALLY!A43)</f>
        <v>0</v>
      </c>
      <c r="O43" s="8" t="e">
        <f>COUNTIF([8]TT!$D$36:$D$41,$A43)</f>
        <v>#VALUE!</v>
      </c>
      <c r="P43" s="12">
        <f>COUNTIF('TT '!$D$283:$D$294,TALLY!A43)</f>
        <v>0</v>
      </c>
      <c r="Q43" s="12">
        <f>COUNTIF('TT '!$D$301:$D$317,TALLY!A43)</f>
        <v>0</v>
      </c>
      <c r="R43" s="302">
        <f>COUNTIF('TT '!$D$324:$D$339,TALLY!A43)</f>
        <v>0</v>
      </c>
      <c r="S43" s="12">
        <f>COUNTIF('TT '!$D$346:$D$362,TALLY!A43)</f>
        <v>1</v>
      </c>
      <c r="T43" s="12">
        <f>COUNTIF('TT '!$D$369:$D$383,TALLY!A43)</f>
        <v>0</v>
      </c>
      <c r="U43" s="12">
        <f>COUNTIF('TT '!$D$390:$D$409,TALLY!A43)</f>
        <v>0</v>
      </c>
      <c r="V43" s="8" t="e">
        <f>COUNTIF([8]TT!$D$36:$D$41,$A43)</f>
        <v>#VALUE!</v>
      </c>
      <c r="W43" s="11">
        <f>COUNTIF('TT '!$D$416:$D$429,TALLY!A43)</f>
        <v>0</v>
      </c>
      <c r="X43" s="11">
        <f>COUNTIF('TT '!$D$436:$D$449,TALLY!A43)</f>
        <v>0</v>
      </c>
      <c r="Y43" s="11">
        <f>COUNTIF('TT '!$D$456:$D$474,TALLY!A43)</f>
        <v>0</v>
      </c>
      <c r="Z43" s="11">
        <f>COUNTIF('TT '!$D$481:$D$495,TALLY!A43)</f>
        <v>0</v>
      </c>
      <c r="AA43" s="11">
        <f>COUNTIF('TT '!$D$502:$D$519,TALLY!A43)</f>
        <v>0</v>
      </c>
      <c r="AB43" s="10">
        <f>COUNTIF('TT '!$D$526:$D$540,TALLY!A43)</f>
        <v>1</v>
      </c>
      <c r="AC43" s="8" t="e">
        <f>COUNTIF([8]TT!$D$36:$D$41,$A43)</f>
        <v>#VALUE!</v>
      </c>
      <c r="AD43" s="9">
        <f>COUNTIF('TT '!$D$547:$D$556,TALLY!A43)</f>
        <v>0</v>
      </c>
      <c r="AE43" s="9">
        <f>COUNTIF('TT '!$D$563:$D$577,TALLY!A43)</f>
        <v>0</v>
      </c>
      <c r="AF43" s="9">
        <f>COUNTIF('TT '!$D$584:$D$598,TALLY!A43)</f>
        <v>1</v>
      </c>
      <c r="AG43" s="9">
        <f>COUNTIF('TT '!$D$605:$D$617,TALLY!A43)</f>
        <v>0</v>
      </c>
      <c r="AH43" s="9">
        <f>COUNTIF('TT '!$D$624:$D$636,TALLY!A43)</f>
        <v>0</v>
      </c>
      <c r="AI43" s="9">
        <f>COUNTIF('TT '!$D$643:$D$654,TALLY!A43)</f>
        <v>1</v>
      </c>
      <c r="AJ43" s="8" t="e">
        <f>COUNTIF([8]TT!$D$36:$D$41,$A43)</f>
        <v>#VALUE!</v>
      </c>
      <c r="AK43" s="265" t="str">
        <f t="shared" si="6"/>
        <v>100010001000000100000001001001</v>
      </c>
      <c r="AL43" s="1">
        <f t="shared" si="0"/>
        <v>2</v>
      </c>
      <c r="AM43" s="1">
        <f t="shared" si="1"/>
        <v>1</v>
      </c>
      <c r="AN43" s="1">
        <f t="shared" si="2"/>
        <v>1</v>
      </c>
      <c r="AO43" s="1">
        <f t="shared" si="3"/>
        <v>1</v>
      </c>
      <c r="AP43" s="1">
        <f t="shared" si="4"/>
        <v>2</v>
      </c>
    </row>
    <row r="44" spans="1:42" x14ac:dyDescent="0.35">
      <c r="A44" s="14" t="s">
        <v>92</v>
      </c>
      <c r="B44" s="9">
        <f>COUNTIF('TT '!$D$4:$D$31,TALLY!A44)</f>
        <v>0</v>
      </c>
      <c r="C44" s="9">
        <f>COUNTIF('TT '!$D$38:$D$49,TALLY!A44)</f>
        <v>0</v>
      </c>
      <c r="D44" s="9">
        <f>COUNTIF('TT '!$D$56:$D$78,TALLY!A44)</f>
        <v>0</v>
      </c>
      <c r="E44" s="9">
        <f>COUNTIF('TT '!$D$85:$D$105,TALLY!A44)</f>
        <v>1</v>
      </c>
      <c r="F44" s="9">
        <f>COUNTIF('TT '!$D$112:$D$126,TALLY!A44)</f>
        <v>0</v>
      </c>
      <c r="G44" s="9">
        <f>COUNTIF('TT '!$D$133:$D$147,TALLY!A44)</f>
        <v>0</v>
      </c>
      <c r="H44" s="9">
        <f>COUNTIF('TT '!$D$4:$D$31,TALLY!G44)</f>
        <v>0</v>
      </c>
      <c r="I44" s="11">
        <f>COUNTIF('TT '!$D$154:$D$173,TALLY!A44)</f>
        <v>1</v>
      </c>
      <c r="J44" s="11">
        <f>COUNTIF('TT '!$D$180:$D$197,TALLY!A44)</f>
        <v>0</v>
      </c>
      <c r="K44" s="11">
        <f>COUNTIF('TT '!$D$204:$D$216,TALLY!A44)</f>
        <v>0</v>
      </c>
      <c r="L44" s="11">
        <f>COUNTIF('TT '!$D$223:$D$235,TALLY!A44)</f>
        <v>1</v>
      </c>
      <c r="M44" s="11">
        <f>COUNTIF('TT '!$D$242:$D$257,TALLY!A44)</f>
        <v>0</v>
      </c>
      <c r="N44" s="11">
        <f>COUNTIF('TT '!$D$264:$D$276,TALLY!A44)</f>
        <v>0</v>
      </c>
      <c r="O44" s="8" t="e">
        <f>COUNTIF([8]TT!$D$36:$D$41,$A44)</f>
        <v>#VALUE!</v>
      </c>
      <c r="P44" s="12">
        <f>COUNTIF('TT '!$D$283:$D$294,TALLY!A44)</f>
        <v>0</v>
      </c>
      <c r="Q44" s="12">
        <f>COUNTIF('TT '!$D$301:$D$317,TALLY!A44)</f>
        <v>1</v>
      </c>
      <c r="R44" s="302">
        <f>COUNTIF('TT '!$D$324:$D$339,TALLY!A44)</f>
        <v>0</v>
      </c>
      <c r="S44" s="12">
        <f>COUNTIF('TT '!$D$346:$D$362,TALLY!A44)</f>
        <v>0</v>
      </c>
      <c r="T44" s="12">
        <f>COUNTIF('TT '!$D$369:$D$383,TALLY!A44)</f>
        <v>0</v>
      </c>
      <c r="U44" s="12">
        <f>COUNTIF('TT '!$D$390:$D$409,TALLY!A44)</f>
        <v>1</v>
      </c>
      <c r="V44" s="8" t="e">
        <f>COUNTIF([8]TT!$D$36:$D$41,$A44)</f>
        <v>#VALUE!</v>
      </c>
      <c r="W44" s="11">
        <f>COUNTIF('TT '!$D$416:$D$429,TALLY!A44)</f>
        <v>0</v>
      </c>
      <c r="X44" s="11">
        <f>COUNTIF('TT '!$D$436:$D$449,TALLY!A44)</f>
        <v>0</v>
      </c>
      <c r="Y44" s="11">
        <f>COUNTIF('TT '!$D$456:$D$474,TALLY!A44)</f>
        <v>0</v>
      </c>
      <c r="Z44" s="11">
        <f>COUNTIF('TT '!$D$481:$D$495,TALLY!A44)</f>
        <v>0</v>
      </c>
      <c r="AA44" s="11">
        <f>COUNTIF('TT '!$D$502:$D$519,TALLY!A44)</f>
        <v>1</v>
      </c>
      <c r="AB44" s="10">
        <f>COUNTIF('TT '!$D$526:$D$540,TALLY!A44)</f>
        <v>0</v>
      </c>
      <c r="AC44" s="8" t="e">
        <f>COUNTIF([8]TT!$D$36:$D$41,$A44)</f>
        <v>#VALUE!</v>
      </c>
      <c r="AD44" s="9">
        <f>COUNTIF('TT '!$D$547:$D$556,TALLY!A44)</f>
        <v>0</v>
      </c>
      <c r="AE44" s="9">
        <f>COUNTIF('TT '!$D$563:$D$577,TALLY!A44)</f>
        <v>1</v>
      </c>
      <c r="AF44" s="9">
        <f>COUNTIF('TT '!$D$584:$D$598,TALLY!A44)</f>
        <v>0</v>
      </c>
      <c r="AG44" s="9">
        <f>COUNTIF('TT '!$D$605:$D$617,TALLY!A44)</f>
        <v>0</v>
      </c>
      <c r="AH44" s="9">
        <f>COUNTIF('TT '!$D$624:$D$636,TALLY!A44)</f>
        <v>1</v>
      </c>
      <c r="AI44" s="9">
        <f>COUNTIF('TT '!$D$643:$D$654,TALLY!A44)</f>
        <v>0</v>
      </c>
      <c r="AJ44" s="8" t="e">
        <f>COUNTIF([8]TT!$D$36:$D$41,$A44)</f>
        <v>#VALUE!</v>
      </c>
      <c r="AK44" s="265" t="str">
        <f t="shared" si="6"/>
        <v>000100100100010001000010010010</v>
      </c>
      <c r="AL44" s="1">
        <f t="shared" si="0"/>
        <v>1</v>
      </c>
      <c r="AM44" s="1">
        <f t="shared" si="1"/>
        <v>2</v>
      </c>
      <c r="AN44" s="1">
        <f t="shared" si="2"/>
        <v>2</v>
      </c>
      <c r="AO44" s="1">
        <f t="shared" si="3"/>
        <v>1</v>
      </c>
      <c r="AP44" s="1">
        <f t="shared" si="4"/>
        <v>2</v>
      </c>
    </row>
    <row r="45" spans="1:42" s="5" customFormat="1" x14ac:dyDescent="0.35">
      <c r="A45" s="18" t="s">
        <v>17</v>
      </c>
      <c r="B45" s="9">
        <f>COUNTIF('TT '!$D$4:$D$31,TALLY!A45)</f>
        <v>1</v>
      </c>
      <c r="C45" s="9">
        <f>COUNTIF('TT '!$D$38:$D$49,TALLY!A45)</f>
        <v>0</v>
      </c>
      <c r="D45" s="9">
        <f>COUNTIF('TT '!$D$56:$D$78,TALLY!A45)</f>
        <v>0</v>
      </c>
      <c r="E45" s="9">
        <f>COUNTIF('TT '!$D$85:$D$105,TALLY!A45)</f>
        <v>0</v>
      </c>
      <c r="F45" s="9">
        <f>COUNTIF('TT '!$D$112:$D$126,TALLY!A45)</f>
        <v>0</v>
      </c>
      <c r="G45" s="9">
        <f>COUNTIF('TT '!$D$133:$D$147,TALLY!A45)</f>
        <v>0</v>
      </c>
      <c r="H45" s="9">
        <f>COUNTIF('TT '!$D$4:$D$31,TALLY!G45)</f>
        <v>0</v>
      </c>
      <c r="I45" s="11">
        <f>COUNTIF('TT '!$D$154:$D$173,TALLY!A45)</f>
        <v>1</v>
      </c>
      <c r="J45" s="11">
        <f>COUNTIF('TT '!$D$180:$D$197,TALLY!A45)</f>
        <v>0</v>
      </c>
      <c r="K45" s="11">
        <f>COUNTIF('TT '!$D$204:$D$216,TALLY!A45)</f>
        <v>0</v>
      </c>
      <c r="L45" s="11">
        <f>COUNTIF('TT '!$D$223:$D$235,TALLY!A45)</f>
        <v>0</v>
      </c>
      <c r="M45" s="11">
        <f>COUNTIF('TT '!$D$242:$D$257,TALLY!A45)</f>
        <v>0</v>
      </c>
      <c r="N45" s="11">
        <f>COUNTIF('TT '!$D$264:$D$276,TALLY!A45)</f>
        <v>1</v>
      </c>
      <c r="O45" s="8" t="e">
        <f>COUNTIF([8]TT!$D$36:$D$41,$A45)</f>
        <v>#VALUE!</v>
      </c>
      <c r="P45" s="12">
        <f>COUNTIF('TT '!$D$283:$D$294,TALLY!A45)</f>
        <v>0</v>
      </c>
      <c r="Q45" s="12">
        <f>COUNTIF('TT '!$D$301:$D$317,TALLY!A45)</f>
        <v>1</v>
      </c>
      <c r="R45" s="302">
        <f>COUNTIF('TT '!$D$324:$D$339,TALLY!A45)</f>
        <v>0</v>
      </c>
      <c r="S45" s="12">
        <f>COUNTIF('TT '!$D$346:$D$362,TALLY!A45)</f>
        <v>1</v>
      </c>
      <c r="T45" s="12">
        <f>COUNTIF('TT '!$D$369:$D$383,TALLY!A45)</f>
        <v>0</v>
      </c>
      <c r="U45" s="12">
        <f>COUNTIF('TT '!$D$390:$D$409,TALLY!A45)</f>
        <v>0</v>
      </c>
      <c r="V45" s="8" t="e">
        <f>COUNTIF([8]TT!$D$36:$D$41,$A45)</f>
        <v>#VALUE!</v>
      </c>
      <c r="W45" s="11">
        <f>COUNTIF('TT '!$D$416:$D$429,TALLY!A45)</f>
        <v>1</v>
      </c>
      <c r="X45" s="11">
        <f>COUNTIF('TT '!$D$436:$D$449,TALLY!A45)</f>
        <v>0</v>
      </c>
      <c r="Y45" s="11">
        <f>COUNTIF('TT '!$D$456:$D$474,TALLY!A45)</f>
        <v>0</v>
      </c>
      <c r="Z45" s="11">
        <f>COUNTIF('TT '!$D$481:$D$495,TALLY!A45)</f>
        <v>0</v>
      </c>
      <c r="AA45" s="11">
        <f>COUNTIF('TT '!$D$502:$D$519,TALLY!A45)</f>
        <v>0</v>
      </c>
      <c r="AB45" s="10">
        <f>COUNTIF('TT '!$D$526:$D$540,TALLY!A45)</f>
        <v>0</v>
      </c>
      <c r="AC45" s="8" t="e">
        <f>COUNTIF([8]TT!$D$36:$D$41,$A45)</f>
        <v>#VALUE!</v>
      </c>
      <c r="AD45" s="9">
        <f>COUNTIF('TT '!$D$547:$D$556,TALLY!A45)</f>
        <v>0</v>
      </c>
      <c r="AE45" s="9">
        <f>COUNTIF('TT '!$D$563:$D$577,TALLY!A45)</f>
        <v>0</v>
      </c>
      <c r="AF45" s="9">
        <f>COUNTIF('TT '!$D$584:$D$598,TALLY!A45)</f>
        <v>0</v>
      </c>
      <c r="AG45" s="9">
        <f>COUNTIF('TT '!$D$605:$D$617,TALLY!A45)</f>
        <v>0</v>
      </c>
      <c r="AH45" s="9">
        <f>COUNTIF('TT '!$D$624:$D$636,TALLY!A45)</f>
        <v>1</v>
      </c>
      <c r="AI45" s="9">
        <f>COUNTIF('TT '!$D$643:$D$654,TALLY!A45)</f>
        <v>0</v>
      </c>
      <c r="AJ45" s="8" t="e">
        <f>COUNTIF([8]TT!$D$36:$D$41,$A45)</f>
        <v>#VALUE!</v>
      </c>
      <c r="AK45" s="265" t="str">
        <f t="shared" si="6"/>
        <v>100000100001010100100000000010</v>
      </c>
      <c r="AL45" s="1">
        <f t="shared" si="0"/>
        <v>1</v>
      </c>
      <c r="AM45" s="1">
        <f t="shared" si="1"/>
        <v>2</v>
      </c>
      <c r="AN45" s="1">
        <f t="shared" si="2"/>
        <v>2</v>
      </c>
      <c r="AO45" s="1">
        <f t="shared" si="3"/>
        <v>1</v>
      </c>
      <c r="AP45" s="1">
        <f t="shared" si="4"/>
        <v>1</v>
      </c>
    </row>
    <row r="46" spans="1:42" s="5" customFormat="1" x14ac:dyDescent="0.35">
      <c r="A46" s="18" t="s">
        <v>19</v>
      </c>
      <c r="B46" s="9">
        <f>COUNTIF('TT '!$D$4:$D$31,TALLY!A46)</f>
        <v>1</v>
      </c>
      <c r="C46" s="9">
        <f>COUNTIF('TT '!$D$38:$D$49,TALLY!A46)</f>
        <v>0</v>
      </c>
      <c r="D46" s="9">
        <f>COUNTIF('TT '!$D$56:$D$78,TALLY!A46)</f>
        <v>0</v>
      </c>
      <c r="E46" s="9">
        <f>COUNTIF('TT '!$D$85:$D$105,TALLY!A46)</f>
        <v>1</v>
      </c>
      <c r="F46" s="9">
        <f>COUNTIF('TT '!$D$112:$D$126,TALLY!A46)</f>
        <v>0</v>
      </c>
      <c r="G46" s="9">
        <f>COUNTIF('TT '!$D$133:$D$147,TALLY!A46)</f>
        <v>0</v>
      </c>
      <c r="H46" s="9">
        <f>COUNTIF('TT '!$D$4:$D$31,TALLY!G46)</f>
        <v>0</v>
      </c>
      <c r="I46" s="11">
        <f>COUNTIF('TT '!$D$154:$D$173,TALLY!A46)</f>
        <v>0</v>
      </c>
      <c r="J46" s="11">
        <f>COUNTIF('TT '!$D$180:$D$197,TALLY!A46)</f>
        <v>0</v>
      </c>
      <c r="K46" s="11">
        <f>COUNTIF('TT '!$D$204:$D$216,TALLY!A46)</f>
        <v>0</v>
      </c>
      <c r="L46" s="11">
        <f>COUNTIF('TT '!$D$223:$D$235,TALLY!A46)</f>
        <v>0</v>
      </c>
      <c r="M46" s="11">
        <f>COUNTIF('TT '!$D$242:$D$257,TALLY!A46)</f>
        <v>0</v>
      </c>
      <c r="N46" s="11">
        <f>COUNTIF('TT '!$D$264:$D$276,TALLY!A46)</f>
        <v>1</v>
      </c>
      <c r="O46" s="8" t="e">
        <f>COUNTIF([8]TT!$D$36:$D$41,$A46)</f>
        <v>#VALUE!</v>
      </c>
      <c r="P46" s="12">
        <f>COUNTIF('TT '!$D$283:$D$294,TALLY!A46)</f>
        <v>0</v>
      </c>
      <c r="Q46" s="12">
        <f>COUNTIF('TT '!$D$301:$D$317,TALLY!A46)</f>
        <v>0</v>
      </c>
      <c r="R46" s="302">
        <f>COUNTIF('TT '!$D$324:$D$339,TALLY!A46)</f>
        <v>0</v>
      </c>
      <c r="S46" s="12">
        <f>COUNTIF('TT '!$D$346:$D$362,TALLY!A46)</f>
        <v>1</v>
      </c>
      <c r="T46" s="12">
        <f>COUNTIF('TT '!$D$369:$D$383,TALLY!A46)</f>
        <v>0</v>
      </c>
      <c r="U46" s="12">
        <f>COUNTIF('TT '!$D$390:$D$409,TALLY!A46)</f>
        <v>0</v>
      </c>
      <c r="V46" s="8" t="e">
        <f>COUNTIF([8]TT!$D$36:$D$41,$A46)</f>
        <v>#VALUE!</v>
      </c>
      <c r="W46" s="11">
        <f>COUNTIF('TT '!$D$416:$D$429,TALLY!A46)</f>
        <v>1</v>
      </c>
      <c r="X46" s="11">
        <f>COUNTIF('TT '!$D$436:$D$449,TALLY!A46)</f>
        <v>0</v>
      </c>
      <c r="Y46" s="11">
        <f>COUNTIF('TT '!$D$456:$D$474,TALLY!A46)</f>
        <v>0</v>
      </c>
      <c r="Z46" s="11">
        <f>COUNTIF('TT '!$D$481:$D$495,TALLY!A46)</f>
        <v>0</v>
      </c>
      <c r="AA46" s="11">
        <f>COUNTIF('TT '!$D$502:$D$519,TALLY!A46)</f>
        <v>1</v>
      </c>
      <c r="AB46" s="10">
        <f>COUNTIF('TT '!$D$526:$D$540,TALLY!A46)</f>
        <v>0</v>
      </c>
      <c r="AC46" s="8" t="e">
        <f>COUNTIF([8]TT!$D$36:$D$41,$A46)</f>
        <v>#VALUE!</v>
      </c>
      <c r="AD46" s="9">
        <f>COUNTIF('TT '!$D$547:$D$556,TALLY!A46)</f>
        <v>1</v>
      </c>
      <c r="AE46" s="9">
        <f>COUNTIF('TT '!$D$563:$D$577,TALLY!A46)</f>
        <v>0</v>
      </c>
      <c r="AF46" s="9">
        <f>COUNTIF('TT '!$D$584:$D$598,TALLY!A46)</f>
        <v>0</v>
      </c>
      <c r="AG46" s="9">
        <f>COUNTIF('TT '!$D$605:$D$617,TALLY!A46)</f>
        <v>0</v>
      </c>
      <c r="AH46" s="9">
        <f>COUNTIF('TT '!$D$624:$D$636,TALLY!A46)</f>
        <v>1</v>
      </c>
      <c r="AI46" s="9">
        <f>COUNTIF('TT '!$D$643:$D$654,TALLY!A46)</f>
        <v>0</v>
      </c>
      <c r="AJ46" s="8" t="e">
        <f>COUNTIF([8]TT!$D$36:$D$41,$A46)</f>
        <v>#VALUE!</v>
      </c>
      <c r="AK46" s="265" t="str">
        <f t="shared" si="6"/>
        <v>100100000001000100100010100010</v>
      </c>
      <c r="AL46" s="1">
        <f t="shared" si="0"/>
        <v>2</v>
      </c>
      <c r="AM46" s="1">
        <f t="shared" si="1"/>
        <v>1</v>
      </c>
      <c r="AN46" s="1">
        <f t="shared" si="2"/>
        <v>1</v>
      </c>
      <c r="AO46" s="1">
        <f t="shared" si="3"/>
        <v>2</v>
      </c>
      <c r="AP46" s="1">
        <f t="shared" si="4"/>
        <v>2</v>
      </c>
    </row>
    <row r="47" spans="1:42" x14ac:dyDescent="0.35">
      <c r="A47" s="14" t="s">
        <v>16</v>
      </c>
      <c r="B47" s="9">
        <f>COUNTIF('TT '!$D$4:$D$31,TALLY!A47)</f>
        <v>1</v>
      </c>
      <c r="C47" s="9">
        <f>COUNTIF('TT '!$D$38:$D$49,TALLY!A47)</f>
        <v>0</v>
      </c>
      <c r="D47" s="9">
        <f>COUNTIF('TT '!$D$56:$D$78,TALLY!A47)</f>
        <v>0</v>
      </c>
      <c r="E47" s="9">
        <f>COUNTIF('TT '!$D$85:$D$105,TALLY!A47)</f>
        <v>0</v>
      </c>
      <c r="F47" s="9">
        <f>COUNTIF('TT '!$D$112:$D$126,TALLY!A47)</f>
        <v>1</v>
      </c>
      <c r="G47" s="9">
        <f>COUNTIF('TT '!$D$133:$D$147,TALLY!A47)</f>
        <v>0</v>
      </c>
      <c r="H47" s="9">
        <f>COUNTIF('TT '!$D$4:$D$31,TALLY!G47)</f>
        <v>0</v>
      </c>
      <c r="I47" s="11">
        <f>COUNTIF('TT '!$D$154:$D$173,TALLY!A47)</f>
        <v>1</v>
      </c>
      <c r="J47" s="11">
        <f>COUNTIF('TT '!$D$180:$D$197,TALLY!A47)</f>
        <v>0</v>
      </c>
      <c r="K47" s="11">
        <f>COUNTIF('TT '!$D$204:$D$216,TALLY!A47)</f>
        <v>0</v>
      </c>
      <c r="L47" s="11">
        <f>COUNTIF('TT '!$D$223:$D$235,TALLY!A47)</f>
        <v>0</v>
      </c>
      <c r="M47" s="11">
        <f>COUNTIF('TT '!$D$242:$D$257,TALLY!A47)</f>
        <v>1</v>
      </c>
      <c r="N47" s="11">
        <f>COUNTIF('TT '!$D$264:$D$276,TALLY!A47)</f>
        <v>0</v>
      </c>
      <c r="O47" s="8" t="e">
        <f>COUNTIF([8]TT!$D$36:$D$41,$A47)</f>
        <v>#VALUE!</v>
      </c>
      <c r="P47" s="12">
        <f>COUNTIF('TT '!$D$283:$D$294,TALLY!A47)</f>
        <v>1</v>
      </c>
      <c r="Q47" s="12">
        <f>COUNTIF('TT '!$D$301:$D$317,TALLY!A47)</f>
        <v>0</v>
      </c>
      <c r="R47" s="302">
        <f>COUNTIF('TT '!$D$324:$D$339,TALLY!A47)</f>
        <v>0</v>
      </c>
      <c r="S47" s="12">
        <f>COUNTIF('TT '!$D$346:$D$362,TALLY!A47)</f>
        <v>1</v>
      </c>
      <c r="T47" s="12">
        <f>COUNTIF('TT '!$D$369:$D$383,TALLY!A47)</f>
        <v>0</v>
      </c>
      <c r="U47" s="12">
        <f>COUNTIF('TT '!$D$390:$D$409,TALLY!A47)</f>
        <v>0</v>
      </c>
      <c r="V47" s="8" t="e">
        <f>COUNTIF([8]TT!$D$36:$D$41,$A47)</f>
        <v>#VALUE!</v>
      </c>
      <c r="W47" s="11">
        <f>COUNTIF('TT '!$D$416:$D$429,TALLY!A47)</f>
        <v>0</v>
      </c>
      <c r="X47" s="11">
        <f>COUNTIF('TT '!$D$436:$D$449,TALLY!A47)</f>
        <v>0</v>
      </c>
      <c r="Y47" s="11">
        <f>COUNTIF('TT '!$D$456:$D$474,TALLY!A47)</f>
        <v>1</v>
      </c>
      <c r="Z47" s="11">
        <f>COUNTIF('TT '!$D$481:$D$495,TALLY!A47)</f>
        <v>0</v>
      </c>
      <c r="AA47" s="11">
        <f>COUNTIF('TT '!$D$502:$D$519,TALLY!A47)</f>
        <v>0</v>
      </c>
      <c r="AB47" s="10">
        <f>COUNTIF('TT '!$D$526:$D$540,TALLY!A47)</f>
        <v>0</v>
      </c>
      <c r="AC47" s="8" t="e">
        <f>COUNTIF([8]TT!$D$36:$D$41,$A47)</f>
        <v>#VALUE!</v>
      </c>
      <c r="AD47" s="9">
        <f>COUNTIF('TT '!$D$547:$D$556,TALLY!A47)</f>
        <v>0</v>
      </c>
      <c r="AE47" s="9">
        <f>COUNTIF('TT '!$D$563:$D$577,TALLY!A47)</f>
        <v>0</v>
      </c>
      <c r="AF47" s="9">
        <f>COUNTIF('TT '!$D$584:$D$598,TALLY!A47)</f>
        <v>0</v>
      </c>
      <c r="AG47" s="9">
        <f>COUNTIF('TT '!$D$605:$D$617,TALLY!A47)</f>
        <v>0</v>
      </c>
      <c r="AH47" s="9">
        <f>COUNTIF('TT '!$D$624:$D$636,TALLY!A47)</f>
        <v>0</v>
      </c>
      <c r="AI47" s="9">
        <f>COUNTIF('TT '!$D$643:$D$654,TALLY!A47)</f>
        <v>1</v>
      </c>
      <c r="AJ47" s="8" t="e">
        <f>COUNTIF([8]TT!$D$36:$D$41,$A47)</f>
        <v>#VALUE!</v>
      </c>
      <c r="AK47" s="265" t="str">
        <f t="shared" si="6"/>
        <v>100010100010100100001000000001</v>
      </c>
      <c r="AL47" s="1">
        <f t="shared" si="0"/>
        <v>2</v>
      </c>
      <c r="AM47" s="1">
        <f t="shared" si="1"/>
        <v>2</v>
      </c>
      <c r="AN47" s="1">
        <f t="shared" si="2"/>
        <v>2</v>
      </c>
      <c r="AO47" s="1">
        <f t="shared" si="3"/>
        <v>1</v>
      </c>
      <c r="AP47" s="1">
        <f t="shared" si="4"/>
        <v>1</v>
      </c>
    </row>
    <row r="48" spans="1:42" x14ac:dyDescent="0.35">
      <c r="A48" s="14" t="s">
        <v>34</v>
      </c>
      <c r="B48" s="9">
        <f>COUNTIF('TT '!$D$4:$D$31,TALLY!A48)</f>
        <v>1</v>
      </c>
      <c r="C48" s="9">
        <f>COUNTIF('TT '!$D$38:$D$49,TALLY!A48)</f>
        <v>0</v>
      </c>
      <c r="D48" s="9">
        <f>COUNTIF('TT '!$D$56:$D$78,TALLY!A48)</f>
        <v>0</v>
      </c>
      <c r="E48" s="9">
        <f>COUNTIF('TT '!$D$85:$D$105,TALLY!A48)</f>
        <v>1</v>
      </c>
      <c r="F48" s="9">
        <f>COUNTIF('TT '!$D$112:$D$126,TALLY!A48)</f>
        <v>0</v>
      </c>
      <c r="G48" s="9">
        <f>COUNTIF('TT '!$D$133:$D$147,TALLY!A48)</f>
        <v>0</v>
      </c>
      <c r="H48" s="9">
        <f>COUNTIF('TT '!$D$4:$D$31,TALLY!G48)</f>
        <v>0</v>
      </c>
      <c r="I48" s="11">
        <f>COUNTIF('TT '!$D$154:$D$173,TALLY!A48)</f>
        <v>0</v>
      </c>
      <c r="J48" s="11">
        <f>COUNTIF('TT '!$D$180:$D$197,TALLY!A48)</f>
        <v>0</v>
      </c>
      <c r="K48" s="11">
        <f>COUNTIF('TT '!$D$204:$D$216,TALLY!A48)</f>
        <v>0</v>
      </c>
      <c r="L48" s="11">
        <f>COUNTIF('TT '!$D$223:$D$235,TALLY!A48)</f>
        <v>0</v>
      </c>
      <c r="M48" s="11">
        <f>COUNTIF('TT '!$D$242:$D$257,TALLY!A48)</f>
        <v>0</v>
      </c>
      <c r="N48" s="11">
        <f>COUNTIF('TT '!$D$264:$D$276,TALLY!A48)</f>
        <v>1</v>
      </c>
      <c r="O48" s="8" t="e">
        <f>COUNTIF([8]TT!$D$36:$D$41,$A48)</f>
        <v>#VALUE!</v>
      </c>
      <c r="P48" s="12">
        <f>COUNTIF('TT '!$D$283:$D$294,TALLY!A48)</f>
        <v>0</v>
      </c>
      <c r="Q48" s="12">
        <f>COUNTIF('TT '!$D$301:$D$317,TALLY!A48)</f>
        <v>1</v>
      </c>
      <c r="R48" s="302">
        <f>COUNTIF('TT '!$D$324:$D$339,TALLY!A48)</f>
        <v>0</v>
      </c>
      <c r="S48" s="12">
        <f>COUNTIF('TT '!$D$346:$D$362,TALLY!A48)</f>
        <v>1</v>
      </c>
      <c r="T48" s="12">
        <f>COUNTIF('TT '!$D$369:$D$383,TALLY!A48)</f>
        <v>0</v>
      </c>
      <c r="U48" s="12">
        <f>COUNTIF('TT '!$D$390:$D$409,TALLY!A48)</f>
        <v>1</v>
      </c>
      <c r="V48" s="8" t="e">
        <f>COUNTIF([8]TT!$D$36:$D$41,$A48)</f>
        <v>#VALUE!</v>
      </c>
      <c r="W48" s="11">
        <f>COUNTIF('TT '!$D$416:$D$429,TALLY!A48)</f>
        <v>0</v>
      </c>
      <c r="X48" s="11">
        <f>COUNTIF('TT '!$D$436:$D$449,TALLY!A48)</f>
        <v>0</v>
      </c>
      <c r="Y48" s="11">
        <f>COUNTIF('TT '!$D$456:$D$474,TALLY!A48)</f>
        <v>1</v>
      </c>
      <c r="Z48" s="11">
        <f>COUNTIF('TT '!$D$481:$D$495,TALLY!A48)</f>
        <v>0</v>
      </c>
      <c r="AA48" s="11">
        <f>COUNTIF('TT '!$D$502:$D$519,TALLY!A48)</f>
        <v>0</v>
      </c>
      <c r="AB48" s="10">
        <f>COUNTIF('TT '!$D$526:$D$540,TALLY!A48)</f>
        <v>1</v>
      </c>
      <c r="AC48" s="8" t="e">
        <f>COUNTIF([8]TT!$D$36:$D$41,$A48)</f>
        <v>#VALUE!</v>
      </c>
      <c r="AD48" s="9">
        <f>COUNTIF('TT '!$D$547:$D$556,TALLY!A48)</f>
        <v>0</v>
      </c>
      <c r="AE48" s="9">
        <f>COUNTIF('TT '!$D$563:$D$577,TALLY!A48)</f>
        <v>0</v>
      </c>
      <c r="AF48" s="9">
        <f>COUNTIF('TT '!$D$584:$D$598,TALLY!A48)</f>
        <v>0</v>
      </c>
      <c r="AG48" s="9">
        <f>COUNTIF('TT '!$D$605:$D$617,TALLY!A48)</f>
        <v>0</v>
      </c>
      <c r="AH48" s="9">
        <f>COUNTIF('TT '!$D$624:$D$636,TALLY!A48)</f>
        <v>0</v>
      </c>
      <c r="AI48" s="9">
        <f>COUNTIF('TT '!$D$643:$D$654,TALLY!A48)</f>
        <v>1</v>
      </c>
      <c r="AJ48" s="8" t="e">
        <f>COUNTIF([8]TT!$D$36:$D$41,$A48)</f>
        <v>#VALUE!</v>
      </c>
      <c r="AK48" s="265" t="str">
        <f t="shared" si="6"/>
        <v>100100000001010101001001000001</v>
      </c>
      <c r="AL48" s="1">
        <f t="shared" si="0"/>
        <v>2</v>
      </c>
      <c r="AM48" s="1">
        <f t="shared" si="1"/>
        <v>1</v>
      </c>
      <c r="AN48" s="1">
        <f t="shared" si="2"/>
        <v>3</v>
      </c>
      <c r="AO48" s="1">
        <f t="shared" si="3"/>
        <v>2</v>
      </c>
      <c r="AP48" s="1">
        <f t="shared" si="4"/>
        <v>1</v>
      </c>
    </row>
    <row r="49" spans="1:42" x14ac:dyDescent="0.35">
      <c r="A49" s="14" t="s">
        <v>20</v>
      </c>
      <c r="B49" s="9">
        <f>COUNTIF('TT '!$D$4:$D$31,TALLY!A49)</f>
        <v>1</v>
      </c>
      <c r="C49" s="9">
        <f>COUNTIF('TT '!$D$38:$D$49,TALLY!A49)</f>
        <v>0</v>
      </c>
      <c r="D49" s="9">
        <f>COUNTIF('TT '!$D$56:$D$78,TALLY!A49)</f>
        <v>0</v>
      </c>
      <c r="E49" s="9">
        <f>COUNTIF('TT '!$D$85:$D$105,TALLY!A49)</f>
        <v>0</v>
      </c>
      <c r="F49" s="9">
        <f>COUNTIF('TT '!$D$112:$D$126,TALLY!A49)</f>
        <v>1</v>
      </c>
      <c r="G49" s="9">
        <f>COUNTIF('TT '!$D$133:$D$147,TALLY!A49)</f>
        <v>0</v>
      </c>
      <c r="H49" s="9">
        <f>COUNTIF('TT '!$D$4:$D$31,TALLY!G49)</f>
        <v>0</v>
      </c>
      <c r="I49" s="11">
        <f>COUNTIF('TT '!$D$154:$D$173,TALLY!A49)</f>
        <v>0</v>
      </c>
      <c r="J49" s="11">
        <f>COUNTIF('TT '!$D$180:$D$197,TALLY!A49)</f>
        <v>0</v>
      </c>
      <c r="K49" s="11">
        <f>COUNTIF('TT '!$D$204:$D$216,TALLY!A49)</f>
        <v>1</v>
      </c>
      <c r="L49" s="11">
        <f>COUNTIF('TT '!$D$223:$D$235,TALLY!A49)</f>
        <v>0</v>
      </c>
      <c r="M49" s="11">
        <f>COUNTIF('TT '!$D$242:$D$257,TALLY!A49)</f>
        <v>0</v>
      </c>
      <c r="N49" s="11">
        <f>COUNTIF('TT '!$D$264:$D$276,TALLY!A49)</f>
        <v>0</v>
      </c>
      <c r="O49" s="8" t="e">
        <f>COUNTIF([8]TT!$D$36:$D$41,$A49)</f>
        <v>#VALUE!</v>
      </c>
      <c r="P49" s="12">
        <f>COUNTIF('TT '!$D$283:$D$294,TALLY!A49)</f>
        <v>0</v>
      </c>
      <c r="Q49" s="12">
        <f>COUNTIF('TT '!$D$301:$D$317,TALLY!A49)</f>
        <v>0</v>
      </c>
      <c r="R49" s="302">
        <f>COUNTIF('TT '!$D$324:$D$339,TALLY!A49)</f>
        <v>0</v>
      </c>
      <c r="S49" s="12">
        <f>COUNTIF('TT '!$D$346:$D$362,TALLY!A49)</f>
        <v>1</v>
      </c>
      <c r="T49" s="12">
        <f>COUNTIF('TT '!$D$369:$D$383,TALLY!A49)</f>
        <v>0</v>
      </c>
      <c r="U49" s="12">
        <f>COUNTIF('TT '!$D$390:$D$409,TALLY!A49)</f>
        <v>1</v>
      </c>
      <c r="V49" s="8" t="e">
        <f>COUNTIF([8]TT!$D$36:$D$41,$A49)</f>
        <v>#VALUE!</v>
      </c>
      <c r="W49" s="11">
        <f>COUNTIF('TT '!$D$416:$D$429,TALLY!A49)</f>
        <v>0</v>
      </c>
      <c r="X49" s="11">
        <f>COUNTIF('TT '!$D$436:$D$449,TALLY!A49)</f>
        <v>0</v>
      </c>
      <c r="Y49" s="11">
        <f>COUNTIF('TT '!$D$456:$D$474,TALLY!A49)</f>
        <v>0</v>
      </c>
      <c r="Z49" s="11">
        <f>COUNTIF('TT '!$D$481:$D$495,TALLY!A49)</f>
        <v>0</v>
      </c>
      <c r="AA49" s="11">
        <f>COUNTIF('TT '!$D$502:$D$519,TALLY!A49)</f>
        <v>1</v>
      </c>
      <c r="AB49" s="10">
        <f>COUNTIF('TT '!$D$526:$D$540,TALLY!A49)</f>
        <v>0</v>
      </c>
      <c r="AC49" s="8" t="e">
        <f>COUNTIF([8]TT!$D$36:$D$41,$A49)</f>
        <v>#VALUE!</v>
      </c>
      <c r="AD49" s="9">
        <f>COUNTIF('TT '!$D$547:$D$556,TALLY!A49)</f>
        <v>1</v>
      </c>
      <c r="AE49" s="9">
        <f>COUNTIF('TT '!$D$563:$D$577,TALLY!A49)</f>
        <v>0</v>
      </c>
      <c r="AF49" s="9">
        <f>COUNTIF('TT '!$D$584:$D$598,TALLY!A49)</f>
        <v>0</v>
      </c>
      <c r="AG49" s="9">
        <f>COUNTIF('TT '!$D$605:$D$617,TALLY!A49)</f>
        <v>0</v>
      </c>
      <c r="AH49" s="9">
        <f>COUNTIF('TT '!$D$624:$D$636,TALLY!A49)</f>
        <v>1</v>
      </c>
      <c r="AI49" s="9">
        <f>COUNTIF('TT '!$D$643:$D$654,TALLY!A49)</f>
        <v>0</v>
      </c>
      <c r="AJ49" s="8" t="e">
        <f>COUNTIF([8]TT!$D$36:$D$41,$A49)</f>
        <v>#VALUE!</v>
      </c>
      <c r="AK49" s="265" t="str">
        <f t="shared" si="6"/>
        <v>100010001000000101000010100010</v>
      </c>
      <c r="AL49" s="1">
        <f t="shared" si="0"/>
        <v>2</v>
      </c>
      <c r="AM49" s="1">
        <f t="shared" si="1"/>
        <v>1</v>
      </c>
      <c r="AN49" s="1">
        <f t="shared" si="2"/>
        <v>2</v>
      </c>
      <c r="AO49" s="1">
        <f t="shared" si="3"/>
        <v>1</v>
      </c>
      <c r="AP49" s="1">
        <f t="shared" si="4"/>
        <v>2</v>
      </c>
    </row>
    <row r="50" spans="1:42" x14ac:dyDescent="0.35">
      <c r="A50" s="14" t="s">
        <v>21</v>
      </c>
      <c r="B50" s="9">
        <f>COUNTIF('TT '!$D$4:$D$31,TALLY!A50)</f>
        <v>1</v>
      </c>
      <c r="C50" s="9">
        <f>COUNTIF('TT '!$D$38:$D$49,TALLY!A50)</f>
        <v>0</v>
      </c>
      <c r="D50" s="9">
        <f>COUNTIF('TT '!$D$56:$D$78,TALLY!A50)</f>
        <v>0</v>
      </c>
      <c r="E50" s="9">
        <f>COUNTIF('TT '!$D$85:$D$105,TALLY!A50)</f>
        <v>1</v>
      </c>
      <c r="F50" s="9">
        <f>COUNTIF('TT '!$D$112:$D$126,TALLY!A50)</f>
        <v>0</v>
      </c>
      <c r="G50" s="9">
        <f>COUNTIF('TT '!$D$133:$D$147,TALLY!A50)</f>
        <v>0</v>
      </c>
      <c r="H50" s="9">
        <f>COUNTIF('TT '!$D$4:$D$31,TALLY!G50)</f>
        <v>0</v>
      </c>
      <c r="I50" s="11">
        <f>COUNTIF('TT '!$D$154:$D$173,TALLY!A50)</f>
        <v>0</v>
      </c>
      <c r="J50" s="11">
        <f>COUNTIF('TT '!$D$180:$D$197,TALLY!A50)</f>
        <v>0</v>
      </c>
      <c r="K50" s="11">
        <f>COUNTIF('TT '!$D$204:$D$216,TALLY!A50)</f>
        <v>0</v>
      </c>
      <c r="L50" s="11">
        <f>COUNTIF('TT '!$D$223:$D$235,TALLY!A50)</f>
        <v>0</v>
      </c>
      <c r="M50" s="11">
        <f>COUNTIF('TT '!$D$242:$D$257,TALLY!A50)</f>
        <v>1</v>
      </c>
      <c r="N50" s="11">
        <f>COUNTIF('TT '!$D$264:$D$276,TALLY!A50)</f>
        <v>0</v>
      </c>
      <c r="O50" s="8" t="e">
        <f>COUNTIF([8]TT!$D$36:$D$41,$A50)</f>
        <v>#VALUE!</v>
      </c>
      <c r="P50" s="12">
        <f>COUNTIF('TT '!$D$283:$D$294,TALLY!A50)</f>
        <v>0</v>
      </c>
      <c r="Q50" s="12">
        <f>COUNTIF('TT '!$D$301:$D$317,TALLY!A50)</f>
        <v>0</v>
      </c>
      <c r="R50" s="302">
        <f>COUNTIF('TT '!$D$324:$D$339,TALLY!A50)</f>
        <v>0</v>
      </c>
      <c r="S50" s="12">
        <f>COUNTIF('TT '!$D$346:$D$362,TALLY!A50)</f>
        <v>1</v>
      </c>
      <c r="T50" s="12">
        <f>COUNTIF('TT '!$D$369:$D$383,TALLY!A50)</f>
        <v>0</v>
      </c>
      <c r="U50" s="12">
        <f>COUNTIF('TT '!$D$390:$D$409,TALLY!A50)</f>
        <v>0</v>
      </c>
      <c r="V50" s="8" t="e">
        <f>COUNTIF([8]TT!$D$36:$D$41,$A50)</f>
        <v>#VALUE!</v>
      </c>
      <c r="W50" s="11">
        <f>COUNTIF('TT '!$D$416:$D$429,TALLY!A50)</f>
        <v>1</v>
      </c>
      <c r="X50" s="11">
        <f>COUNTIF('TT '!$D$436:$D$449,TALLY!A50)</f>
        <v>0</v>
      </c>
      <c r="Y50" s="11">
        <f>COUNTIF('TT '!$D$456:$D$474,TALLY!A50)</f>
        <v>0</v>
      </c>
      <c r="Z50" s="11">
        <f>COUNTIF('TT '!$D$481:$D$495,TALLY!A50)</f>
        <v>0</v>
      </c>
      <c r="AA50" s="11">
        <f>COUNTIF('TT '!$D$502:$D$519,TALLY!A50)</f>
        <v>1</v>
      </c>
      <c r="AB50" s="10">
        <f>COUNTIF('TT '!$D$526:$D$540,TALLY!A50)</f>
        <v>0</v>
      </c>
      <c r="AC50" s="8" t="e">
        <f>COUNTIF([8]TT!$D$36:$D$41,$A50)</f>
        <v>#VALUE!</v>
      </c>
      <c r="AD50" s="9">
        <f>COUNTIF('TT '!$D$547:$D$556,TALLY!A50)</f>
        <v>0</v>
      </c>
      <c r="AE50" s="9">
        <f>COUNTIF('TT '!$D$563:$D$577,TALLY!A50)</f>
        <v>0</v>
      </c>
      <c r="AF50" s="9">
        <f>COUNTIF('TT '!$D$584:$D$598,TALLY!A50)</f>
        <v>0</v>
      </c>
      <c r="AG50" s="9">
        <f>COUNTIF('TT '!$D$605:$D$617,TALLY!A50)</f>
        <v>0</v>
      </c>
      <c r="AH50" s="9">
        <f>COUNTIF('TT '!$D$624:$D$636,TALLY!A50)</f>
        <v>0</v>
      </c>
      <c r="AI50" s="9">
        <f>COUNTIF('TT '!$D$643:$D$654,TALLY!A50)</f>
        <v>1</v>
      </c>
      <c r="AJ50" s="8" t="e">
        <f>COUNTIF([8]TT!$D$36:$D$41,$A50)</f>
        <v>#VALUE!</v>
      </c>
      <c r="AK50" s="265" t="str">
        <f t="shared" si="6"/>
        <v>100100000010000100100010000001</v>
      </c>
      <c r="AL50" s="1">
        <f t="shared" si="0"/>
        <v>2</v>
      </c>
      <c r="AM50" s="1">
        <f t="shared" si="1"/>
        <v>1</v>
      </c>
      <c r="AN50" s="1">
        <f t="shared" si="2"/>
        <v>1</v>
      </c>
      <c r="AO50" s="1">
        <f t="shared" si="3"/>
        <v>2</v>
      </c>
      <c r="AP50" s="1">
        <f t="shared" si="4"/>
        <v>1</v>
      </c>
    </row>
    <row r="51" spans="1:42" x14ac:dyDescent="0.35">
      <c r="A51" s="14" t="s">
        <v>10</v>
      </c>
      <c r="B51" s="9">
        <f>COUNTIF('TT '!$D$4:$D$31,TALLY!A51)</f>
        <v>1</v>
      </c>
      <c r="C51" s="9">
        <f>COUNTIF('TT '!$D$38:$D$49,TALLY!A51)</f>
        <v>0</v>
      </c>
      <c r="D51" s="9">
        <f>COUNTIF('TT '!$D$56:$D$78,TALLY!A51)</f>
        <v>0</v>
      </c>
      <c r="E51" s="9">
        <f>COUNTIF('TT '!$D$85:$D$105,TALLY!A51)</f>
        <v>1</v>
      </c>
      <c r="F51" s="9">
        <f>COUNTIF('TT '!$D$112:$D$126,TALLY!A51)</f>
        <v>0</v>
      </c>
      <c r="G51" s="9">
        <f>COUNTIF('TT '!$D$133:$D$147,TALLY!A51)</f>
        <v>0</v>
      </c>
      <c r="H51" s="9">
        <f>COUNTIF('TT '!$D$4:$D$31,TALLY!G51)</f>
        <v>0</v>
      </c>
      <c r="I51" s="11">
        <f>COUNTIF('TT '!$D$154:$D$173,TALLY!A51)</f>
        <v>0</v>
      </c>
      <c r="J51" s="11">
        <f>COUNTIF('TT '!$D$180:$D$197,TALLY!A51)</f>
        <v>0</v>
      </c>
      <c r="K51" s="11">
        <f>COUNTIF('TT '!$D$204:$D$216,TALLY!A51)</f>
        <v>0</v>
      </c>
      <c r="L51" s="11">
        <f>COUNTIF('TT '!$D$223:$D$235,TALLY!A51)</f>
        <v>0</v>
      </c>
      <c r="M51" s="11">
        <f>COUNTIF('TT '!$D$242:$D$257,TALLY!A51)</f>
        <v>0</v>
      </c>
      <c r="N51" s="11">
        <f>COUNTIF('TT '!$D$264:$D$276,TALLY!A51)</f>
        <v>0</v>
      </c>
      <c r="O51" s="8" t="e">
        <f>COUNTIF([8]TT!$D$36:$D$41,$A51)</f>
        <v>#VALUE!</v>
      </c>
      <c r="P51" s="12">
        <f>COUNTIF('TT '!$D$283:$D$294,TALLY!A51)</f>
        <v>0</v>
      </c>
      <c r="Q51" s="12">
        <f>COUNTIF('TT '!$D$301:$D$317,TALLY!A51)</f>
        <v>0</v>
      </c>
      <c r="R51" s="302">
        <f>COUNTIF('TT '!$D$324:$D$339,TALLY!A51)</f>
        <v>0</v>
      </c>
      <c r="S51" s="12">
        <f>COUNTIF('TT '!$D$346:$D$362,TALLY!A51)</f>
        <v>1</v>
      </c>
      <c r="T51" s="12">
        <f>COUNTIF('TT '!$D$369:$D$383,TALLY!A51)</f>
        <v>0</v>
      </c>
      <c r="U51" s="12">
        <f>COUNTIF('TT '!$D$390:$D$409,TALLY!A51)</f>
        <v>1</v>
      </c>
      <c r="V51" s="8" t="e">
        <f>COUNTIF([8]TT!$D$36:$D$41,$A51)</f>
        <v>#VALUE!</v>
      </c>
      <c r="W51" s="11">
        <f>COUNTIF('TT '!$D$416:$D$429,TALLY!A51)</f>
        <v>0</v>
      </c>
      <c r="X51" s="11">
        <f>COUNTIF('TT '!$D$436:$D$449,TALLY!A51)</f>
        <v>1</v>
      </c>
      <c r="Y51" s="11">
        <f>COUNTIF('TT '!$D$456:$D$474,TALLY!A51)</f>
        <v>0</v>
      </c>
      <c r="Z51" s="11">
        <f>COUNTIF('TT '!$D$481:$D$495,TALLY!A51)</f>
        <v>0</v>
      </c>
      <c r="AA51" s="11">
        <f>COUNTIF('TT '!$D$502:$D$519,TALLY!A51)</f>
        <v>1</v>
      </c>
      <c r="AB51" s="10">
        <f>COUNTIF('TT '!$D$526:$D$540,TALLY!A51)</f>
        <v>0</v>
      </c>
      <c r="AC51" s="8" t="e">
        <f>COUNTIF([8]TT!$D$36:$D$41,$A51)</f>
        <v>#VALUE!</v>
      </c>
      <c r="AD51" s="9">
        <f>COUNTIF('TT '!$D$547:$D$556,TALLY!A51)</f>
        <v>0</v>
      </c>
      <c r="AE51" s="9">
        <f>COUNTIF('TT '!$D$563:$D$577,TALLY!A51)</f>
        <v>0</v>
      </c>
      <c r="AF51" s="9">
        <f>COUNTIF('TT '!$D$584:$D$598,TALLY!A51)</f>
        <v>0</v>
      </c>
      <c r="AG51" s="9">
        <f>COUNTIF('TT '!$D$605:$D$617,TALLY!A51)</f>
        <v>0</v>
      </c>
      <c r="AH51" s="9">
        <f>COUNTIF('TT '!$D$624:$D$636,TALLY!A51)</f>
        <v>0</v>
      </c>
      <c r="AI51" s="9">
        <f>COUNTIF('TT '!$D$643:$D$654,TALLY!A51)</f>
        <v>1</v>
      </c>
      <c r="AJ51" s="8" t="e">
        <f>COUNTIF([8]TT!$D$36:$D$41,$A51)</f>
        <v>#VALUE!</v>
      </c>
      <c r="AK51" s="265" t="str">
        <f t="shared" si="6"/>
        <v>100100000000000101010010000001</v>
      </c>
      <c r="AL51" s="1">
        <f t="shared" si="0"/>
        <v>2</v>
      </c>
      <c r="AM51" s="1">
        <f t="shared" si="1"/>
        <v>0</v>
      </c>
      <c r="AN51" s="1">
        <f t="shared" si="2"/>
        <v>2</v>
      </c>
      <c r="AO51" s="1">
        <f t="shared" si="3"/>
        <v>2</v>
      </c>
      <c r="AP51" s="1">
        <f t="shared" si="4"/>
        <v>1</v>
      </c>
    </row>
    <row r="52" spans="1:42" x14ac:dyDescent="0.35">
      <c r="A52" s="14" t="s">
        <v>31</v>
      </c>
      <c r="B52" s="9">
        <f>COUNTIF('TT '!$D$4:$D$31,TALLY!A52)</f>
        <v>0</v>
      </c>
      <c r="C52" s="9">
        <f>COUNTIF('TT '!$D$38:$D$49,TALLY!A52)</f>
        <v>1</v>
      </c>
      <c r="D52" s="9">
        <f>COUNTIF('TT '!$D$56:$D$78,TALLY!A52)</f>
        <v>0</v>
      </c>
      <c r="E52" s="9">
        <f>COUNTIF('TT '!$D$85:$D$105,TALLY!A52)</f>
        <v>0</v>
      </c>
      <c r="F52" s="9">
        <f>COUNTIF('TT '!$D$112:$D$126,TALLY!A52)</f>
        <v>0</v>
      </c>
      <c r="G52" s="9">
        <f>COUNTIF('TT '!$D$133:$D$147,TALLY!A52)</f>
        <v>0</v>
      </c>
      <c r="H52" s="9">
        <f>COUNTIF('TT '!$D$4:$D$31,TALLY!G52)</f>
        <v>0</v>
      </c>
      <c r="I52" s="11">
        <f>COUNTIF('TT '!$D$154:$D$173,TALLY!A52)</f>
        <v>1</v>
      </c>
      <c r="J52" s="11">
        <f>COUNTIF('TT '!$D$180:$D$197,TALLY!A52)</f>
        <v>0</v>
      </c>
      <c r="K52" s="11">
        <f>COUNTIF('TT '!$D$204:$D$216,TALLY!A52)</f>
        <v>0</v>
      </c>
      <c r="L52" s="11">
        <f>COUNTIF('TT '!$D$223:$D$235,TALLY!A52)</f>
        <v>0</v>
      </c>
      <c r="M52" s="11">
        <f>COUNTIF('TT '!$D$242:$D$257,TALLY!A52)</f>
        <v>0</v>
      </c>
      <c r="N52" s="11">
        <f>COUNTIF('TT '!$D$264:$D$276,TALLY!A52)</f>
        <v>0</v>
      </c>
      <c r="O52" s="11" t="e">
        <f>COUNTIF([8]TT!$D$36:$D$41,$A52)</f>
        <v>#VALUE!</v>
      </c>
      <c r="P52" s="12">
        <f>COUNTIF('TT '!$D$283:$D$294,TALLY!A52)</f>
        <v>1</v>
      </c>
      <c r="Q52" s="12">
        <f>COUNTIF('TT '!$D$301:$D$317,TALLY!A52)</f>
        <v>0</v>
      </c>
      <c r="R52" s="302">
        <f>COUNTIF('TT '!$D$324:$D$339,TALLY!A52)</f>
        <v>0</v>
      </c>
      <c r="S52" s="12">
        <f>COUNTIF('TT '!$D$346:$D$362,TALLY!A52)</f>
        <v>1</v>
      </c>
      <c r="T52" s="12">
        <f>COUNTIF('TT '!$D$369:$D$383,TALLY!A52)</f>
        <v>0</v>
      </c>
      <c r="U52" s="12">
        <f>COUNTIF('TT '!$D$390:$D$409,TALLY!A52)</f>
        <v>0</v>
      </c>
      <c r="V52" s="11" t="e">
        <f>COUNTIF([8]TT!$D$36:$D$41,$A52)</f>
        <v>#VALUE!</v>
      </c>
      <c r="W52" s="11">
        <f>COUNTIF('TT '!$D$416:$D$429,TALLY!A52)</f>
        <v>0</v>
      </c>
      <c r="X52" s="11">
        <f>COUNTIF('TT '!$D$436:$D$449,TALLY!A52)</f>
        <v>1</v>
      </c>
      <c r="Y52" s="11">
        <f>COUNTIF('TT '!$D$456:$D$474,TALLY!A52)</f>
        <v>0</v>
      </c>
      <c r="Z52" s="11">
        <f>COUNTIF('TT '!$D$481:$D$495,TALLY!A52)</f>
        <v>0</v>
      </c>
      <c r="AA52" s="11">
        <f>COUNTIF('TT '!$D$502:$D$519,TALLY!A52)</f>
        <v>1</v>
      </c>
      <c r="AB52" s="10">
        <f>COUNTIF('TT '!$D$526:$D$540,TALLY!A52)</f>
        <v>0</v>
      </c>
      <c r="AC52" s="11" t="e">
        <f>COUNTIF([8]TT!$D$36:$D$41,$A52)</f>
        <v>#VALUE!</v>
      </c>
      <c r="AD52" s="9">
        <f>COUNTIF('TT '!$D$547:$D$556,TALLY!A52)</f>
        <v>0</v>
      </c>
      <c r="AE52" s="9">
        <f>COUNTIF('TT '!$D$563:$D$577,TALLY!A52)</f>
        <v>0</v>
      </c>
      <c r="AF52" s="9">
        <f>COUNTIF('TT '!$D$584:$D$598,TALLY!A52)</f>
        <v>0</v>
      </c>
      <c r="AG52" s="9">
        <f>COUNTIF('TT '!$D$605:$D$617,TALLY!A52)</f>
        <v>0</v>
      </c>
      <c r="AH52" s="9">
        <f>COUNTIF('TT '!$D$624:$D$636,TALLY!A52)</f>
        <v>1</v>
      </c>
      <c r="AI52" s="9">
        <f>COUNTIF('TT '!$D$643:$D$654,TALLY!A52)</f>
        <v>0</v>
      </c>
      <c r="AJ52" s="11" t="e">
        <f>COUNTIF([8]TT!$D$36:$D$41,$A52)</f>
        <v>#VALUE!</v>
      </c>
      <c r="AK52" s="265" t="str">
        <f t="shared" si="6"/>
        <v>010000100000100100010010000010</v>
      </c>
      <c r="AL52" s="1">
        <f t="shared" si="0"/>
        <v>1</v>
      </c>
      <c r="AM52" s="1">
        <f t="shared" si="1"/>
        <v>1</v>
      </c>
      <c r="AN52" s="1">
        <f t="shared" si="2"/>
        <v>2</v>
      </c>
      <c r="AO52" s="1">
        <f t="shared" si="3"/>
        <v>2</v>
      </c>
      <c r="AP52" s="1">
        <f t="shared" si="4"/>
        <v>1</v>
      </c>
    </row>
    <row r="53" spans="1:42" x14ac:dyDescent="0.35">
      <c r="A53" s="14" t="s">
        <v>123</v>
      </c>
      <c r="B53" s="9">
        <f>COUNTIF('TT '!$D$4:$D$31,TALLY!A53)</f>
        <v>0</v>
      </c>
      <c r="C53" s="9">
        <f>COUNTIF('TT '!$D$38:$D$49,TALLY!A53)</f>
        <v>1</v>
      </c>
      <c r="D53" s="9">
        <f>COUNTIF('TT '!$D$56:$D$78,TALLY!A53)</f>
        <v>0</v>
      </c>
      <c r="E53" s="9">
        <f>COUNTIF('TT '!$D$85:$D$105,TALLY!A53)</f>
        <v>0</v>
      </c>
      <c r="F53" s="9">
        <f>COUNTIF('TT '!$D$112:$D$126,TALLY!A53)</f>
        <v>0</v>
      </c>
      <c r="G53" s="9">
        <f>COUNTIF('TT '!$D$133:$D$147,TALLY!A53)</f>
        <v>0</v>
      </c>
      <c r="H53" s="9">
        <f>COUNTIF('TT '!$D$4:$D$31,TALLY!G53)</f>
        <v>0</v>
      </c>
      <c r="I53" s="11">
        <f>COUNTIF('TT '!$D$154:$D$173,TALLY!A53)</f>
        <v>1</v>
      </c>
      <c r="J53" s="11">
        <f>COUNTIF('TT '!$D$180:$D$197,TALLY!A53)</f>
        <v>0</v>
      </c>
      <c r="K53" s="11">
        <f>COUNTIF('TT '!$D$204:$D$216,TALLY!A53)</f>
        <v>0</v>
      </c>
      <c r="L53" s="11">
        <f>COUNTIF('TT '!$D$223:$D$235,TALLY!A53)</f>
        <v>0</v>
      </c>
      <c r="M53" s="11">
        <f>COUNTIF('TT '!$D$242:$D$257,TALLY!A53)</f>
        <v>1</v>
      </c>
      <c r="N53" s="11">
        <f>COUNTIF('TT '!$D$264:$D$276,TALLY!A53)</f>
        <v>0</v>
      </c>
      <c r="O53" s="8" t="e">
        <f>COUNTIF([8]TT!$D$36:$D$41,$A53)</f>
        <v>#VALUE!</v>
      </c>
      <c r="P53" s="12">
        <f>COUNTIF('TT '!$D$283:$D$294,TALLY!A53)</f>
        <v>0</v>
      </c>
      <c r="Q53" s="12">
        <f>COUNTIF('TT '!$D$301:$D$317,TALLY!A53)</f>
        <v>0</v>
      </c>
      <c r="R53" s="302">
        <f>COUNTIF('TT '!$D$324:$D$339,TALLY!A53)</f>
        <v>0</v>
      </c>
      <c r="S53" s="12">
        <f>COUNTIF('TT '!$D$346:$D$362,TALLY!A53)</f>
        <v>1</v>
      </c>
      <c r="T53" s="12">
        <f>COUNTIF('TT '!$D$369:$D$383,TALLY!A53)</f>
        <v>0</v>
      </c>
      <c r="U53" s="12">
        <f>COUNTIF('TT '!$D$390:$D$409,TALLY!A53)</f>
        <v>0</v>
      </c>
      <c r="V53" s="8" t="e">
        <f>COUNTIF([8]TT!$D$36:$D$41,$A53)</f>
        <v>#VALUE!</v>
      </c>
      <c r="W53" s="11">
        <f>COUNTIF('TT '!$D$416:$D$429,TALLY!A53)</f>
        <v>0</v>
      </c>
      <c r="X53" s="11">
        <f>COUNTIF('TT '!$D$436:$D$449,TALLY!A53)</f>
        <v>1</v>
      </c>
      <c r="Y53" s="11">
        <f>COUNTIF('TT '!$D$456:$D$474,TALLY!A53)</f>
        <v>0</v>
      </c>
      <c r="Z53" s="11">
        <f>COUNTIF('TT '!$D$481:$D$495,TALLY!A53)</f>
        <v>0</v>
      </c>
      <c r="AA53" s="11">
        <f>COUNTIF('TT '!$D$502:$D$519,TALLY!A53)</f>
        <v>1</v>
      </c>
      <c r="AB53" s="10">
        <f>COUNTIF('TT '!$D$526:$D$540,TALLY!A53)</f>
        <v>0</v>
      </c>
      <c r="AC53" s="8" t="e">
        <f>COUNTIF([8]TT!$D$36:$D$41,$A53)</f>
        <v>#VALUE!</v>
      </c>
      <c r="AD53" s="9">
        <f>COUNTIF('TT '!$D$547:$D$556,TALLY!A53)</f>
        <v>0</v>
      </c>
      <c r="AE53" s="9">
        <f>COUNTIF('TT '!$D$563:$D$577,TALLY!A53)</f>
        <v>0</v>
      </c>
      <c r="AF53" s="9">
        <f>COUNTIF('TT '!$D$584:$D$598,TALLY!A53)</f>
        <v>0</v>
      </c>
      <c r="AG53" s="9">
        <f>COUNTIF('TT '!$D$605:$D$617,TALLY!A53)</f>
        <v>0</v>
      </c>
      <c r="AH53" s="9">
        <f>COUNTIF('TT '!$D$624:$D$636,TALLY!A53)</f>
        <v>1</v>
      </c>
      <c r="AI53" s="9">
        <f>COUNTIF('TT '!$D$643:$D$654,TALLY!A53)</f>
        <v>0</v>
      </c>
      <c r="AJ53" s="8" t="e">
        <f>COUNTIF([8]TT!$D$36:$D$41,$A53)</f>
        <v>#VALUE!</v>
      </c>
      <c r="AK53" s="265" t="str">
        <f t="shared" si="6"/>
        <v>010000100010000100010010000010</v>
      </c>
      <c r="AL53" s="1">
        <f t="shared" si="0"/>
        <v>1</v>
      </c>
      <c r="AM53" s="1">
        <f t="shared" si="1"/>
        <v>2</v>
      </c>
      <c r="AN53" s="1">
        <f t="shared" si="2"/>
        <v>1</v>
      </c>
      <c r="AO53" s="1">
        <f t="shared" si="3"/>
        <v>2</v>
      </c>
      <c r="AP53" s="1">
        <f t="shared" si="4"/>
        <v>1</v>
      </c>
    </row>
    <row r="54" spans="1:42" x14ac:dyDescent="0.35">
      <c r="A54" s="14" t="s">
        <v>71</v>
      </c>
      <c r="B54" s="9">
        <f>COUNTIF('TT '!$D$4:$D$31,TALLY!A54)</f>
        <v>0</v>
      </c>
      <c r="C54" s="9">
        <f>COUNTIF('TT '!$D$38:$D$49,TALLY!A54)</f>
        <v>1</v>
      </c>
      <c r="D54" s="9">
        <f>COUNTIF('TT '!$D$56:$D$78,TALLY!A54)</f>
        <v>0</v>
      </c>
      <c r="E54" s="9">
        <f>COUNTIF('TT '!$D$85:$D$105,TALLY!A54)</f>
        <v>0</v>
      </c>
      <c r="F54" s="9">
        <f>COUNTIF('TT '!$D$112:$D$126,TALLY!A54)</f>
        <v>1</v>
      </c>
      <c r="G54" s="9">
        <f>COUNTIF('TT '!$D$133:$D$147,TALLY!A54)</f>
        <v>0</v>
      </c>
      <c r="H54" s="9">
        <f>COUNTIF('TT '!$D$4:$D$31,TALLY!G54)</f>
        <v>0</v>
      </c>
      <c r="I54" s="11">
        <f>COUNTIF('TT '!$D$154:$D$173,TALLY!A54)</f>
        <v>0</v>
      </c>
      <c r="J54" s="11">
        <f>COUNTIF('TT '!$D$180:$D$197,TALLY!A54)</f>
        <v>0</v>
      </c>
      <c r="K54" s="11">
        <f>COUNTIF('TT '!$D$204:$D$216,TALLY!A54)</f>
        <v>0</v>
      </c>
      <c r="L54" s="11">
        <f>COUNTIF('TT '!$D$223:$D$235,TALLY!A54)</f>
        <v>1</v>
      </c>
      <c r="M54" s="11">
        <f>COUNTIF('TT '!$D$242:$D$257,TALLY!A54)</f>
        <v>0</v>
      </c>
      <c r="N54" s="11">
        <f>COUNTIF('TT '!$D$264:$D$276,TALLY!A54)</f>
        <v>0</v>
      </c>
      <c r="O54" s="8" t="e">
        <f>COUNTIF([8]TT!$D$36:$D$41,$A54)</f>
        <v>#VALUE!</v>
      </c>
      <c r="P54" s="12">
        <f>COUNTIF('TT '!$D$283:$D$294,TALLY!A54)</f>
        <v>0</v>
      </c>
      <c r="Q54" s="12">
        <f>COUNTIF('TT '!$D$301:$D$317,TALLY!A54)</f>
        <v>1</v>
      </c>
      <c r="R54" s="302">
        <f>COUNTIF('TT '!$D$324:$D$339,TALLY!A54)</f>
        <v>0</v>
      </c>
      <c r="S54" s="12">
        <f>COUNTIF('TT '!$D$346:$D$362,TALLY!A54)</f>
        <v>0</v>
      </c>
      <c r="T54" s="12">
        <f>COUNTIF('TT '!$D$369:$D$383,TALLY!A54)</f>
        <v>0</v>
      </c>
      <c r="U54" s="12">
        <f>COUNTIF('TT '!$D$390:$D$409,TALLY!A54)</f>
        <v>1</v>
      </c>
      <c r="V54" s="8" t="e">
        <f>COUNTIF([8]TT!$D$36:$D$41,$A54)</f>
        <v>#VALUE!</v>
      </c>
      <c r="W54" s="11">
        <f>COUNTIF('TT '!$D$416:$D$429,TALLY!A54)</f>
        <v>1</v>
      </c>
      <c r="X54" s="11">
        <f>COUNTIF('TT '!$D$436:$D$449,TALLY!A54)</f>
        <v>0</v>
      </c>
      <c r="Y54" s="11">
        <f>COUNTIF('TT '!$D$456:$D$474,TALLY!A54)</f>
        <v>0</v>
      </c>
      <c r="Z54" s="11">
        <f>COUNTIF('TT '!$D$481:$D$495,TALLY!A54)</f>
        <v>0</v>
      </c>
      <c r="AA54" s="11">
        <f>COUNTIF('TT '!$D$502:$D$519,TALLY!A54)</f>
        <v>0</v>
      </c>
      <c r="AB54" s="10">
        <f>COUNTIF('TT '!$D$526:$D$540,TALLY!A54)</f>
        <v>1</v>
      </c>
      <c r="AC54" s="8" t="e">
        <f>COUNTIF([8]TT!$D$36:$D$41,$A54)</f>
        <v>#VALUE!</v>
      </c>
      <c r="AD54" s="9">
        <f>COUNTIF('TT '!$D$547:$D$556,TALLY!A54)</f>
        <v>0</v>
      </c>
      <c r="AE54" s="9">
        <f>COUNTIF('TT '!$D$563:$D$577,TALLY!A54)</f>
        <v>1</v>
      </c>
      <c r="AF54" s="9">
        <f>COUNTIF('TT '!$D$584:$D$598,TALLY!A54)</f>
        <v>0</v>
      </c>
      <c r="AG54" s="9">
        <f>COUNTIF('TT '!$D$605:$D$617,TALLY!A54)</f>
        <v>0</v>
      </c>
      <c r="AH54" s="9">
        <f>COUNTIF('TT '!$D$624:$D$636,TALLY!A54)</f>
        <v>0</v>
      </c>
      <c r="AI54" s="9">
        <f>COUNTIF('TT '!$D$643:$D$654,TALLY!A54)</f>
        <v>0</v>
      </c>
      <c r="AJ54" s="8" t="e">
        <f>COUNTIF([8]TT!$D$36:$D$41,$A54)</f>
        <v>#VALUE!</v>
      </c>
      <c r="AK54" s="265" t="str">
        <f t="shared" si="6"/>
        <v>010010000100010001100001010000</v>
      </c>
      <c r="AL54" s="1">
        <f t="shared" si="0"/>
        <v>2</v>
      </c>
      <c r="AM54" s="1">
        <f t="shared" si="1"/>
        <v>1</v>
      </c>
      <c r="AN54" s="1">
        <f t="shared" si="2"/>
        <v>2</v>
      </c>
      <c r="AO54" s="1">
        <f t="shared" si="3"/>
        <v>2</v>
      </c>
      <c r="AP54" s="1">
        <f t="shared" si="4"/>
        <v>1</v>
      </c>
    </row>
    <row r="55" spans="1:42" x14ac:dyDescent="0.35">
      <c r="A55" s="14" t="s">
        <v>1384</v>
      </c>
      <c r="B55" s="9">
        <f>COUNTIF('TT '!$D$4:$D$31,TALLY!A55)</f>
        <v>1</v>
      </c>
      <c r="C55" s="9">
        <f>COUNTIF('TT '!$D$38:$D$49,TALLY!A55)</f>
        <v>0</v>
      </c>
      <c r="D55" s="9">
        <f>COUNTIF('TT '!$D$56:$D$78,TALLY!A55)</f>
        <v>0</v>
      </c>
      <c r="E55" s="9">
        <f>COUNTIF('TT '!$D$85:$D$105,TALLY!A55)</f>
        <v>1</v>
      </c>
      <c r="F55" s="9">
        <f>COUNTIF('TT '!$D$112:$D$126,TALLY!A55)</f>
        <v>0</v>
      </c>
      <c r="G55" s="9">
        <f>COUNTIF('TT '!$D$133:$D$147,TALLY!A55)</f>
        <v>0</v>
      </c>
      <c r="H55" s="9">
        <f>COUNTIF('TT '!$D$4:$D$31,TALLY!G55)</f>
        <v>0</v>
      </c>
      <c r="I55" s="11">
        <f>COUNTIF('TT '!$D$154:$D$173,TALLY!A55)</f>
        <v>1</v>
      </c>
      <c r="J55" s="11">
        <f>COUNTIF('TT '!$D$180:$D$197,TALLY!A55)</f>
        <v>0</v>
      </c>
      <c r="K55" s="11">
        <f>COUNTIF('TT '!$D$204:$D$216,TALLY!A55)</f>
        <v>0</v>
      </c>
      <c r="L55" s="11">
        <f>COUNTIF('TT '!$D$223:$D$235,TALLY!A55)</f>
        <v>0</v>
      </c>
      <c r="M55" s="11">
        <f>COUNTIF('TT '!$D$242:$D$257,TALLY!A55)</f>
        <v>0</v>
      </c>
      <c r="N55" s="11">
        <f>COUNTIF('TT '!$D$264:$D$276,TALLY!A55)</f>
        <v>0</v>
      </c>
      <c r="O55" s="8" t="e">
        <f>COUNTIF([8]TT!$D$36:$D$41,$A55)</f>
        <v>#VALUE!</v>
      </c>
      <c r="P55" s="12">
        <f>COUNTIF('TT '!$D$283:$D$294,TALLY!A55)</f>
        <v>0</v>
      </c>
      <c r="Q55" s="12">
        <f>COUNTIF('TT '!$D$301:$D$317,TALLY!A55)</f>
        <v>0</v>
      </c>
      <c r="R55" s="302">
        <f>COUNTIF('TT '!$D$324:$D$339,TALLY!A55)</f>
        <v>0</v>
      </c>
      <c r="S55" s="12">
        <f>COUNTIF('TT '!$D$346:$D$362,TALLY!A55)</f>
        <v>0</v>
      </c>
      <c r="T55" s="12">
        <f>COUNTIF('TT '!$D$369:$D$383,TALLY!A55)</f>
        <v>1</v>
      </c>
      <c r="U55" s="12">
        <f>COUNTIF('TT '!$D$390:$D$409,TALLY!A55)</f>
        <v>0</v>
      </c>
      <c r="V55" s="8" t="e">
        <f>COUNTIF([8]TT!$D$36:$D$41,$A55)</f>
        <v>#VALUE!</v>
      </c>
      <c r="W55" s="11">
        <f>COUNTIF('TT '!$D$416:$D$429,TALLY!A55)</f>
        <v>0</v>
      </c>
      <c r="X55" s="11">
        <f>COUNTIF('TT '!$D$436:$D$449,TALLY!A55)</f>
        <v>1</v>
      </c>
      <c r="Y55" s="11">
        <f>COUNTIF('TT '!$D$456:$D$474,TALLY!A55)</f>
        <v>0</v>
      </c>
      <c r="Z55" s="11">
        <f>COUNTIF('TT '!$D$481:$D$495,TALLY!A55)</f>
        <v>0</v>
      </c>
      <c r="AA55" s="11">
        <f>COUNTIF('TT '!$D$502:$D$519,TALLY!A55)</f>
        <v>0</v>
      </c>
      <c r="AB55" s="10">
        <f>COUNTIF('TT '!$D$526:$D$540,TALLY!A55)</f>
        <v>1</v>
      </c>
      <c r="AC55" s="8" t="e">
        <f>COUNTIF([8]TT!$D$36:$D$41,$A55)</f>
        <v>#VALUE!</v>
      </c>
      <c r="AD55" s="9">
        <f>COUNTIF('TT '!$D$547:$D$556,TALLY!A55)</f>
        <v>0</v>
      </c>
      <c r="AE55" s="9">
        <f>COUNTIF('TT '!$D$563:$D$577,TALLY!A55)</f>
        <v>0</v>
      </c>
      <c r="AF55" s="9">
        <f>COUNTIF('TT '!$D$584:$D$598,TALLY!A55)</f>
        <v>1</v>
      </c>
      <c r="AG55" s="9">
        <f>COUNTIF('TT '!$D$605:$D$617,TALLY!A55)</f>
        <v>0</v>
      </c>
      <c r="AH55" s="9">
        <f>COUNTIF('TT '!$D$624:$D$636,TALLY!A55)</f>
        <v>0</v>
      </c>
      <c r="AI55" s="9">
        <f>COUNTIF('TT '!$D$643:$D$654,TALLY!A55)</f>
        <v>0</v>
      </c>
      <c r="AJ55" s="8" t="e">
        <f>COUNTIF([8]TT!$D$36:$D$41,$A55)</f>
        <v>#VALUE!</v>
      </c>
      <c r="AK55" s="265" t="str">
        <f t="shared" si="6"/>
        <v>100100100000000010010001001000</v>
      </c>
      <c r="AL55" s="1">
        <f t="shared" si="0"/>
        <v>2</v>
      </c>
      <c r="AM55" s="1">
        <f t="shared" si="1"/>
        <v>1</v>
      </c>
      <c r="AN55" s="1">
        <f t="shared" si="2"/>
        <v>1</v>
      </c>
      <c r="AO55" s="1">
        <f t="shared" si="3"/>
        <v>2</v>
      </c>
      <c r="AP55" s="1">
        <f t="shared" si="4"/>
        <v>1</v>
      </c>
    </row>
    <row r="56" spans="1:42" s="3" customFormat="1" x14ac:dyDescent="0.35">
      <c r="A56" s="23" t="s">
        <v>18</v>
      </c>
      <c r="B56" s="9">
        <f>COUNTIF('TT '!$D$4:$D$31,TALLY!A56)</f>
        <v>1</v>
      </c>
      <c r="C56" s="9">
        <f>COUNTIF('TT '!$D$38:$D$49,TALLY!A56)</f>
        <v>0</v>
      </c>
      <c r="D56" s="9">
        <f>COUNTIF('TT '!$D$56:$D$78,TALLY!A56)</f>
        <v>0</v>
      </c>
      <c r="E56" s="9">
        <f>COUNTIF('TT '!$D$85:$D$105,TALLY!A56)</f>
        <v>0</v>
      </c>
      <c r="F56" s="9">
        <f>COUNTIF('TT '!$D$112:$D$126,TALLY!A56)</f>
        <v>0</v>
      </c>
      <c r="G56" s="9">
        <f>COUNTIF('TT '!$D$133:$D$147,TALLY!A56)</f>
        <v>1</v>
      </c>
      <c r="H56" s="9">
        <f>COUNTIF('TT '!$D$4:$D$31,TALLY!G56)</f>
        <v>0</v>
      </c>
      <c r="I56" s="11">
        <f>COUNTIF('TT '!$D$154:$D$173,TALLY!A56)</f>
        <v>0</v>
      </c>
      <c r="J56" s="11">
        <f>COUNTIF('TT '!$D$180:$D$197,TALLY!A56)</f>
        <v>0</v>
      </c>
      <c r="K56" s="11">
        <f>COUNTIF('TT '!$D$204:$D$216,TALLY!A56)</f>
        <v>1</v>
      </c>
      <c r="L56" s="11">
        <f>COUNTIF('TT '!$D$223:$D$235,TALLY!A56)</f>
        <v>0</v>
      </c>
      <c r="M56" s="11">
        <f>COUNTIF('TT '!$D$242:$D$257,TALLY!A56)</f>
        <v>0</v>
      </c>
      <c r="N56" s="11">
        <f>COUNTIF('TT '!$D$264:$D$276,TALLY!A56)</f>
        <v>0</v>
      </c>
      <c r="O56" s="24" t="e">
        <f>COUNTIF([8]TT!$D$36:$D$41,$A56)</f>
        <v>#VALUE!</v>
      </c>
      <c r="P56" s="12">
        <f>COUNTIF('TT '!$D$283:$D$294,TALLY!A56)</f>
        <v>0</v>
      </c>
      <c r="Q56" s="12">
        <f>COUNTIF('TT '!$D$301:$D$317,TALLY!A56)</f>
        <v>1</v>
      </c>
      <c r="R56" s="302">
        <f>COUNTIF('TT '!$D$324:$D$339,TALLY!A56)</f>
        <v>0</v>
      </c>
      <c r="S56" s="12">
        <f>COUNTIF('TT '!$D$346:$D$362,TALLY!A56)</f>
        <v>0</v>
      </c>
      <c r="T56" s="12">
        <f>COUNTIF('TT '!$D$369:$D$383,TALLY!A56)</f>
        <v>1</v>
      </c>
      <c r="U56" s="12">
        <f>COUNTIF('TT '!$D$390:$D$409,TALLY!A56)</f>
        <v>0</v>
      </c>
      <c r="V56" s="24" t="e">
        <f>COUNTIF([8]TT!$D$36:$D$41,$A56)</f>
        <v>#VALUE!</v>
      </c>
      <c r="W56" s="11">
        <f>COUNTIF('TT '!$D$416:$D$429,TALLY!A56)</f>
        <v>0</v>
      </c>
      <c r="X56" s="11">
        <f>COUNTIF('TT '!$D$436:$D$449,TALLY!A56)</f>
        <v>0</v>
      </c>
      <c r="Y56" s="11">
        <f>COUNTIF('TT '!$D$456:$D$474,TALLY!A56)</f>
        <v>0</v>
      </c>
      <c r="Z56" s="11">
        <f>COUNTIF('TT '!$D$481:$D$495,TALLY!A56)</f>
        <v>0</v>
      </c>
      <c r="AA56" s="11">
        <f>COUNTIF('TT '!$D$502:$D$519,TALLY!A56)</f>
        <v>0</v>
      </c>
      <c r="AB56" s="10">
        <f>COUNTIF('TT '!$D$526:$D$540,TALLY!A56)</f>
        <v>1</v>
      </c>
      <c r="AC56" s="24" t="e">
        <f>COUNTIF([8]TT!$D$36:$D$41,$A56)</f>
        <v>#VALUE!</v>
      </c>
      <c r="AD56" s="9">
        <f>COUNTIF('TT '!$D$547:$D$556,TALLY!A56)</f>
        <v>0</v>
      </c>
      <c r="AE56" s="9">
        <f>COUNTIF('TT '!$D$563:$D$577,TALLY!A56)</f>
        <v>0</v>
      </c>
      <c r="AF56" s="9">
        <f>COUNTIF('TT '!$D$584:$D$598,TALLY!A56)</f>
        <v>0</v>
      </c>
      <c r="AG56" s="9">
        <f>COUNTIF('TT '!$D$605:$D$617,TALLY!A56)</f>
        <v>0</v>
      </c>
      <c r="AH56" s="9">
        <f>COUNTIF('TT '!$D$624:$D$636,TALLY!A56)</f>
        <v>0</v>
      </c>
      <c r="AI56" s="9">
        <f>COUNTIF('TT '!$D$643:$D$654,TALLY!A56)</f>
        <v>0</v>
      </c>
      <c r="AJ56" s="24" t="e">
        <f>COUNTIF([8]TT!$D$36:$D$41,$A56)</f>
        <v>#VALUE!</v>
      </c>
      <c r="AK56" s="265" t="str">
        <f t="shared" si="6"/>
        <v>100001001000010010000001000000</v>
      </c>
      <c r="AL56" s="1">
        <f t="shared" si="0"/>
        <v>2</v>
      </c>
      <c r="AM56" s="1">
        <f t="shared" si="1"/>
        <v>1</v>
      </c>
      <c r="AN56" s="1">
        <f t="shared" si="2"/>
        <v>2</v>
      </c>
      <c r="AO56" s="1">
        <f t="shared" si="3"/>
        <v>1</v>
      </c>
      <c r="AP56" s="1">
        <f t="shared" si="4"/>
        <v>0</v>
      </c>
    </row>
    <row r="57" spans="1:42" x14ac:dyDescent="0.35">
      <c r="A57" s="13" t="s">
        <v>131</v>
      </c>
      <c r="B57" s="9">
        <f>COUNTIF('TT '!$D$4:$D$31,TALLY!A57)</f>
        <v>0</v>
      </c>
      <c r="C57" s="9">
        <f>COUNTIF('TT '!$D$38:$D$49,TALLY!A57)</f>
        <v>1</v>
      </c>
      <c r="D57" s="9">
        <f>COUNTIF('TT '!$D$56:$D$78,TALLY!A57)</f>
        <v>0</v>
      </c>
      <c r="E57" s="9">
        <f>COUNTIF('TT '!$D$85:$D$105,TALLY!A57)</f>
        <v>0</v>
      </c>
      <c r="F57" s="9">
        <f>COUNTIF('TT '!$D$112:$D$126,TALLY!A57)</f>
        <v>1</v>
      </c>
      <c r="G57" s="9">
        <f>COUNTIF('TT '!$D$133:$D$147,TALLY!A57)</f>
        <v>0</v>
      </c>
      <c r="H57" s="9">
        <f>COUNTIF('TT '!$D$4:$D$31,TALLY!G57)</f>
        <v>0</v>
      </c>
      <c r="I57" s="11">
        <f>COUNTIF('TT '!$D$154:$D$173,TALLY!A57)</f>
        <v>0</v>
      </c>
      <c r="J57" s="11">
        <f>COUNTIF('TT '!$D$180:$D$197,TALLY!A57)</f>
        <v>0</v>
      </c>
      <c r="K57" s="11">
        <f>COUNTIF('TT '!$D$204:$D$216,TALLY!A57)</f>
        <v>1</v>
      </c>
      <c r="L57" s="11">
        <f>COUNTIF('TT '!$D$223:$D$235,TALLY!A57)</f>
        <v>0</v>
      </c>
      <c r="M57" s="11">
        <f>COUNTIF('TT '!$D$242:$D$257,TALLY!A57)</f>
        <v>0</v>
      </c>
      <c r="N57" s="11">
        <f>COUNTIF('TT '!$D$264:$D$276,TALLY!A57)</f>
        <v>0</v>
      </c>
      <c r="O57" s="8" t="e">
        <f>COUNTIF([8]TT!$D$36:$D$41,$A57)</f>
        <v>#VALUE!</v>
      </c>
      <c r="P57" s="12">
        <f>COUNTIF('TT '!$D$283:$D$294,TALLY!A57)</f>
        <v>0</v>
      </c>
      <c r="Q57" s="12">
        <f>COUNTIF('TT '!$D$301:$D$317,TALLY!A57)</f>
        <v>0</v>
      </c>
      <c r="R57" s="302">
        <f>COUNTIF('TT '!$D$324:$D$339,TALLY!A57)</f>
        <v>0</v>
      </c>
      <c r="S57" s="12">
        <f>COUNTIF('TT '!$D$346:$D$362,TALLY!A57)</f>
        <v>0</v>
      </c>
      <c r="T57" s="12">
        <f>COUNTIF('TT '!$D$369:$D$383,TALLY!A57)</f>
        <v>1</v>
      </c>
      <c r="U57" s="12">
        <f>COUNTIF('TT '!$D$390:$D$409,TALLY!A57)</f>
        <v>0</v>
      </c>
      <c r="V57" s="8" t="e">
        <f>COUNTIF([8]TT!$D$36:$D$41,$A57)</f>
        <v>#VALUE!</v>
      </c>
      <c r="W57" s="11">
        <f>COUNTIF('TT '!$D$416:$D$429,TALLY!A57)</f>
        <v>0</v>
      </c>
      <c r="X57" s="11">
        <f>COUNTIF('TT '!$D$436:$D$449,TALLY!A57)</f>
        <v>0</v>
      </c>
      <c r="Y57" s="11">
        <f>COUNTIF('TT '!$D$456:$D$474,TALLY!A57)</f>
        <v>1</v>
      </c>
      <c r="Z57" s="11">
        <f>COUNTIF('TT '!$D$481:$D$495,TALLY!A57)</f>
        <v>0</v>
      </c>
      <c r="AA57" s="11">
        <f>COUNTIF('TT '!$D$502:$D$519,TALLY!A57)</f>
        <v>0</v>
      </c>
      <c r="AB57" s="10">
        <f>COUNTIF('TT '!$D$526:$D$540,TALLY!A57)</f>
        <v>0</v>
      </c>
      <c r="AC57" s="8" t="e">
        <f>COUNTIF([8]TT!$D$36:$D$41,$A57)</f>
        <v>#VALUE!</v>
      </c>
      <c r="AD57" s="9">
        <f>COUNTIF('TT '!$D$547:$D$556,TALLY!A57)</f>
        <v>0</v>
      </c>
      <c r="AE57" s="9">
        <f>COUNTIF('TT '!$D$563:$D$577,TALLY!A57)</f>
        <v>0</v>
      </c>
      <c r="AF57" s="9">
        <f>COUNTIF('TT '!$D$584:$D$598,TALLY!A57)</f>
        <v>1</v>
      </c>
      <c r="AG57" s="9">
        <f>COUNTIF('TT '!$D$605:$D$617,TALLY!A57)</f>
        <v>0</v>
      </c>
      <c r="AH57" s="9">
        <f>COUNTIF('TT '!$D$624:$D$636,TALLY!A57)</f>
        <v>0</v>
      </c>
      <c r="AI57" s="9">
        <f>COUNTIF('TT '!$D$643:$D$654,TALLY!A57)</f>
        <v>0</v>
      </c>
      <c r="AJ57" s="8" t="e">
        <f>COUNTIF([8]TT!$D$36:$D$41,$A57)</f>
        <v>#VALUE!</v>
      </c>
      <c r="AK57" s="265" t="str">
        <f t="shared" si="6"/>
        <v>010010001000000010001000001000</v>
      </c>
      <c r="AL57" s="1">
        <f t="shared" si="0"/>
        <v>2</v>
      </c>
      <c r="AM57" s="1">
        <f t="shared" si="1"/>
        <v>1</v>
      </c>
      <c r="AN57" s="1">
        <f t="shared" si="2"/>
        <v>1</v>
      </c>
      <c r="AO57" s="1">
        <f t="shared" si="3"/>
        <v>1</v>
      </c>
      <c r="AP57" s="1">
        <f t="shared" si="4"/>
        <v>1</v>
      </c>
    </row>
    <row r="58" spans="1:42" x14ac:dyDescent="0.35">
      <c r="A58" s="13" t="s">
        <v>44</v>
      </c>
      <c r="B58" s="9">
        <f>COUNTIF('TT '!$D$4:$D$31,TALLY!A58)</f>
        <v>0</v>
      </c>
      <c r="C58" s="9">
        <f>COUNTIF('TT '!$D$38:$D$49,TALLY!A58)</f>
        <v>0</v>
      </c>
      <c r="D58" s="9">
        <f>COUNTIF('TT '!$D$56:$D$78,TALLY!A58)</f>
        <v>1</v>
      </c>
      <c r="E58" s="9">
        <f>COUNTIF('TT '!$D$85:$D$105,TALLY!A58)</f>
        <v>0</v>
      </c>
      <c r="F58" s="9">
        <f>COUNTIF('TT '!$D$112:$D$126,TALLY!A58)</f>
        <v>0</v>
      </c>
      <c r="G58" s="9">
        <f>COUNTIF('TT '!$D$133:$D$147,TALLY!A58)</f>
        <v>1</v>
      </c>
      <c r="H58" s="9">
        <f>COUNTIF('TT '!$D$4:$D$31,TALLY!G58)</f>
        <v>0</v>
      </c>
      <c r="I58" s="11">
        <f>COUNTIF('TT '!$D$154:$D$173,TALLY!A58)</f>
        <v>1</v>
      </c>
      <c r="J58" s="11">
        <f>COUNTIF('TT '!$D$180:$D$197,TALLY!A58)</f>
        <v>0</v>
      </c>
      <c r="K58" s="11">
        <f>COUNTIF('TT '!$D$204:$D$216,TALLY!A58)</f>
        <v>0</v>
      </c>
      <c r="L58" s="11">
        <f>COUNTIF('TT '!$D$223:$D$235,TALLY!A58)</f>
        <v>1</v>
      </c>
      <c r="M58" s="11">
        <f>COUNTIF('TT '!$D$242:$D$257,TALLY!A58)</f>
        <v>0</v>
      </c>
      <c r="N58" s="11">
        <f>COUNTIF('TT '!$D$264:$D$276,TALLY!A58)</f>
        <v>0</v>
      </c>
      <c r="O58" s="8" t="e">
        <f>COUNTIF([8]TT!$D$36:$D$41,$A58)</f>
        <v>#VALUE!</v>
      </c>
      <c r="P58" s="12">
        <f>COUNTIF('TT '!$D$283:$D$294,TALLY!A58)</f>
        <v>1</v>
      </c>
      <c r="Q58" s="12">
        <f>COUNTIF('TT '!$D$301:$D$317,TALLY!A58)</f>
        <v>0</v>
      </c>
      <c r="R58" s="302">
        <f>COUNTIF('TT '!$D$324:$D$339,TALLY!A58)</f>
        <v>0</v>
      </c>
      <c r="S58" s="12">
        <f>COUNTIF('TT '!$D$346:$D$362,TALLY!A58)</f>
        <v>0</v>
      </c>
      <c r="T58" s="12">
        <f>COUNTIF('TT '!$D$369:$D$383,TALLY!A58)</f>
        <v>0</v>
      </c>
      <c r="U58" s="12">
        <f>COUNTIF('TT '!$D$390:$D$409,TALLY!A58)</f>
        <v>0</v>
      </c>
      <c r="V58" s="8" t="e">
        <f>COUNTIF([8]TT!$D$36:$D$41,$A58)</f>
        <v>#VALUE!</v>
      </c>
      <c r="W58" s="11">
        <f>COUNTIF('TT '!$D$416:$D$429,TALLY!A58)</f>
        <v>0</v>
      </c>
      <c r="X58" s="11">
        <f>COUNTIF('TT '!$D$436:$D$449,TALLY!A58)</f>
        <v>0</v>
      </c>
      <c r="Y58" s="11">
        <f>COUNTIF('TT '!$D$456:$D$474,TALLY!A58)</f>
        <v>1</v>
      </c>
      <c r="Z58" s="11">
        <f>COUNTIF('TT '!$D$481:$D$495,TALLY!A58)</f>
        <v>0</v>
      </c>
      <c r="AA58" s="11">
        <f>COUNTIF('TT '!$D$502:$D$519,TALLY!A58)</f>
        <v>0</v>
      </c>
      <c r="AB58" s="10">
        <f>COUNTIF('TT '!$D$526:$D$540,TALLY!A58)</f>
        <v>0</v>
      </c>
      <c r="AC58" s="8" t="e">
        <f>COUNTIF([8]TT!$D$36:$D$41,$A58)</f>
        <v>#VALUE!</v>
      </c>
      <c r="AD58" s="9">
        <f>COUNTIF('TT '!$D$547:$D$556,TALLY!A58)</f>
        <v>0</v>
      </c>
      <c r="AE58" s="9">
        <f>COUNTIF('TT '!$D$563:$D$577,TALLY!A58)</f>
        <v>0</v>
      </c>
      <c r="AF58" s="9">
        <f>COUNTIF('TT '!$D$584:$D$598,TALLY!A58)</f>
        <v>0</v>
      </c>
      <c r="AG58" s="9">
        <f>COUNTIF('TT '!$D$605:$D$617,TALLY!A58)</f>
        <v>1</v>
      </c>
      <c r="AH58" s="9">
        <f>COUNTIF('TT '!$D$624:$D$636,TALLY!A58)</f>
        <v>0</v>
      </c>
      <c r="AI58" s="9">
        <f>COUNTIF('TT '!$D$643:$D$654,TALLY!A58)</f>
        <v>0</v>
      </c>
      <c r="AJ58" s="8" t="e">
        <f>COUNTIF([8]TT!$D$36:$D$41,$A58)</f>
        <v>#VALUE!</v>
      </c>
      <c r="AK58" s="265" t="str">
        <f t="shared" si="6"/>
        <v>001001100100100000001000000100</v>
      </c>
      <c r="AL58" s="1">
        <f t="shared" si="0"/>
        <v>2</v>
      </c>
      <c r="AM58" s="1">
        <f t="shared" si="1"/>
        <v>2</v>
      </c>
      <c r="AN58" s="1">
        <f t="shared" si="2"/>
        <v>1</v>
      </c>
      <c r="AO58" s="1">
        <f t="shared" si="3"/>
        <v>1</v>
      </c>
      <c r="AP58" s="1">
        <f t="shared" si="4"/>
        <v>1</v>
      </c>
    </row>
    <row r="59" spans="1:42" x14ac:dyDescent="0.35">
      <c r="A59" s="13" t="s">
        <v>75</v>
      </c>
      <c r="B59" s="9">
        <f>COUNTIF('TT '!$D$4:$D$31,TALLY!A59)</f>
        <v>0</v>
      </c>
      <c r="C59" s="9">
        <f>COUNTIF('TT '!$D$38:$D$49,TALLY!A59)</f>
        <v>0</v>
      </c>
      <c r="D59" s="9">
        <f>COUNTIF('TT '!$D$56:$D$78,TALLY!A59)</f>
        <v>1</v>
      </c>
      <c r="E59" s="9">
        <f>COUNTIF('TT '!$D$85:$D$105,TALLY!A59)</f>
        <v>0</v>
      </c>
      <c r="F59" s="9">
        <f>COUNTIF('TT '!$D$112:$D$126,TALLY!A59)</f>
        <v>0</v>
      </c>
      <c r="G59" s="9">
        <f>COUNTIF('TT '!$D$133:$D$147,TALLY!A59)</f>
        <v>0</v>
      </c>
      <c r="H59" s="9">
        <f>COUNTIF('TT '!$D$4:$D$31,TALLY!G59)</f>
        <v>0</v>
      </c>
      <c r="I59" s="11">
        <f>COUNTIF('TT '!$D$154:$D$173,TALLY!A59)</f>
        <v>0</v>
      </c>
      <c r="J59" s="11">
        <f>COUNTIF('TT '!$D$180:$D$197,TALLY!A59)</f>
        <v>0</v>
      </c>
      <c r="K59" s="11">
        <f>COUNTIF('TT '!$D$204:$D$216,TALLY!A59)</f>
        <v>1</v>
      </c>
      <c r="L59" s="11">
        <f>COUNTIF('TT '!$D$223:$D$235,TALLY!A59)</f>
        <v>0</v>
      </c>
      <c r="M59" s="11">
        <f>COUNTIF('TT '!$D$242:$D$257,TALLY!A59)</f>
        <v>0</v>
      </c>
      <c r="N59" s="11">
        <f>COUNTIF('TT '!$D$264:$D$276,TALLY!A59)</f>
        <v>0</v>
      </c>
      <c r="O59" s="8" t="e">
        <f>COUNTIF([8]TT!$D$36:$D$41,$A59)</f>
        <v>#VALUE!</v>
      </c>
      <c r="P59" s="12">
        <f>COUNTIF('TT '!$D$283:$D$294,TALLY!A59)</f>
        <v>1</v>
      </c>
      <c r="Q59" s="12">
        <f>COUNTIF('TT '!$D$301:$D$317,TALLY!A59)</f>
        <v>0</v>
      </c>
      <c r="R59" s="302">
        <f>COUNTIF('TT '!$D$324:$D$339,TALLY!A59)</f>
        <v>0</v>
      </c>
      <c r="S59" s="12">
        <f>COUNTIF('TT '!$D$346:$D$362,TALLY!A59)</f>
        <v>0</v>
      </c>
      <c r="T59" s="12">
        <f>COUNTIF('TT '!$D$369:$D$383,TALLY!A59)</f>
        <v>0</v>
      </c>
      <c r="U59" s="12">
        <f>COUNTIF('TT '!$D$390:$D$409,TALLY!A59)</f>
        <v>0</v>
      </c>
      <c r="V59" s="8" t="e">
        <f>COUNTIF([8]TT!$D$36:$D$41,$A59)</f>
        <v>#VALUE!</v>
      </c>
      <c r="W59" s="11">
        <f>COUNTIF('TT '!$D$416:$D$429,TALLY!A59)</f>
        <v>0</v>
      </c>
      <c r="X59" s="11">
        <f>COUNTIF('TT '!$D$436:$D$449,TALLY!A59)</f>
        <v>0</v>
      </c>
      <c r="Y59" s="11">
        <f>COUNTIF('TT '!$D$456:$D$474,TALLY!A59)</f>
        <v>1</v>
      </c>
      <c r="Z59" s="11">
        <f>COUNTIF('TT '!$D$481:$D$495,TALLY!A59)</f>
        <v>0</v>
      </c>
      <c r="AA59" s="11">
        <f>COUNTIF('TT '!$D$502:$D$519,TALLY!A59)</f>
        <v>0</v>
      </c>
      <c r="AB59" s="10">
        <f>COUNTIF('TT '!$D$526:$D$540,TALLY!A59)</f>
        <v>0</v>
      </c>
      <c r="AC59" s="8" t="e">
        <f>COUNTIF([8]TT!$D$36:$D$41,$A59)</f>
        <v>#VALUE!</v>
      </c>
      <c r="AD59" s="9">
        <f>COUNTIF('TT '!$D$547:$D$556,TALLY!A59)</f>
        <v>0</v>
      </c>
      <c r="AE59" s="9">
        <f>COUNTIF('TT '!$D$563:$D$577,TALLY!A59)</f>
        <v>0</v>
      </c>
      <c r="AF59" s="9">
        <f>COUNTIF('TT '!$D$584:$D$598,TALLY!A59)</f>
        <v>0</v>
      </c>
      <c r="AG59" s="9">
        <f>COUNTIF('TT '!$D$605:$D$617,TALLY!A59)</f>
        <v>0</v>
      </c>
      <c r="AH59" s="9">
        <f>COUNTIF('TT '!$D$624:$D$636,TALLY!A59)</f>
        <v>0</v>
      </c>
      <c r="AI59" s="9">
        <f>COUNTIF('TT '!$D$643:$D$654,TALLY!A59)</f>
        <v>1</v>
      </c>
      <c r="AJ59" s="8" t="e">
        <f>COUNTIF([8]TT!$D$36:$D$41,$A59)</f>
        <v>#VALUE!</v>
      </c>
      <c r="AK59" s="265" t="str">
        <f t="shared" si="6"/>
        <v>001000001000100000001000000001</v>
      </c>
      <c r="AL59" s="1">
        <f t="shared" si="0"/>
        <v>1</v>
      </c>
      <c r="AM59" s="1">
        <f t="shared" si="1"/>
        <v>1</v>
      </c>
      <c r="AN59" s="1">
        <f t="shared" si="2"/>
        <v>1</v>
      </c>
      <c r="AO59" s="1">
        <f t="shared" si="3"/>
        <v>1</v>
      </c>
      <c r="AP59" s="1">
        <f t="shared" si="4"/>
        <v>1</v>
      </c>
    </row>
    <row r="60" spans="1:42" x14ac:dyDescent="0.35">
      <c r="A60" s="13" t="s">
        <v>46</v>
      </c>
      <c r="B60" s="9">
        <f>COUNTIF('TT '!$D$4:$D$31,TALLY!A60)</f>
        <v>0</v>
      </c>
      <c r="C60" s="9">
        <f>COUNTIF('TT '!$D$38:$D$49,TALLY!A60)</f>
        <v>1</v>
      </c>
      <c r="D60" s="9">
        <f>COUNTIF('TT '!$D$56:$D$78,TALLY!A60)</f>
        <v>0</v>
      </c>
      <c r="E60" s="9">
        <f>COUNTIF('TT '!$D$85:$D$105,TALLY!A60)</f>
        <v>0</v>
      </c>
      <c r="F60" s="9">
        <f>COUNTIF('TT '!$D$112:$D$126,TALLY!A60)</f>
        <v>0</v>
      </c>
      <c r="G60" s="9">
        <f>COUNTIF('TT '!$D$133:$D$147,TALLY!A60)</f>
        <v>1</v>
      </c>
      <c r="H60" s="9">
        <f>COUNTIF('TT '!$D$4:$D$31,TALLY!G60)</f>
        <v>0</v>
      </c>
      <c r="I60" s="11">
        <f>COUNTIF('TT '!$D$154:$D$173,TALLY!A60)</f>
        <v>1</v>
      </c>
      <c r="J60" s="11">
        <f>COUNTIF('TT '!$D$180:$D$197,TALLY!A60)</f>
        <v>0</v>
      </c>
      <c r="K60" s="11">
        <f>COUNTIF('TT '!$D$204:$D$216,TALLY!A60)</f>
        <v>0</v>
      </c>
      <c r="L60" s="11">
        <f>COUNTIF('TT '!$D$223:$D$235,TALLY!A60)</f>
        <v>0</v>
      </c>
      <c r="M60" s="11">
        <f>COUNTIF('TT '!$D$242:$D$257,TALLY!A60)</f>
        <v>0</v>
      </c>
      <c r="N60" s="11">
        <f>COUNTIF('TT '!$D$264:$D$276,TALLY!A60)</f>
        <v>0</v>
      </c>
      <c r="O60" s="8" t="e">
        <f>COUNTIF([8]TT!$D$36:$D$41,$A60)</f>
        <v>#VALUE!</v>
      </c>
      <c r="P60" s="12">
        <f>COUNTIF('TT '!$D$283:$D$294,TALLY!A60)</f>
        <v>0</v>
      </c>
      <c r="Q60" s="12">
        <f>COUNTIF('TT '!$D$301:$D$317,TALLY!A60)</f>
        <v>0</v>
      </c>
      <c r="R60" s="302">
        <f>COUNTIF('TT '!$D$324:$D$339,TALLY!A60)</f>
        <v>0</v>
      </c>
      <c r="S60" s="12">
        <f>COUNTIF('TT '!$D$346:$D$362,TALLY!A60)</f>
        <v>0</v>
      </c>
      <c r="T60" s="12">
        <f>COUNTIF('TT '!$D$369:$D$383,TALLY!A60)</f>
        <v>1</v>
      </c>
      <c r="U60" s="12">
        <f>COUNTIF('TT '!$D$390:$D$409,TALLY!A60)</f>
        <v>0</v>
      </c>
      <c r="V60" s="8" t="e">
        <f>COUNTIF([8]TT!$D$36:$D$41,$A60)</f>
        <v>#VALUE!</v>
      </c>
      <c r="W60" s="11">
        <f>COUNTIF('TT '!$D$416:$D$429,TALLY!A60)</f>
        <v>0</v>
      </c>
      <c r="X60" s="11">
        <f>COUNTIF('TT '!$D$436:$D$449,TALLY!A60)</f>
        <v>0</v>
      </c>
      <c r="Y60" s="11">
        <f>COUNTIF('TT '!$D$456:$D$474,TALLY!A60)</f>
        <v>1</v>
      </c>
      <c r="Z60" s="11">
        <f>COUNTIF('TT '!$D$481:$D$495,TALLY!A60)</f>
        <v>0</v>
      </c>
      <c r="AA60" s="11">
        <f>COUNTIF('TT '!$D$502:$D$519,TALLY!A60)</f>
        <v>0</v>
      </c>
      <c r="AB60" s="10">
        <f>COUNTIF('TT '!$D$526:$D$540,TALLY!A60)</f>
        <v>0</v>
      </c>
      <c r="AC60" s="8" t="e">
        <f>COUNTIF([8]TT!$D$36:$D$41,$A60)</f>
        <v>#VALUE!</v>
      </c>
      <c r="AD60" s="9">
        <f>COUNTIF('TT '!$D$547:$D$556,TALLY!A60)</f>
        <v>0</v>
      </c>
      <c r="AE60" s="9">
        <f>COUNTIF('TT '!$D$563:$D$577,TALLY!A60)</f>
        <v>0</v>
      </c>
      <c r="AF60" s="9">
        <f>COUNTIF('TT '!$D$584:$D$598,TALLY!A60)</f>
        <v>0</v>
      </c>
      <c r="AG60" s="9">
        <f>COUNTIF('TT '!$D$605:$D$617,TALLY!A60)</f>
        <v>0</v>
      </c>
      <c r="AH60" s="9">
        <f>COUNTIF('TT '!$D$624:$D$636,TALLY!A60)</f>
        <v>0</v>
      </c>
      <c r="AI60" s="9">
        <f>COUNTIF('TT '!$D$643:$D$654,TALLY!A60)</f>
        <v>0</v>
      </c>
      <c r="AJ60" s="8" t="e">
        <f>COUNTIF([8]TT!$D$36:$D$41,$A60)</f>
        <v>#VALUE!</v>
      </c>
      <c r="AK60" s="265" t="str">
        <f t="shared" si="6"/>
        <v>010001100000000010001000000000</v>
      </c>
      <c r="AL60" s="1">
        <f t="shared" si="0"/>
        <v>2</v>
      </c>
      <c r="AM60" s="1">
        <f t="shared" si="1"/>
        <v>1</v>
      </c>
      <c r="AN60" s="1">
        <f t="shared" si="2"/>
        <v>1</v>
      </c>
      <c r="AO60" s="1">
        <f t="shared" si="3"/>
        <v>1</v>
      </c>
      <c r="AP60" s="1">
        <f t="shared" si="4"/>
        <v>0</v>
      </c>
    </row>
    <row r="61" spans="1:42" x14ac:dyDescent="0.35">
      <c r="A61" s="13" t="s">
        <v>68</v>
      </c>
      <c r="B61" s="9">
        <f>COUNTIF('TT '!$D$4:$D$31,TALLY!A61)</f>
        <v>0</v>
      </c>
      <c r="C61" s="9">
        <f>COUNTIF('TT '!$D$38:$D$49,TALLY!A61)</f>
        <v>1</v>
      </c>
      <c r="D61" s="9">
        <f>COUNTIF('TT '!$D$56:$D$78,TALLY!A61)</f>
        <v>0</v>
      </c>
      <c r="E61" s="9">
        <f>COUNTIF('TT '!$D$85:$D$105,TALLY!A61)</f>
        <v>0</v>
      </c>
      <c r="F61" s="9">
        <f>COUNTIF('TT '!$D$112:$D$126,TALLY!A61)</f>
        <v>0</v>
      </c>
      <c r="G61" s="9">
        <f>COUNTIF('TT '!$D$133:$D$147,TALLY!A61)</f>
        <v>1</v>
      </c>
      <c r="H61" s="9">
        <f>COUNTIF('TT '!$D$4:$D$31,TALLY!G61)</f>
        <v>0</v>
      </c>
      <c r="I61" s="11">
        <f>COUNTIF('TT '!$D$154:$D$173,TALLY!A61)</f>
        <v>0</v>
      </c>
      <c r="J61" s="11">
        <f>COUNTIF('TT '!$D$180:$D$197,TALLY!A61)</f>
        <v>0</v>
      </c>
      <c r="K61" s="11">
        <f>COUNTIF('TT '!$D$204:$D$216,TALLY!A61)</f>
        <v>1</v>
      </c>
      <c r="L61" s="11">
        <f>COUNTIF('TT '!$D$223:$D$235,TALLY!A61)</f>
        <v>0</v>
      </c>
      <c r="M61" s="11">
        <f>COUNTIF('TT '!$D$242:$D$257,TALLY!A61)</f>
        <v>0</v>
      </c>
      <c r="N61" s="11">
        <f>COUNTIF('TT '!$D$264:$D$276,TALLY!A61)</f>
        <v>1</v>
      </c>
      <c r="O61" s="8" t="e">
        <f>COUNTIF([8]TT!$D$36:$D$41,$A61)</f>
        <v>#VALUE!</v>
      </c>
      <c r="P61" s="12">
        <f>COUNTIF('TT '!$D$283:$D$294,TALLY!A61)</f>
        <v>0</v>
      </c>
      <c r="Q61" s="12">
        <f>COUNTIF('TT '!$D$301:$D$317,TALLY!A61)</f>
        <v>0</v>
      </c>
      <c r="R61" s="302">
        <f>COUNTIF('TT '!$D$324:$D$339,TALLY!A61)</f>
        <v>0</v>
      </c>
      <c r="S61" s="12">
        <f>COUNTIF('TT '!$D$346:$D$362,TALLY!A61)</f>
        <v>1</v>
      </c>
      <c r="T61" s="12">
        <f>COUNTIF('TT '!$D$369:$D$383,TALLY!A61)</f>
        <v>0</v>
      </c>
      <c r="U61" s="12">
        <f>COUNTIF('TT '!$D$390:$D$409,TALLY!A61)</f>
        <v>1</v>
      </c>
      <c r="V61" s="8" t="e">
        <f>COUNTIF([8]TT!$D$36:$D$41,$A61)</f>
        <v>#VALUE!</v>
      </c>
      <c r="W61" s="11">
        <f>COUNTIF('TT '!$D$416:$D$429,TALLY!A61)</f>
        <v>0</v>
      </c>
      <c r="X61" s="11">
        <f>COUNTIF('TT '!$D$436:$D$449,TALLY!A61)</f>
        <v>1</v>
      </c>
      <c r="Y61" s="11">
        <f>COUNTIF('TT '!$D$456:$D$474,TALLY!A61)</f>
        <v>0</v>
      </c>
      <c r="Z61" s="11">
        <f>COUNTIF('TT '!$D$481:$D$495,TALLY!A61)</f>
        <v>0</v>
      </c>
      <c r="AA61" s="11">
        <f>COUNTIF('TT '!$D$502:$D$519,TALLY!A61)</f>
        <v>0</v>
      </c>
      <c r="AB61" s="10">
        <f>COUNTIF('TT '!$D$526:$D$540,TALLY!A61)</f>
        <v>1</v>
      </c>
      <c r="AC61" s="8" t="e">
        <f>COUNTIF([8]TT!$D$36:$D$41,$A61)</f>
        <v>#VALUE!</v>
      </c>
      <c r="AD61" s="9">
        <f>COUNTIF('TT '!$D$547:$D$556,TALLY!A61)</f>
        <v>0</v>
      </c>
      <c r="AE61" s="9">
        <f>COUNTIF('TT '!$D$563:$D$577,TALLY!A61)</f>
        <v>0</v>
      </c>
      <c r="AF61" s="9">
        <f>COUNTIF('TT '!$D$584:$D$598,TALLY!A61)</f>
        <v>1</v>
      </c>
      <c r="AG61" s="9">
        <f>COUNTIF('TT '!$D$605:$D$617,TALLY!A61)</f>
        <v>0</v>
      </c>
      <c r="AH61" s="9">
        <f>COUNTIF('TT '!$D$624:$D$636,TALLY!A61)</f>
        <v>0</v>
      </c>
      <c r="AI61" s="9">
        <f>COUNTIF('TT '!$D$643:$D$654,TALLY!A61)</f>
        <v>1</v>
      </c>
      <c r="AJ61" s="8" t="e">
        <f>COUNTIF([8]TT!$D$36:$D$41,$A61)</f>
        <v>#VALUE!</v>
      </c>
      <c r="AK61" s="265" t="str">
        <f t="shared" si="6"/>
        <v>010001001001000101010001001001</v>
      </c>
      <c r="AL61" s="1">
        <f t="shared" si="0"/>
        <v>2</v>
      </c>
      <c r="AM61" s="1">
        <f t="shared" si="1"/>
        <v>2</v>
      </c>
      <c r="AN61" s="1">
        <f t="shared" si="2"/>
        <v>2</v>
      </c>
      <c r="AO61" s="1">
        <f t="shared" si="3"/>
        <v>2</v>
      </c>
      <c r="AP61" s="1">
        <f t="shared" si="4"/>
        <v>2</v>
      </c>
    </row>
    <row r="62" spans="1:42" x14ac:dyDescent="0.35">
      <c r="A62" s="13" t="s">
        <v>86</v>
      </c>
      <c r="B62" s="9">
        <f>COUNTIF('TT '!$D$4:$D$31,TALLY!A62)</f>
        <v>0</v>
      </c>
      <c r="C62" s="9">
        <f>COUNTIF('TT '!$D$38:$D$49,TALLY!A62)</f>
        <v>0</v>
      </c>
      <c r="D62" s="9">
        <f>COUNTIF('TT '!$D$56:$D$78,TALLY!A62)</f>
        <v>1</v>
      </c>
      <c r="E62" s="9">
        <f>COUNTIF('TT '!$D$85:$D$105,TALLY!A62)</f>
        <v>0</v>
      </c>
      <c r="F62" s="9">
        <f>COUNTIF('TT '!$D$112:$D$126,TALLY!A62)</f>
        <v>0</v>
      </c>
      <c r="G62" s="9">
        <f>COUNTIF('TT '!$D$133:$D$147,TALLY!A62)</f>
        <v>1</v>
      </c>
      <c r="H62" s="9">
        <f>COUNTIF('TT '!$D$4:$D$31,TALLY!G62)</f>
        <v>0</v>
      </c>
      <c r="I62" s="11">
        <f>COUNTIF('TT '!$D$154:$D$173,TALLY!A62)</f>
        <v>0</v>
      </c>
      <c r="J62" s="11">
        <f>COUNTIF('TT '!$D$180:$D$197,TALLY!A62)</f>
        <v>0</v>
      </c>
      <c r="K62" s="11">
        <f>COUNTIF('TT '!$D$204:$D$216,TALLY!A62)</f>
        <v>0</v>
      </c>
      <c r="L62" s="11">
        <f>COUNTIF('TT '!$D$223:$D$235,TALLY!A62)</f>
        <v>0</v>
      </c>
      <c r="M62" s="11">
        <f>COUNTIF('TT '!$D$242:$D$257,TALLY!A62)</f>
        <v>0</v>
      </c>
      <c r="N62" s="11">
        <f>COUNTIF('TT '!$D$264:$D$276,TALLY!A62)</f>
        <v>1</v>
      </c>
      <c r="O62" s="8" t="e">
        <f>COUNTIF([8]TT!$D$36:$D$41,$A62)</f>
        <v>#VALUE!</v>
      </c>
      <c r="P62" s="12">
        <f>COUNTIF('TT '!$D$283:$D$294,TALLY!A62)</f>
        <v>0</v>
      </c>
      <c r="Q62" s="12">
        <f>COUNTIF('TT '!$D$301:$D$317,TALLY!A62)</f>
        <v>0</v>
      </c>
      <c r="R62" s="302">
        <f>COUNTIF('TT '!$D$324:$D$339,TALLY!A62)</f>
        <v>1</v>
      </c>
      <c r="S62" s="12">
        <f>COUNTIF('TT '!$D$346:$D$362,TALLY!A62)</f>
        <v>0</v>
      </c>
      <c r="T62" s="12">
        <f>COUNTIF('TT '!$D$369:$D$383,TALLY!A62)</f>
        <v>0</v>
      </c>
      <c r="U62" s="12">
        <f>COUNTIF('TT '!$D$390:$D$409,TALLY!A62)</f>
        <v>0</v>
      </c>
      <c r="V62" s="8" t="e">
        <f>COUNTIF([8]TT!$D$36:$D$41,$A62)</f>
        <v>#VALUE!</v>
      </c>
      <c r="W62" s="11">
        <f>COUNTIF('TT '!$D$416:$D$429,TALLY!A62)</f>
        <v>1</v>
      </c>
      <c r="X62" s="11">
        <f>COUNTIF('TT '!$D$436:$D$449,TALLY!A62)</f>
        <v>0</v>
      </c>
      <c r="Y62" s="11">
        <f>COUNTIF('TT '!$D$456:$D$474,TALLY!A62)</f>
        <v>0</v>
      </c>
      <c r="Z62" s="11">
        <f>COUNTIF('TT '!$D$481:$D$495,TALLY!A62)</f>
        <v>0</v>
      </c>
      <c r="AA62" s="11">
        <f>COUNTIF('TT '!$D$502:$D$519,TALLY!A62)</f>
        <v>0</v>
      </c>
      <c r="AB62" s="10">
        <f>COUNTIF('TT '!$D$526:$D$540,TALLY!A62)</f>
        <v>0</v>
      </c>
      <c r="AC62" s="8" t="e">
        <f>COUNTIF([8]TT!$D$36:$D$41,$A62)</f>
        <v>#VALUE!</v>
      </c>
      <c r="AD62" s="9">
        <f>COUNTIF('TT '!$D$547:$D$556,TALLY!A62)</f>
        <v>0</v>
      </c>
      <c r="AE62" s="9">
        <f>COUNTIF('TT '!$D$563:$D$577,TALLY!A62)</f>
        <v>0</v>
      </c>
      <c r="AF62" s="9">
        <f>COUNTIF('TT '!$D$584:$D$598,TALLY!A62)</f>
        <v>1</v>
      </c>
      <c r="AG62" s="9">
        <f>COUNTIF('TT '!$D$605:$D$617,TALLY!A62)</f>
        <v>0</v>
      </c>
      <c r="AH62" s="9">
        <f>COUNTIF('TT '!$D$624:$D$636,TALLY!A62)</f>
        <v>0</v>
      </c>
      <c r="AI62" s="9">
        <f>COUNTIF('TT '!$D$643:$D$654,TALLY!A62)</f>
        <v>0</v>
      </c>
      <c r="AJ62" s="8" t="e">
        <f>COUNTIF([8]TT!$D$36:$D$41,$A62)</f>
        <v>#VALUE!</v>
      </c>
      <c r="AK62" s="265" t="str">
        <f t="shared" si="6"/>
        <v>001001000001001000100000001000</v>
      </c>
      <c r="AL62" s="1">
        <f t="shared" si="0"/>
        <v>2</v>
      </c>
      <c r="AM62" s="1">
        <f t="shared" si="1"/>
        <v>1</v>
      </c>
      <c r="AN62" s="1">
        <f t="shared" si="2"/>
        <v>1</v>
      </c>
      <c r="AO62" s="1">
        <f t="shared" si="3"/>
        <v>1</v>
      </c>
      <c r="AP62" s="1">
        <f t="shared" si="4"/>
        <v>1</v>
      </c>
    </row>
    <row r="63" spans="1:42" s="3" customFormat="1" x14ac:dyDescent="0.35">
      <c r="A63" s="23" t="s">
        <v>60</v>
      </c>
      <c r="B63" s="9">
        <f>COUNTIF('TT '!$D$4:$D$31,TALLY!A63)</f>
        <v>0</v>
      </c>
      <c r="C63" s="9">
        <f>COUNTIF('TT '!$D$38:$D$49,TALLY!A63)</f>
        <v>1</v>
      </c>
      <c r="D63" s="9">
        <f>COUNTIF('TT '!$D$56:$D$78,TALLY!A63)</f>
        <v>0</v>
      </c>
      <c r="E63" s="9">
        <f>COUNTIF('TT '!$D$85:$D$105,TALLY!A63)</f>
        <v>0</v>
      </c>
      <c r="F63" s="9">
        <f>COUNTIF('TT '!$D$112:$D$126,TALLY!A63)</f>
        <v>0</v>
      </c>
      <c r="G63" s="9">
        <f>COUNTIF('TT '!$D$133:$D$147,TALLY!A63)</f>
        <v>0</v>
      </c>
      <c r="H63" s="9">
        <f>COUNTIF('TT '!$D$4:$D$31,TALLY!G63)</f>
        <v>0</v>
      </c>
      <c r="I63" s="11">
        <f>COUNTIF('TT '!$D$154:$D$173,TALLY!A63)</f>
        <v>0</v>
      </c>
      <c r="J63" s="11">
        <f>COUNTIF('TT '!$D$180:$D$197,TALLY!A63)</f>
        <v>0</v>
      </c>
      <c r="K63" s="11">
        <f>COUNTIF('TT '!$D$204:$D$216,TALLY!A63)</f>
        <v>1</v>
      </c>
      <c r="L63" s="11">
        <f>COUNTIF('TT '!$D$223:$D$235,TALLY!A63)</f>
        <v>0</v>
      </c>
      <c r="M63" s="11">
        <f>COUNTIF('TT '!$D$242:$D$257,TALLY!A63)</f>
        <v>0</v>
      </c>
      <c r="N63" s="11">
        <f>COUNTIF('TT '!$D$264:$D$276,TALLY!A63)</f>
        <v>0</v>
      </c>
      <c r="O63" s="24" t="e">
        <f>COUNTIF([8]TT!$D$36:$D$41,$A63)</f>
        <v>#VALUE!</v>
      </c>
      <c r="P63" s="12">
        <f>COUNTIF('TT '!$D$283:$D$294,TALLY!A63)</f>
        <v>0</v>
      </c>
      <c r="Q63" s="12">
        <f>COUNTIF('TT '!$D$301:$D$317,TALLY!A63)</f>
        <v>0</v>
      </c>
      <c r="R63" s="302">
        <f>COUNTIF('TT '!$D$324:$D$339,TALLY!A63)</f>
        <v>0</v>
      </c>
      <c r="S63" s="12">
        <f>COUNTIF('TT '!$D$346:$D$362,TALLY!A63)</f>
        <v>0</v>
      </c>
      <c r="T63" s="12">
        <f>COUNTIF('TT '!$D$369:$D$383,TALLY!A63)</f>
        <v>0</v>
      </c>
      <c r="U63" s="12">
        <f>COUNTIF('TT '!$D$390:$D$409,TALLY!A63)</f>
        <v>0</v>
      </c>
      <c r="V63" s="24" t="e">
        <f>COUNTIF([8]TT!$D$36:$D$41,$A63)</f>
        <v>#VALUE!</v>
      </c>
      <c r="W63" s="11">
        <f>COUNTIF('TT '!$D$416:$D$429,TALLY!A63)</f>
        <v>0</v>
      </c>
      <c r="X63" s="11">
        <f>COUNTIF('TT '!$D$436:$D$449,TALLY!A63)</f>
        <v>0</v>
      </c>
      <c r="Y63" s="11">
        <f>COUNTIF('TT '!$D$456:$D$474,TALLY!A63)</f>
        <v>1</v>
      </c>
      <c r="Z63" s="11">
        <f>COUNTIF('TT '!$D$481:$D$495,TALLY!A63)</f>
        <v>0</v>
      </c>
      <c r="AA63" s="11">
        <f>COUNTIF('TT '!$D$502:$D$519,TALLY!A63)</f>
        <v>1</v>
      </c>
      <c r="AB63" s="10">
        <f>COUNTIF('TT '!$D$526:$D$540,TALLY!A63)</f>
        <v>0</v>
      </c>
      <c r="AC63" s="24" t="e">
        <f>COUNTIF([8]TT!$D$36:$D$41,$A63)</f>
        <v>#VALUE!</v>
      </c>
      <c r="AD63" s="9">
        <f>COUNTIF('TT '!$D$547:$D$556,TALLY!A63)</f>
        <v>0</v>
      </c>
      <c r="AE63" s="9">
        <f>COUNTIF('TT '!$D$563:$D$577,TALLY!A63)</f>
        <v>0</v>
      </c>
      <c r="AF63" s="9">
        <f>COUNTIF('TT '!$D$584:$D$598,TALLY!A63)</f>
        <v>0</v>
      </c>
      <c r="AG63" s="9">
        <f>COUNTIF('TT '!$D$605:$D$617,TALLY!A63)</f>
        <v>0</v>
      </c>
      <c r="AH63" s="9">
        <f>COUNTIF('TT '!$D$624:$D$636,TALLY!A63)</f>
        <v>0</v>
      </c>
      <c r="AI63" s="9">
        <f>COUNTIF('TT '!$D$643:$D$654,TALLY!A63)</f>
        <v>0</v>
      </c>
      <c r="AJ63" s="24" t="e">
        <f>COUNTIF([8]TT!$D$36:$D$41,$A63)</f>
        <v>#VALUE!</v>
      </c>
      <c r="AK63" s="265" t="str">
        <f t="shared" si="6"/>
        <v>010000001000000000001010000000</v>
      </c>
      <c r="AL63" s="1">
        <f t="shared" si="0"/>
        <v>1</v>
      </c>
      <c r="AM63" s="1">
        <f t="shared" si="1"/>
        <v>1</v>
      </c>
      <c r="AN63" s="1">
        <f t="shared" si="2"/>
        <v>0</v>
      </c>
      <c r="AO63" s="1">
        <f t="shared" si="3"/>
        <v>2</v>
      </c>
      <c r="AP63" s="1">
        <f t="shared" si="4"/>
        <v>0</v>
      </c>
    </row>
    <row r="64" spans="1:42" x14ac:dyDescent="0.35">
      <c r="A64" s="13" t="s">
        <v>56</v>
      </c>
      <c r="B64" s="9">
        <f>COUNTIF('TT '!$D$4:$D$31,TALLY!A64)</f>
        <v>0</v>
      </c>
      <c r="C64" s="9">
        <f>COUNTIF('TT '!$D$38:$D$49,TALLY!A64)</f>
        <v>1</v>
      </c>
      <c r="D64" s="9">
        <f>COUNTIF('TT '!$D$56:$D$78,TALLY!A64)</f>
        <v>0</v>
      </c>
      <c r="E64" s="9">
        <f>COUNTIF('TT '!$D$85:$D$105,TALLY!A64)</f>
        <v>0</v>
      </c>
      <c r="F64" s="9">
        <f>COUNTIF('TT '!$D$112:$D$126,TALLY!A64)</f>
        <v>0</v>
      </c>
      <c r="G64" s="9">
        <f>COUNTIF('TT '!$D$133:$D$147,TALLY!A64)</f>
        <v>1</v>
      </c>
      <c r="H64" s="9">
        <f>COUNTIF('TT '!$D$4:$D$31,TALLY!G64)</f>
        <v>0</v>
      </c>
      <c r="I64" s="11">
        <f>COUNTIF('TT '!$D$154:$D$173,TALLY!A64)</f>
        <v>0</v>
      </c>
      <c r="J64" s="11">
        <f>COUNTIF('TT '!$D$180:$D$197,TALLY!A64)</f>
        <v>0</v>
      </c>
      <c r="K64" s="11">
        <f>COUNTIF('TT '!$D$204:$D$216,TALLY!A64)</f>
        <v>1</v>
      </c>
      <c r="L64" s="11">
        <f>COUNTIF('TT '!$D$223:$D$235,TALLY!A64)</f>
        <v>0</v>
      </c>
      <c r="M64" s="11">
        <f>COUNTIF('TT '!$D$242:$D$257,TALLY!A64)</f>
        <v>0</v>
      </c>
      <c r="N64" s="11">
        <f>COUNTIF('TT '!$D$264:$D$276,TALLY!A64)</f>
        <v>0</v>
      </c>
      <c r="O64" s="8" t="e">
        <f>COUNTIF([8]TT!$D$36:$D$41,$A64)</f>
        <v>#VALUE!</v>
      </c>
      <c r="P64" s="12">
        <f>COUNTIF('TT '!$D$283:$D$294,TALLY!A64)</f>
        <v>0</v>
      </c>
      <c r="Q64" s="12">
        <f>COUNTIF('TT '!$D$301:$D$317,TALLY!A64)</f>
        <v>0</v>
      </c>
      <c r="R64" s="302">
        <f>COUNTIF('TT '!$D$324:$D$339,TALLY!A64)</f>
        <v>0</v>
      </c>
      <c r="S64" s="12">
        <f>COUNTIF('TT '!$D$346:$D$362,TALLY!A64)</f>
        <v>0</v>
      </c>
      <c r="T64" s="12">
        <f>COUNTIF('TT '!$D$369:$D$383,TALLY!A64)</f>
        <v>0</v>
      </c>
      <c r="U64" s="12">
        <f>COUNTIF('TT '!$D$390:$D$409,TALLY!A64)</f>
        <v>0</v>
      </c>
      <c r="V64" s="8" t="e">
        <f>COUNTIF([8]TT!$D$36:$D$41,$A64)</f>
        <v>#VALUE!</v>
      </c>
      <c r="W64" s="11">
        <f>COUNTIF('TT '!$D$416:$D$429,TALLY!A64)</f>
        <v>0</v>
      </c>
      <c r="X64" s="11">
        <f>COUNTIF('TT '!$D$436:$D$449,TALLY!A64)</f>
        <v>0</v>
      </c>
      <c r="Y64" s="11">
        <f>COUNTIF('TT '!$D$456:$D$474,TALLY!A64)</f>
        <v>1</v>
      </c>
      <c r="Z64" s="11">
        <f>COUNTIF('TT '!$D$481:$D$495,TALLY!A64)</f>
        <v>0</v>
      </c>
      <c r="AA64" s="11">
        <f>COUNTIF('TT '!$D$502:$D$519,TALLY!A64)</f>
        <v>0</v>
      </c>
      <c r="AB64" s="10">
        <f>COUNTIF('TT '!$D$526:$D$540,TALLY!A64)</f>
        <v>0</v>
      </c>
      <c r="AC64" s="8" t="e">
        <f>COUNTIF([8]TT!$D$36:$D$41,$A64)</f>
        <v>#VALUE!</v>
      </c>
      <c r="AD64" s="9">
        <f>COUNTIF('TT '!$D$547:$D$556,TALLY!A64)</f>
        <v>0</v>
      </c>
      <c r="AE64" s="9">
        <f>COUNTIF('TT '!$D$563:$D$577,TALLY!A64)</f>
        <v>0</v>
      </c>
      <c r="AF64" s="9">
        <f>COUNTIF('TT '!$D$584:$D$598,TALLY!A64)</f>
        <v>1</v>
      </c>
      <c r="AG64" s="9">
        <f>COUNTIF('TT '!$D$605:$D$617,TALLY!A64)</f>
        <v>0</v>
      </c>
      <c r="AH64" s="9">
        <f>COUNTIF('TT '!$D$624:$D$636,TALLY!A64)</f>
        <v>0</v>
      </c>
      <c r="AI64" s="9">
        <f>COUNTIF('TT '!$D$643:$D$654,TALLY!A64)</f>
        <v>0</v>
      </c>
      <c r="AJ64" s="8" t="e">
        <f>COUNTIF([8]TT!$D$36:$D$41,$A64)</f>
        <v>#VALUE!</v>
      </c>
      <c r="AK64" s="265" t="str">
        <f t="shared" si="6"/>
        <v>010001001000000000001000001000</v>
      </c>
      <c r="AL64" s="1">
        <f t="shared" si="0"/>
        <v>2</v>
      </c>
      <c r="AM64" s="1">
        <f t="shared" si="1"/>
        <v>1</v>
      </c>
      <c r="AN64" s="1">
        <f t="shared" si="2"/>
        <v>0</v>
      </c>
      <c r="AO64" s="1">
        <f t="shared" si="3"/>
        <v>1</v>
      </c>
      <c r="AP64" s="1">
        <f t="shared" si="4"/>
        <v>1</v>
      </c>
    </row>
    <row r="65" spans="1:42" x14ac:dyDescent="0.35">
      <c r="A65" s="13" t="s">
        <v>50</v>
      </c>
      <c r="B65" s="9">
        <f>COUNTIF('TT '!$D$4:$D$31,TALLY!A65)</f>
        <v>1</v>
      </c>
      <c r="C65" s="9">
        <f>COUNTIF('TT '!$D$38:$D$49,TALLY!A65)</f>
        <v>0</v>
      </c>
      <c r="D65" s="9">
        <f>COUNTIF('TT '!$D$56:$D$78,TALLY!A65)</f>
        <v>0</v>
      </c>
      <c r="E65" s="9">
        <f>COUNTIF('TT '!$D$85:$D$105,TALLY!A65)</f>
        <v>1</v>
      </c>
      <c r="F65" s="9">
        <f>COUNTIF('TT '!$D$112:$D$126,TALLY!A65)</f>
        <v>0</v>
      </c>
      <c r="G65" s="9">
        <f>COUNTIF('TT '!$D$133:$D$147,TALLY!A65)</f>
        <v>0</v>
      </c>
      <c r="H65" s="9">
        <f>COUNTIF('TT '!$D$4:$D$31,TALLY!G65)</f>
        <v>0</v>
      </c>
      <c r="I65" s="11">
        <f>COUNTIF('TT '!$D$154:$D$173,TALLY!A65)</f>
        <v>0</v>
      </c>
      <c r="J65" s="11">
        <f>COUNTIF('TT '!$D$180:$D$197,TALLY!A65)</f>
        <v>0</v>
      </c>
      <c r="K65" s="11">
        <f>COUNTIF('TT '!$D$204:$D$216,TALLY!A65)</f>
        <v>1</v>
      </c>
      <c r="L65" s="11">
        <f>COUNTIF('TT '!$D$223:$D$235,TALLY!A65)</f>
        <v>0</v>
      </c>
      <c r="M65" s="11">
        <f>COUNTIF('TT '!$D$242:$D$257,TALLY!A65)</f>
        <v>0</v>
      </c>
      <c r="N65" s="11">
        <f>COUNTIF('TT '!$D$264:$D$276,TALLY!A65)</f>
        <v>0</v>
      </c>
      <c r="O65" s="8" t="e">
        <f>COUNTIF([8]TT!$D$36:$D$41,$A65)</f>
        <v>#VALUE!</v>
      </c>
      <c r="P65" s="12">
        <f>COUNTIF('TT '!$D$283:$D$294,TALLY!A65)</f>
        <v>0</v>
      </c>
      <c r="Q65" s="12">
        <f>COUNTIF('TT '!$D$301:$D$317,TALLY!A65)</f>
        <v>0</v>
      </c>
      <c r="R65" s="302">
        <f>COUNTIF('TT '!$D$324:$D$339,TALLY!A65)</f>
        <v>1</v>
      </c>
      <c r="S65" s="12">
        <f>COUNTIF('TT '!$D$346:$D$362,TALLY!A65)</f>
        <v>0</v>
      </c>
      <c r="T65" s="12">
        <f>COUNTIF('TT '!$D$369:$D$383,TALLY!A65)</f>
        <v>0</v>
      </c>
      <c r="U65" s="12">
        <f>COUNTIF('TT '!$D$390:$D$409,TALLY!A65)</f>
        <v>0</v>
      </c>
      <c r="V65" s="8" t="e">
        <f>COUNTIF([8]TT!$D$36:$D$41,$A65)</f>
        <v>#VALUE!</v>
      </c>
      <c r="W65" s="11">
        <f>COUNTIF('TT '!$D$416:$D$429,TALLY!A65)</f>
        <v>0</v>
      </c>
      <c r="X65" s="11">
        <f>COUNTIF('TT '!$D$436:$D$449,TALLY!A65)</f>
        <v>0</v>
      </c>
      <c r="Y65" s="11">
        <f>COUNTIF('TT '!$D$456:$D$474,TALLY!A65)</f>
        <v>1</v>
      </c>
      <c r="Z65" s="11">
        <f>COUNTIF('TT '!$D$481:$D$495,TALLY!A65)</f>
        <v>0</v>
      </c>
      <c r="AA65" s="11">
        <f>COUNTIF('TT '!$D$502:$D$519,TALLY!A65)</f>
        <v>0</v>
      </c>
      <c r="AB65" s="10">
        <f>COUNTIF('TT '!$D$526:$D$540,TALLY!A65)</f>
        <v>0</v>
      </c>
      <c r="AC65" s="8" t="e">
        <f>COUNTIF([8]TT!$D$36:$D$41,$A65)</f>
        <v>#VALUE!</v>
      </c>
      <c r="AD65" s="9">
        <f>COUNTIF('TT '!$D$547:$D$556,TALLY!A65)</f>
        <v>0</v>
      </c>
      <c r="AE65" s="9">
        <f>COUNTIF('TT '!$D$563:$D$577,TALLY!A65)</f>
        <v>0</v>
      </c>
      <c r="AF65" s="9">
        <f>COUNTIF('TT '!$D$584:$D$598,TALLY!A65)</f>
        <v>1</v>
      </c>
      <c r="AG65" s="9">
        <f>COUNTIF('TT '!$D$605:$D$617,TALLY!A65)</f>
        <v>0</v>
      </c>
      <c r="AH65" s="9">
        <f>COUNTIF('TT '!$D$624:$D$636,TALLY!A65)</f>
        <v>0</v>
      </c>
      <c r="AI65" s="9">
        <f>COUNTIF('TT '!$D$643:$D$654,TALLY!A65)</f>
        <v>0</v>
      </c>
      <c r="AJ65" s="8" t="e">
        <f>COUNTIF([8]TT!$D$36:$D$41,$A65)</f>
        <v>#VALUE!</v>
      </c>
      <c r="AK65" s="265" t="str">
        <f t="shared" si="6"/>
        <v>100100001000001000001000001000</v>
      </c>
      <c r="AL65" s="1">
        <f t="shared" si="0"/>
        <v>2</v>
      </c>
      <c r="AM65" s="1">
        <f t="shared" si="1"/>
        <v>1</v>
      </c>
      <c r="AN65" s="1">
        <f t="shared" si="2"/>
        <v>1</v>
      </c>
      <c r="AO65" s="1">
        <f t="shared" si="3"/>
        <v>1</v>
      </c>
      <c r="AP65" s="1">
        <f t="shared" si="4"/>
        <v>1</v>
      </c>
    </row>
    <row r="66" spans="1:42" x14ac:dyDescent="0.35">
      <c r="A66" s="13" t="s">
        <v>78</v>
      </c>
      <c r="B66" s="9">
        <f>COUNTIF('TT '!$D$4:$D$31,TALLY!A66)</f>
        <v>0</v>
      </c>
      <c r="C66" s="9">
        <f>COUNTIF('TT '!$D$38:$D$49,TALLY!A66)</f>
        <v>0</v>
      </c>
      <c r="D66" s="9">
        <f>COUNTIF('TT '!$D$56:$D$78,TALLY!A66)</f>
        <v>1</v>
      </c>
      <c r="E66" s="9">
        <f>COUNTIF('TT '!$D$85:$D$105,TALLY!A66)</f>
        <v>0</v>
      </c>
      <c r="F66" s="9">
        <f>COUNTIF('TT '!$D$112:$D$126,TALLY!A66)</f>
        <v>0</v>
      </c>
      <c r="G66" s="9">
        <f>COUNTIF('TT '!$D$133:$D$147,TALLY!A66)</f>
        <v>0</v>
      </c>
      <c r="H66" s="9">
        <f>COUNTIF('TT '!$D$4:$D$31,TALLY!G66)</f>
        <v>0</v>
      </c>
      <c r="I66" s="11">
        <f>COUNTIF('TT '!$D$154:$D$173,TALLY!A66)</f>
        <v>0</v>
      </c>
      <c r="J66" s="11">
        <f>COUNTIF('TT '!$D$180:$D$197,TALLY!A66)</f>
        <v>0</v>
      </c>
      <c r="K66" s="11">
        <f>COUNTIF('TT '!$D$204:$D$216,TALLY!A66)</f>
        <v>0</v>
      </c>
      <c r="L66" s="11">
        <f>COUNTIF('TT '!$D$223:$D$235,TALLY!A66)</f>
        <v>0</v>
      </c>
      <c r="M66" s="11">
        <f>COUNTIF('TT '!$D$242:$D$257,TALLY!A66)</f>
        <v>1</v>
      </c>
      <c r="N66" s="11">
        <f>COUNTIF('TT '!$D$264:$D$276,TALLY!A66)</f>
        <v>0</v>
      </c>
      <c r="O66" s="8" t="e">
        <f>COUNTIF([8]TT!$D$36:$D$41,$A66)</f>
        <v>#VALUE!</v>
      </c>
      <c r="P66" s="12">
        <f>COUNTIF('TT '!$D$283:$D$294,TALLY!A66)</f>
        <v>0</v>
      </c>
      <c r="Q66" s="12">
        <f>COUNTIF('TT '!$D$301:$D$317,TALLY!A66)</f>
        <v>0</v>
      </c>
      <c r="R66" s="302">
        <f>COUNTIF('TT '!$D$324:$D$339,TALLY!A66)</f>
        <v>0</v>
      </c>
      <c r="S66" s="12">
        <f>COUNTIF('TT '!$D$346:$D$362,TALLY!A66)</f>
        <v>0</v>
      </c>
      <c r="T66" s="12">
        <f>COUNTIF('TT '!$D$369:$D$383,TALLY!A66)</f>
        <v>1</v>
      </c>
      <c r="U66" s="12">
        <f>COUNTIF('TT '!$D$390:$D$409,TALLY!A66)</f>
        <v>0</v>
      </c>
      <c r="V66" s="8" t="e">
        <f>COUNTIF([8]TT!$D$36:$D$41,$A66)</f>
        <v>#VALUE!</v>
      </c>
      <c r="W66" s="11">
        <f>COUNTIF('TT '!$D$416:$D$429,TALLY!A66)</f>
        <v>0</v>
      </c>
      <c r="X66" s="11">
        <f>COUNTIF('TT '!$D$436:$D$449,TALLY!A66)</f>
        <v>0</v>
      </c>
      <c r="Y66" s="11">
        <f>COUNTIF('TT '!$D$456:$D$474,TALLY!A66)</f>
        <v>0</v>
      </c>
      <c r="Z66" s="11">
        <f>COUNTIF('TT '!$D$481:$D$495,TALLY!A66)</f>
        <v>0</v>
      </c>
      <c r="AA66" s="11">
        <f>COUNTIF('TT '!$D$502:$D$519,TALLY!A66)</f>
        <v>0</v>
      </c>
      <c r="AB66" s="10">
        <f>COUNTIF('TT '!$D$526:$D$540,TALLY!A66)</f>
        <v>1</v>
      </c>
      <c r="AC66" s="8" t="e">
        <f>COUNTIF([8]TT!$D$36:$D$41,$A66)</f>
        <v>#VALUE!</v>
      </c>
      <c r="AD66" s="9">
        <f>COUNTIF('TT '!$D$547:$D$556,TALLY!A66)</f>
        <v>0</v>
      </c>
      <c r="AE66" s="9">
        <f>COUNTIF('TT '!$D$563:$D$577,TALLY!A66)</f>
        <v>0</v>
      </c>
      <c r="AF66" s="9">
        <f>COUNTIF('TT '!$D$584:$D$598,TALLY!A66)</f>
        <v>0</v>
      </c>
      <c r="AG66" s="9">
        <f>COUNTIF('TT '!$D$605:$D$617,TALLY!A66)</f>
        <v>0</v>
      </c>
      <c r="AH66" s="9">
        <f>COUNTIF('TT '!$D$624:$D$636,TALLY!A66)</f>
        <v>0</v>
      </c>
      <c r="AI66" s="9">
        <f>COUNTIF('TT '!$D$643:$D$654,TALLY!A66)</f>
        <v>1</v>
      </c>
      <c r="AJ66" s="8" t="e">
        <f>COUNTIF([8]TT!$D$36:$D$41,$A66)</f>
        <v>#VALUE!</v>
      </c>
      <c r="AK66" s="265" t="str">
        <f t="shared" si="6"/>
        <v>001000000010000010000001000001</v>
      </c>
      <c r="AL66" s="1">
        <f t="shared" si="0"/>
        <v>1</v>
      </c>
      <c r="AM66" s="1">
        <f t="shared" si="1"/>
        <v>1</v>
      </c>
      <c r="AN66" s="1">
        <f t="shared" si="2"/>
        <v>1</v>
      </c>
      <c r="AO66" s="1">
        <f t="shared" si="3"/>
        <v>1</v>
      </c>
      <c r="AP66" s="1">
        <f t="shared" si="4"/>
        <v>1</v>
      </c>
    </row>
    <row r="67" spans="1:42" x14ac:dyDescent="0.35">
      <c r="A67" s="13" t="s">
        <v>80</v>
      </c>
      <c r="B67" s="9">
        <f>COUNTIF('TT '!$D$4:$D$31,TALLY!A67)</f>
        <v>0</v>
      </c>
      <c r="C67" s="9">
        <f>COUNTIF('TT '!$D$38:$D$49,TALLY!A67)</f>
        <v>0</v>
      </c>
      <c r="D67" s="9">
        <f>COUNTIF('TT '!$D$56:$D$78,TALLY!A67)</f>
        <v>1</v>
      </c>
      <c r="E67" s="9">
        <f>COUNTIF('TT '!$D$85:$D$105,TALLY!A67)</f>
        <v>0</v>
      </c>
      <c r="F67" s="9">
        <f>COUNTIF('TT '!$D$112:$D$126,TALLY!A67)</f>
        <v>0</v>
      </c>
      <c r="G67" s="9">
        <f>COUNTIF('TT '!$D$133:$D$147,TALLY!A67)</f>
        <v>1</v>
      </c>
      <c r="H67" s="9">
        <f>COUNTIF('TT '!$D$4:$D$31,TALLY!G67)</f>
        <v>0</v>
      </c>
      <c r="I67" s="11">
        <f>COUNTIF('TT '!$D$154:$D$173,TALLY!A67)</f>
        <v>0</v>
      </c>
      <c r="J67" s="11">
        <f>COUNTIF('TT '!$D$180:$D$197,TALLY!A67)</f>
        <v>0</v>
      </c>
      <c r="K67" s="11">
        <f>COUNTIF('TT '!$D$204:$D$216,TALLY!A67)</f>
        <v>1</v>
      </c>
      <c r="L67" s="11">
        <f>COUNTIF('TT '!$D$223:$D$235,TALLY!A67)</f>
        <v>0</v>
      </c>
      <c r="M67" s="11">
        <f>COUNTIF('TT '!$D$242:$D$257,TALLY!A67)</f>
        <v>0</v>
      </c>
      <c r="N67" s="11">
        <f>COUNTIF('TT '!$D$264:$D$276,TALLY!A67)</f>
        <v>0</v>
      </c>
      <c r="O67" s="8" t="e">
        <f>COUNTIF([8]TT!$D$36:$D$41,$A67)</f>
        <v>#VALUE!</v>
      </c>
      <c r="P67" s="12">
        <f>COUNTIF('TT '!$D$283:$D$294,TALLY!A67)</f>
        <v>0</v>
      </c>
      <c r="Q67" s="12">
        <f>COUNTIF('TT '!$D$301:$D$317,TALLY!A67)</f>
        <v>0</v>
      </c>
      <c r="R67" s="302">
        <f>COUNTIF('TT '!$D$324:$D$339,TALLY!A67)</f>
        <v>1</v>
      </c>
      <c r="S67" s="12">
        <f>COUNTIF('TT '!$D$346:$D$362,TALLY!A67)</f>
        <v>0</v>
      </c>
      <c r="T67" s="12">
        <f>COUNTIF('TT '!$D$369:$D$383,TALLY!A67)</f>
        <v>0</v>
      </c>
      <c r="U67" s="12">
        <f>COUNTIF('TT '!$D$390:$D$409,TALLY!A67)</f>
        <v>0</v>
      </c>
      <c r="V67" s="8" t="e">
        <f>COUNTIF([8]TT!$D$36:$D$41,$A67)</f>
        <v>#VALUE!</v>
      </c>
      <c r="W67" s="11">
        <f>COUNTIF('TT '!$D$416:$D$429,TALLY!A67)</f>
        <v>0</v>
      </c>
      <c r="X67" s="11">
        <f>COUNTIF('TT '!$D$436:$D$449,TALLY!A67)</f>
        <v>0</v>
      </c>
      <c r="Y67" s="11">
        <f>COUNTIF('TT '!$D$456:$D$474,TALLY!A67)</f>
        <v>1</v>
      </c>
      <c r="Z67" s="11">
        <f>COUNTIF('TT '!$D$481:$D$495,TALLY!A67)</f>
        <v>0</v>
      </c>
      <c r="AA67" s="11">
        <f>COUNTIF('TT '!$D$502:$D$519,TALLY!A67)</f>
        <v>0</v>
      </c>
      <c r="AB67" s="10">
        <f>COUNTIF('TT '!$D$526:$D$540,TALLY!A67)</f>
        <v>0</v>
      </c>
      <c r="AC67" s="8" t="e">
        <f>COUNTIF([8]TT!$D$36:$D$41,$A67)</f>
        <v>#VALUE!</v>
      </c>
      <c r="AD67" s="9">
        <f>COUNTIF('TT '!$D$547:$D$556,TALLY!A67)</f>
        <v>0</v>
      </c>
      <c r="AE67" s="9">
        <f>COUNTIF('TT '!$D$563:$D$577,TALLY!A67)</f>
        <v>0</v>
      </c>
      <c r="AF67" s="9">
        <f>COUNTIF('TT '!$D$584:$D$598,TALLY!A67)</f>
        <v>1</v>
      </c>
      <c r="AG67" s="9">
        <f>COUNTIF('TT '!$D$605:$D$617,TALLY!A67)</f>
        <v>0</v>
      </c>
      <c r="AH67" s="9">
        <f>COUNTIF('TT '!$D$624:$D$636,TALLY!A67)</f>
        <v>0</v>
      </c>
      <c r="AI67" s="9">
        <f>COUNTIF('TT '!$D$643:$D$654,TALLY!A67)</f>
        <v>0</v>
      </c>
      <c r="AJ67" s="8" t="e">
        <f>COUNTIF([8]TT!$D$36:$D$41,$A67)</f>
        <v>#VALUE!</v>
      </c>
      <c r="AK67" s="265" t="str">
        <f t="shared" ref="AK67:AK74" si="7">CONCATENATE(B67,C67,D67,E67,F67,G67,I67,J67,K67,L67,M67,N67,P67,Q67,R67,S67,T67,U67,W67,X67,Y67,Z67,AA67,AB67,AD67,AE67,AF67,AG67,AH67,AI67)</f>
        <v>001001001000001000001000001000</v>
      </c>
      <c r="AL67" s="1">
        <f t="shared" ref="AL67:AL74" si="8">SUM(B67:G67)</f>
        <v>2</v>
      </c>
      <c r="AM67" s="1">
        <f t="shared" ref="AM67:AM74" si="9">SUM(I67:N67)</f>
        <v>1</v>
      </c>
      <c r="AN67" s="1">
        <f t="shared" ref="AN67:AN74" si="10">SUM(P67:U67)</f>
        <v>1</v>
      </c>
      <c r="AO67" s="1">
        <f t="shared" ref="AO67:AO74" si="11">SUM(W67:AB67)</f>
        <v>1</v>
      </c>
      <c r="AP67" s="1">
        <f t="shared" ref="AP67:AP74" si="12">SUM(AD67:AI67)</f>
        <v>1</v>
      </c>
    </row>
    <row r="68" spans="1:42" x14ac:dyDescent="0.35">
      <c r="A68" s="13" t="s">
        <v>113</v>
      </c>
      <c r="B68" s="9">
        <f>COUNTIF('TT '!$D$4:$D$31,TALLY!A68)</f>
        <v>0</v>
      </c>
      <c r="C68" s="9">
        <f>COUNTIF('TT '!$D$38:$D$49,TALLY!A68)</f>
        <v>0</v>
      </c>
      <c r="D68" s="9">
        <f>COUNTIF('TT '!$D$56:$D$78,TALLY!A68)</f>
        <v>0</v>
      </c>
      <c r="E68" s="9">
        <f>COUNTIF('TT '!$D$85:$D$105,TALLY!A68)</f>
        <v>0</v>
      </c>
      <c r="F68" s="9">
        <f>COUNTIF('TT '!$D$112:$D$126,TALLY!A68)</f>
        <v>1</v>
      </c>
      <c r="G68" s="9">
        <f>COUNTIF('TT '!$D$133:$D$147,TALLY!A68)</f>
        <v>0</v>
      </c>
      <c r="H68" s="9">
        <f>COUNTIF('TT '!$D$4:$D$31,TALLY!G68)</f>
        <v>0</v>
      </c>
      <c r="I68" s="11">
        <f>COUNTIF('TT '!$D$154:$D$173,TALLY!A68)</f>
        <v>0</v>
      </c>
      <c r="J68" s="11">
        <f>COUNTIF('TT '!$D$180:$D$197,TALLY!A68)</f>
        <v>0</v>
      </c>
      <c r="K68" s="11">
        <f>COUNTIF('TT '!$D$204:$D$216,TALLY!A68)</f>
        <v>1</v>
      </c>
      <c r="L68" s="11">
        <f>COUNTIF('TT '!$D$223:$D$235,TALLY!A68)</f>
        <v>0</v>
      </c>
      <c r="M68" s="11">
        <f>COUNTIF('TT '!$D$242:$D$257,TALLY!A68)</f>
        <v>0</v>
      </c>
      <c r="N68" s="11">
        <f>COUNTIF('TT '!$D$264:$D$276,TALLY!A68)</f>
        <v>0</v>
      </c>
      <c r="O68" s="8" t="e">
        <f>COUNTIF([8]TT!$D$36:$D$41,$A68)</f>
        <v>#VALUE!</v>
      </c>
      <c r="P68" s="12">
        <f>COUNTIF('TT '!$D$283:$D$294,TALLY!A68)</f>
        <v>1</v>
      </c>
      <c r="Q68" s="12">
        <f>COUNTIF('TT '!$D$301:$D$317,TALLY!A68)</f>
        <v>0</v>
      </c>
      <c r="R68" s="302">
        <f>COUNTIF('TT '!$D$324:$D$339,TALLY!A68)</f>
        <v>0</v>
      </c>
      <c r="S68" s="12">
        <f>COUNTIF('TT '!$D$346:$D$362,TALLY!A68)</f>
        <v>0</v>
      </c>
      <c r="T68" s="12">
        <f>COUNTIF('TT '!$D$369:$D$383,TALLY!A68)</f>
        <v>0</v>
      </c>
      <c r="U68" s="12">
        <f>COUNTIF('TT '!$D$390:$D$409,TALLY!A68)</f>
        <v>0</v>
      </c>
      <c r="V68" s="8" t="e">
        <f>COUNTIF([8]TT!$D$36:$D$41,$A68)</f>
        <v>#VALUE!</v>
      </c>
      <c r="W68" s="11">
        <f>COUNTIF('TT '!$D$416:$D$429,TALLY!A68)</f>
        <v>0</v>
      </c>
      <c r="X68" s="11">
        <f>COUNTIF('TT '!$D$436:$D$449,TALLY!A68)</f>
        <v>0</v>
      </c>
      <c r="Y68" s="11">
        <f>COUNTIF('TT '!$D$456:$D$474,TALLY!A68)</f>
        <v>1</v>
      </c>
      <c r="Z68" s="11">
        <f>COUNTIF('TT '!$D$481:$D$495,TALLY!A68)</f>
        <v>0</v>
      </c>
      <c r="AA68" s="11">
        <f>COUNTIF('TT '!$D$502:$D$519,TALLY!A68)</f>
        <v>0</v>
      </c>
      <c r="AB68" s="10">
        <f>COUNTIF('TT '!$D$526:$D$540,TALLY!A68)</f>
        <v>0</v>
      </c>
      <c r="AC68" s="8" t="e">
        <f>COUNTIF([8]TT!$D$36:$D$41,$A68)</f>
        <v>#VALUE!</v>
      </c>
      <c r="AD68" s="9">
        <f>COUNTIF('TT '!$D$547:$D$556,TALLY!A68)</f>
        <v>0</v>
      </c>
      <c r="AE68" s="9">
        <f>COUNTIF('TT '!$D$563:$D$577,TALLY!A68)</f>
        <v>0</v>
      </c>
      <c r="AF68" s="9">
        <f>COUNTIF('TT '!$D$584:$D$598,TALLY!A68)</f>
        <v>1</v>
      </c>
      <c r="AG68" s="9">
        <f>COUNTIF('TT '!$D$605:$D$617,TALLY!A68)</f>
        <v>0</v>
      </c>
      <c r="AH68" s="9">
        <f>COUNTIF('TT '!$D$624:$D$636,TALLY!A68)</f>
        <v>0</v>
      </c>
      <c r="AI68" s="9">
        <f>COUNTIF('TT '!$D$643:$D$654,TALLY!A68)</f>
        <v>0</v>
      </c>
      <c r="AJ68" s="8" t="e">
        <f>COUNTIF([8]TT!$D$36:$D$41,$A68)</f>
        <v>#VALUE!</v>
      </c>
      <c r="AK68" s="265" t="str">
        <f t="shared" si="7"/>
        <v>000010001000100000001000001000</v>
      </c>
      <c r="AL68" s="1">
        <f t="shared" si="8"/>
        <v>1</v>
      </c>
      <c r="AM68" s="1">
        <f t="shared" si="9"/>
        <v>1</v>
      </c>
      <c r="AN68" s="1">
        <f t="shared" si="10"/>
        <v>1</v>
      </c>
      <c r="AO68" s="1">
        <f t="shared" si="11"/>
        <v>1</v>
      </c>
      <c r="AP68" s="1">
        <f t="shared" si="12"/>
        <v>1</v>
      </c>
    </row>
    <row r="69" spans="1:42" s="3" customFormat="1" x14ac:dyDescent="0.35">
      <c r="A69" s="23" t="s">
        <v>48</v>
      </c>
      <c r="B69" s="9">
        <f>COUNTIF('TT '!$D$4:$D$31,TALLY!A69)</f>
        <v>0</v>
      </c>
      <c r="C69" s="9">
        <f>COUNTIF('TT '!$D$38:$D$49,TALLY!A69)</f>
        <v>0</v>
      </c>
      <c r="D69" s="9">
        <f>COUNTIF('TT '!$D$56:$D$78,TALLY!A69)</f>
        <v>1</v>
      </c>
      <c r="E69" s="9">
        <f>COUNTIF('TT '!$D$85:$D$105,TALLY!A69)</f>
        <v>0</v>
      </c>
      <c r="F69" s="9">
        <f>COUNTIF('TT '!$D$112:$D$126,TALLY!A69)</f>
        <v>0</v>
      </c>
      <c r="G69" s="9">
        <f>COUNTIF('TT '!$D$133:$D$147,TALLY!A69)</f>
        <v>1</v>
      </c>
      <c r="H69" s="9">
        <f>COUNTIF('TT '!$D$4:$D$31,TALLY!G69)</f>
        <v>0</v>
      </c>
      <c r="I69" s="11">
        <f>COUNTIF('TT '!$D$154:$D$173,TALLY!A69)</f>
        <v>1</v>
      </c>
      <c r="J69" s="11">
        <f>COUNTIF('TT '!$D$180:$D$197,TALLY!A69)</f>
        <v>0</v>
      </c>
      <c r="K69" s="11">
        <f>COUNTIF('TT '!$D$204:$D$216,TALLY!A69)</f>
        <v>1</v>
      </c>
      <c r="L69" s="11">
        <f>COUNTIF('TT '!$D$223:$D$235,TALLY!A69)</f>
        <v>0</v>
      </c>
      <c r="M69" s="11">
        <f>COUNTIF('TT '!$D$242:$D$257,TALLY!A69)</f>
        <v>0</v>
      </c>
      <c r="N69" s="11">
        <f>COUNTIF('TT '!$D$264:$D$276,TALLY!A69)</f>
        <v>0</v>
      </c>
      <c r="O69" s="24" t="e">
        <f>COUNTIF([8]TT!$D$36:$D$41,$A69)</f>
        <v>#VALUE!</v>
      </c>
      <c r="P69" s="12">
        <f>COUNTIF('TT '!$D$283:$D$294,TALLY!A69)</f>
        <v>1</v>
      </c>
      <c r="Q69" s="12">
        <f>COUNTIF('TT '!$D$301:$D$317,TALLY!A69)</f>
        <v>0</v>
      </c>
      <c r="R69" s="302">
        <f>COUNTIF('TT '!$D$324:$D$339,TALLY!A69)</f>
        <v>0</v>
      </c>
      <c r="S69" s="12">
        <f>COUNTIF('TT '!$D$346:$D$362,TALLY!A69)</f>
        <v>0</v>
      </c>
      <c r="T69" s="12">
        <f>COUNTIF('TT '!$D$369:$D$383,TALLY!A69)</f>
        <v>0</v>
      </c>
      <c r="U69" s="12">
        <f>COUNTIF('TT '!$D$390:$D$409,TALLY!A69)</f>
        <v>0</v>
      </c>
      <c r="V69" s="24" t="e">
        <f>COUNTIF([8]TT!$D$36:$D$41,$A69)</f>
        <v>#VALUE!</v>
      </c>
      <c r="W69" s="11">
        <f>COUNTIF('TT '!$D$416:$D$429,TALLY!A69)</f>
        <v>0</v>
      </c>
      <c r="X69" s="11">
        <f>COUNTIF('TT '!$D$436:$D$449,TALLY!A69)</f>
        <v>0</v>
      </c>
      <c r="Y69" s="11">
        <f>COUNTIF('TT '!$D$456:$D$474,TALLY!A69)</f>
        <v>1</v>
      </c>
      <c r="Z69" s="11">
        <f>COUNTIF('TT '!$D$481:$D$495,TALLY!A69)</f>
        <v>0</v>
      </c>
      <c r="AA69" s="11">
        <f>COUNTIF('TT '!$D$502:$D$519,TALLY!A69)</f>
        <v>0</v>
      </c>
      <c r="AB69" s="10">
        <f>COUNTIF('TT '!$D$526:$D$540,TALLY!A69)</f>
        <v>0</v>
      </c>
      <c r="AC69" s="24" t="e">
        <f>COUNTIF([8]TT!$D$36:$D$41,$A69)</f>
        <v>#VALUE!</v>
      </c>
      <c r="AD69" s="9">
        <f>COUNTIF('TT '!$D$547:$D$556,TALLY!A69)</f>
        <v>0</v>
      </c>
      <c r="AE69" s="9">
        <f>COUNTIF('TT '!$D$563:$D$577,TALLY!A69)</f>
        <v>0</v>
      </c>
      <c r="AF69" s="9">
        <f>COUNTIF('TT '!$D$584:$D$598,TALLY!A69)</f>
        <v>0</v>
      </c>
      <c r="AG69" s="9">
        <f>COUNTIF('TT '!$D$605:$D$617,TALLY!A69)</f>
        <v>1</v>
      </c>
      <c r="AH69" s="9">
        <f>COUNTIF('TT '!$D$624:$D$636,TALLY!A69)</f>
        <v>0</v>
      </c>
      <c r="AI69" s="9">
        <f>COUNTIF('TT '!$D$643:$D$654,TALLY!A69)</f>
        <v>1</v>
      </c>
      <c r="AJ69" s="24" t="e">
        <f>COUNTIF([8]TT!$D$36:$D$41,$A69)</f>
        <v>#VALUE!</v>
      </c>
      <c r="AK69" s="265" t="str">
        <f t="shared" si="7"/>
        <v>001001101000100000001000000101</v>
      </c>
      <c r="AL69" s="1">
        <f t="shared" si="8"/>
        <v>2</v>
      </c>
      <c r="AM69" s="1">
        <f t="shared" si="9"/>
        <v>2</v>
      </c>
      <c r="AN69" s="1">
        <f t="shared" si="10"/>
        <v>1</v>
      </c>
      <c r="AO69" s="1">
        <f t="shared" si="11"/>
        <v>1</v>
      </c>
      <c r="AP69" s="1">
        <f t="shared" si="12"/>
        <v>2</v>
      </c>
    </row>
    <row r="70" spans="1:42" x14ac:dyDescent="0.35">
      <c r="A70" s="13" t="s">
        <v>95</v>
      </c>
      <c r="B70" s="9">
        <f>COUNTIF('TT '!$D$4:$D$31,TALLY!A70)</f>
        <v>0</v>
      </c>
      <c r="C70" s="9">
        <f>COUNTIF('TT '!$D$38:$D$49,TALLY!A70)</f>
        <v>0</v>
      </c>
      <c r="D70" s="9">
        <f>COUNTIF('TT '!$D$56:$D$78,TALLY!A70)</f>
        <v>1</v>
      </c>
      <c r="E70" s="9">
        <f>COUNTIF('TT '!$D$85:$D$105,TALLY!A70)</f>
        <v>0</v>
      </c>
      <c r="F70" s="9">
        <f>COUNTIF('TT '!$D$112:$D$126,TALLY!A70)</f>
        <v>0</v>
      </c>
      <c r="G70" s="9">
        <f>COUNTIF('TT '!$D$133:$D$147,TALLY!A70)</f>
        <v>0</v>
      </c>
      <c r="H70" s="9">
        <f>COUNTIF('TT '!$D$4:$D$31,TALLY!G70)</f>
        <v>0</v>
      </c>
      <c r="I70" s="11">
        <f>COUNTIF('TT '!$D$154:$D$173,TALLY!A70)</f>
        <v>0</v>
      </c>
      <c r="J70" s="11">
        <f>COUNTIF('TT '!$D$180:$D$197,TALLY!A70)</f>
        <v>0</v>
      </c>
      <c r="K70" s="11">
        <f>COUNTIF('TT '!$D$204:$D$216,TALLY!A70)</f>
        <v>0</v>
      </c>
      <c r="L70" s="11">
        <f>COUNTIF('TT '!$D$223:$D$235,TALLY!A70)</f>
        <v>0</v>
      </c>
      <c r="M70" s="11">
        <f>COUNTIF('TT '!$D$242:$D$257,TALLY!A70)</f>
        <v>1</v>
      </c>
      <c r="N70" s="11">
        <f>COUNTIF('TT '!$D$264:$D$276,TALLY!A70)</f>
        <v>0</v>
      </c>
      <c r="O70" s="8" t="e">
        <f>COUNTIF([8]TT!$D$36:$D$41,$A70)</f>
        <v>#VALUE!</v>
      </c>
      <c r="P70" s="12">
        <f>COUNTIF('TT '!$D$283:$D$294,TALLY!A70)</f>
        <v>0</v>
      </c>
      <c r="Q70" s="12">
        <f>COUNTIF('TT '!$D$301:$D$317,TALLY!A70)</f>
        <v>0</v>
      </c>
      <c r="R70" s="302">
        <f>COUNTIF('TT '!$D$324:$D$339,TALLY!A70)</f>
        <v>1</v>
      </c>
      <c r="S70" s="12">
        <f>COUNTIF('TT '!$D$346:$D$362,TALLY!A70)</f>
        <v>0</v>
      </c>
      <c r="T70" s="12">
        <f>COUNTIF('TT '!$D$369:$D$383,TALLY!A70)</f>
        <v>0</v>
      </c>
      <c r="U70" s="12">
        <f>COUNTIF('TT '!$D$390:$D$409,TALLY!A70)</f>
        <v>0</v>
      </c>
      <c r="V70" s="8" t="e">
        <f>COUNTIF([8]TT!$D$36:$D$41,$A70)</f>
        <v>#VALUE!</v>
      </c>
      <c r="W70" s="11">
        <f>COUNTIF('TT '!$D$416:$D$429,TALLY!A70)</f>
        <v>0</v>
      </c>
      <c r="X70" s="11">
        <f>COUNTIF('TT '!$D$436:$D$449,TALLY!A70)</f>
        <v>0</v>
      </c>
      <c r="Y70" s="11">
        <f>COUNTIF('TT '!$D$456:$D$474,TALLY!A70)</f>
        <v>1</v>
      </c>
      <c r="Z70" s="11">
        <f>COUNTIF('TT '!$D$481:$D$495,TALLY!A70)</f>
        <v>0</v>
      </c>
      <c r="AA70" s="11">
        <f>COUNTIF('TT '!$D$502:$D$519,TALLY!A70)</f>
        <v>0</v>
      </c>
      <c r="AB70" s="10">
        <f>COUNTIF('TT '!$D$526:$D$540,TALLY!A70)</f>
        <v>0</v>
      </c>
      <c r="AC70" s="8" t="e">
        <f>COUNTIF([8]TT!$D$36:$D$41,$A70)</f>
        <v>#VALUE!</v>
      </c>
      <c r="AD70" s="9">
        <f>COUNTIF('TT '!$D$547:$D$556,TALLY!A70)</f>
        <v>0</v>
      </c>
      <c r="AE70" s="9">
        <f>COUNTIF('TT '!$D$563:$D$577,TALLY!A70)</f>
        <v>0</v>
      </c>
      <c r="AF70" s="9">
        <f>COUNTIF('TT '!$D$584:$D$598,TALLY!A70)</f>
        <v>1</v>
      </c>
      <c r="AG70" s="9">
        <f>COUNTIF('TT '!$D$605:$D$617,TALLY!A70)</f>
        <v>0</v>
      </c>
      <c r="AH70" s="9">
        <f>COUNTIF('TT '!$D$624:$D$636,TALLY!A70)</f>
        <v>0</v>
      </c>
      <c r="AI70" s="9">
        <f>COUNTIF('TT '!$D$643:$D$654,TALLY!A70)</f>
        <v>0</v>
      </c>
      <c r="AJ70" s="8" t="e">
        <f>COUNTIF([8]TT!$D$36:$D$41,$A70)</f>
        <v>#VALUE!</v>
      </c>
      <c r="AK70" s="265" t="str">
        <f t="shared" si="7"/>
        <v>001000000010001000001000001000</v>
      </c>
      <c r="AL70" s="1">
        <f t="shared" si="8"/>
        <v>1</v>
      </c>
      <c r="AM70" s="1">
        <f t="shared" si="9"/>
        <v>1</v>
      </c>
      <c r="AN70" s="1">
        <f t="shared" si="10"/>
        <v>1</v>
      </c>
      <c r="AO70" s="1">
        <f t="shared" si="11"/>
        <v>1</v>
      </c>
      <c r="AP70" s="1">
        <f t="shared" si="12"/>
        <v>1</v>
      </c>
    </row>
    <row r="71" spans="1:42" x14ac:dyDescent="0.35">
      <c r="A71" s="13" t="s">
        <v>97</v>
      </c>
      <c r="B71" s="9">
        <f>COUNTIF('TT '!$D$4:$D$31,TALLY!A71)</f>
        <v>0</v>
      </c>
      <c r="C71" s="9">
        <f>COUNTIF('TT '!$D$38:$D$49,TALLY!A71)</f>
        <v>0</v>
      </c>
      <c r="D71" s="9">
        <f>COUNTIF('TT '!$D$56:$D$78,TALLY!A71)</f>
        <v>1</v>
      </c>
      <c r="E71" s="9">
        <f>COUNTIF('TT '!$D$85:$D$105,TALLY!A71)</f>
        <v>0</v>
      </c>
      <c r="F71" s="9">
        <f>COUNTIF('TT '!$D$112:$D$126,TALLY!A71)</f>
        <v>0</v>
      </c>
      <c r="G71" s="9">
        <f>COUNTIF('TT '!$D$133:$D$147,TALLY!A71)</f>
        <v>0</v>
      </c>
      <c r="H71" s="9">
        <f>COUNTIF('TT '!$D$4:$D$31,TALLY!G71)</f>
        <v>0</v>
      </c>
      <c r="I71" s="11">
        <f>COUNTIF('TT '!$D$154:$D$173,TALLY!A71)</f>
        <v>0</v>
      </c>
      <c r="J71" s="11">
        <f>COUNTIF('TT '!$D$180:$D$197,TALLY!A71)</f>
        <v>0</v>
      </c>
      <c r="K71" s="11">
        <f>COUNTIF('TT '!$D$204:$D$216,TALLY!A71)</f>
        <v>0</v>
      </c>
      <c r="L71" s="11">
        <f>COUNTIF('TT '!$D$223:$D$235,TALLY!A71)</f>
        <v>0</v>
      </c>
      <c r="M71" s="11">
        <f>COUNTIF('TT '!$D$242:$D$257,TALLY!A71)</f>
        <v>1</v>
      </c>
      <c r="N71" s="11">
        <f>COUNTIF('TT '!$D$264:$D$276,TALLY!A71)</f>
        <v>0</v>
      </c>
      <c r="O71" s="8" t="e">
        <f>COUNTIF([8]TT!$D$36:$D$41,$A71)</f>
        <v>#VALUE!</v>
      </c>
      <c r="P71" s="12">
        <f>COUNTIF('TT '!$D$283:$D$294,TALLY!A71)</f>
        <v>0</v>
      </c>
      <c r="Q71" s="12">
        <f>COUNTIF('TT '!$D$301:$D$317,TALLY!A71)</f>
        <v>0</v>
      </c>
      <c r="R71" s="302">
        <f>COUNTIF('TT '!$D$324:$D$339,TALLY!A71)</f>
        <v>0</v>
      </c>
      <c r="S71" s="12">
        <f>COUNTIF('TT '!$D$346:$D$362,TALLY!A71)</f>
        <v>1</v>
      </c>
      <c r="T71" s="12">
        <f>COUNTIF('TT '!$D$369:$D$383,TALLY!A71)</f>
        <v>0</v>
      </c>
      <c r="U71" s="12">
        <f>COUNTIF('TT '!$D$390:$D$409,TALLY!A71)</f>
        <v>0</v>
      </c>
      <c r="V71" s="8" t="e">
        <f>COUNTIF([8]TT!$D$36:$D$41,$A71)</f>
        <v>#VALUE!</v>
      </c>
      <c r="W71" s="11">
        <f>COUNTIF('TT '!$D$416:$D$429,TALLY!A71)</f>
        <v>0</v>
      </c>
      <c r="X71" s="11">
        <f>COUNTIF('TT '!$D$436:$D$449,TALLY!A71)</f>
        <v>0</v>
      </c>
      <c r="Y71" s="11">
        <f>COUNTIF('TT '!$D$456:$D$474,TALLY!A71)</f>
        <v>1</v>
      </c>
      <c r="Z71" s="11">
        <f>COUNTIF('TT '!$D$481:$D$495,TALLY!A71)</f>
        <v>0</v>
      </c>
      <c r="AA71" s="11">
        <f>COUNTIF('TT '!$D$502:$D$519,TALLY!A71)</f>
        <v>0</v>
      </c>
      <c r="AB71" s="10">
        <f>COUNTIF('TT '!$D$526:$D$540,TALLY!A71)</f>
        <v>0</v>
      </c>
      <c r="AC71" s="8" t="e">
        <f>COUNTIF([8]TT!$D$36:$D$41,$A71)</f>
        <v>#VALUE!</v>
      </c>
      <c r="AD71" s="9">
        <f>COUNTIF('TT '!$D$547:$D$556,TALLY!A71)</f>
        <v>0</v>
      </c>
      <c r="AE71" s="9">
        <f>COUNTIF('TT '!$D$563:$D$577,TALLY!A71)</f>
        <v>0</v>
      </c>
      <c r="AF71" s="9">
        <f>COUNTIF('TT '!$D$584:$D$598,TALLY!A71)</f>
        <v>1</v>
      </c>
      <c r="AG71" s="9">
        <f>COUNTIF('TT '!$D$605:$D$617,TALLY!A71)</f>
        <v>0</v>
      </c>
      <c r="AH71" s="9">
        <f>COUNTIF('TT '!$D$624:$D$636,TALLY!A71)</f>
        <v>0</v>
      </c>
      <c r="AI71" s="9">
        <f>COUNTIF('TT '!$D$643:$D$654,TALLY!A71)</f>
        <v>0</v>
      </c>
      <c r="AJ71" s="8" t="e">
        <f>COUNTIF([8]TT!$D$36:$D$41,$A71)</f>
        <v>#VALUE!</v>
      </c>
      <c r="AK71" s="265" t="str">
        <f t="shared" si="7"/>
        <v>001000000010000100001000001000</v>
      </c>
      <c r="AL71" s="1">
        <f t="shared" si="8"/>
        <v>1</v>
      </c>
      <c r="AM71" s="1">
        <f t="shared" si="9"/>
        <v>1</v>
      </c>
      <c r="AN71" s="1">
        <f t="shared" si="10"/>
        <v>1</v>
      </c>
      <c r="AO71" s="1">
        <f t="shared" si="11"/>
        <v>1</v>
      </c>
      <c r="AP71" s="1">
        <f t="shared" si="12"/>
        <v>1</v>
      </c>
    </row>
    <row r="72" spans="1:42" x14ac:dyDescent="0.35">
      <c r="A72" s="13" t="s">
        <v>87</v>
      </c>
      <c r="B72" s="9">
        <f>COUNTIF('TT '!$D$4:$D$31,TALLY!A72)</f>
        <v>0</v>
      </c>
      <c r="C72" s="9">
        <f>COUNTIF('TT '!$D$38:$D$49,TALLY!A72)</f>
        <v>0</v>
      </c>
      <c r="D72" s="9">
        <f>COUNTIF('TT '!$D$56:$D$78,TALLY!A72)</f>
        <v>1</v>
      </c>
      <c r="E72" s="9">
        <f>COUNTIF('TT '!$D$85:$D$105,TALLY!A72)</f>
        <v>0</v>
      </c>
      <c r="F72" s="9">
        <f>COUNTIF('TT '!$D$112:$D$126,TALLY!A72)</f>
        <v>0</v>
      </c>
      <c r="G72" s="9">
        <f>COUNTIF('TT '!$D$133:$D$147,TALLY!A72)</f>
        <v>1</v>
      </c>
      <c r="H72" s="9">
        <f>COUNTIF('TT '!$D$4:$D$31,TALLY!G72)</f>
        <v>0</v>
      </c>
      <c r="I72" s="11">
        <f>COUNTIF('TT '!$D$154:$D$173,TALLY!A72)</f>
        <v>0</v>
      </c>
      <c r="J72" s="11">
        <f>COUNTIF('TT '!$D$180:$D$197,TALLY!A72)</f>
        <v>0</v>
      </c>
      <c r="K72" s="11">
        <f>COUNTIF('TT '!$D$204:$D$216,TALLY!A72)</f>
        <v>1</v>
      </c>
      <c r="L72" s="11">
        <f>COUNTIF('TT '!$D$223:$D$235,TALLY!A72)</f>
        <v>0</v>
      </c>
      <c r="M72" s="11">
        <f>COUNTIF('TT '!$D$242:$D$257,TALLY!A72)</f>
        <v>0</v>
      </c>
      <c r="N72" s="11">
        <f>COUNTIF('TT '!$D$264:$D$276,TALLY!A72)</f>
        <v>1</v>
      </c>
      <c r="O72" s="8" t="e">
        <f>COUNTIF([8]TT!$D$36:$D$41,$A72)</f>
        <v>#VALUE!</v>
      </c>
      <c r="P72" s="12">
        <f>COUNTIF('TT '!$D$283:$D$294,TALLY!A72)</f>
        <v>0</v>
      </c>
      <c r="Q72" s="12">
        <f>COUNTIF('TT '!$D$301:$D$317,TALLY!A72)</f>
        <v>0</v>
      </c>
      <c r="R72" s="302">
        <f>COUNTIF('TT '!$D$324:$D$339,TALLY!A72)</f>
        <v>1</v>
      </c>
      <c r="S72" s="12">
        <f>COUNTIF('TT '!$D$346:$D$362,TALLY!A72)</f>
        <v>0</v>
      </c>
      <c r="T72" s="12">
        <f>COUNTIF('TT '!$D$369:$D$383,TALLY!A72)</f>
        <v>0</v>
      </c>
      <c r="U72" s="12">
        <f>COUNTIF('TT '!$D$390:$D$409,TALLY!A72)</f>
        <v>0</v>
      </c>
      <c r="V72" s="8" t="e">
        <f>COUNTIF([8]TT!$D$36:$D$41,$A72)</f>
        <v>#VALUE!</v>
      </c>
      <c r="W72" s="11">
        <f>COUNTIF('TT '!$D$416:$D$429,TALLY!A72)</f>
        <v>0</v>
      </c>
      <c r="X72" s="11">
        <f>COUNTIF('TT '!$D$436:$D$449,TALLY!A72)</f>
        <v>1</v>
      </c>
      <c r="Y72" s="11">
        <f>COUNTIF('TT '!$D$456:$D$474,TALLY!A72)</f>
        <v>0</v>
      </c>
      <c r="Z72" s="11">
        <f>COUNTIF('TT '!$D$481:$D$495,TALLY!A72)</f>
        <v>0</v>
      </c>
      <c r="AA72" s="11">
        <f>COUNTIF('TT '!$D$502:$D$519,TALLY!A72)</f>
        <v>1</v>
      </c>
      <c r="AB72" s="10">
        <f>COUNTIF('TT '!$D$526:$D$540,TALLY!A72)</f>
        <v>0</v>
      </c>
      <c r="AC72" s="8" t="e">
        <f>COUNTIF([8]TT!$D$36:$D$41,$A72)</f>
        <v>#VALUE!</v>
      </c>
      <c r="AD72" s="9">
        <f>COUNTIF('TT '!$D$547:$D$556,TALLY!A72)</f>
        <v>0</v>
      </c>
      <c r="AE72" s="9">
        <f>COUNTIF('TT '!$D$563:$D$577,TALLY!A72)</f>
        <v>0</v>
      </c>
      <c r="AF72" s="9">
        <f>COUNTIF('TT '!$D$584:$D$598,TALLY!A72)</f>
        <v>1</v>
      </c>
      <c r="AG72" s="9">
        <f>COUNTIF('TT '!$D$605:$D$617,TALLY!A72)</f>
        <v>0</v>
      </c>
      <c r="AH72" s="9">
        <f>COUNTIF('TT '!$D$624:$D$636,TALLY!A72)</f>
        <v>0</v>
      </c>
      <c r="AI72" s="9">
        <f>COUNTIF('TT '!$D$643:$D$654,TALLY!A72)</f>
        <v>1</v>
      </c>
      <c r="AJ72" s="8" t="e">
        <f>COUNTIF([8]TT!$D$36:$D$41,$A72)</f>
        <v>#VALUE!</v>
      </c>
      <c r="AK72" s="265" t="str">
        <f t="shared" si="7"/>
        <v>001001001001001000010010001001</v>
      </c>
      <c r="AL72" s="1">
        <f t="shared" si="8"/>
        <v>2</v>
      </c>
      <c r="AM72" s="1">
        <f t="shared" si="9"/>
        <v>2</v>
      </c>
      <c r="AN72" s="1">
        <f t="shared" si="10"/>
        <v>1</v>
      </c>
      <c r="AO72" s="1">
        <f t="shared" si="11"/>
        <v>2</v>
      </c>
      <c r="AP72" s="1">
        <f t="shared" si="12"/>
        <v>2</v>
      </c>
    </row>
    <row r="73" spans="1:42" x14ac:dyDescent="0.35">
      <c r="A73" s="13" t="s">
        <v>1385</v>
      </c>
      <c r="B73" s="9">
        <f>COUNTIF('TT '!$D$4:$D$31,TALLY!A73)</f>
        <v>1</v>
      </c>
      <c r="C73" s="9">
        <f>COUNTIF('TT '!$D$38:$D$49,TALLY!A73)</f>
        <v>0</v>
      </c>
      <c r="D73" s="9">
        <f>COUNTIF('TT '!$D$56:$D$78,TALLY!A73)</f>
        <v>0</v>
      </c>
      <c r="E73" s="9">
        <f>COUNTIF('TT '!$D$85:$D$105,TALLY!A73)</f>
        <v>1</v>
      </c>
      <c r="F73" s="9">
        <f>COUNTIF('TT '!$D$112:$D$126,TALLY!A73)</f>
        <v>0</v>
      </c>
      <c r="G73" s="9">
        <f>COUNTIF('TT '!$D$133:$D$147,TALLY!A73)</f>
        <v>0</v>
      </c>
      <c r="H73" s="9">
        <f>COUNTIF('TT '!$D$4:$D$31,TALLY!G73)</f>
        <v>0</v>
      </c>
      <c r="I73" s="11">
        <f>COUNTIF('TT '!$D$154:$D$173,TALLY!A73)</f>
        <v>1</v>
      </c>
      <c r="J73" s="11">
        <f>COUNTIF('TT '!$D$180:$D$197,TALLY!A73)</f>
        <v>0</v>
      </c>
      <c r="K73" s="11">
        <f>COUNTIF('TT '!$D$204:$D$216,TALLY!A73)</f>
        <v>0</v>
      </c>
      <c r="L73" s="11">
        <f>COUNTIF('TT '!$D$223:$D$235,TALLY!A73)</f>
        <v>0</v>
      </c>
      <c r="M73" s="11">
        <f>COUNTIF('TT '!$D$242:$D$257,TALLY!A73)</f>
        <v>0</v>
      </c>
      <c r="N73" s="11">
        <f>COUNTIF('TT '!$D$264:$D$276,TALLY!A73)</f>
        <v>1</v>
      </c>
      <c r="O73" s="8" t="e">
        <f>COUNTIF([8]TT!$D$36:$D$41,$A73)</f>
        <v>#VALUE!</v>
      </c>
      <c r="P73" s="12">
        <f>COUNTIF('TT '!$D$283:$D$294,TALLY!A73)</f>
        <v>0</v>
      </c>
      <c r="Q73" s="12">
        <f>COUNTIF('TT '!$D$301:$D$317,TALLY!A73)</f>
        <v>0</v>
      </c>
      <c r="R73" s="302">
        <f>COUNTIF('TT '!$D$324:$D$339,TALLY!A73)</f>
        <v>1</v>
      </c>
      <c r="S73" s="12">
        <f>COUNTIF('TT '!$D$346:$D$362,TALLY!A73)</f>
        <v>0</v>
      </c>
      <c r="T73" s="12">
        <f>COUNTIF('TT '!$D$369:$D$383,TALLY!A73)</f>
        <v>0</v>
      </c>
      <c r="U73" s="12">
        <f>COUNTIF('TT '!$D$390:$D$409,TALLY!A73)</f>
        <v>0</v>
      </c>
      <c r="V73" s="8" t="e">
        <f>COUNTIF([8]TT!$D$36:$D$41,$A73)</f>
        <v>#VALUE!</v>
      </c>
      <c r="W73" s="11">
        <f>COUNTIF('TT '!$D$416:$D$429,TALLY!A73)</f>
        <v>0</v>
      </c>
      <c r="X73" s="11">
        <f>COUNTIF('TT '!$D$436:$D$449,TALLY!A73)</f>
        <v>0</v>
      </c>
      <c r="Y73" s="11">
        <f>COUNTIF('TT '!$D$456:$D$474,TALLY!A73)</f>
        <v>0</v>
      </c>
      <c r="Z73" s="11">
        <f>COUNTIF('TT '!$D$481:$D$495,TALLY!A73)</f>
        <v>0</v>
      </c>
      <c r="AA73" s="11">
        <f>COUNTIF('TT '!$D$502:$D$519,TALLY!A73)</f>
        <v>0</v>
      </c>
      <c r="AB73" s="10">
        <f>COUNTIF('TT '!$D$526:$D$540,TALLY!A73)</f>
        <v>1</v>
      </c>
      <c r="AC73" s="8" t="e">
        <f>COUNTIF([8]TT!$D$36:$D$41,$A73)</f>
        <v>#VALUE!</v>
      </c>
      <c r="AD73" s="9">
        <f>COUNTIF('TT '!$D$547:$D$556,TALLY!A73)</f>
        <v>0</v>
      </c>
      <c r="AE73" s="9">
        <f>COUNTIF('TT '!$D$563:$D$577,TALLY!A73)</f>
        <v>0</v>
      </c>
      <c r="AF73" s="9">
        <f>COUNTIF('TT '!$D$584:$D$598,TALLY!A73)</f>
        <v>0</v>
      </c>
      <c r="AG73" s="9">
        <f>COUNTIF('TT '!$D$605:$D$617,TALLY!A73)</f>
        <v>0</v>
      </c>
      <c r="AH73" s="9">
        <f>COUNTIF('TT '!$D$624:$D$636,TALLY!A73)</f>
        <v>0</v>
      </c>
      <c r="AI73" s="9">
        <f>COUNTIF('TT '!$D$643:$D$654,TALLY!A73)</f>
        <v>0</v>
      </c>
      <c r="AJ73" s="8" t="e">
        <f>COUNTIF([8]TT!$D$36:$D$41,$A73)</f>
        <v>#VALUE!</v>
      </c>
      <c r="AK73" s="265" t="str">
        <f t="shared" si="7"/>
        <v>100100100001001000000001000000</v>
      </c>
      <c r="AL73" s="1">
        <f t="shared" si="8"/>
        <v>2</v>
      </c>
      <c r="AM73" s="1">
        <f t="shared" si="9"/>
        <v>2</v>
      </c>
      <c r="AN73" s="1">
        <f t="shared" si="10"/>
        <v>1</v>
      </c>
      <c r="AO73" s="1">
        <f t="shared" si="11"/>
        <v>1</v>
      </c>
      <c r="AP73" s="1">
        <f t="shared" si="12"/>
        <v>0</v>
      </c>
    </row>
    <row r="74" spans="1:42" x14ac:dyDescent="0.35">
      <c r="A74" s="13" t="s">
        <v>52</v>
      </c>
      <c r="B74" s="9">
        <f>COUNTIF('TT '!$D$4:$D$31,TALLY!A74)</f>
        <v>0</v>
      </c>
      <c r="C74" s="9">
        <f>COUNTIF('TT '!$D$38:$D$49,TALLY!A74)</f>
        <v>1</v>
      </c>
      <c r="D74" s="9">
        <f>COUNTIF('TT '!$D$56:$D$78,TALLY!A74)</f>
        <v>0</v>
      </c>
      <c r="E74" s="9">
        <f>COUNTIF('TT '!$D$85:$D$105,TALLY!A74)</f>
        <v>0</v>
      </c>
      <c r="F74" s="9">
        <f>COUNTIF('TT '!$D$112:$D$126,TALLY!A74)</f>
        <v>0</v>
      </c>
      <c r="G74" s="9">
        <f>COUNTIF('TT '!$D$133:$D$147,TALLY!A74)</f>
        <v>0</v>
      </c>
      <c r="H74" s="9">
        <f>COUNTIF('TT '!$D$4:$D$31,TALLY!G74)</f>
        <v>0</v>
      </c>
      <c r="I74" s="11">
        <f>COUNTIF('TT '!$D$154:$D$173,TALLY!A74)</f>
        <v>1</v>
      </c>
      <c r="J74" s="11">
        <f>COUNTIF('TT '!$D$180:$D$197,TALLY!A74)</f>
        <v>0</v>
      </c>
      <c r="K74" s="11">
        <f>COUNTIF('TT '!$D$204:$D$216,TALLY!A74)</f>
        <v>0</v>
      </c>
      <c r="L74" s="11">
        <f>COUNTIF('TT '!$D$223:$D$235,TALLY!A74)</f>
        <v>0</v>
      </c>
      <c r="M74" s="11">
        <f>COUNTIF('TT '!$D$242:$D$257,TALLY!A74)</f>
        <v>0</v>
      </c>
      <c r="N74" s="11">
        <f>COUNTIF('TT '!$D$264:$D$276,TALLY!A74)</f>
        <v>1</v>
      </c>
      <c r="O74" s="8" t="e">
        <f>COUNTIF([8]TT!$D$36:$D$41,$A74)</f>
        <v>#VALUE!</v>
      </c>
      <c r="P74" s="12">
        <f>COUNTIF('TT '!$D$283:$D$294,TALLY!A74)</f>
        <v>0</v>
      </c>
      <c r="Q74" s="12">
        <f>COUNTIF('TT '!$D$301:$D$317,TALLY!A74)</f>
        <v>0</v>
      </c>
      <c r="R74" s="302">
        <f>COUNTIF('TT '!$D$324:$D$339,TALLY!A74)</f>
        <v>0</v>
      </c>
      <c r="S74" s="12">
        <f>COUNTIF('TT '!$D$346:$D$362,TALLY!A74)</f>
        <v>0</v>
      </c>
      <c r="T74" s="12">
        <f>COUNTIF('TT '!$D$369:$D$383,TALLY!A74)</f>
        <v>0</v>
      </c>
      <c r="U74" s="12">
        <f>COUNTIF('TT '!$D$390:$D$409,TALLY!A74)</f>
        <v>1</v>
      </c>
      <c r="V74" s="8" t="e">
        <f>COUNTIF([8]TT!$D$36:$D$41,$A74)</f>
        <v>#VALUE!</v>
      </c>
      <c r="W74" s="11">
        <f>COUNTIF('TT '!$D$416:$D$429,TALLY!A74)</f>
        <v>0</v>
      </c>
      <c r="X74" s="11">
        <f>COUNTIF('TT '!$D$436:$D$449,TALLY!A74)</f>
        <v>0</v>
      </c>
      <c r="Y74" s="11">
        <f>COUNTIF('TT '!$D$456:$D$474,TALLY!A74)</f>
        <v>0</v>
      </c>
      <c r="Z74" s="11">
        <f>COUNTIF('TT '!$D$481:$D$495,TALLY!A74)</f>
        <v>0</v>
      </c>
      <c r="AA74" s="11">
        <f>COUNTIF('TT '!$D$502:$D$519,TALLY!A74)</f>
        <v>1</v>
      </c>
      <c r="AB74" s="10">
        <f>COUNTIF('TT '!$D$526:$D$540,TALLY!A74)</f>
        <v>0</v>
      </c>
      <c r="AC74" s="8" t="e">
        <f>COUNTIF([8]TT!$D$36:$D$41,$A74)</f>
        <v>#VALUE!</v>
      </c>
      <c r="AD74" s="9">
        <f>COUNTIF('TT '!$D$547:$D$556,TALLY!A74)</f>
        <v>0</v>
      </c>
      <c r="AE74" s="9">
        <f>COUNTIF('TT '!$D$563:$D$577,TALLY!A74)</f>
        <v>0</v>
      </c>
      <c r="AF74" s="9">
        <f>COUNTIF('TT '!$D$584:$D$598,TALLY!A74)</f>
        <v>1</v>
      </c>
      <c r="AG74" s="9">
        <f>COUNTIF('TT '!$D$605:$D$617,TALLY!A74)</f>
        <v>0</v>
      </c>
      <c r="AH74" s="9">
        <f>COUNTIF('TT '!$D$624:$D$636,TALLY!A74)</f>
        <v>0</v>
      </c>
      <c r="AI74" s="9">
        <f>COUNTIF('TT '!$D$643:$D$654,TALLY!A74)</f>
        <v>0</v>
      </c>
      <c r="AJ74" s="8" t="e">
        <f>COUNTIF([8]TT!$D$36:$D$41,$A74)</f>
        <v>#VALUE!</v>
      </c>
      <c r="AK74" s="265" t="str">
        <f t="shared" si="7"/>
        <v>010000100001000001000010001000</v>
      </c>
      <c r="AL74" s="1">
        <f t="shared" si="8"/>
        <v>1</v>
      </c>
      <c r="AM74" s="1">
        <f t="shared" si="9"/>
        <v>2</v>
      </c>
      <c r="AN74" s="1">
        <f t="shared" si="10"/>
        <v>1</v>
      </c>
      <c r="AO74" s="1">
        <f t="shared" si="11"/>
        <v>1</v>
      </c>
      <c r="AP74" s="1">
        <f t="shared" si="12"/>
        <v>1</v>
      </c>
    </row>
  </sheetData>
  <mergeCells count="5">
    <mergeCell ref="B1:G1"/>
    <mergeCell ref="I1:N1"/>
    <mergeCell ref="P1:U1"/>
    <mergeCell ref="W1:AB1"/>
    <mergeCell ref="AD1:AI1"/>
  </mergeCells>
  <conditionalFormatting sqref="B3:AC74">
    <cfRule type="cellIs" dxfId="76" priority="2" operator="greaterThan">
      <formula>1</formula>
    </cfRule>
  </conditionalFormatting>
  <conditionalFormatting sqref="AJ3:AJ74">
    <cfRule type="cellIs" dxfId="75" priority="1" operator="greaterThan">
      <formula>1</formula>
    </cfRule>
  </conditionalFormatting>
  <conditionalFormatting sqref="AL3:AP74">
    <cfRule type="cellIs" dxfId="74" priority="3" operator="greaterThan">
      <formula>2</formula>
    </cfRule>
  </conditionalFormatting>
  <pageMargins left="0.7" right="0.7" top="0.75" bottom="0.75" header="0.3" footer="0.3"/>
  <pageSetup paperSize="9" scale="130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F880E4-1F3B-4E95-B43E-3B9DEA1010C9}">
  <dimension ref="A1:I599"/>
  <sheetViews>
    <sheetView topLeftCell="A448" workbookViewId="0">
      <selection activeCell="C462" sqref="C462"/>
    </sheetView>
  </sheetViews>
  <sheetFormatPr defaultRowHeight="14.5" x14ac:dyDescent="0.35"/>
  <cols>
    <col min="1" max="1" width="21.54296875" style="257" customWidth="1"/>
    <col min="2" max="2" width="44" style="308" customWidth="1"/>
    <col min="3" max="3" width="14.1796875" customWidth="1"/>
    <col min="4" max="4" width="16.26953125" customWidth="1"/>
    <col min="5" max="5" width="15.453125" customWidth="1"/>
    <col min="6" max="6" width="11.7265625" bestFit="1" customWidth="1"/>
    <col min="7" max="7" width="45.1796875" customWidth="1"/>
    <col min="8" max="8" width="7.453125" customWidth="1"/>
    <col min="9" max="9" width="6" customWidth="1"/>
  </cols>
  <sheetData>
    <row r="1" spans="1:7" x14ac:dyDescent="0.35">
      <c r="A1" s="21" t="s">
        <v>401</v>
      </c>
      <c r="B1" s="306" t="s">
        <v>402</v>
      </c>
      <c r="C1" s="256" t="s">
        <v>403</v>
      </c>
      <c r="D1" s="21"/>
      <c r="E1" s="21" t="s">
        <v>404</v>
      </c>
      <c r="F1" s="21" t="s">
        <v>405</v>
      </c>
      <c r="G1" s="21" t="s">
        <v>406</v>
      </c>
    </row>
    <row r="2" spans="1:7" s="255" customFormat="1" x14ac:dyDescent="0.35">
      <c r="A2" s="257" t="str">
        <f t="shared" ref="A2:A65" si="0">_xlfn.CONCAT(E2,",",D2)</f>
        <v>AERO 157,ED1-AERO</v>
      </c>
      <c r="B2" s="307" t="s">
        <v>407</v>
      </c>
      <c r="C2" s="203">
        <v>70</v>
      </c>
      <c r="D2" s="203" t="s">
        <v>40</v>
      </c>
      <c r="E2" s="203" t="s">
        <v>230</v>
      </c>
      <c r="F2" s="203"/>
      <c r="G2" s="203" t="s">
        <v>408</v>
      </c>
    </row>
    <row r="3" spans="1:7" s="255" customFormat="1" x14ac:dyDescent="0.35">
      <c r="A3" s="257" t="str">
        <f t="shared" si="0"/>
        <v>CE 155,ED1-AERO</v>
      </c>
      <c r="B3" s="307" t="str">
        <f>[9]Sheet1!$G$13</f>
        <v>Appiah-Brempong Miriam</v>
      </c>
      <c r="C3" s="203">
        <v>70</v>
      </c>
      <c r="D3" s="203" t="str">
        <f t="shared" ref="D3:D8" si="1">D2</f>
        <v>ED1-AERO</v>
      </c>
      <c r="E3" s="203" t="s">
        <v>182</v>
      </c>
      <c r="F3" s="203"/>
      <c r="G3" s="203" t="s">
        <v>409</v>
      </c>
    </row>
    <row r="4" spans="1:7" s="255" customFormat="1" x14ac:dyDescent="0.35">
      <c r="A4" s="257" t="str">
        <f t="shared" si="0"/>
        <v>EE 151,ED1-AERO</v>
      </c>
      <c r="B4" s="307" t="s">
        <v>410</v>
      </c>
      <c r="C4" s="203">
        <v>70</v>
      </c>
      <c r="D4" s="203" t="str">
        <f t="shared" si="1"/>
        <v>ED1-AERO</v>
      </c>
      <c r="E4" s="203" t="s">
        <v>278</v>
      </c>
      <c r="F4" s="203"/>
      <c r="G4" s="203" t="s">
        <v>411</v>
      </c>
    </row>
    <row r="5" spans="1:7" s="255" customFormat="1" x14ac:dyDescent="0.35">
      <c r="A5" s="257" t="str">
        <f t="shared" si="0"/>
        <v>ENGL 157,ED1-AERO</v>
      </c>
      <c r="B5" s="307" t="str">
        <f>[9]Sheet1!$G$15</f>
        <v>Appiah Franklin Benjamin</v>
      </c>
      <c r="C5" s="203">
        <v>70</v>
      </c>
      <c r="D5" s="203" t="str">
        <f t="shared" si="1"/>
        <v>ED1-AERO</v>
      </c>
      <c r="E5" s="203" t="s">
        <v>412</v>
      </c>
      <c r="F5" s="203"/>
      <c r="G5" s="203" t="s">
        <v>413</v>
      </c>
    </row>
    <row r="6" spans="1:7" s="255" customFormat="1" x14ac:dyDescent="0.35">
      <c r="A6" s="257" t="str">
        <f t="shared" si="0"/>
        <v>MATH 151,ED1-AERO</v>
      </c>
      <c r="B6" s="307" t="s">
        <v>414</v>
      </c>
      <c r="C6" s="203">
        <v>70</v>
      </c>
      <c r="D6" s="203" t="str">
        <f t="shared" si="1"/>
        <v>ED1-AERO</v>
      </c>
      <c r="E6" s="203" t="s">
        <v>160</v>
      </c>
      <c r="F6" s="203"/>
      <c r="G6" s="203" t="s">
        <v>415</v>
      </c>
    </row>
    <row r="7" spans="1:7" s="255" customFormat="1" x14ac:dyDescent="0.35">
      <c r="A7" s="257" t="str">
        <f t="shared" si="0"/>
        <v>ME 157,ED1-AERO</v>
      </c>
      <c r="B7" s="307" t="s">
        <v>416</v>
      </c>
      <c r="C7" s="203">
        <v>70</v>
      </c>
      <c r="D7" s="203" t="str">
        <f t="shared" si="1"/>
        <v>ED1-AERO</v>
      </c>
      <c r="E7" s="203" t="s">
        <v>306</v>
      </c>
      <c r="F7" s="203"/>
      <c r="G7" s="203" t="s">
        <v>417</v>
      </c>
    </row>
    <row r="8" spans="1:7" s="255" customFormat="1" x14ac:dyDescent="0.35">
      <c r="A8" s="257" t="str">
        <f t="shared" si="0"/>
        <v>ME 159,ED1-AERO</v>
      </c>
      <c r="B8" s="307" t="str">
        <f>$B$470</f>
        <v>Oppong Tawiah Peter</v>
      </c>
      <c r="C8" s="203">
        <v>70</v>
      </c>
      <c r="D8" s="203" t="str">
        <f t="shared" si="1"/>
        <v>ED1-AERO</v>
      </c>
      <c r="E8" s="203" t="s">
        <v>38</v>
      </c>
      <c r="F8" s="203"/>
      <c r="G8" s="203" t="s">
        <v>418</v>
      </c>
    </row>
    <row r="9" spans="1:7" s="255" customFormat="1" x14ac:dyDescent="0.35">
      <c r="A9" s="257" t="str">
        <f t="shared" si="0"/>
        <v>ME 281,ED2-AERO</v>
      </c>
      <c r="B9" s="307" t="s">
        <v>419</v>
      </c>
      <c r="C9" s="203">
        <v>74</v>
      </c>
      <c r="D9" s="203" t="s">
        <v>140</v>
      </c>
      <c r="E9" s="203" t="s">
        <v>201</v>
      </c>
      <c r="F9" s="203"/>
      <c r="G9" s="203" t="s">
        <v>420</v>
      </c>
    </row>
    <row r="10" spans="1:7" s="255" customFormat="1" x14ac:dyDescent="0.35">
      <c r="A10" s="257" t="str">
        <f t="shared" si="0"/>
        <v>CENG 291,ED2-AERO</v>
      </c>
      <c r="B10" s="307" t="s">
        <v>407</v>
      </c>
      <c r="C10" s="203">
        <v>74</v>
      </c>
      <c r="D10" s="203" t="str">
        <f t="shared" ref="D10:D17" si="2">D9</f>
        <v>ED2-AERO</v>
      </c>
      <c r="E10" s="203" t="s">
        <v>421</v>
      </c>
      <c r="F10" s="203"/>
      <c r="G10" s="203" t="s">
        <v>422</v>
      </c>
    </row>
    <row r="11" spans="1:7" s="255" customFormat="1" x14ac:dyDescent="0.35">
      <c r="A11" s="257" t="str">
        <f t="shared" si="0"/>
        <v>AERO 293,ED2-AERO</v>
      </c>
      <c r="B11" s="307" t="s">
        <v>407</v>
      </c>
      <c r="C11" s="203">
        <v>74</v>
      </c>
      <c r="D11" s="203" t="str">
        <f t="shared" si="2"/>
        <v>ED2-AERO</v>
      </c>
      <c r="E11" s="203" t="s">
        <v>423</v>
      </c>
      <c r="F11" s="203"/>
      <c r="G11" s="203" t="s">
        <v>424</v>
      </c>
    </row>
    <row r="12" spans="1:7" s="255" customFormat="1" x14ac:dyDescent="0.35">
      <c r="A12" s="257" t="str">
        <f t="shared" si="0"/>
        <v>ME 255,ED2-AERO</v>
      </c>
      <c r="B12" s="307" t="s">
        <v>425</v>
      </c>
      <c r="C12" s="203">
        <v>74</v>
      </c>
      <c r="D12" s="203" t="str">
        <f t="shared" si="2"/>
        <v>ED2-AERO</v>
      </c>
      <c r="E12" s="203" t="s">
        <v>23</v>
      </c>
      <c r="F12" s="203"/>
      <c r="G12" s="203" t="s">
        <v>426</v>
      </c>
    </row>
    <row r="13" spans="1:7" s="255" customFormat="1" x14ac:dyDescent="0.35">
      <c r="A13" s="257" t="str">
        <f t="shared" si="0"/>
        <v>ENGL 263,ED2-AERO</v>
      </c>
      <c r="B13" s="307" t="str">
        <f>[9]Sheet2!$G$10</f>
        <v>Yeboah Philomena Ama Okyeso</v>
      </c>
      <c r="C13" s="203">
        <v>74</v>
      </c>
      <c r="D13" s="203" t="str">
        <f t="shared" si="2"/>
        <v>ED2-AERO</v>
      </c>
      <c r="E13" s="203" t="s">
        <v>139</v>
      </c>
      <c r="F13" s="203"/>
      <c r="G13" s="203" t="s">
        <v>427</v>
      </c>
    </row>
    <row r="14" spans="1:7" s="255" customFormat="1" x14ac:dyDescent="0.35">
      <c r="A14" s="257" t="str">
        <f t="shared" si="0"/>
        <v>MATH 251,ED2-AERO</v>
      </c>
      <c r="B14" s="307" t="s">
        <v>428</v>
      </c>
      <c r="C14" s="203">
        <v>74</v>
      </c>
      <c r="D14" s="203" t="str">
        <f t="shared" si="2"/>
        <v>ED2-AERO</v>
      </c>
      <c r="E14" s="203" t="s">
        <v>148</v>
      </c>
      <c r="F14" s="203"/>
      <c r="G14" s="203" t="s">
        <v>429</v>
      </c>
    </row>
    <row r="15" spans="1:7" s="255" customFormat="1" x14ac:dyDescent="0.35">
      <c r="A15" s="257" t="str">
        <f t="shared" si="0"/>
        <v>ME 251,ED2-AERO</v>
      </c>
      <c r="B15" s="307" t="s">
        <v>430</v>
      </c>
      <c r="C15" s="203">
        <v>74</v>
      </c>
      <c r="D15" s="203" t="str">
        <f t="shared" si="2"/>
        <v>ED2-AERO</v>
      </c>
      <c r="E15" s="203" t="s">
        <v>335</v>
      </c>
      <c r="F15" s="203"/>
      <c r="G15" s="203" t="s">
        <v>431</v>
      </c>
    </row>
    <row r="16" spans="1:7" s="255" customFormat="1" x14ac:dyDescent="0.35">
      <c r="A16" s="257" t="str">
        <f t="shared" si="0"/>
        <v>ME 261,ED2-AERO</v>
      </c>
      <c r="B16" s="307" t="s">
        <v>432</v>
      </c>
      <c r="C16" s="203">
        <v>74</v>
      </c>
      <c r="D16" s="203" t="str">
        <f t="shared" si="2"/>
        <v>ED2-AERO</v>
      </c>
      <c r="E16" s="203" t="s">
        <v>284</v>
      </c>
      <c r="F16" s="203"/>
      <c r="G16" s="203" t="str">
        <f>[9]Sheet2!$E$14</f>
        <v>ENGINEERING MECHANICS II:DYNAMICS</v>
      </c>
    </row>
    <row r="17" spans="1:7" s="255" customFormat="1" x14ac:dyDescent="0.35">
      <c r="A17" s="257" t="str">
        <f t="shared" si="0"/>
        <v>ME 295,ED2-AERO</v>
      </c>
      <c r="B17" s="307" t="s">
        <v>433</v>
      </c>
      <c r="C17" s="203">
        <v>74</v>
      </c>
      <c r="D17" s="203" t="str">
        <f t="shared" si="2"/>
        <v>ED2-AERO</v>
      </c>
      <c r="E17" s="203" t="s">
        <v>434</v>
      </c>
      <c r="F17" s="203"/>
      <c r="G17" s="203" t="s">
        <v>435</v>
      </c>
    </row>
    <row r="18" spans="1:7" s="255" customFormat="1" x14ac:dyDescent="0.35">
      <c r="A18" s="257" t="str">
        <f t="shared" si="0"/>
        <v>ECON 151,ED3-AERO</v>
      </c>
      <c r="B18" s="307" t="s">
        <v>244</v>
      </c>
      <c r="C18" s="203">
        <v>76</v>
      </c>
      <c r="D18" s="203" t="s">
        <v>14</v>
      </c>
      <c r="E18" s="203" t="s">
        <v>243</v>
      </c>
      <c r="F18" s="203"/>
      <c r="G18" s="203" t="s">
        <v>436</v>
      </c>
    </row>
    <row r="19" spans="1:7" s="255" customFormat="1" x14ac:dyDescent="0.35">
      <c r="A19" s="257" t="str">
        <f t="shared" si="0"/>
        <v>AERO 393,ED3-AERO</v>
      </c>
      <c r="B19" s="307" t="s">
        <v>407</v>
      </c>
      <c r="C19" s="203">
        <v>76</v>
      </c>
      <c r="D19" s="203" t="str">
        <f t="shared" ref="D19:D25" si="3">D18</f>
        <v>ED3-AERO</v>
      </c>
      <c r="E19" s="203" t="s">
        <v>437</v>
      </c>
      <c r="F19" s="203"/>
      <c r="G19" s="203" t="s">
        <v>438</v>
      </c>
    </row>
    <row r="20" spans="1:7" s="255" customFormat="1" x14ac:dyDescent="0.35">
      <c r="A20" s="257" t="str">
        <f t="shared" si="0"/>
        <v>AERO 351,ED3-AERO</v>
      </c>
      <c r="B20" s="307" t="s">
        <v>439</v>
      </c>
      <c r="C20" s="203">
        <v>76</v>
      </c>
      <c r="D20" s="203" t="str">
        <f t="shared" si="3"/>
        <v>ED3-AERO</v>
      </c>
      <c r="E20" s="203" t="s">
        <v>272</v>
      </c>
      <c r="F20" s="203"/>
      <c r="G20" s="203" t="s">
        <v>440</v>
      </c>
    </row>
    <row r="21" spans="1:7" s="255" customFormat="1" x14ac:dyDescent="0.35">
      <c r="A21" s="257" t="str">
        <f t="shared" si="0"/>
        <v>AERO 391,ED3-AERO</v>
      </c>
      <c r="B21" s="307" t="s">
        <v>441</v>
      </c>
      <c r="C21" s="203">
        <v>76</v>
      </c>
      <c r="D21" s="203" t="str">
        <f t="shared" si="3"/>
        <v>ED3-AERO</v>
      </c>
      <c r="E21" s="203" t="s">
        <v>319</v>
      </c>
      <c r="F21" s="203"/>
      <c r="G21" s="203" t="s">
        <v>442</v>
      </c>
    </row>
    <row r="22" spans="1:7" s="255" customFormat="1" x14ac:dyDescent="0.35">
      <c r="A22" s="257" t="str">
        <f t="shared" si="0"/>
        <v>AERO 395,ED3-AERO</v>
      </c>
      <c r="B22" s="307" t="s">
        <v>407</v>
      </c>
      <c r="C22" s="203">
        <v>76</v>
      </c>
      <c r="D22" s="203" t="str">
        <f t="shared" si="3"/>
        <v>ED3-AERO</v>
      </c>
      <c r="E22" s="203" t="s">
        <v>443</v>
      </c>
      <c r="F22" s="203"/>
      <c r="G22" s="203" t="s">
        <v>444</v>
      </c>
    </row>
    <row r="23" spans="1:7" s="255" customFormat="1" x14ac:dyDescent="0.35">
      <c r="A23" s="257" t="str">
        <f t="shared" si="0"/>
        <v>MATH 351,ED3-AERO</v>
      </c>
      <c r="B23" s="307" t="s">
        <v>445</v>
      </c>
      <c r="C23" s="203">
        <v>76</v>
      </c>
      <c r="D23" s="203" t="str">
        <f t="shared" si="3"/>
        <v>ED3-AERO</v>
      </c>
      <c r="E23" s="203" t="s">
        <v>9</v>
      </c>
      <c r="F23" s="203"/>
      <c r="G23" s="203" t="s">
        <v>446</v>
      </c>
    </row>
    <row r="24" spans="1:7" s="255" customFormat="1" x14ac:dyDescent="0.35">
      <c r="A24" s="257" t="str">
        <f t="shared" si="0"/>
        <v>STAT 253,ED3-AERO</v>
      </c>
      <c r="B24" s="307" t="s">
        <v>447</v>
      </c>
      <c r="C24" s="203">
        <v>76</v>
      </c>
      <c r="D24" s="203" t="str">
        <f t="shared" si="3"/>
        <v>ED3-AERO</v>
      </c>
      <c r="E24" s="203" t="s">
        <v>226</v>
      </c>
      <c r="F24" s="203"/>
      <c r="G24" s="203" t="s">
        <v>448</v>
      </c>
    </row>
    <row r="25" spans="1:7" s="255" customFormat="1" x14ac:dyDescent="0.35">
      <c r="A25" s="257" t="str">
        <f t="shared" si="0"/>
        <v>ME 363,ED3-AERO</v>
      </c>
      <c r="B25" s="307" t="s">
        <v>449</v>
      </c>
      <c r="C25" s="203">
        <v>76</v>
      </c>
      <c r="D25" s="203" t="str">
        <f t="shared" si="3"/>
        <v>ED3-AERO</v>
      </c>
      <c r="E25" s="203" t="s">
        <v>107</v>
      </c>
      <c r="F25" s="203"/>
      <c r="G25" s="203" t="s">
        <v>450</v>
      </c>
    </row>
    <row r="26" spans="1:7" s="4" customFormat="1" x14ac:dyDescent="0.35">
      <c r="A26" s="257" t="str">
        <f t="shared" si="0"/>
        <v>AERO 473,ED4-AERO</v>
      </c>
      <c r="B26" s="307" t="str">
        <f>[9]Sheet4!G8</f>
        <v>Oppong David Kofi</v>
      </c>
      <c r="C26" s="203">
        <v>61</v>
      </c>
      <c r="D26" s="203" t="s">
        <v>44</v>
      </c>
      <c r="E26" s="203" t="str">
        <f>[9]Sheet4!B8</f>
        <v>AERO 473</v>
      </c>
      <c r="F26" s="203"/>
      <c r="G26" s="203" t="str">
        <f>[9]Sheet4!E8</f>
        <v>AEROSPACE VEHICLE DESIGN</v>
      </c>
    </row>
    <row r="27" spans="1:7" s="4" customFormat="1" x14ac:dyDescent="0.35">
      <c r="A27" s="257" t="str">
        <f t="shared" si="0"/>
        <v>AERO 483,ED4-AERO</v>
      </c>
      <c r="B27" s="307" t="str">
        <f>[9]Sheet4!G9</f>
        <v>Oppong David Kofi</v>
      </c>
      <c r="C27" s="203">
        <v>61</v>
      </c>
      <c r="D27" s="203" t="str">
        <f t="shared" ref="D27:D37" si="4">D26</f>
        <v>ED4-AERO</v>
      </c>
      <c r="E27" s="203" t="str">
        <f>[9]Sheet4!B9</f>
        <v>AERO 483</v>
      </c>
      <c r="F27" s="203"/>
      <c r="G27" s="203" t="str">
        <f>[9]Sheet4!E9</f>
        <v>AVIONICS</v>
      </c>
    </row>
    <row r="28" spans="1:7" s="4" customFormat="1" x14ac:dyDescent="0.35">
      <c r="A28" s="257" t="str">
        <f t="shared" si="0"/>
        <v>AERO 491,ED4-AERO</v>
      </c>
      <c r="B28" s="307" t="str">
        <f>[9]Sheet4!G10</f>
        <v>Takyi Gabriel</v>
      </c>
      <c r="C28" s="203">
        <v>61</v>
      </c>
      <c r="D28" s="203" t="str">
        <f t="shared" si="4"/>
        <v>ED4-AERO</v>
      </c>
      <c r="E28" s="203" t="str">
        <f>[9]Sheet4!B10</f>
        <v>AERO 491</v>
      </c>
      <c r="F28" s="203"/>
      <c r="G28" s="203" t="str">
        <f>[9]Sheet4!E10</f>
        <v>AVIATION BUSINESS MANAGEMENT</v>
      </c>
    </row>
    <row r="29" spans="1:7" s="4" customFormat="1" x14ac:dyDescent="0.35">
      <c r="A29" s="257" t="str">
        <f t="shared" si="0"/>
        <v>AERO 493,ED4-AERO</v>
      </c>
      <c r="B29" s="307" t="str">
        <f>[9]Sheet4!G11</f>
        <v>Oppong David Kofi</v>
      </c>
      <c r="C29" s="203">
        <v>61</v>
      </c>
      <c r="D29" s="203" t="str">
        <f t="shared" si="4"/>
        <v>ED4-AERO</v>
      </c>
      <c r="E29" s="203" t="str">
        <f>[9]Sheet4!B11</f>
        <v>AERO 493</v>
      </c>
      <c r="F29" s="203"/>
      <c r="G29" s="203" t="str">
        <f>[9]Sheet4!E11</f>
        <v>AEROSPACE ENGINEERING VACATION TRAINING III</v>
      </c>
    </row>
    <row r="30" spans="1:7" s="4" customFormat="1" x14ac:dyDescent="0.35">
      <c r="A30" s="257" t="str">
        <f t="shared" si="0"/>
        <v>AERO 495,ED4-AERO</v>
      </c>
      <c r="B30" s="307" t="str">
        <f>[9]Sheet4!G12</f>
        <v>Oppong Tawiah Peter</v>
      </c>
      <c r="C30" s="203">
        <v>61</v>
      </c>
      <c r="D30" s="203" t="str">
        <f t="shared" si="4"/>
        <v>ED4-AERO</v>
      </c>
      <c r="E30" s="203" t="str">
        <f>[9]Sheet4!B12</f>
        <v>AERO 495</v>
      </c>
      <c r="F30" s="203"/>
      <c r="G30" s="203" t="str">
        <f>[9]Sheet4!E12</f>
        <v>AIRCRAFT MAINTENANCE ENGINEERING</v>
      </c>
    </row>
    <row r="31" spans="1:7" s="5" customFormat="1" x14ac:dyDescent="0.35">
      <c r="A31" s="257" t="str">
        <f t="shared" si="0"/>
        <v>AERO 497,ED4-AERO</v>
      </c>
      <c r="B31" s="307" t="str">
        <f>[9]Sheet4!G13</f>
        <v>Tay Godwin Fabiola Kwaku</v>
      </c>
      <c r="C31" s="203">
        <v>61</v>
      </c>
      <c r="D31" s="203" t="str">
        <f t="shared" si="4"/>
        <v>ED4-AERO</v>
      </c>
      <c r="E31" s="203" t="str">
        <f>[9]Sheet4!B13</f>
        <v>AERO 497</v>
      </c>
      <c r="F31" s="203"/>
      <c r="G31" s="203" t="str">
        <f>[9]Sheet4!E13</f>
        <v>PROJECT I</v>
      </c>
    </row>
    <row r="32" spans="1:7" s="4" customFormat="1" x14ac:dyDescent="0.35">
      <c r="A32" s="257" t="str">
        <f t="shared" si="0"/>
        <v>ME 451,ED4-AERO</v>
      </c>
      <c r="B32" s="307" t="str">
        <f>[9]Sheet4!G14</f>
        <v>Opoku Richard</v>
      </c>
      <c r="C32" s="203">
        <v>61</v>
      </c>
      <c r="D32" s="203" t="str">
        <f>D31</f>
        <v>ED4-AERO</v>
      </c>
      <c r="E32" s="203" t="str">
        <f>[9]Sheet4!B14</f>
        <v>ME 451</v>
      </c>
      <c r="F32" s="203"/>
      <c r="G32" s="203" t="str">
        <f>[9]Sheet4!E14</f>
        <v>BEHAVIOUR OF REAL FLUIDS</v>
      </c>
    </row>
    <row r="33" spans="1:7" s="4" customFormat="1" x14ac:dyDescent="0.35">
      <c r="A33" s="257" t="str">
        <f t="shared" si="0"/>
        <v>ME 465,ED4-AERO</v>
      </c>
      <c r="B33" s="307" t="str">
        <f>[9]Sheet4!G15</f>
        <v>Sekyere Charles Kofi Kafui</v>
      </c>
      <c r="C33" s="203">
        <v>61</v>
      </c>
      <c r="D33" s="203" t="str">
        <f t="shared" si="4"/>
        <v>ED4-AERO</v>
      </c>
      <c r="E33" s="203" t="str">
        <f>[9]Sheet4!B15</f>
        <v>ME 465</v>
      </c>
      <c r="F33" s="203"/>
      <c r="G33" s="203" t="str">
        <f>[9]Sheet4!E15</f>
        <v>AIR CONDITIONING AND REFRIGERATION</v>
      </c>
    </row>
    <row r="34" spans="1:7" s="4" customFormat="1" x14ac:dyDescent="0.35">
      <c r="A34" s="257" t="str">
        <f t="shared" si="0"/>
        <v>ME 467,ED4-AERO</v>
      </c>
      <c r="B34" s="307" t="str">
        <f>[9]Sheet4!G16</f>
        <v>Quansah David Ato</v>
      </c>
      <c r="C34" s="203">
        <v>61</v>
      </c>
      <c r="D34" s="203" t="str">
        <f t="shared" si="4"/>
        <v>ED4-AERO</v>
      </c>
      <c r="E34" s="203" t="str">
        <f>[9]Sheet4!B16</f>
        <v>ME 467</v>
      </c>
      <c r="F34" s="203"/>
      <c r="G34" s="203" t="str">
        <f>[9]Sheet4!E16</f>
        <v>RENEWABLE ENERGY CONVERSION</v>
      </c>
    </row>
    <row r="35" spans="1:7" s="4" customFormat="1" x14ac:dyDescent="0.35">
      <c r="A35" s="257" t="str">
        <f t="shared" si="0"/>
        <v>ME 473,ED4-AERO</v>
      </c>
      <c r="B35" s="307" t="str">
        <f>[9]Sheet4!G17</f>
        <v>Afriyie Nyarko Frank Kwabena</v>
      </c>
      <c r="C35" s="203">
        <v>61</v>
      </c>
      <c r="D35" s="203" t="str">
        <f t="shared" si="4"/>
        <v>ED4-AERO</v>
      </c>
      <c r="E35" s="203" t="str">
        <f>[9]Sheet4!B17</f>
        <v>ME 473</v>
      </c>
      <c r="F35" s="203"/>
      <c r="G35" s="203" t="str">
        <f>[9]Sheet4!E17</f>
        <v>COMPUTER AIDED DESIGN AND MANUFACTURING</v>
      </c>
    </row>
    <row r="36" spans="1:7" s="4" customFormat="1" x14ac:dyDescent="0.35">
      <c r="A36" s="257" t="str">
        <f t="shared" si="0"/>
        <v>ME 499,ED4-AERO</v>
      </c>
      <c r="B36" s="307" t="str">
        <f>[9]Sheet4!G18</f>
        <v>Mensah Lena Dzifa</v>
      </c>
      <c r="C36" s="203">
        <v>61</v>
      </c>
      <c r="D36" s="203" t="str">
        <f t="shared" si="4"/>
        <v>ED4-AERO</v>
      </c>
      <c r="E36" s="203" t="str">
        <f>[9]Sheet4!B18</f>
        <v>ME 499</v>
      </c>
      <c r="F36" s="203"/>
      <c r="G36" s="203" t="str">
        <f>[9]Sheet4!E18</f>
        <v>OPERATIONS RESEARCH</v>
      </c>
    </row>
    <row r="37" spans="1:7" s="4" customFormat="1" x14ac:dyDescent="0.35">
      <c r="A37" s="257" t="str">
        <f t="shared" si="0"/>
        <v>,ED4-AERO</v>
      </c>
      <c r="B37" s="308"/>
      <c r="C37" s="203">
        <v>61</v>
      </c>
      <c r="D37" t="str">
        <f t="shared" si="4"/>
        <v>ED4-AERO</v>
      </c>
      <c r="E37" t="str">
        <f>[9]Sheet4!B19</f>
        <v/>
      </c>
      <c r="F37"/>
      <c r="G37">
        <f>[9]Sheet4!E19</f>
        <v>0</v>
      </c>
    </row>
    <row r="38" spans="1:7" s="3" customFormat="1" x14ac:dyDescent="0.35">
      <c r="A38" s="257" t="str">
        <f t="shared" si="0"/>
        <v>AE 153,ED1-AE</v>
      </c>
      <c r="B38" s="309" t="str">
        <f>[9]Sheet4!G22</f>
        <v>Bessah Enoch</v>
      </c>
      <c r="C38" s="258">
        <v>126</v>
      </c>
      <c r="D38" s="258" t="s">
        <v>163</v>
      </c>
      <c r="E38" s="258" t="str">
        <f>[9]Sheet4!B22</f>
        <v>AE 153</v>
      </c>
      <c r="F38" s="258"/>
      <c r="G38" s="258" t="str">
        <f>[9]Sheet4!E22</f>
        <v>AGRIC. METEOROLOGY AND CLIMATOLOGY</v>
      </c>
    </row>
    <row r="39" spans="1:7" s="3" customFormat="1" x14ac:dyDescent="0.35">
      <c r="A39" s="257" t="str">
        <f t="shared" si="0"/>
        <v>EE 151,ED1-AE</v>
      </c>
      <c r="B39" s="309" t="str">
        <f>[9]Sheet4!G23</f>
        <v>Prah II Nicholas Kwesi</v>
      </c>
      <c r="C39" s="258">
        <v>126</v>
      </c>
      <c r="D39" s="258" t="str">
        <f t="shared" ref="D39:D44" si="5">D38</f>
        <v>ED1-AE</v>
      </c>
      <c r="E39" s="258" t="str">
        <f>[9]Sheet4!B23</f>
        <v>EE 151</v>
      </c>
      <c r="F39" s="258"/>
      <c r="G39" s="258" t="str">
        <f>[9]Sheet4!E23</f>
        <v>APPLIED ELECTRICITY</v>
      </c>
    </row>
    <row r="40" spans="1:7" s="3" customFormat="1" x14ac:dyDescent="0.35">
      <c r="A40" s="257" t="str">
        <f t="shared" si="0"/>
        <v>ENGL 157,ED1-AE</v>
      </c>
      <c r="B40" s="309" t="str">
        <f>[9]Sheet4!G24</f>
        <v>Yeboah Philomena Ama Okyeso</v>
      </c>
      <c r="C40" s="258">
        <v>126</v>
      </c>
      <c r="D40" s="258" t="str">
        <f t="shared" si="5"/>
        <v>ED1-AE</v>
      </c>
      <c r="E40" s="258" t="str">
        <f>[9]Sheet4!B24</f>
        <v>ENGL 157</v>
      </c>
      <c r="F40" s="258"/>
      <c r="G40" s="258" t="str">
        <f>[9]Sheet4!E24</f>
        <v>COMMUNICATION SKILLS I</v>
      </c>
    </row>
    <row r="41" spans="1:7" s="3" customFormat="1" x14ac:dyDescent="0.35">
      <c r="A41" s="257" t="str">
        <f t="shared" si="0"/>
        <v>MATH 151,ED1-AE</v>
      </c>
      <c r="B41" s="309" t="str">
        <f>[9]Sheet4!G25</f>
        <v>Asamoah Joshua Kiddy Kwasi</v>
      </c>
      <c r="C41" s="258">
        <v>126</v>
      </c>
      <c r="D41" s="258" t="str">
        <f t="shared" si="5"/>
        <v>ED1-AE</v>
      </c>
      <c r="E41" s="258" t="str">
        <f>[9]Sheet4!B25</f>
        <v>MATH 151</v>
      </c>
      <c r="F41" s="258"/>
      <c r="G41" s="258" t="str">
        <f>[9]Sheet4!E25</f>
        <v>ALGEBRA</v>
      </c>
    </row>
    <row r="42" spans="1:7" s="3" customFormat="1" x14ac:dyDescent="0.35">
      <c r="A42" s="257" t="str">
        <f t="shared" si="0"/>
        <v>ME 159,ED1-AE</v>
      </c>
      <c r="B42" s="309" t="str">
        <f>[9]Sheet4!G26</f>
        <v>Aveyire Joseph</v>
      </c>
      <c r="C42" s="258">
        <v>126</v>
      </c>
      <c r="D42" s="258" t="str">
        <f t="shared" si="5"/>
        <v>ED1-AE</v>
      </c>
      <c r="E42" s="258" t="str">
        <f>[9]Sheet4!B26</f>
        <v>ME 159</v>
      </c>
      <c r="F42" s="258"/>
      <c r="G42" s="258" t="str">
        <f>[9]Sheet4!E26</f>
        <v>TECHNICAL DRAWING</v>
      </c>
    </row>
    <row r="43" spans="1:7" s="3" customFormat="1" x14ac:dyDescent="0.35">
      <c r="A43" s="257" t="str">
        <f t="shared" si="0"/>
        <v>ME 195,ED1-AE</v>
      </c>
      <c r="B43" s="309" t="str">
        <f>[9]Sheet4!G27</f>
        <v>Oppong David Kofi</v>
      </c>
      <c r="C43" s="258">
        <v>126</v>
      </c>
      <c r="D43" s="258" t="str">
        <f t="shared" si="5"/>
        <v>ED1-AE</v>
      </c>
      <c r="E43" s="258" t="str">
        <f>[9]Sheet4!B27</f>
        <v>ME 195</v>
      </c>
      <c r="F43" s="258"/>
      <c r="G43" s="258" t="str">
        <f>[9]Sheet4!E27</f>
        <v>ENGINEERING TECHNOLOGY I</v>
      </c>
    </row>
    <row r="44" spans="1:7" s="3" customFormat="1" x14ac:dyDescent="0.35">
      <c r="A44" s="257" t="str">
        <f t="shared" si="0"/>
        <v>CE 155,ED1-AE</v>
      </c>
      <c r="B44" s="309" t="str">
        <f>[9]Sheet4!G28</f>
        <v>Buamah Richard Akwasi</v>
      </c>
      <c r="C44" s="258">
        <v>126</v>
      </c>
      <c r="D44" s="258" t="str">
        <f t="shared" si="5"/>
        <v>ED1-AE</v>
      </c>
      <c r="E44" s="258" t="str">
        <f>[9]Sheet4!B28</f>
        <v>CE 155</v>
      </c>
      <c r="F44" s="258"/>
      <c r="G44" s="258" t="str">
        <f>[9]Sheet4!E28</f>
        <v>ENVIRONMENTAL STUDIES</v>
      </c>
    </row>
    <row r="45" spans="1:7" s="3" customFormat="1" x14ac:dyDescent="0.35">
      <c r="A45" s="257" t="str">
        <f t="shared" si="0"/>
        <v>CENG 291,ED2-AE</v>
      </c>
      <c r="B45" s="309" t="str">
        <f>[9]Sheet5!G8</f>
        <v>Lavie Jerome Dela</v>
      </c>
      <c r="C45" s="258">
        <v>155</v>
      </c>
      <c r="D45" s="258" t="s">
        <v>142</v>
      </c>
      <c r="E45" s="258" t="str">
        <f>[9]Sheet5!B8</f>
        <v>CENG 291</v>
      </c>
      <c r="F45" s="258"/>
      <c r="G45" s="258" t="str">
        <f>[9]Sheet5!E8</f>
        <v>ENGINEERING IN SOCIETY</v>
      </c>
    </row>
    <row r="46" spans="1:7" s="3" customFormat="1" x14ac:dyDescent="0.35">
      <c r="A46" s="257" t="str">
        <f t="shared" si="0"/>
        <v>ENGL 263,ED2-AE</v>
      </c>
      <c r="B46" s="309" t="str">
        <f>[9]Sheet5!G9</f>
        <v>Yeboah Philomena Ama Okyeso</v>
      </c>
      <c r="C46" s="258">
        <v>155</v>
      </c>
      <c r="D46" s="258" t="str">
        <f t="shared" ref="D46:D52" si="6">D45</f>
        <v>ED2-AE</v>
      </c>
      <c r="E46" s="258" t="str">
        <f>[9]Sheet5!B9</f>
        <v>ENGL 263</v>
      </c>
      <c r="F46" s="258"/>
      <c r="G46" s="258" t="str">
        <f>[9]Sheet5!E9</f>
        <v>LITERATURE IN ENGLISH I</v>
      </c>
    </row>
    <row r="47" spans="1:7" s="3" customFormat="1" x14ac:dyDescent="0.35">
      <c r="A47" s="257" t="str">
        <f t="shared" si="0"/>
        <v>MATH 251,ED2-AE</v>
      </c>
      <c r="B47" s="309" t="str">
        <f>[9]Sheet5!G10</f>
        <v>Wireko Fredrick Asenso</v>
      </c>
      <c r="C47" s="258">
        <v>155</v>
      </c>
      <c r="D47" s="258" t="str">
        <f t="shared" si="6"/>
        <v>ED2-AE</v>
      </c>
      <c r="E47" s="258" t="str">
        <f>[9]Sheet5!B10</f>
        <v>MATH 251</v>
      </c>
      <c r="F47" s="258"/>
      <c r="G47" s="258" t="str">
        <f>[9]Sheet5!E10</f>
        <v>DIFFERENTIAL EQUATIONS</v>
      </c>
    </row>
    <row r="48" spans="1:7" s="3" customFormat="1" x14ac:dyDescent="0.35">
      <c r="A48" s="257" t="str">
        <f t="shared" si="0"/>
        <v>ME 251,ED2-AE</v>
      </c>
      <c r="B48" s="309" t="str">
        <f>[9]Sheet5!G11</f>
        <v>Fiagbe Yesuenyeagbe Atsu Kwabla</v>
      </c>
      <c r="C48" s="258">
        <v>155</v>
      </c>
      <c r="D48" s="258" t="str">
        <f t="shared" si="6"/>
        <v>ED2-AE</v>
      </c>
      <c r="E48" s="258" t="str">
        <f>[9]Sheet5!B11</f>
        <v>ME 251</v>
      </c>
      <c r="F48" s="258"/>
      <c r="G48" s="258" t="str">
        <f>[9]Sheet5!E11</f>
        <v>FLUID MECHANICS I</v>
      </c>
    </row>
    <row r="49" spans="1:7" s="3" customFormat="1" x14ac:dyDescent="0.35">
      <c r="A49" s="257" t="str">
        <f t="shared" si="0"/>
        <v>ME 255,ED2-AE</v>
      </c>
      <c r="B49" s="309" t="str">
        <f>[9]Sheet5!G12</f>
        <v>Boahen Samuel</v>
      </c>
      <c r="C49" s="258">
        <v>155</v>
      </c>
      <c r="D49" s="258" t="str">
        <f t="shared" si="6"/>
        <v>ED2-AE</v>
      </c>
      <c r="E49" s="258" t="str">
        <f>[9]Sheet5!B12</f>
        <v>ME 255</v>
      </c>
      <c r="F49" s="258"/>
      <c r="G49" s="258" t="str">
        <f>[9]Sheet5!E12</f>
        <v>STRENGTH OF MATERIALS I</v>
      </c>
    </row>
    <row r="50" spans="1:7" s="3" customFormat="1" x14ac:dyDescent="0.35">
      <c r="A50" s="257" t="str">
        <f t="shared" si="0"/>
        <v>ME 259,ED2-AE</v>
      </c>
      <c r="B50" s="309" t="str">
        <f>[9]Sheet5!G13</f>
        <v>Asante Eric Amoah</v>
      </c>
      <c r="C50" s="258">
        <v>155</v>
      </c>
      <c r="D50" s="258" t="str">
        <f t="shared" si="6"/>
        <v>ED2-AE</v>
      </c>
      <c r="E50" s="258" t="str">
        <f>[9]Sheet5!B13</f>
        <v>ME 259</v>
      </c>
      <c r="F50" s="258"/>
      <c r="G50" s="258" t="str">
        <f>[9]Sheet5!E13</f>
        <v>APPLICATIONS OF COMPUTER GRAPHICS</v>
      </c>
    </row>
    <row r="51" spans="1:7" s="3" customFormat="1" x14ac:dyDescent="0.35">
      <c r="A51" s="257" t="str">
        <f t="shared" si="0"/>
        <v>ME 265,ED2-AE</v>
      </c>
      <c r="B51" s="309" t="str">
        <f>[9]Sheet5!G14</f>
        <v>Forson Francis Kofi</v>
      </c>
      <c r="C51" s="258">
        <v>155</v>
      </c>
      <c r="D51" s="258" t="str">
        <f t="shared" si="6"/>
        <v>ED2-AE</v>
      </c>
      <c r="E51" s="258" t="str">
        <f>[9]Sheet5!B14</f>
        <v>ME 265</v>
      </c>
      <c r="F51" s="258"/>
      <c r="G51" s="258" t="str">
        <f>[9]Sheet5!E14</f>
        <v>THERMODYNAMICS I</v>
      </c>
    </row>
    <row r="52" spans="1:7" s="3" customFormat="1" x14ac:dyDescent="0.35">
      <c r="A52" s="257" t="str">
        <f t="shared" si="0"/>
        <v>ME 295,ED2-AE</v>
      </c>
      <c r="B52" s="309" t="str">
        <f>[9]Sheet5!G15</f>
        <v>Adam Faisal Wahib</v>
      </c>
      <c r="C52" s="258">
        <v>155</v>
      </c>
      <c r="D52" s="258" t="str">
        <f t="shared" si="6"/>
        <v>ED2-AE</v>
      </c>
      <c r="E52" s="258" t="str">
        <f>[9]Sheet5!B15</f>
        <v>ME 295</v>
      </c>
      <c r="F52" s="258"/>
      <c r="G52" s="258" t="str">
        <f>[9]Sheet5!E15</f>
        <v>MECHANICAL ENGINEERING LAB. I</v>
      </c>
    </row>
    <row r="53" spans="1:7" s="3" customFormat="1" x14ac:dyDescent="0.35">
      <c r="A53" s="257" t="str">
        <f t="shared" si="0"/>
        <v>AE 351,ED3-AE</v>
      </c>
      <c r="B53" s="309" t="str">
        <f>[9]Sheet6!G8</f>
        <v>Kyei-Baffour Nicholas</v>
      </c>
      <c r="C53" s="258">
        <v>105</v>
      </c>
      <c r="D53" s="258" t="s">
        <v>15</v>
      </c>
      <c r="E53" s="258" t="str">
        <f>[9]Sheet6!B8</f>
        <v>AE 351</v>
      </c>
      <c r="F53" s="258"/>
      <c r="G53" s="258" t="str">
        <f>[9]Sheet6!E8</f>
        <v>SOIL AND WATER ENGINEERING</v>
      </c>
    </row>
    <row r="54" spans="1:7" s="3" customFormat="1" x14ac:dyDescent="0.35">
      <c r="A54" s="257" t="str">
        <f t="shared" si="0"/>
        <v>AE 353,ED3-AE</v>
      </c>
      <c r="B54" s="309" t="str">
        <f>[9]Sheet6!G9</f>
        <v>Akowuah Joseph Oppong</v>
      </c>
      <c r="C54" s="258">
        <v>105</v>
      </c>
      <c r="D54" s="258" t="str">
        <f t="shared" ref="D54:D59" si="7">D53</f>
        <v>ED3-AE</v>
      </c>
      <c r="E54" s="258" t="str">
        <f>[9]Sheet6!B9</f>
        <v>AE 353</v>
      </c>
      <c r="F54" s="258"/>
      <c r="G54" s="258" t="str">
        <f>[9]Sheet6!E9</f>
        <v>AGRICULTURAL MATERIALS HANDLING AND PROCESSING</v>
      </c>
    </row>
    <row r="55" spans="1:7" s="3" customFormat="1" x14ac:dyDescent="0.35">
      <c r="A55" s="257" t="str">
        <f t="shared" si="0"/>
        <v>AE 373,ED3-AE</v>
      </c>
      <c r="B55" s="309" t="str">
        <f>[9]Sheet6!G10</f>
        <v>Aveyire Joseph</v>
      </c>
      <c r="C55" s="258">
        <v>105</v>
      </c>
      <c r="D55" s="258" t="str">
        <f t="shared" si="7"/>
        <v>ED3-AE</v>
      </c>
      <c r="E55" s="258" t="str">
        <f>[9]Sheet6!B10</f>
        <v>AE 373</v>
      </c>
      <c r="F55" s="258"/>
      <c r="G55" s="258" t="str">
        <f>[9]Sheet6!E10</f>
        <v>MACHINE DESIGN I</v>
      </c>
    </row>
    <row r="56" spans="1:7" s="3" customFormat="1" x14ac:dyDescent="0.35">
      <c r="A56" s="257" t="str">
        <f t="shared" si="0"/>
        <v>AE 381,ED3-AE</v>
      </c>
      <c r="B56" s="309" t="str">
        <f>[9]Sheet6!G11</f>
        <v>Amponsah William</v>
      </c>
      <c r="C56" s="258">
        <v>105</v>
      </c>
      <c r="D56" s="258" t="str">
        <f t="shared" si="7"/>
        <v>ED3-AE</v>
      </c>
      <c r="E56" s="258" t="str">
        <f>[9]Sheet6!B11</f>
        <v>AE 381</v>
      </c>
      <c r="F56" s="258"/>
      <c r="G56" s="258" t="str">
        <f>[9]Sheet6!E11</f>
        <v>COMPUTER APPLICATION FOR AGRICULTURAL ENGINEERS</v>
      </c>
    </row>
    <row r="57" spans="1:7" s="3" customFormat="1" x14ac:dyDescent="0.35">
      <c r="A57" s="257" t="str">
        <f t="shared" si="0"/>
        <v>MATH 351,ED3-AE</v>
      </c>
      <c r="B57" s="309" t="str">
        <f>[9]Sheet6!G12</f>
        <v>Borkor Reindorf Nartey</v>
      </c>
      <c r="C57" s="258">
        <v>105</v>
      </c>
      <c r="D57" s="258" t="str">
        <f t="shared" si="7"/>
        <v>ED3-AE</v>
      </c>
      <c r="E57" s="258" t="str">
        <f>[9]Sheet6!B12</f>
        <v>MATH 351</v>
      </c>
      <c r="F57" s="258"/>
      <c r="G57" s="258" t="str">
        <f>[9]Sheet6!E12</f>
        <v>NUMERICAL ANALYSIS</v>
      </c>
    </row>
    <row r="58" spans="1:7" s="3" customFormat="1" x14ac:dyDescent="0.35">
      <c r="A58" s="257" t="str">
        <f t="shared" si="0"/>
        <v>ME 355,ED3-AE</v>
      </c>
      <c r="B58" s="309" t="str">
        <f>[9]Sheet6!G13</f>
        <v>Agyei Agyemang Anthony</v>
      </c>
      <c r="C58" s="258">
        <v>105</v>
      </c>
      <c r="D58" s="258" t="str">
        <f t="shared" si="7"/>
        <v>ED3-AE</v>
      </c>
      <c r="E58" s="258" t="str">
        <f>[9]Sheet6!B13</f>
        <v>ME 355</v>
      </c>
      <c r="F58" s="258"/>
      <c r="G58" s="258" t="str">
        <f>[9]Sheet6!E13</f>
        <v>STRENGTH OF MATERIALS II</v>
      </c>
    </row>
    <row r="59" spans="1:7" s="3" customFormat="1" x14ac:dyDescent="0.35">
      <c r="A59" s="257" t="str">
        <f t="shared" si="0"/>
        <v>ME 365,ED3-AE</v>
      </c>
      <c r="B59" s="309" t="str">
        <f>[9]Sheet6!G14</f>
        <v>Forson Francis Kofi</v>
      </c>
      <c r="C59" s="258">
        <v>105</v>
      </c>
      <c r="D59" s="258" t="str">
        <f t="shared" si="7"/>
        <v>ED3-AE</v>
      </c>
      <c r="E59" s="258" t="str">
        <f>[9]Sheet6!B14</f>
        <v>ME 365</v>
      </c>
      <c r="F59" s="258"/>
      <c r="G59" s="258" t="str">
        <f>[9]Sheet6!E14</f>
        <v>THERMODYNAMICS  II</v>
      </c>
    </row>
    <row r="60" spans="1:7" s="3" customFormat="1" x14ac:dyDescent="0.35">
      <c r="A60" s="257" t="str">
        <f t="shared" si="0"/>
        <v>AE 451,ED4-AE</v>
      </c>
      <c r="B60" s="309" t="str">
        <f>[9]Sheet7!G8</f>
        <v>Agodzo Sampson Kwaku</v>
      </c>
      <c r="C60" s="258">
        <v>103</v>
      </c>
      <c r="D60" s="258" t="s">
        <v>131</v>
      </c>
      <c r="E60" s="258" t="str">
        <f>[9]Sheet7!B8</f>
        <v>AE 451</v>
      </c>
      <c r="F60" s="258"/>
      <c r="G60" s="258" t="str">
        <f>[9]Sheet7!E8</f>
        <v>IRRIGATION AND DRAINAGE</v>
      </c>
    </row>
    <row r="61" spans="1:7" s="3" customFormat="1" x14ac:dyDescent="0.35">
      <c r="A61" s="257" t="str">
        <f t="shared" si="0"/>
        <v>AE 453,ED4-AE</v>
      </c>
      <c r="B61" s="309" t="str">
        <f>[9]Sheet7!G9</f>
        <v>Lavie Jerome Dela</v>
      </c>
      <c r="C61" s="258">
        <v>103</v>
      </c>
      <c r="D61" s="258" t="str">
        <f t="shared" ref="D61:D67" si="8">D60</f>
        <v>ED4-AE</v>
      </c>
      <c r="E61" s="258" t="str">
        <f>[9]Sheet7!B9</f>
        <v>AE 453</v>
      </c>
      <c r="F61" s="258"/>
      <c r="G61" s="258" t="str">
        <f>[9]Sheet7!E9</f>
        <v>ENVIRONMENTAL CONTROL AND LIVESTOCK HOUSING</v>
      </c>
    </row>
    <row r="62" spans="1:7" s="3" customFormat="1" x14ac:dyDescent="0.35">
      <c r="A62" s="257" t="str">
        <f t="shared" si="0"/>
        <v>AE 457,ED4-AE</v>
      </c>
      <c r="B62" s="309" t="str">
        <f>[9]Sheet7!G10</f>
        <v xml:space="preserve">Darko Joseph Ofei </v>
      </c>
      <c r="C62" s="258">
        <v>103</v>
      </c>
      <c r="D62" s="258" t="str">
        <f t="shared" si="8"/>
        <v>ED4-AE</v>
      </c>
      <c r="E62" s="258" t="str">
        <f>[9]Sheet7!B10</f>
        <v>AE 457</v>
      </c>
      <c r="F62" s="258"/>
      <c r="G62" s="258" t="str">
        <f>[9]Sheet7!E10</f>
        <v>CROP PROCESSING</v>
      </c>
    </row>
    <row r="63" spans="1:7" s="3" customFormat="1" x14ac:dyDescent="0.35">
      <c r="A63" s="257" t="str">
        <f t="shared" si="0"/>
        <v>AE 459,ED4-AE</v>
      </c>
      <c r="B63" s="309" t="str">
        <f>[9]Sheet7!G11</f>
        <v>Aikins Stephen Hill Mends</v>
      </c>
      <c r="C63" s="258">
        <v>103</v>
      </c>
      <c r="D63" s="258" t="str">
        <f t="shared" si="8"/>
        <v>ED4-AE</v>
      </c>
      <c r="E63" s="258" t="str">
        <f>[9]Sheet7!B11</f>
        <v>AE 459</v>
      </c>
      <c r="F63" s="258"/>
      <c r="G63" s="258" t="str">
        <f>[9]Sheet7!E11</f>
        <v>ADVANCED FARM POWER AND MACHINERY</v>
      </c>
    </row>
    <row r="64" spans="1:7" s="3" customFormat="1" x14ac:dyDescent="0.35">
      <c r="A64" s="257" t="str">
        <f t="shared" si="0"/>
        <v>AE 471,ED4-AE</v>
      </c>
      <c r="B64" s="309" t="str">
        <f>[9]Sheet7!G12</f>
        <v>Bart Plange Ato</v>
      </c>
      <c r="C64" s="258">
        <v>103</v>
      </c>
      <c r="D64" s="258" t="str">
        <f t="shared" si="8"/>
        <v>ED4-AE</v>
      </c>
      <c r="E64" s="258" t="str">
        <f>[9]Sheet7!B12</f>
        <v>AE 471</v>
      </c>
      <c r="F64" s="258"/>
      <c r="G64" s="258" t="str">
        <f>[9]Sheet7!E12</f>
        <v>FARM STRUCTURES</v>
      </c>
    </row>
    <row r="65" spans="1:7" s="3" customFormat="1" x14ac:dyDescent="0.35">
      <c r="A65" s="257" t="str">
        <f t="shared" si="0"/>
        <v>AE 497,ED4-AE</v>
      </c>
      <c r="B65" s="309" t="str">
        <f>[9]Sheet7!G13</f>
        <v>Darko Clara Bernice</v>
      </c>
      <c r="C65" s="258">
        <v>103</v>
      </c>
      <c r="D65" s="258" t="str">
        <f t="shared" si="8"/>
        <v>ED4-AE</v>
      </c>
      <c r="E65" s="258" t="str">
        <f>[9]Sheet7!B13</f>
        <v>AE 497</v>
      </c>
      <c r="F65" s="258"/>
      <c r="G65" s="258" t="str">
        <f>[9]Sheet7!E13</f>
        <v>PROJECT I</v>
      </c>
    </row>
    <row r="66" spans="1:7" s="3" customFormat="1" x14ac:dyDescent="0.35">
      <c r="A66" s="257" t="str">
        <f t="shared" ref="A66:A130" si="9">_xlfn.CONCAT(E66,",",D66)</f>
        <v>ME 491,ED4-AE</v>
      </c>
      <c r="B66" s="309" t="str">
        <f>[9]Sheet7!G14</f>
        <v>Aikins Stephen Hill Mends</v>
      </c>
      <c r="C66" s="258">
        <v>103</v>
      </c>
      <c r="D66" s="258" t="str">
        <f t="shared" si="8"/>
        <v>ED4-AE</v>
      </c>
      <c r="E66" s="258" t="str">
        <f>[9]Sheet7!B14</f>
        <v>ME 491</v>
      </c>
      <c r="F66" s="258"/>
      <c r="G66" s="258" t="str">
        <f>[9]Sheet7!E14</f>
        <v>ENGINEERING ECONOMICS AND MANAGEMENT</v>
      </c>
    </row>
    <row r="67" spans="1:7" s="3" customFormat="1" x14ac:dyDescent="0.35">
      <c r="A67" s="257" t="str">
        <f t="shared" si="9"/>
        <v>AE 499,ED4-AE</v>
      </c>
      <c r="B67" s="309" t="str">
        <f>[9]Sheet7!G15</f>
        <v>Asante Eric Amoah</v>
      </c>
      <c r="C67" s="258">
        <v>103</v>
      </c>
      <c r="D67" s="258" t="str">
        <f t="shared" si="8"/>
        <v>ED4-AE</v>
      </c>
      <c r="E67" s="258" t="str">
        <f>[9]Sheet7!B15</f>
        <v>AE 499</v>
      </c>
      <c r="F67" s="258"/>
      <c r="G67" s="258" t="str">
        <f>[9]Sheet7!E15</f>
        <v>VACATION TRAINING</v>
      </c>
    </row>
    <row r="68" spans="1:7" s="6" customFormat="1" x14ac:dyDescent="0.35">
      <c r="A68" s="257" t="str">
        <f t="shared" si="9"/>
        <v>AI 150,ED1-AUTO</v>
      </c>
      <c r="B68" s="310" t="str">
        <f>[9]Sheet7!G19</f>
        <v>Nunoo-Mensah Henry</v>
      </c>
      <c r="C68" s="259">
        <v>88</v>
      </c>
      <c r="D68" s="259" t="s">
        <v>166</v>
      </c>
      <c r="E68" s="259" t="str">
        <f>[9]Sheet7!B19</f>
        <v>AI 150</v>
      </c>
      <c r="F68" s="259"/>
      <c r="G68" s="259" t="str">
        <f>[9]Sheet7!E19</f>
        <v>FUNDAMENTALS OF RESPONSIBLE AI FOR ALL</v>
      </c>
    </row>
    <row r="69" spans="1:7" s="6" customFormat="1" x14ac:dyDescent="0.35">
      <c r="A69" s="257" t="str">
        <f t="shared" si="9"/>
        <v>AME 167,ED1-AUTO</v>
      </c>
      <c r="B69" s="310" t="str">
        <f>[9]Sheet7!G20</f>
        <v>Tay Godwin Fabiola Kwaku</v>
      </c>
      <c r="C69" s="259">
        <v>88</v>
      </c>
      <c r="D69" s="259" t="str">
        <f t="shared" ref="D69:D75" si="10">D68</f>
        <v>ED1-AUTO</v>
      </c>
      <c r="E69" s="259" t="str">
        <f>[9]Sheet7!B20</f>
        <v>AME 167</v>
      </c>
      <c r="F69" s="259"/>
      <c r="G69" s="259" t="str">
        <f>[9]Sheet7!E20</f>
        <v>COMPUTER PROGRAMMING FOR ENGINEERS</v>
      </c>
    </row>
    <row r="70" spans="1:7" s="6" customFormat="1" x14ac:dyDescent="0.35">
      <c r="A70" s="257" t="str">
        <f t="shared" si="9"/>
        <v>ECON 151,ED1-AUTO</v>
      </c>
      <c r="B70" s="310" t="str">
        <f>[9]Sheet7!G21</f>
        <v>Takyi Paul Owusu</v>
      </c>
      <c r="C70" s="259">
        <v>88</v>
      </c>
      <c r="D70" s="259" t="str">
        <f t="shared" si="10"/>
        <v>ED1-AUTO</v>
      </c>
      <c r="E70" s="259" t="str">
        <f>[9]Sheet7!B21</f>
        <v>ECON 151</v>
      </c>
      <c r="F70" s="259"/>
      <c r="G70" s="259" t="str">
        <f>[9]Sheet7!E21</f>
        <v xml:space="preserve">INTRODUCTION TO ECONOMICS </v>
      </c>
    </row>
    <row r="71" spans="1:7" s="6" customFormat="1" x14ac:dyDescent="0.35">
      <c r="A71" s="257" t="str">
        <f t="shared" si="9"/>
        <v>EE 151,ED1-AUTO</v>
      </c>
      <c r="B71" s="310" t="str">
        <f>[9]Sheet7!G22</f>
        <v>Acheampong Francisca Adoma</v>
      </c>
      <c r="C71" s="259">
        <v>88</v>
      </c>
      <c r="D71" s="259" t="str">
        <f t="shared" si="10"/>
        <v>ED1-AUTO</v>
      </c>
      <c r="E71" s="259" t="str">
        <f>[9]Sheet7!B22</f>
        <v>EE 151</v>
      </c>
      <c r="F71" s="259"/>
      <c r="G71" s="259" t="str">
        <f>[9]Sheet7!E22</f>
        <v>APPLIED ELECTRICITY</v>
      </c>
    </row>
    <row r="72" spans="1:7" s="6" customFormat="1" x14ac:dyDescent="0.35">
      <c r="A72" s="257" t="str">
        <f t="shared" si="9"/>
        <v>ENGL 157,ED1-AUTO</v>
      </c>
      <c r="B72" s="310" t="str">
        <f>[9]Sheet7!G23</f>
        <v>Sarfo-Adu Kwasi</v>
      </c>
      <c r="C72" s="259">
        <v>88</v>
      </c>
      <c r="D72" s="259" t="str">
        <f t="shared" si="10"/>
        <v>ED1-AUTO</v>
      </c>
      <c r="E72" s="259" t="str">
        <f>[9]Sheet7!B23</f>
        <v>ENGL 157</v>
      </c>
      <c r="F72" s="259"/>
      <c r="G72" s="259" t="str">
        <f>[9]Sheet7!E23</f>
        <v>COMMUNICATION SKILLS I</v>
      </c>
    </row>
    <row r="73" spans="1:7" s="6" customFormat="1" x14ac:dyDescent="0.35">
      <c r="A73" s="257" t="str">
        <f t="shared" si="9"/>
        <v>MATH 151,ED1-AUTO</v>
      </c>
      <c r="B73" s="310" t="str">
        <f>[9]Sheet7!G24</f>
        <v>Azure Isaac</v>
      </c>
      <c r="C73" s="259">
        <v>88</v>
      </c>
      <c r="D73" s="259" t="str">
        <f t="shared" si="10"/>
        <v>ED1-AUTO</v>
      </c>
      <c r="E73" s="259" t="str">
        <f>[9]Sheet7!B24</f>
        <v>MATH 151</v>
      </c>
      <c r="F73" s="259"/>
      <c r="G73" s="259" t="str">
        <f>[9]Sheet7!E24</f>
        <v>ALGEBRA</v>
      </c>
    </row>
    <row r="74" spans="1:7" s="6" customFormat="1" x14ac:dyDescent="0.35">
      <c r="A74" s="257" t="str">
        <f t="shared" si="9"/>
        <v>ME 159,ED1-AUTO</v>
      </c>
      <c r="B74" s="310" t="str">
        <f>[9]Sheet7!G25</f>
        <v>Sekyere Charles Kofi Kafui</v>
      </c>
      <c r="C74" s="259">
        <v>88</v>
      </c>
      <c r="D74" s="259" t="str">
        <f t="shared" si="10"/>
        <v>ED1-AUTO</v>
      </c>
      <c r="E74" s="259" t="str">
        <f>[9]Sheet7!B25</f>
        <v>ME 159</v>
      </c>
      <c r="F74" s="259"/>
      <c r="G74" s="259" t="str">
        <f>[9]Sheet7!E25</f>
        <v>TECHNICAL DRAWING</v>
      </c>
    </row>
    <row r="75" spans="1:7" s="6" customFormat="1" x14ac:dyDescent="0.35">
      <c r="A75" s="257" t="str">
        <f t="shared" si="9"/>
        <v>ME 195,ED1-AUTO</v>
      </c>
      <c r="B75" s="310" t="str">
        <f>[9]Sheet7!G26</f>
        <v>Tay Godwin Fabiola Kwaku</v>
      </c>
      <c r="C75" s="259">
        <v>88</v>
      </c>
      <c r="D75" s="259" t="str">
        <f t="shared" si="10"/>
        <v>ED1-AUTO</v>
      </c>
      <c r="E75" s="259" t="str">
        <f>[9]Sheet7!B26</f>
        <v>ME 195</v>
      </c>
      <c r="F75" s="259"/>
      <c r="G75" s="259" t="str">
        <f>[9]Sheet7!E26</f>
        <v xml:space="preserve">ENGINEERING TECHNOLOGY </v>
      </c>
    </row>
    <row r="76" spans="1:7" s="6" customFormat="1" x14ac:dyDescent="0.35">
      <c r="A76" s="257" t="str">
        <f t="shared" si="9"/>
        <v>AME 295,ED2-AUTO</v>
      </c>
      <c r="B76" s="310" t="str">
        <f>[9]Sheet8!G8</f>
        <v>Ayetor Godwin Kafui Kwesi</v>
      </c>
      <c r="C76" s="259">
        <v>77</v>
      </c>
      <c r="D76" s="259" t="s">
        <v>26</v>
      </c>
      <c r="E76" s="259" t="str">
        <f>[9]Sheet8!B8</f>
        <v>AME 295</v>
      </c>
      <c r="F76" s="259"/>
      <c r="G76" s="259" t="str">
        <f>[9]Sheet8!E8</f>
        <v>AUTOMOBILE ENGINEERING LABORATORY I</v>
      </c>
    </row>
    <row r="77" spans="1:7" s="6" customFormat="1" x14ac:dyDescent="0.35">
      <c r="A77" s="257" t="str">
        <f t="shared" si="9"/>
        <v>CENG 291,ED2-AUTO</v>
      </c>
      <c r="B77" s="310" t="str">
        <f>[9]Sheet8!G9</f>
        <v>Amoabeng Kofi Owura</v>
      </c>
      <c r="C77" s="259">
        <v>77</v>
      </c>
      <c r="D77" s="259" t="str">
        <f t="shared" ref="D77:D84" si="11">D76</f>
        <v>ED2-AUTO</v>
      </c>
      <c r="E77" s="259" t="str">
        <f>[9]Sheet8!B9</f>
        <v>CENG 291</v>
      </c>
      <c r="F77" s="259"/>
      <c r="G77" s="259" t="str">
        <f>[9]Sheet8!E9</f>
        <v>ENGINEERING IN SOCIETY</v>
      </c>
    </row>
    <row r="78" spans="1:7" s="6" customFormat="1" x14ac:dyDescent="0.35">
      <c r="A78" s="257" t="str">
        <f t="shared" si="9"/>
        <v>MATH 251,ED2-AUTO</v>
      </c>
      <c r="B78" s="310" t="str">
        <f>[9]Sheet8!G10</f>
        <v>Eghan Rhydal Esi</v>
      </c>
      <c r="C78" s="259">
        <v>77</v>
      </c>
      <c r="D78" s="259" t="str">
        <f t="shared" si="11"/>
        <v>ED2-AUTO</v>
      </c>
      <c r="E78" s="259" t="str">
        <f>[9]Sheet8!B10</f>
        <v>MATH 251</v>
      </c>
      <c r="F78" s="259"/>
      <c r="G78" s="259" t="str">
        <f>[9]Sheet8!E10</f>
        <v>DIFFERENTIAL EQUATIONS</v>
      </c>
    </row>
    <row r="79" spans="1:7" s="6" customFormat="1" x14ac:dyDescent="0.35">
      <c r="A79" s="257" t="str">
        <f t="shared" si="9"/>
        <v>ME 251,ED2-AUTO</v>
      </c>
      <c r="B79" s="310" t="str">
        <f>[9]Sheet8!G11</f>
        <v>Tay Godwin Fabiola Kwaku</v>
      </c>
      <c r="C79" s="259">
        <v>77</v>
      </c>
      <c r="D79" s="259" t="str">
        <f t="shared" si="11"/>
        <v>ED2-AUTO</v>
      </c>
      <c r="E79" s="259" t="str">
        <f>[9]Sheet8!B11</f>
        <v>ME 251</v>
      </c>
      <c r="F79" s="259"/>
      <c r="G79" s="259" t="str">
        <f>[9]Sheet8!E11</f>
        <v>INTRODUCTION TO FLUID MECHANICS</v>
      </c>
    </row>
    <row r="80" spans="1:7" s="6" customFormat="1" x14ac:dyDescent="0.35">
      <c r="A80" s="257" t="str">
        <f t="shared" si="9"/>
        <v>ME 255,ED2-AUTO</v>
      </c>
      <c r="B80" s="310" t="str">
        <f>[9]Sheet8!G12</f>
        <v>Dzebre Denis Edem Kwame</v>
      </c>
      <c r="C80" s="259">
        <v>77</v>
      </c>
      <c r="D80" s="259" t="str">
        <f t="shared" si="11"/>
        <v>ED2-AUTO</v>
      </c>
      <c r="E80" s="259" t="str">
        <f>[9]Sheet8!B12</f>
        <v>ME 255</v>
      </c>
      <c r="F80" s="259"/>
      <c r="G80" s="259" t="str">
        <f>[9]Sheet8!E12</f>
        <v>STRENGTH OF MATERIALS I</v>
      </c>
    </row>
    <row r="81" spans="1:7" s="6" customFormat="1" x14ac:dyDescent="0.35">
      <c r="A81" s="257" t="str">
        <f t="shared" si="9"/>
        <v>ME 259,ED2-AUTO</v>
      </c>
      <c r="B81" s="310" t="str">
        <f>[9]Sheet8!G13</f>
        <v>Ayetor Godwin Kafui Kwesi</v>
      </c>
      <c r="C81" s="259">
        <v>77</v>
      </c>
      <c r="D81" s="259" t="str">
        <f t="shared" si="11"/>
        <v>ED2-AUTO</v>
      </c>
      <c r="E81" s="259" t="str">
        <f>[9]Sheet8!B13</f>
        <v>ME 259</v>
      </c>
      <c r="F81" s="259"/>
      <c r="G81" s="259" t="str">
        <f>[9]Sheet8!E13</f>
        <v>APPLICATIONS OF COMPUTER GRAPHICS</v>
      </c>
    </row>
    <row r="82" spans="1:7" s="6" customFormat="1" x14ac:dyDescent="0.35">
      <c r="A82" s="257" t="str">
        <f t="shared" si="9"/>
        <v>ME 261,ED2-AUTO</v>
      </c>
      <c r="B82" s="310" t="str">
        <f>[9]Sheet8!G14</f>
        <v>Ampofo Joshua</v>
      </c>
      <c r="C82" s="259">
        <v>77</v>
      </c>
      <c r="D82" s="259" t="str">
        <f t="shared" si="11"/>
        <v>ED2-AUTO</v>
      </c>
      <c r="E82" s="259" t="str">
        <f>[9]Sheet8!B14</f>
        <v>ME 261</v>
      </c>
      <c r="F82" s="259"/>
      <c r="G82" s="259" t="str">
        <f>[9]Sheet8!E14</f>
        <v>ENGINEERING MECHANICS II:DYNAMICS</v>
      </c>
    </row>
    <row r="83" spans="1:7" s="6" customFormat="1" x14ac:dyDescent="0.35">
      <c r="A83" s="257" t="str">
        <f t="shared" si="9"/>
        <v>ME 281,ED2-AUTO</v>
      </c>
      <c r="B83" s="310" t="str">
        <f>[9]Sheet8!G15</f>
        <v>Boahen Samuel</v>
      </c>
      <c r="C83" s="259">
        <v>77</v>
      </c>
      <c r="D83" s="259" t="str">
        <f t="shared" si="11"/>
        <v>ED2-AUTO</v>
      </c>
      <c r="E83" s="259" t="str">
        <f>[9]Sheet8!B15</f>
        <v>ME 281</v>
      </c>
      <c r="F83" s="259"/>
      <c r="G83" s="259" t="str">
        <f>[9]Sheet8!E15</f>
        <v>ENGINEERING MATERIALS I</v>
      </c>
    </row>
    <row r="84" spans="1:7" s="6" customFormat="1" ht="15.5" x14ac:dyDescent="0.35">
      <c r="A84" s="257" t="str">
        <f t="shared" si="9"/>
        <v>,ED2-AUTO</v>
      </c>
      <c r="B84" s="311"/>
      <c r="C84" s="259">
        <v>77</v>
      </c>
      <c r="D84" s="22" t="str">
        <f t="shared" si="11"/>
        <v>ED2-AUTO</v>
      </c>
      <c r="E84" s="22" t="str">
        <f>[9]Sheet8!B16</f>
        <v/>
      </c>
      <c r="F84" s="22"/>
      <c r="G84" s="22"/>
    </row>
    <row r="85" spans="1:7" s="6" customFormat="1" x14ac:dyDescent="0.35">
      <c r="A85" s="257" t="str">
        <f t="shared" si="9"/>
        <v>AME 365,ED3-AUTO</v>
      </c>
      <c r="B85" s="310" t="str">
        <f>[9]Sheet9!G8</f>
        <v>Forson Francis Kofi</v>
      </c>
      <c r="C85" s="259">
        <v>47</v>
      </c>
      <c r="D85" s="259" t="s">
        <v>12</v>
      </c>
      <c r="E85" s="259" t="str">
        <f>[9]Sheet9!B8</f>
        <v>AME 365</v>
      </c>
      <c r="F85" s="259"/>
      <c r="G85" s="259" t="str">
        <f>[9]Sheet9!E8</f>
        <v>HEAT TRANSFER AND COMBUSTION</v>
      </c>
    </row>
    <row r="86" spans="1:7" s="6" customFormat="1" x14ac:dyDescent="0.35">
      <c r="A86" s="257" t="str">
        <f t="shared" si="9"/>
        <v>AME 371,ED3-AUTO</v>
      </c>
      <c r="B86" s="310" t="str">
        <f>[9]Sheet9!G9</f>
        <v>Ayetor Godwin Kafui Kwesi</v>
      </c>
      <c r="C86" s="259">
        <v>47</v>
      </c>
      <c r="D86" s="259" t="str">
        <f t="shared" ref="D86:D93" si="12">D85</f>
        <v>ED3-AUTO</v>
      </c>
      <c r="E86" s="259" t="str">
        <f>[9]Sheet9!B9</f>
        <v>AME 371</v>
      </c>
      <c r="F86" s="259"/>
      <c r="G86" s="259" t="str">
        <f>[9]Sheet9!E9</f>
        <v>LAND VEHICLE DESIGN</v>
      </c>
    </row>
    <row r="87" spans="1:7" s="6" customFormat="1" x14ac:dyDescent="0.35">
      <c r="A87" s="257" t="str">
        <f t="shared" si="9"/>
        <v>AME 373,ED3-AUTO</v>
      </c>
      <c r="B87" s="310" t="str">
        <f>[9]Sheet9!G10</f>
        <v>Andoh Prince Yaw</v>
      </c>
      <c r="C87" s="259">
        <v>47</v>
      </c>
      <c r="D87" s="259" t="str">
        <f t="shared" si="12"/>
        <v>ED3-AUTO</v>
      </c>
      <c r="E87" s="259" t="str">
        <f>[9]Sheet9!B10</f>
        <v>AME 373</v>
      </c>
      <c r="F87" s="259"/>
      <c r="G87" s="259" t="str">
        <f>[9]Sheet9!E10</f>
        <v>DESIGN OF AUTO MECHANICAL SYSTEMS</v>
      </c>
    </row>
    <row r="88" spans="1:7" s="6" customFormat="1" x14ac:dyDescent="0.35">
      <c r="A88" s="257" t="str">
        <f t="shared" si="9"/>
        <v>AME 379,ED3-AUTO</v>
      </c>
      <c r="B88" s="310" t="str">
        <f>[9]Sheet9!G11</f>
        <v>Ayetor Godwin Kafui Kwesi</v>
      </c>
      <c r="C88" s="259">
        <v>47</v>
      </c>
      <c r="D88" s="259" t="str">
        <f t="shared" si="12"/>
        <v>ED3-AUTO</v>
      </c>
      <c r="E88" s="259" t="str">
        <f>[9]Sheet9!B11</f>
        <v>AME 379</v>
      </c>
      <c r="F88" s="259"/>
      <c r="G88" s="259" t="str">
        <f>[9]Sheet9!E11</f>
        <v>AUTOMOBILE ENGINEERING VACATION TRAINING I</v>
      </c>
    </row>
    <row r="89" spans="1:7" s="6" customFormat="1" x14ac:dyDescent="0.35">
      <c r="A89" s="257" t="str">
        <f t="shared" si="9"/>
        <v>AME 381,ED3-AUTO</v>
      </c>
      <c r="B89" s="310" t="str">
        <f>[9]Sheet9!G12</f>
        <v>Ayetor Godwin Kafui Kwesi</v>
      </c>
      <c r="C89" s="259">
        <v>47</v>
      </c>
      <c r="D89" s="259" t="str">
        <f t="shared" si="12"/>
        <v>ED3-AUTO</v>
      </c>
      <c r="E89" s="259" t="str">
        <f>[9]Sheet9!B12</f>
        <v>AME 381</v>
      </c>
      <c r="F89" s="259"/>
      <c r="G89" s="259" t="str">
        <f>[9]Sheet9!E12</f>
        <v>AUTOMOTIVE WORKSHOP PRACTICE I</v>
      </c>
    </row>
    <row r="90" spans="1:7" s="6" customFormat="1" x14ac:dyDescent="0.35">
      <c r="A90" s="257" t="str">
        <f t="shared" si="9"/>
        <v>AME 395,ED3-AUTO</v>
      </c>
      <c r="B90" s="310" t="str">
        <f>[9]Sheet9!G13</f>
        <v>Dzebre Denis Edem Kwame</v>
      </c>
      <c r="C90" s="259">
        <v>47</v>
      </c>
      <c r="D90" s="259" t="str">
        <f t="shared" si="12"/>
        <v>ED3-AUTO</v>
      </c>
      <c r="E90" s="259" t="str">
        <f>[9]Sheet9!B13</f>
        <v>AME 395</v>
      </c>
      <c r="F90" s="259"/>
      <c r="G90" s="259" t="str">
        <f>[9]Sheet9!E13</f>
        <v>AUTOMOBILE ENGINEERING LABORATORY III</v>
      </c>
    </row>
    <row r="91" spans="1:7" s="6" customFormat="1" x14ac:dyDescent="0.35">
      <c r="A91" s="257" t="str">
        <f t="shared" si="9"/>
        <v>MATH 351,ED3-AUTO</v>
      </c>
      <c r="B91" s="310" t="str">
        <f>[9]Sheet9!G14</f>
        <v>Azure Isaac</v>
      </c>
      <c r="C91" s="259">
        <v>47</v>
      </c>
      <c r="D91" s="259" t="str">
        <f t="shared" si="12"/>
        <v>ED3-AUTO</v>
      </c>
      <c r="E91" s="259" t="str">
        <f>[9]Sheet9!B14</f>
        <v>MATH 351</v>
      </c>
      <c r="F91" s="259"/>
      <c r="G91" s="259" t="str">
        <f>[9]Sheet9!E14</f>
        <v>NUMERICAL ANALYSIS</v>
      </c>
    </row>
    <row r="92" spans="1:7" s="6" customFormat="1" x14ac:dyDescent="0.35">
      <c r="A92" s="257" t="str">
        <f t="shared" si="9"/>
        <v>ME 361,ED3-AUTO</v>
      </c>
      <c r="B92" s="310" t="str">
        <f>[9]Sheet9!G15</f>
        <v>Ampofo Joshua</v>
      </c>
      <c r="C92" s="259">
        <v>47</v>
      </c>
      <c r="D92" s="259" t="str">
        <f t="shared" si="12"/>
        <v>ED3-AUTO</v>
      </c>
      <c r="E92" s="259" t="str">
        <f>[9]Sheet9!B15</f>
        <v>ME 361</v>
      </c>
      <c r="F92" s="259"/>
      <c r="G92" s="259" t="str">
        <f>[9]Sheet9!E15</f>
        <v>DYNAMICS OF MACHINERY</v>
      </c>
    </row>
    <row r="93" spans="1:7" s="6" customFormat="1" x14ac:dyDescent="0.35">
      <c r="A93" s="257" t="str">
        <f t="shared" si="9"/>
        <v>STAT 253,ED3-AUTO</v>
      </c>
      <c r="B93" s="310" t="str">
        <f>[9]Sheet9!G16</f>
        <v>Okutu John Kwadey</v>
      </c>
      <c r="C93" s="259">
        <v>47</v>
      </c>
      <c r="D93" s="259" t="str">
        <f t="shared" si="12"/>
        <v>ED3-AUTO</v>
      </c>
      <c r="E93" s="259" t="str">
        <f>[9]Sheet9!B16</f>
        <v>STAT 253</v>
      </c>
      <c r="F93" s="259"/>
      <c r="G93" s="259" t="str">
        <f>[9]Sheet9!E16</f>
        <v>PROBABILITY AND STATISTICS</v>
      </c>
    </row>
    <row r="94" spans="1:7" s="6" customFormat="1" x14ac:dyDescent="0.35">
      <c r="A94" s="257" t="str">
        <f t="shared" si="9"/>
        <v>AME 455,ED4-AUTO</v>
      </c>
      <c r="B94" s="310" t="str">
        <f>[9]Sheet10!G8</f>
        <v>Sekyere Charles Kofi Kafui</v>
      </c>
      <c r="C94" s="259">
        <v>32</v>
      </c>
      <c r="D94" s="259" t="s">
        <v>75</v>
      </c>
      <c r="E94" s="259" t="str">
        <f>[9]Sheet10!B8</f>
        <v>AME 455</v>
      </c>
      <c r="F94" s="259"/>
      <c r="G94" s="259" t="str">
        <f>[9]Sheet10!E8</f>
        <v>VEHICLE AIR-CONDITIONING AND REFRIGERATION</v>
      </c>
    </row>
    <row r="95" spans="1:7" s="6" customFormat="1" x14ac:dyDescent="0.35">
      <c r="A95" s="257" t="str">
        <f t="shared" si="9"/>
        <v>AME 467,ED4-AUTO</v>
      </c>
      <c r="B95" s="310" t="str">
        <f>[9]Sheet10!G9</f>
        <v>Abu Frimpong Solomon</v>
      </c>
      <c r="C95" s="259">
        <v>32</v>
      </c>
      <c r="D95" s="259" t="str">
        <f t="shared" ref="D95:D101" si="13">D94</f>
        <v>ED4-AUTO</v>
      </c>
      <c r="E95" s="259" t="str">
        <f>[9]Sheet10!B9</f>
        <v>AME 467</v>
      </c>
      <c r="F95" s="259"/>
      <c r="G95" s="259" t="str">
        <f>[9]Sheet10!E9</f>
        <v>AUTOMOTIVE COMPRESSION-IGNITION ENGINES</v>
      </c>
    </row>
    <row r="96" spans="1:7" s="6" customFormat="1" x14ac:dyDescent="0.35">
      <c r="A96" s="257" t="str">
        <f t="shared" si="9"/>
        <v>AME 479,ED4-AUTO</v>
      </c>
      <c r="B96" s="310" t="str">
        <f>[9]Sheet10!G10</f>
        <v>Afriyie Nyarko Frank Kwabena</v>
      </c>
      <c r="C96" s="259">
        <v>32</v>
      </c>
      <c r="D96" s="259" t="str">
        <f t="shared" si="13"/>
        <v>ED4-AUTO</v>
      </c>
      <c r="E96" s="259" t="str">
        <f>[9]Sheet10!B10</f>
        <v>AME 479</v>
      </c>
      <c r="F96" s="259"/>
      <c r="G96" s="259" t="str">
        <f>[9]Sheet10!E10</f>
        <v>AUTOMOBILE ENGINEERING VACATION TRAINING II</v>
      </c>
    </row>
    <row r="97" spans="1:7" s="6" customFormat="1" x14ac:dyDescent="0.35">
      <c r="A97" s="257" t="str">
        <f t="shared" si="9"/>
        <v>AME 485,ED4-AUTO</v>
      </c>
      <c r="B97" s="310" t="str">
        <f>[9]Sheet10!G11</f>
        <v>Abu Frimpong Solomon</v>
      </c>
      <c r="C97" s="259">
        <v>32</v>
      </c>
      <c r="D97" s="259" t="str">
        <f t="shared" si="13"/>
        <v>ED4-AUTO</v>
      </c>
      <c r="E97" s="259" t="str">
        <f>[9]Sheet10!B11</f>
        <v>AME 485</v>
      </c>
      <c r="F97" s="259"/>
      <c r="G97" s="259" t="str">
        <f>[9]Sheet10!E11</f>
        <v>AUTOMATIC POWER TRAIN</v>
      </c>
    </row>
    <row r="98" spans="1:7" s="6" customFormat="1" x14ac:dyDescent="0.35">
      <c r="A98" s="257" t="str">
        <f t="shared" si="9"/>
        <v>AME 495,ED4-AUTO</v>
      </c>
      <c r="B98" s="310" t="str">
        <f>[9]Sheet10!G12</f>
        <v>Ayetor Godwin Kafui Kwesi</v>
      </c>
      <c r="C98" s="259">
        <v>32</v>
      </c>
      <c r="D98" s="259" t="str">
        <f t="shared" si="13"/>
        <v>ED4-AUTO</v>
      </c>
      <c r="E98" s="259" t="str">
        <f>[9]Sheet10!B12</f>
        <v>AME 495</v>
      </c>
      <c r="F98" s="259"/>
      <c r="G98" s="259" t="str">
        <f>[9]Sheet10!E12</f>
        <v>AUTOMOTIVE WORKSHOP PRACTICE II</v>
      </c>
    </row>
    <row r="99" spans="1:7" s="6" customFormat="1" x14ac:dyDescent="0.35">
      <c r="A99" s="257" t="str">
        <f t="shared" si="9"/>
        <v>AME 497,ED4-AUTO</v>
      </c>
      <c r="B99" s="310" t="str">
        <f>[9]Sheet10!G13</f>
        <v>Tay Godwin Fabiola Kwaku</v>
      </c>
      <c r="C99" s="259">
        <v>32</v>
      </c>
      <c r="D99" s="259" t="str">
        <f t="shared" si="13"/>
        <v>ED4-AUTO</v>
      </c>
      <c r="E99" s="259" t="str">
        <f>[9]Sheet10!B13</f>
        <v>AME 497</v>
      </c>
      <c r="F99" s="259"/>
      <c r="G99" s="259" t="str">
        <f>[9]Sheet10!E13</f>
        <v>FINAL YEAR PROJECT I</v>
      </c>
    </row>
    <row r="100" spans="1:7" s="6" customFormat="1" x14ac:dyDescent="0.35">
      <c r="A100" s="257" t="str">
        <f t="shared" si="9"/>
        <v>ME 453,ED4-AUTO</v>
      </c>
      <c r="B100" s="310" t="str">
        <f>[9]Sheet10!G14</f>
        <v>Fiagbe Yesuenyeagbe Atsu Kwabla</v>
      </c>
      <c r="C100" s="259">
        <v>32</v>
      </c>
      <c r="D100" s="259" t="str">
        <f t="shared" si="13"/>
        <v>ED4-AUTO</v>
      </c>
      <c r="E100" s="259" t="str">
        <f>[9]Sheet10!B14</f>
        <v>ME 453</v>
      </c>
      <c r="F100" s="259"/>
      <c r="G100" s="259" t="str">
        <f>[9]Sheet10!E14</f>
        <v>HYDRAULICS AND PNEUMATICS</v>
      </c>
    </row>
    <row r="101" spans="1:7" s="6" customFormat="1" x14ac:dyDescent="0.35">
      <c r="A101" s="257" t="str">
        <f t="shared" si="9"/>
        <v>ME 491,ED4-AUTO</v>
      </c>
      <c r="B101" s="310" t="str">
        <f>[9]Sheet10!G15</f>
        <v>Asiedu Charlotte</v>
      </c>
      <c r="C101" s="259">
        <v>32</v>
      </c>
      <c r="D101" s="259" t="str">
        <f t="shared" si="13"/>
        <v>ED4-AUTO</v>
      </c>
      <c r="E101" s="259" t="str">
        <f>[9]Sheet10!B15</f>
        <v>ME 491</v>
      </c>
      <c r="F101" s="259"/>
      <c r="G101" s="259" t="str">
        <f>[9]Sheet10!E15</f>
        <v>ENGINEERING ECONOMY AND MANAGEMENT</v>
      </c>
    </row>
    <row r="102" spans="1:7" x14ac:dyDescent="0.35">
      <c r="A102" s="257" t="str">
        <f t="shared" si="9"/>
        <v>BME 161,ED1-BME</v>
      </c>
      <c r="B102" s="312" t="str">
        <f>[9]Sheet10!G19</f>
        <v>Adjei Prince Ebenezer</v>
      </c>
      <c r="C102" s="260">
        <v>136</v>
      </c>
      <c r="D102" s="260" t="s">
        <v>162</v>
      </c>
      <c r="E102" s="260" t="str">
        <f>[9]Sheet10!B19</f>
        <v>BME 161</v>
      </c>
      <c r="F102" s="260"/>
      <c r="G102" s="260" t="str">
        <f>[9]Sheet10!E19</f>
        <v>CELL BIOLOGY</v>
      </c>
    </row>
    <row r="103" spans="1:7" s="3" customFormat="1" x14ac:dyDescent="0.35">
      <c r="A103" s="257" t="str">
        <f t="shared" si="9"/>
        <v>CHEM 151,ED1-BME</v>
      </c>
      <c r="B103" s="312" t="str">
        <f>[9]Sheet10!G20</f>
        <v>Sarpong Lilian</v>
      </c>
      <c r="C103" s="260">
        <v>136</v>
      </c>
      <c r="D103" s="260" t="s">
        <v>162</v>
      </c>
      <c r="E103" s="260" t="str">
        <f>[9]Sheet10!B20</f>
        <v>CHEM 151</v>
      </c>
      <c r="F103" s="260"/>
      <c r="G103" s="260" t="str">
        <f>[9]Sheet10!E20</f>
        <v>GENERAL CHEMISTRY</v>
      </c>
    </row>
    <row r="104" spans="1:7" s="3" customFormat="1" x14ac:dyDescent="0.35">
      <c r="A104" s="257" t="str">
        <f t="shared" si="9"/>
        <v>COE 153,ED1-BME</v>
      </c>
      <c r="B104" s="312" t="str">
        <f>[9]Sheet10!G21</f>
        <v>Addo Daniel Akwei</v>
      </c>
      <c r="C104" s="260">
        <v>136</v>
      </c>
      <c r="D104" s="260" t="str">
        <f t="shared" ref="D104:D109" si="14">D103</f>
        <v>ED1-BME</v>
      </c>
      <c r="E104" s="260" t="str">
        <f>[9]Sheet10!B21</f>
        <v>COE 153</v>
      </c>
      <c r="F104" s="260"/>
      <c r="G104" s="260" t="str">
        <f>[9]Sheet10!E21</f>
        <v>ENGINEERING TECHNOLOGY</v>
      </c>
    </row>
    <row r="105" spans="1:7" s="3" customFormat="1" x14ac:dyDescent="0.35">
      <c r="A105" s="257" t="str">
        <f t="shared" si="9"/>
        <v>EE 151,ED1-BME</v>
      </c>
      <c r="B105" s="312" t="str">
        <f>[9]Sheet10!G22</f>
        <v>Obeng Kwakye Kingsford Sarkodie</v>
      </c>
      <c r="C105" s="260">
        <v>136</v>
      </c>
      <c r="D105" s="260" t="str">
        <f t="shared" si="14"/>
        <v>ED1-BME</v>
      </c>
      <c r="E105" s="260" t="str">
        <f>[9]Sheet10!B22</f>
        <v>EE 151</v>
      </c>
      <c r="F105" s="260"/>
      <c r="G105" s="260" t="str">
        <f>[9]Sheet10!E22</f>
        <v>APPLIED ELECTRICITY</v>
      </c>
    </row>
    <row r="106" spans="1:7" s="3" customFormat="1" x14ac:dyDescent="0.35">
      <c r="A106" s="257" t="str">
        <f t="shared" si="9"/>
        <v>ENGL 157,ED1-BME</v>
      </c>
      <c r="B106" s="312" t="str">
        <f>[9]Sheet10!G23</f>
        <v>Alhassan Yakubu</v>
      </c>
      <c r="C106" s="260">
        <v>136</v>
      </c>
      <c r="D106" s="260" t="str">
        <f t="shared" si="14"/>
        <v>ED1-BME</v>
      </c>
      <c r="E106" s="260" t="str">
        <f>[9]Sheet10!B23</f>
        <v>ENGL 157</v>
      </c>
      <c r="F106" s="260"/>
      <c r="G106" s="260" t="str">
        <f>[9]Sheet10!E23</f>
        <v>COMMUNICATION SKILLS I</v>
      </c>
    </row>
    <row r="107" spans="1:7" s="3" customFormat="1" x14ac:dyDescent="0.35">
      <c r="A107" s="257" t="str">
        <f t="shared" si="9"/>
        <v>MATH 151,ED1-BME</v>
      </c>
      <c r="B107" s="312" t="str">
        <f>[9]Sheet10!G24</f>
        <v>Asamoah Joshua Kiddy Kwasi</v>
      </c>
      <c r="C107" s="260">
        <v>136</v>
      </c>
      <c r="D107" s="260" t="str">
        <f t="shared" si="14"/>
        <v>ED1-BME</v>
      </c>
      <c r="E107" s="260" t="str">
        <f>[9]Sheet10!B24</f>
        <v>MATH 151</v>
      </c>
      <c r="F107" s="260"/>
      <c r="G107" s="260" t="str">
        <f>[9]Sheet10!E24</f>
        <v>ALGEBRA</v>
      </c>
    </row>
    <row r="108" spans="1:7" x14ac:dyDescent="0.35">
      <c r="A108" s="257" t="str">
        <f t="shared" si="9"/>
        <v>ME 161,ED1-BME</v>
      </c>
      <c r="B108" s="312" t="str">
        <f>[9]Sheet10!G25</f>
        <v>Amoabeng Kofi Owura</v>
      </c>
      <c r="C108" s="260">
        <v>136</v>
      </c>
      <c r="D108" s="260" t="str">
        <f t="shared" si="14"/>
        <v>ED1-BME</v>
      </c>
      <c r="E108" s="260" t="str">
        <f>[9]Sheet10!B25</f>
        <v>ME 161</v>
      </c>
      <c r="F108" s="260"/>
      <c r="G108" s="260" t="str">
        <f>[9]Sheet10!E25</f>
        <v>BASIC MECHANICS</v>
      </c>
    </row>
    <row r="109" spans="1:7" x14ac:dyDescent="0.35">
      <c r="A109" s="257" t="str">
        <f t="shared" si="9"/>
        <v>,ED1-BME</v>
      </c>
      <c r="B109" s="308">
        <f>[9]Sheet10!G26</f>
        <v>0</v>
      </c>
      <c r="C109" s="260">
        <v>136</v>
      </c>
      <c r="D109" t="str">
        <f t="shared" si="14"/>
        <v>ED1-BME</v>
      </c>
      <c r="E109" t="str">
        <f>[9]Sheet10!B26</f>
        <v/>
      </c>
    </row>
    <row r="110" spans="1:7" s="3" customFormat="1" x14ac:dyDescent="0.35">
      <c r="A110" s="257" t="str">
        <f t="shared" si="9"/>
        <v>BME 291,ED2-BME</v>
      </c>
      <c r="B110" s="312" t="str">
        <f>[9]Sheet11!G8</f>
        <v>Addo Daniel Akwei</v>
      </c>
      <c r="C110" s="260">
        <v>87</v>
      </c>
      <c r="D110" s="260" t="s">
        <v>29</v>
      </c>
      <c r="E110" s="260" t="str">
        <f>[9]Sheet11!B8</f>
        <v>BME 291</v>
      </c>
      <c r="F110" s="260"/>
      <c r="G110" s="260" t="str">
        <f>[9]Sheet11!E8</f>
        <v>BIOMEDICAL ENGINEERING LAB I</v>
      </c>
    </row>
    <row r="111" spans="1:7" s="3" customFormat="1" x14ac:dyDescent="0.35">
      <c r="A111" s="257" t="str">
        <f t="shared" si="9"/>
        <v>BME 265,ED2-BME</v>
      </c>
      <c r="B111" s="312" t="str">
        <f>[9]Sheet11!G9</f>
        <v>Odame Prince</v>
      </c>
      <c r="C111" s="260">
        <v>87</v>
      </c>
      <c r="D111" s="260" t="str">
        <f t="shared" ref="D111:D119" si="15">D110</f>
        <v>ED2-BME</v>
      </c>
      <c r="E111" s="260" t="str">
        <f>[9]Sheet11!B9</f>
        <v>BME 265</v>
      </c>
      <c r="F111" s="260"/>
      <c r="G111" s="260" t="str">
        <f>[9]Sheet11!E9</f>
        <v>BIOLOGICAL TRANSPORT PHENOMENA</v>
      </c>
    </row>
    <row r="112" spans="1:7" s="3" customFormat="1" x14ac:dyDescent="0.35">
      <c r="A112" s="257" t="str">
        <f t="shared" si="9"/>
        <v>ACF 255,ED2-BME</v>
      </c>
      <c r="B112" s="312" t="str">
        <f>[9]Sheet11!G10</f>
        <v>Yeboah Edward</v>
      </c>
      <c r="C112" s="260">
        <v>16</v>
      </c>
      <c r="D112" s="260" t="str">
        <f t="shared" si="15"/>
        <v>ED2-BME</v>
      </c>
      <c r="E112" s="260" t="str">
        <f>[9]Sheet11!B10</f>
        <v>ACF 255</v>
      </c>
      <c r="F112" s="260"/>
      <c r="G112" s="260" t="str">
        <f>[9]Sheet11!E10</f>
        <v>FINANCIAL ACCOUNTING I</v>
      </c>
    </row>
    <row r="113" spans="1:7" s="3" customFormat="1" x14ac:dyDescent="0.35">
      <c r="A113" s="257" t="str">
        <f t="shared" si="9"/>
        <v>BME 285,ED2-BME</v>
      </c>
      <c r="B113" s="312" t="str">
        <f>[9]Sheet11!G11</f>
        <v>Agyapong Dorothy Araba Yakoba</v>
      </c>
      <c r="C113" s="260">
        <v>87</v>
      </c>
      <c r="D113" s="260" t="str">
        <f t="shared" si="15"/>
        <v>ED2-BME</v>
      </c>
      <c r="E113" s="260" t="str">
        <f>[9]Sheet11!B11</f>
        <v>BME 285</v>
      </c>
      <c r="F113" s="260"/>
      <c r="G113" s="260" t="str">
        <f>[9]Sheet11!E11</f>
        <v>ANATOMY AND PHYSIOLOGY FOR ENGINEERS I</v>
      </c>
    </row>
    <row r="114" spans="1:7" s="3" customFormat="1" x14ac:dyDescent="0.35">
      <c r="A114" s="257" t="str">
        <f t="shared" si="9"/>
        <v>CENG 291,ED2-BME</v>
      </c>
      <c r="B114" s="312" t="str">
        <f>[9]Sheet11!G12</f>
        <v>Odame Prince</v>
      </c>
      <c r="C114" s="260">
        <v>87</v>
      </c>
      <c r="D114" s="260" t="str">
        <f t="shared" si="15"/>
        <v>ED2-BME</v>
      </c>
      <c r="E114" s="260" t="str">
        <f>[9]Sheet11!B12</f>
        <v>CENG 291</v>
      </c>
      <c r="F114" s="260"/>
      <c r="G114" s="260" t="str">
        <f>[9]Sheet11!E12</f>
        <v>ENGINEERING IN SOCIETY</v>
      </c>
    </row>
    <row r="115" spans="1:7" s="3" customFormat="1" x14ac:dyDescent="0.35">
      <c r="A115" s="257" t="str">
        <f t="shared" si="9"/>
        <v>COE 271,ED2-BME</v>
      </c>
      <c r="B115" s="312" t="str">
        <f>[9]Sheet11!G13</f>
        <v>Kommey Benjamin</v>
      </c>
      <c r="C115" s="260">
        <v>87</v>
      </c>
      <c r="D115" s="260" t="str">
        <f t="shared" si="15"/>
        <v>ED2-BME</v>
      </c>
      <c r="E115" s="260" t="str">
        <f>[9]Sheet11!B13</f>
        <v>COE 271</v>
      </c>
      <c r="F115" s="260"/>
      <c r="G115" s="260" t="str">
        <f>[9]Sheet11!E13</f>
        <v>SEMICONDUCTOR DEVICES</v>
      </c>
    </row>
    <row r="116" spans="1:7" s="3" customFormat="1" x14ac:dyDescent="0.35">
      <c r="A116" s="257" t="str">
        <f t="shared" si="9"/>
        <v>COE 281,ED2-BME</v>
      </c>
      <c r="B116" s="312" t="str">
        <f>[9]Sheet11!G14</f>
        <v>Adjei Prince Ebenezer</v>
      </c>
      <c r="C116" s="260">
        <v>87</v>
      </c>
      <c r="D116" s="260" t="str">
        <f t="shared" si="15"/>
        <v>ED2-BME</v>
      </c>
      <c r="E116" s="260" t="str">
        <f>[9]Sheet11!B14</f>
        <v>COE 281</v>
      </c>
      <c r="F116" s="260"/>
      <c r="G116" s="260" t="str">
        <f>[9]Sheet11!E14</f>
        <v>PROGRAMMING AND PROBLEM SOLIVING</v>
      </c>
    </row>
    <row r="117" spans="1:7" s="3" customFormat="1" x14ac:dyDescent="0.35">
      <c r="A117" s="257" t="str">
        <f t="shared" si="9"/>
        <v>ECON 151,ED2-BME</v>
      </c>
      <c r="B117" s="312" t="str">
        <f>[9]Sheet11!G15</f>
        <v>Takyi Paul Owusu</v>
      </c>
      <c r="C117" s="260">
        <v>17</v>
      </c>
      <c r="D117" s="260" t="str">
        <f t="shared" si="15"/>
        <v>ED2-BME</v>
      </c>
      <c r="E117" s="260" t="str">
        <f>[9]Sheet11!B15</f>
        <v>ECON 151</v>
      </c>
      <c r="F117" s="260"/>
      <c r="G117" s="260" t="str">
        <f>[9]Sheet11!E15</f>
        <v>INTRODUCTORY ECONOMICS I</v>
      </c>
    </row>
    <row r="118" spans="1:7" s="3" customFormat="1" x14ac:dyDescent="0.35">
      <c r="A118" s="257" t="str">
        <f t="shared" si="9"/>
        <v>FC 181,ED2-BME</v>
      </c>
      <c r="B118" s="312" t="str">
        <f>[9]Sheet11!G16</f>
        <v>Boakye-Agyeman Candy</v>
      </c>
      <c r="C118" s="260">
        <v>42</v>
      </c>
      <c r="D118" s="260" t="str">
        <f t="shared" si="15"/>
        <v>ED2-BME</v>
      </c>
      <c r="E118" s="260" t="str">
        <f>[9]Sheet11!B16</f>
        <v>FC 181</v>
      </c>
      <c r="F118" s="260"/>
      <c r="G118" s="260" t="str">
        <f>[9]Sheet11!E16</f>
        <v>FRENCH FOR COMMUNICATION PURPOSES I</v>
      </c>
    </row>
    <row r="119" spans="1:7" s="3" customFormat="1" x14ac:dyDescent="0.35">
      <c r="A119" s="257" t="str">
        <f t="shared" si="9"/>
        <v>MATH 251,ED2-BME</v>
      </c>
      <c r="B119" s="312" t="s">
        <v>1370</v>
      </c>
      <c r="C119" s="260">
        <v>87</v>
      </c>
      <c r="D119" s="260" t="str">
        <f t="shared" si="15"/>
        <v>ED2-BME</v>
      </c>
      <c r="E119" s="260" t="s">
        <v>148</v>
      </c>
      <c r="F119" s="260"/>
      <c r="G119" s="266" t="s">
        <v>429</v>
      </c>
    </row>
    <row r="120" spans="1:7" s="3" customFormat="1" x14ac:dyDescent="0.35">
      <c r="A120" s="257" t="str">
        <f t="shared" si="9"/>
        <v>BME 397,ED3-BME</v>
      </c>
      <c r="B120" s="312" t="str">
        <f>[9]Sheet12!G8</f>
        <v>Acquah Isaac</v>
      </c>
      <c r="C120" s="260">
        <v>94</v>
      </c>
      <c r="D120" s="260" t="s">
        <v>13</v>
      </c>
      <c r="E120" s="260" t="str">
        <f>[9]Sheet12!B8</f>
        <v>BME 397</v>
      </c>
      <c r="F120" s="260"/>
      <c r="G120" s="260" t="str">
        <f>[9]Sheet12!E8</f>
        <v>RESEARCH METHODS</v>
      </c>
    </row>
    <row r="121" spans="1:7" s="3" customFormat="1" x14ac:dyDescent="0.35">
      <c r="A121" s="257" t="str">
        <f t="shared" si="9"/>
        <v>COE 371,ED3-BME</v>
      </c>
      <c r="B121" s="312" t="str">
        <f>[9]Sheet12!G9</f>
        <v>Agbemenu Andrew Selasi</v>
      </c>
      <c r="C121" s="260">
        <v>94</v>
      </c>
      <c r="D121" s="260" t="str">
        <f t="shared" ref="D121:D126" si="16">D120</f>
        <v>ED3-BME</v>
      </c>
      <c r="E121" s="260" t="str">
        <f>[9]Sheet12!B9</f>
        <v>COE 371</v>
      </c>
      <c r="F121" s="260"/>
      <c r="G121" s="260" t="str">
        <f>[9]Sheet12!E9</f>
        <v>LINEAR ELECTRONIC CIRCUITS</v>
      </c>
    </row>
    <row r="122" spans="1:7" s="3" customFormat="1" x14ac:dyDescent="0.35">
      <c r="A122" s="257" t="str">
        <f t="shared" si="9"/>
        <v>COE 381,ED3-BME</v>
      </c>
      <c r="B122" s="312" t="str">
        <f>[9]Sheet12!G10</f>
        <v>Keelson Eliel</v>
      </c>
      <c r="C122" s="260">
        <v>94</v>
      </c>
      <c r="D122" s="260" t="str">
        <f t="shared" si="16"/>
        <v>ED3-BME</v>
      </c>
      <c r="E122" s="260" t="str">
        <f>[9]Sheet12!B10</f>
        <v>COE 381</v>
      </c>
      <c r="F122" s="260"/>
      <c r="G122" s="260" t="str">
        <f>[9]Sheet12!E10</f>
        <v>MICROPROCESSORS</v>
      </c>
    </row>
    <row r="123" spans="1:7" s="3" customFormat="1" x14ac:dyDescent="0.35">
      <c r="A123" s="257" t="str">
        <f t="shared" si="9"/>
        <v>MATH 351,ED3-BME</v>
      </c>
      <c r="B123" s="312" t="str">
        <f>[9]Sheet12!G11</f>
        <v>Azure Isaac</v>
      </c>
      <c r="C123" s="260">
        <v>94</v>
      </c>
      <c r="D123" s="260" t="str">
        <f t="shared" si="16"/>
        <v>ED3-BME</v>
      </c>
      <c r="E123" s="260" t="str">
        <f>[9]Sheet12!B11</f>
        <v>MATH 351</v>
      </c>
      <c r="F123" s="260"/>
      <c r="G123" s="260" t="str">
        <f>[9]Sheet12!E11</f>
        <v>NUMERICAL METHODS</v>
      </c>
    </row>
    <row r="124" spans="1:7" s="3" customFormat="1" x14ac:dyDescent="0.35">
      <c r="A124" s="257" t="str">
        <f t="shared" si="9"/>
        <v>STAT 253,ED3-BME</v>
      </c>
      <c r="B124" s="312" t="s">
        <v>1728</v>
      </c>
      <c r="C124" s="260">
        <v>94</v>
      </c>
      <c r="D124" s="260" t="str">
        <f t="shared" si="16"/>
        <v>ED3-BME</v>
      </c>
      <c r="E124" s="260" t="str">
        <f>[9]Sheet12!B12</f>
        <v>STAT 253</v>
      </c>
      <c r="F124" s="260"/>
      <c r="G124" s="260" t="str">
        <f>[9]Sheet12!E12</f>
        <v>PROBABILITY AND STATISTICS</v>
      </c>
    </row>
    <row r="125" spans="1:7" s="3" customFormat="1" x14ac:dyDescent="0.35">
      <c r="A125" s="257" t="str">
        <f t="shared" si="9"/>
        <v>TE 385,ED3-BME</v>
      </c>
      <c r="B125" s="312" t="str">
        <f>[9]Sheet12!G13</f>
        <v>Yeboah-Akowuah Bright</v>
      </c>
      <c r="C125" s="260">
        <v>94</v>
      </c>
      <c r="D125" s="260" t="str">
        <f t="shared" si="16"/>
        <v>ED3-BME</v>
      </c>
      <c r="E125" s="260" t="str">
        <f>[9]Sheet12!B13</f>
        <v>TE 385</v>
      </c>
      <c r="F125" s="260"/>
      <c r="G125" s="260" t="str">
        <f>[9]Sheet12!E13</f>
        <v>SIGNALS AND SYSTEMS</v>
      </c>
    </row>
    <row r="126" spans="1:7" s="3" customFormat="1" x14ac:dyDescent="0.35">
      <c r="A126" s="257" t="str">
        <f t="shared" si="9"/>
        <v>COE 387,ED3-BME</v>
      </c>
      <c r="B126" s="312" t="str">
        <f>[9]Sheet12!G14</f>
        <v>Klogo Griffith Selorm</v>
      </c>
      <c r="C126" s="260">
        <v>94</v>
      </c>
      <c r="D126" s="260" t="str">
        <f t="shared" si="16"/>
        <v>ED3-BME</v>
      </c>
      <c r="E126" s="260" t="str">
        <f>[9]Sheet12!B14</f>
        <v>COE 387</v>
      </c>
      <c r="F126" s="260"/>
      <c r="G126" s="260" t="str">
        <f>[9]Sheet12!E14</f>
        <v>CLASSICAL CONTROL SYSTEMS</v>
      </c>
    </row>
    <row r="127" spans="1:7" s="3" customFormat="1" ht="15" customHeight="1" x14ac:dyDescent="0.35">
      <c r="A127" s="257" t="str">
        <f t="shared" si="9"/>
        <v>BME 451,ED4-BME</v>
      </c>
      <c r="B127" s="312" t="str">
        <f>[9]Sheet13!G8</f>
        <v>Kotei Addison Eric Clement</v>
      </c>
      <c r="C127" s="260">
        <v>84</v>
      </c>
      <c r="D127" s="260" t="s">
        <v>46</v>
      </c>
      <c r="E127" s="260" t="str">
        <f>[9]Sheet13!B8</f>
        <v>BME 451</v>
      </c>
      <c r="F127" s="260"/>
      <c r="G127" s="260" t="str">
        <f>[9]Sheet13!E8</f>
        <v>MEDICAL IMAGING II</v>
      </c>
    </row>
    <row r="128" spans="1:7" s="3" customFormat="1" x14ac:dyDescent="0.35">
      <c r="A128" s="257" t="str">
        <f t="shared" si="9"/>
        <v>BME 461,ED4-BME</v>
      </c>
      <c r="B128" s="312" t="str">
        <f>[9]Sheet13!G9</f>
        <v>Odame Prince</v>
      </c>
      <c r="C128" s="260">
        <v>84</v>
      </c>
      <c r="D128" s="260" t="str">
        <f t="shared" ref="D128:D133" si="17">D127</f>
        <v>ED4-BME</v>
      </c>
      <c r="E128" s="260" t="str">
        <f>[9]Sheet13!B9</f>
        <v>BME 461</v>
      </c>
      <c r="F128" s="260"/>
      <c r="G128" s="260" t="str">
        <f>[9]Sheet13!E9</f>
        <v>BIOMECHANICS I</v>
      </c>
    </row>
    <row r="129" spans="1:7" s="3" customFormat="1" x14ac:dyDescent="0.35">
      <c r="A129" s="257" t="str">
        <f t="shared" si="9"/>
        <v>BME 463,ED4-BME</v>
      </c>
      <c r="B129" s="312" t="str">
        <f>[9]Sheet13!G10</f>
        <v>Agyapong Dorothy Araba Yakoba</v>
      </c>
      <c r="C129" s="260">
        <v>84</v>
      </c>
      <c r="D129" s="260" t="str">
        <f t="shared" si="17"/>
        <v>ED4-BME</v>
      </c>
      <c r="E129" s="260" t="str">
        <f>[9]Sheet13!B10</f>
        <v>BME 463</v>
      </c>
      <c r="F129" s="260"/>
      <c r="G129" s="260" t="str">
        <f>[9]Sheet13!E10</f>
        <v>BIOMATERIALS II</v>
      </c>
    </row>
    <row r="130" spans="1:7" s="3" customFormat="1" x14ac:dyDescent="0.35">
      <c r="A130" s="257" t="str">
        <f t="shared" si="9"/>
        <v>BME 471,ED4-BME</v>
      </c>
      <c r="B130" s="312" t="str">
        <f>[9]Sheet13!G11</f>
        <v>Acquah Isaac</v>
      </c>
      <c r="C130" s="260">
        <v>84</v>
      </c>
      <c r="D130" s="260" t="str">
        <f t="shared" si="17"/>
        <v>ED4-BME</v>
      </c>
      <c r="E130" s="260" t="str">
        <f>[9]Sheet13!B11</f>
        <v>BME 471</v>
      </c>
      <c r="F130" s="260"/>
      <c r="G130" s="260" t="str">
        <f>[9]Sheet13!E11</f>
        <v>BIOINSTRUMENTATION II</v>
      </c>
    </row>
    <row r="131" spans="1:7" s="3" customFormat="1" x14ac:dyDescent="0.35">
      <c r="A131" s="257" t="str">
        <f t="shared" ref="A131:A199" si="18">_xlfn.CONCAT(E131,",",D131)</f>
        <v>BME 497,ED4-BME</v>
      </c>
      <c r="B131" s="312" t="str">
        <f>[9]Sheet13!G12</f>
        <v>Adjaidoo Theresa-Samuelle Maame Atwemaah</v>
      </c>
      <c r="C131" s="260">
        <v>84</v>
      </c>
      <c r="D131" s="260" t="str">
        <f t="shared" si="17"/>
        <v>ED4-BME</v>
      </c>
      <c r="E131" s="260" t="str">
        <f>[9]Sheet13!B12</f>
        <v>BME 497</v>
      </c>
      <c r="F131" s="260"/>
      <c r="G131" s="260" t="str">
        <f>[9]Sheet13!E12</f>
        <v>PROJECT I</v>
      </c>
    </row>
    <row r="132" spans="1:7" s="3" customFormat="1" x14ac:dyDescent="0.35">
      <c r="A132" s="257" t="str">
        <f t="shared" si="18"/>
        <v>BME 499,ED4-BME</v>
      </c>
      <c r="B132" s="312" t="str">
        <f>[9]Sheet13!G13</f>
        <v>Yeboah-Akowuah Bright</v>
      </c>
      <c r="C132" s="260">
        <v>84</v>
      </c>
      <c r="D132" s="260" t="str">
        <f t="shared" si="17"/>
        <v>ED4-BME</v>
      </c>
      <c r="E132" s="260" t="str">
        <f>[9]Sheet13!B13</f>
        <v>BME 499</v>
      </c>
      <c r="F132" s="260"/>
      <c r="G132" s="260" t="str">
        <f>[9]Sheet13!E13</f>
        <v>VACATION TRAINING</v>
      </c>
    </row>
    <row r="133" spans="1:7" s="3" customFormat="1" x14ac:dyDescent="0.35">
      <c r="A133" s="257" t="str">
        <f t="shared" si="18"/>
        <v>ME 491,ED4-BME</v>
      </c>
      <c r="B133" s="312" t="str">
        <f>[9]Sheet13!G14</f>
        <v>Mensah Lena Dzifa</v>
      </c>
      <c r="C133" s="260">
        <v>84</v>
      </c>
      <c r="D133" s="260" t="str">
        <f t="shared" si="17"/>
        <v>ED4-BME</v>
      </c>
      <c r="E133" s="260" t="str">
        <f>[9]Sheet13!B14</f>
        <v>ME 491</v>
      </c>
      <c r="F133" s="260"/>
      <c r="G133" s="260" t="str">
        <f>[9]Sheet13!E14</f>
        <v>ENGINEERING ECONOMICS AND MANAGEMENT</v>
      </c>
    </row>
    <row r="134" spans="1:7" s="3" customFormat="1" x14ac:dyDescent="0.35">
      <c r="A134" s="257" t="str">
        <f t="shared" si="18"/>
        <v>CHE 151,ED1-CHE</v>
      </c>
      <c r="B134" s="307" t="str">
        <f>[9]Sheet13!G18</f>
        <v>Opoku Francis</v>
      </c>
      <c r="C134" s="203">
        <v>120</v>
      </c>
      <c r="D134" s="203" t="s">
        <v>103</v>
      </c>
      <c r="E134" s="203" t="str">
        <f>[9]Sheet13!B18</f>
        <v>CHE 151</v>
      </c>
      <c r="F134" s="203"/>
      <c r="G134" s="203" t="str">
        <f>[9]Sheet13!E18</f>
        <v>INORGANIC CHEMISTRY FOR ENGINEERS</v>
      </c>
    </row>
    <row r="135" spans="1:7" s="3" customFormat="1" x14ac:dyDescent="0.35">
      <c r="A135" s="257" t="str">
        <f t="shared" si="18"/>
        <v>CHE 153,ED1-CHE</v>
      </c>
      <c r="B135" s="307" t="str">
        <f>[9]Sheet13!G19</f>
        <v>Laryea Michael Konney</v>
      </c>
      <c r="C135" s="203">
        <v>120</v>
      </c>
      <c r="D135" s="203" t="str">
        <f t="shared" ref="D135:D140" si="19">D134</f>
        <v>ED1-CHE</v>
      </c>
      <c r="E135" s="203" t="str">
        <f>[9]Sheet13!B19</f>
        <v>CHE 153</v>
      </c>
      <c r="F135" s="203"/>
      <c r="G135" s="203" t="str">
        <f>[9]Sheet13!E19</f>
        <v>ORGANIC CHEMISTRY FOR ENGINEERS</v>
      </c>
    </row>
    <row r="136" spans="1:7" s="3" customFormat="1" x14ac:dyDescent="0.35">
      <c r="A136" s="257" t="str">
        <f t="shared" si="18"/>
        <v>CHEM 169,ED1-CHE</v>
      </c>
      <c r="B136" s="307" t="str">
        <f>[9]Sheet13!G20</f>
        <v>Opoku Francis</v>
      </c>
      <c r="C136" s="203">
        <v>120</v>
      </c>
      <c r="D136" s="203" t="str">
        <f t="shared" si="19"/>
        <v>ED1-CHE</v>
      </c>
      <c r="E136" s="203" t="str">
        <f>[9]Sheet13!B20</f>
        <v>CHEM 169</v>
      </c>
      <c r="F136" s="203"/>
      <c r="G136" s="203" t="str">
        <f>[9]Sheet13!E20</f>
        <v>PRACTICAL CHEMISTRY I</v>
      </c>
    </row>
    <row r="137" spans="1:7" s="3" customFormat="1" x14ac:dyDescent="0.35">
      <c r="A137" s="257" t="str">
        <f t="shared" si="18"/>
        <v>EE 151,ED1-CHE</v>
      </c>
      <c r="B137" s="307" t="s">
        <v>1514</v>
      </c>
      <c r="C137" s="203">
        <v>120</v>
      </c>
      <c r="D137" s="203" t="str">
        <f t="shared" si="19"/>
        <v>ED1-CHE</v>
      </c>
      <c r="E137" s="203" t="str">
        <f>[9]Sheet13!B21</f>
        <v>EE 151</v>
      </c>
      <c r="F137" s="203"/>
      <c r="G137" s="203" t="str">
        <f>[9]Sheet13!E21</f>
        <v>APPLIED ELECTRICITY</v>
      </c>
    </row>
    <row r="138" spans="1:7" s="3" customFormat="1" x14ac:dyDescent="0.35">
      <c r="A138" s="257" t="str">
        <f t="shared" si="18"/>
        <v>ENGL 157,ED1-CHE</v>
      </c>
      <c r="B138" s="307" t="str">
        <f>[9]Sheet13!G22</f>
        <v>Sarfo-Adu Kwasi</v>
      </c>
      <c r="C138" s="203">
        <v>120</v>
      </c>
      <c r="D138" s="203" t="str">
        <f t="shared" si="19"/>
        <v>ED1-CHE</v>
      </c>
      <c r="E138" s="203" t="str">
        <f>[9]Sheet13!B22</f>
        <v>ENGL 157</v>
      </c>
      <c r="F138" s="203"/>
      <c r="G138" s="203" t="str">
        <f>[9]Sheet13!E22</f>
        <v>COMMUNICATION SKILLS I</v>
      </c>
    </row>
    <row r="139" spans="1:7" s="3" customFormat="1" x14ac:dyDescent="0.35">
      <c r="A139" s="257" t="str">
        <f t="shared" si="18"/>
        <v>MATH 151,ED1-CHE</v>
      </c>
      <c r="B139" s="307" t="str">
        <f>[9]Sheet13!G23</f>
        <v>Barnes Benedict</v>
      </c>
      <c r="C139" s="203">
        <v>120</v>
      </c>
      <c r="D139" s="203" t="str">
        <f t="shared" si="19"/>
        <v>ED1-CHE</v>
      </c>
      <c r="E139" s="203" t="str">
        <f>[9]Sheet13!B23</f>
        <v>MATH 151</v>
      </c>
      <c r="F139" s="203"/>
      <c r="G139" s="203" t="str">
        <f>[9]Sheet13!E23</f>
        <v>ALGEBRA</v>
      </c>
    </row>
    <row r="140" spans="1:7" s="3" customFormat="1" x14ac:dyDescent="0.35">
      <c r="A140" s="257" t="str">
        <f t="shared" si="18"/>
        <v>ME 159,ED1-CHE</v>
      </c>
      <c r="B140" s="307" t="str">
        <f>[9]Sheet13!G24</f>
        <v>Asante Eric Amoah</v>
      </c>
      <c r="C140" s="203">
        <v>120</v>
      </c>
      <c r="D140" s="203" t="str">
        <f t="shared" si="19"/>
        <v>ED1-CHE</v>
      </c>
      <c r="E140" s="203" t="str">
        <f>[9]Sheet13!B24</f>
        <v>ME 159</v>
      </c>
      <c r="F140" s="203"/>
      <c r="G140" s="203" t="str">
        <f>[9]Sheet13!E24</f>
        <v>TECHNICAL DRAWING</v>
      </c>
    </row>
    <row r="141" spans="1:7" s="3" customFormat="1" x14ac:dyDescent="0.35">
      <c r="A141" s="257" t="str">
        <f t="shared" si="18"/>
        <v>CHE 257,ED2-CHE</v>
      </c>
      <c r="B141" s="307" t="str">
        <f>[9]Sheet14!G8</f>
        <v>Boakye Patrick</v>
      </c>
      <c r="C141" s="203">
        <v>154</v>
      </c>
      <c r="D141" s="203" t="s">
        <v>63</v>
      </c>
      <c r="E141" s="203" t="str">
        <f>[9]Sheet14!B8</f>
        <v>CHE 257</v>
      </c>
      <c r="F141" s="203"/>
      <c r="G141" s="267" t="s">
        <v>457</v>
      </c>
    </row>
    <row r="142" spans="1:7" s="3" customFormat="1" x14ac:dyDescent="0.35">
      <c r="A142" s="257" t="str">
        <f t="shared" si="18"/>
        <v>CHE 259,ED2-CHE</v>
      </c>
      <c r="B142" s="307" t="str">
        <f>[9]Sheet14!G9</f>
        <v>Afotey Benjamin</v>
      </c>
      <c r="C142" s="203">
        <v>154</v>
      </c>
      <c r="D142" s="203" t="str">
        <f t="shared" ref="D142:D148" si="20">D141</f>
        <v>ED2-CHE</v>
      </c>
      <c r="E142" s="203" t="str">
        <f>[9]Sheet14!B9</f>
        <v>CHE 259</v>
      </c>
      <c r="F142" s="203"/>
      <c r="G142" s="267" t="s">
        <v>458</v>
      </c>
    </row>
    <row r="143" spans="1:7" s="3" customFormat="1" x14ac:dyDescent="0.35">
      <c r="A143" s="257" t="str">
        <f t="shared" si="18"/>
        <v>CENG 291,ED2-CHE</v>
      </c>
      <c r="B143" s="307" t="str">
        <f>[9]Sheet14!G10</f>
        <v>Baah-Ennumh Emmanuel Kwaku</v>
      </c>
      <c r="C143" s="203">
        <v>154</v>
      </c>
      <c r="D143" s="203" t="str">
        <f t="shared" si="20"/>
        <v>ED2-CHE</v>
      </c>
      <c r="E143" s="203" t="str">
        <f>[9]Sheet14!B10</f>
        <v>CENG 291</v>
      </c>
      <c r="F143" s="203"/>
      <c r="G143" s="267" t="s">
        <v>422</v>
      </c>
    </row>
    <row r="144" spans="1:7" s="3" customFormat="1" x14ac:dyDescent="0.35">
      <c r="A144" s="257" t="str">
        <f t="shared" si="18"/>
        <v>CHE 255,ED2-CHE</v>
      </c>
      <c r="B144" s="307" t="str">
        <f>[9]Sheet14!G11</f>
        <v>Momade Zsuzsanna Gál</v>
      </c>
      <c r="C144" s="203">
        <v>154</v>
      </c>
      <c r="D144" s="203" t="str">
        <f t="shared" si="20"/>
        <v>ED2-CHE</v>
      </c>
      <c r="E144" s="203" t="str">
        <f>[9]Sheet14!B11</f>
        <v>CHE 255</v>
      </c>
      <c r="F144" s="203"/>
      <c r="G144" s="267" t="s">
        <v>456</v>
      </c>
    </row>
    <row r="145" spans="1:7" s="3" customFormat="1" x14ac:dyDescent="0.35">
      <c r="A145" s="257" t="str">
        <f t="shared" si="18"/>
        <v>CHE 261,ED2-CHE</v>
      </c>
      <c r="B145" s="307" t="str">
        <f>[9]Sheet14!G12</f>
        <v>Anang Daniel Adjah</v>
      </c>
      <c r="C145" s="203">
        <v>154</v>
      </c>
      <c r="D145" s="203" t="str">
        <f t="shared" si="20"/>
        <v>ED2-CHE</v>
      </c>
      <c r="E145" s="203" t="str">
        <f>[9]Sheet14!B12</f>
        <v>CHE 261</v>
      </c>
      <c r="F145" s="203"/>
      <c r="G145" s="267" t="s">
        <v>459</v>
      </c>
    </row>
    <row r="146" spans="1:7" s="3" customFormat="1" x14ac:dyDescent="0.35">
      <c r="A146" s="257" t="str">
        <f t="shared" si="18"/>
        <v>MATH 251,ED2-CHE</v>
      </c>
      <c r="B146" s="307" t="str">
        <f>[9]Sheet14!G13</f>
        <v>Barnes Benedict</v>
      </c>
      <c r="C146" s="203">
        <v>154</v>
      </c>
      <c r="D146" s="203" t="str">
        <f t="shared" si="20"/>
        <v>ED2-CHE</v>
      </c>
      <c r="E146" s="203" t="str">
        <f>[9]Sheet14!B13</f>
        <v>MATH 251</v>
      </c>
      <c r="F146" s="203"/>
      <c r="G146" s="267" t="s">
        <v>429</v>
      </c>
    </row>
    <row r="147" spans="1:7" s="3" customFormat="1" x14ac:dyDescent="0.35">
      <c r="A147" s="257" t="str">
        <f t="shared" si="18"/>
        <v>CHE 251,ED2-CHE</v>
      </c>
      <c r="B147" s="307" t="str">
        <f>[9]Sheet14!G14</f>
        <v>Rockson Mizpah Ama Dziedzorm</v>
      </c>
      <c r="C147" s="203">
        <v>154</v>
      </c>
      <c r="D147" s="203" t="str">
        <f t="shared" si="20"/>
        <v>ED2-CHE</v>
      </c>
      <c r="E147" s="203" t="str">
        <f>[9]Sheet14!B14</f>
        <v>CHE 251</v>
      </c>
      <c r="F147" s="203"/>
      <c r="G147" s="267" t="s">
        <v>454</v>
      </c>
    </row>
    <row r="148" spans="1:7" s="3" customFormat="1" ht="17.25" customHeight="1" x14ac:dyDescent="0.35">
      <c r="A148" s="257" t="str">
        <f t="shared" si="18"/>
        <v>CHE 253,ED2-CHE</v>
      </c>
      <c r="B148" s="307" t="str">
        <f>[9]Sheet14!G15</f>
        <v>Bonsu Jude Kwaku</v>
      </c>
      <c r="C148" s="203">
        <v>154</v>
      </c>
      <c r="D148" s="203" t="str">
        <f t="shared" si="20"/>
        <v>ED2-CHE</v>
      </c>
      <c r="E148" s="203" t="str">
        <f>[9]Sheet14!B15</f>
        <v>CHE 253</v>
      </c>
      <c r="F148" s="203"/>
      <c r="G148" s="267" t="s">
        <v>455</v>
      </c>
    </row>
    <row r="149" spans="1:7" s="3" customFormat="1" x14ac:dyDescent="0.35">
      <c r="A149" s="257" t="str">
        <f t="shared" si="18"/>
        <v>CHE 357,ED3-CHE</v>
      </c>
      <c r="B149" s="307" t="str">
        <f>[9]Sheet15!G8</f>
        <v>Rockson Mizpah Ama Dziedzorm</v>
      </c>
      <c r="C149" s="203">
        <v>100</v>
      </c>
      <c r="D149" s="203" t="s">
        <v>92</v>
      </c>
      <c r="E149" s="203" t="str">
        <f>[9]Sheet15!B8</f>
        <v>CHE 357</v>
      </c>
      <c r="F149" s="203"/>
      <c r="G149" s="203" t="str">
        <f>[9]Sheet15!E8</f>
        <v>EXPERIMENTAL DATA ANALYSIS</v>
      </c>
    </row>
    <row r="150" spans="1:7" s="3" customFormat="1" x14ac:dyDescent="0.35">
      <c r="A150" s="257" t="str">
        <f t="shared" si="18"/>
        <v>CHE 353,ED3-CHE</v>
      </c>
      <c r="B150" s="307" t="str">
        <f>[9]Sheet15!G9</f>
        <v>Mensah Mary</v>
      </c>
      <c r="C150" s="203">
        <v>100</v>
      </c>
      <c r="D150" s="203" t="str">
        <f t="shared" ref="D150:D159" si="21">D149</f>
        <v>ED3-CHE</v>
      </c>
      <c r="E150" s="203" t="str">
        <f>[9]Sheet15!B9</f>
        <v>CHE 353</v>
      </c>
      <c r="F150" s="203"/>
      <c r="G150" s="203" t="str">
        <f>[9]Sheet15!E9</f>
        <v>CHEMICAL ENGINEERING LABORATORY I</v>
      </c>
    </row>
    <row r="151" spans="1:7" s="3" customFormat="1" x14ac:dyDescent="0.35">
      <c r="A151" s="257" t="str">
        <f t="shared" si="18"/>
        <v>CHE 351,ED3-CHE</v>
      </c>
      <c r="B151" s="307" t="str">
        <f>[9]Sheet15!G10</f>
        <v>Ankudey Emmanuel Godwin</v>
      </c>
      <c r="C151" s="203">
        <v>100</v>
      </c>
      <c r="D151" s="203" t="str">
        <f t="shared" si="21"/>
        <v>ED3-CHE</v>
      </c>
      <c r="E151" s="203" t="str">
        <f>[9]Sheet15!B10</f>
        <v>CHE 351</v>
      </c>
      <c r="F151" s="203"/>
      <c r="G151" s="203" t="str">
        <f>[9]Sheet15!E10</f>
        <v>MASS TRANSFER PROCESSES</v>
      </c>
    </row>
    <row r="152" spans="1:7" s="3" customFormat="1" x14ac:dyDescent="0.35">
      <c r="A152" s="257" t="str">
        <f t="shared" si="18"/>
        <v>CHE 355,ED3-CHE</v>
      </c>
      <c r="B152" s="307" t="str">
        <f>[9]Sheet15!G11</f>
        <v>Ankudey Emmanuel Godwin</v>
      </c>
      <c r="C152" s="203">
        <v>100</v>
      </c>
      <c r="D152" s="203" t="str">
        <f t="shared" si="21"/>
        <v>ED3-CHE</v>
      </c>
      <c r="E152" s="203" t="str">
        <f>[9]Sheet15!B11</f>
        <v>CHE 355</v>
      </c>
      <c r="F152" s="203"/>
      <c r="G152" s="203" t="str">
        <f>[9]Sheet15!E11</f>
        <v>PROCESS ENGINEERING PROJECT I</v>
      </c>
    </row>
    <row r="153" spans="1:7" s="3" customFormat="1" x14ac:dyDescent="0.35">
      <c r="A153" s="257" t="str">
        <f t="shared" si="18"/>
        <v>CHE 359,ED3-CHE</v>
      </c>
      <c r="B153" s="307" t="str">
        <f>[9]Sheet15!G12</f>
        <v>Darkwah Lawrence</v>
      </c>
      <c r="C153" s="203">
        <v>100</v>
      </c>
      <c r="D153" s="203" t="str">
        <f t="shared" si="21"/>
        <v>ED3-CHE</v>
      </c>
      <c r="E153" s="203" t="str">
        <f>[9]Sheet15!B12</f>
        <v>CHE 359</v>
      </c>
      <c r="F153" s="203"/>
      <c r="G153" s="203" t="str">
        <f>[9]Sheet15!E12</f>
        <v>MECHANICAL SEPARATION PROCESSES</v>
      </c>
    </row>
    <row r="154" spans="1:7" s="3" customFormat="1" x14ac:dyDescent="0.35">
      <c r="A154" s="257" t="str">
        <f t="shared" si="18"/>
        <v>CHE 363,ED3-CHE</v>
      </c>
      <c r="B154" s="307" t="str">
        <f>$B$141</f>
        <v>Boakye Patrick</v>
      </c>
      <c r="C154" s="203">
        <v>36</v>
      </c>
      <c r="D154" s="203" t="str">
        <f t="shared" si="21"/>
        <v>ED3-CHE</v>
      </c>
      <c r="E154" s="203" t="s">
        <v>318</v>
      </c>
      <c r="F154" s="203"/>
      <c r="G154" s="320" t="s">
        <v>1802</v>
      </c>
    </row>
    <row r="155" spans="1:7" s="3" customFormat="1" x14ac:dyDescent="0.35">
      <c r="A155" s="257" t="str">
        <f t="shared" si="18"/>
        <v>CHE 371,ED3-CHE</v>
      </c>
      <c r="B155" s="307" t="s">
        <v>1801</v>
      </c>
      <c r="C155" s="203">
        <v>50</v>
      </c>
      <c r="D155" s="203" t="str">
        <f t="shared" si="21"/>
        <v>ED3-CHE</v>
      </c>
      <c r="E155" s="203" t="s">
        <v>1800</v>
      </c>
      <c r="F155" s="203"/>
      <c r="G155" s="320" t="s">
        <v>1803</v>
      </c>
    </row>
    <row r="156" spans="1:7" s="3" customFormat="1" x14ac:dyDescent="0.35">
      <c r="A156" s="257" t="str">
        <f t="shared" si="18"/>
        <v>CHE 361,ED3-CHE</v>
      </c>
      <c r="B156" s="307" t="str">
        <f>[9]Sheet15!G13</f>
        <v>Momade Zsuzsanna Gál</v>
      </c>
      <c r="C156" s="203">
        <v>15</v>
      </c>
      <c r="D156" s="203" t="str">
        <f>D153</f>
        <v>ED3-CHE</v>
      </c>
      <c r="E156" s="203" t="str">
        <f>[9]Sheet15!B13</f>
        <v>CHE 361</v>
      </c>
      <c r="F156" s="203"/>
      <c r="G156" s="203" t="str">
        <f>[9]Sheet15!E13</f>
        <v>SILICATE TECHNOLOGY I</v>
      </c>
    </row>
    <row r="157" spans="1:7" s="3" customFormat="1" x14ac:dyDescent="0.35">
      <c r="A157" s="257" t="str">
        <f t="shared" si="18"/>
        <v>ECON 151,ED3-CHE</v>
      </c>
      <c r="B157" s="307" t="str">
        <f>[9]Sheet15!G14</f>
        <v>Takyi Paul Owusu</v>
      </c>
      <c r="C157" s="203">
        <v>32</v>
      </c>
      <c r="D157" s="203" t="str">
        <f t="shared" si="21"/>
        <v>ED3-CHE</v>
      </c>
      <c r="E157" s="203" t="str">
        <f>[9]Sheet15!B14</f>
        <v>ECON 151</v>
      </c>
      <c r="F157" s="203"/>
      <c r="G157" s="203" t="str">
        <f>[9]Sheet15!E14</f>
        <v>INTRODUCTORY ECONOMICS I</v>
      </c>
    </row>
    <row r="158" spans="1:7" s="3" customFormat="1" x14ac:dyDescent="0.35">
      <c r="A158" s="257" t="str">
        <f t="shared" si="18"/>
        <v>FC 181,ED3-CHE</v>
      </c>
      <c r="B158" s="307" t="str">
        <f>[9]Sheet15!G15</f>
        <v>Darko Jeel Pharis</v>
      </c>
      <c r="C158" s="203">
        <v>64</v>
      </c>
      <c r="D158" s="203" t="str">
        <f t="shared" si="21"/>
        <v>ED3-CHE</v>
      </c>
      <c r="E158" s="203" t="s">
        <v>211</v>
      </c>
      <c r="F158" s="203"/>
      <c r="G158" s="203" t="str">
        <f>[9]Sheet15!E15</f>
        <v>FRENCH FOR COMMUNICATION PURPOSES I</v>
      </c>
    </row>
    <row r="159" spans="1:7" s="3" customFormat="1" x14ac:dyDescent="0.35">
      <c r="A159" s="257" t="str">
        <f t="shared" si="18"/>
        <v>AI 150,ED3-CHE</v>
      </c>
      <c r="B159" s="307">
        <f>[9]Sheet15!G16</f>
        <v>0</v>
      </c>
      <c r="C159" s="203">
        <v>100</v>
      </c>
      <c r="D159" s="203" t="str">
        <f t="shared" si="21"/>
        <v>ED3-CHE</v>
      </c>
      <c r="E159" s="203" t="str">
        <f>[9]Sheet15!B16</f>
        <v>AI 150</v>
      </c>
      <c r="F159" s="203"/>
      <c r="G159" s="203" t="str">
        <f>[9]Sheet15!E16</f>
        <v>FUNDAMENTALS OF RESPONSIBLE AI FOR ALL</v>
      </c>
    </row>
    <row r="160" spans="1:7" s="3" customFormat="1" x14ac:dyDescent="0.35">
      <c r="A160" s="257" t="str">
        <f t="shared" si="18"/>
        <v>CHE 451,ED4-CHE</v>
      </c>
      <c r="B160" s="307" t="str">
        <f>[9]Sheet16!G8</f>
        <v>Afotey Benjamin</v>
      </c>
      <c r="C160" s="204">
        <v>114</v>
      </c>
      <c r="D160" s="203" t="s">
        <v>86</v>
      </c>
      <c r="E160" s="203" t="str">
        <f>[9]Sheet16!B8</f>
        <v>CHE 451</v>
      </c>
      <c r="F160" s="203"/>
      <c r="G160" s="203" t="str">
        <f>[9]Sheet16!E8</f>
        <v>CHEMICAL PROCESS DESIGN AND ECONOMICS</v>
      </c>
    </row>
    <row r="161" spans="1:7" s="3" customFormat="1" x14ac:dyDescent="0.35">
      <c r="A161" s="257" t="str">
        <f t="shared" si="18"/>
        <v>CHE 453,ED4-CHE</v>
      </c>
      <c r="B161" s="307" t="str">
        <f>[9]Sheet16!G9</f>
        <v>Momade Zsuzsanna Gál</v>
      </c>
      <c r="C161" s="204">
        <v>114</v>
      </c>
      <c r="D161" s="203" t="str">
        <f t="shared" ref="D161:D163" si="22">D160</f>
        <v>ED4-CHE</v>
      </c>
      <c r="E161" s="203" t="str">
        <f>[9]Sheet16!B9</f>
        <v>CHE 453</v>
      </c>
      <c r="F161" s="203"/>
      <c r="G161" s="203" t="str">
        <f>[9]Sheet16!E9</f>
        <v>PLANT DESIGN PROJECT I</v>
      </c>
    </row>
    <row r="162" spans="1:7" s="3" customFormat="1" x14ac:dyDescent="0.35">
      <c r="A162" s="257" t="str">
        <f t="shared" si="18"/>
        <v>CHE 455,ED4-CHE</v>
      </c>
      <c r="B162" s="307" t="str">
        <f>[9]Sheet16!G10</f>
        <v>Baah-Ennumh Emmanuel Kwaku</v>
      </c>
      <c r="C162" s="204">
        <v>114</v>
      </c>
      <c r="D162" s="203" t="str">
        <f t="shared" si="22"/>
        <v>ED4-CHE</v>
      </c>
      <c r="E162" s="203" t="str">
        <f>[9]Sheet16!B10</f>
        <v>CHE 455</v>
      </c>
      <c r="F162" s="203"/>
      <c r="G162" s="203" t="str">
        <f>[9]Sheet16!E10</f>
        <v>PROCESS CONTROL AND INSTRUMENTATION</v>
      </c>
    </row>
    <row r="163" spans="1:7" s="3" customFormat="1" x14ac:dyDescent="0.35">
      <c r="A163" s="257" t="str">
        <f>_xlfn.CONCAT(E163,",",D164)</f>
        <v>CHE 457,ED4-CHE</v>
      </c>
      <c r="B163" s="307" t="str">
        <f>[9]Sheet16!G11</f>
        <v>Bonsu Jude Kwaku</v>
      </c>
      <c r="C163" s="204">
        <v>114</v>
      </c>
      <c r="D163" s="203" t="str">
        <f t="shared" si="22"/>
        <v>ED4-CHE</v>
      </c>
      <c r="E163" s="203" t="str">
        <f>[9]Sheet16!B11</f>
        <v>CHE 457</v>
      </c>
      <c r="F163" s="203"/>
      <c r="G163" s="203" t="str">
        <f>[9]Sheet16!E11</f>
        <v>CHEMICAL ENGINEERING LABORATORY II</v>
      </c>
    </row>
    <row r="164" spans="1:7" s="3" customFormat="1" x14ac:dyDescent="0.35">
      <c r="A164" s="257" t="str">
        <f>_xlfn.CONCAT(E164,",",D166)</f>
        <v>CHE 463,ED4-CHE</v>
      </c>
      <c r="B164" s="307" t="str">
        <f>$B$526</f>
        <v>Anang Daniel Adjah</v>
      </c>
      <c r="C164" s="204">
        <v>40</v>
      </c>
      <c r="D164" s="203" t="str">
        <f>D162</f>
        <v>ED4-CHE</v>
      </c>
      <c r="E164" s="203" t="s">
        <v>307</v>
      </c>
      <c r="F164" s="203"/>
      <c r="G164" s="203" t="s">
        <v>1388</v>
      </c>
    </row>
    <row r="165" spans="1:7" s="3" customFormat="1" x14ac:dyDescent="0.35">
      <c r="A165" s="257" t="str">
        <f>_xlfn.CONCAT(E165,",",D166)</f>
        <v>CHE 459,ED4-CHE</v>
      </c>
      <c r="B165" s="307" t="str">
        <f>[9]Sheet16!G12</f>
        <v>Ohemeng-Boahen Godfred</v>
      </c>
      <c r="C165" s="204">
        <v>114</v>
      </c>
      <c r="D165" s="203" t="str">
        <f>D163</f>
        <v>ED4-CHE</v>
      </c>
      <c r="E165" s="203" t="str">
        <f>[9]Sheet16!B12</f>
        <v>CHE 459</v>
      </c>
      <c r="F165" s="203"/>
      <c r="G165" s="203" t="str">
        <f>[9]Sheet16!E12</f>
        <v>SAFETY AND POLLUTION CONTROL</v>
      </c>
    </row>
    <row r="166" spans="1:7" s="3" customFormat="1" x14ac:dyDescent="0.35">
      <c r="A166" s="257" t="str">
        <f>_xlfn.CONCAT(E166,",",D167)</f>
        <v>PCE 461,ED4-CHE</v>
      </c>
      <c r="B166" s="307" t="str">
        <f>$B$532</f>
        <v>Ohemeng-Boahen Godfred</v>
      </c>
      <c r="C166" s="204">
        <v>39</v>
      </c>
      <c r="D166" s="203" t="str">
        <f>D164</f>
        <v>ED4-CHE</v>
      </c>
      <c r="E166" s="203" t="s">
        <v>196</v>
      </c>
      <c r="F166" s="203"/>
      <c r="G166" s="203" t="s">
        <v>1765</v>
      </c>
    </row>
    <row r="167" spans="1:7" s="3" customFormat="1" x14ac:dyDescent="0.35">
      <c r="A167" s="257" t="str">
        <f t="shared" si="18"/>
        <v>CHE 461,ED4-CHE</v>
      </c>
      <c r="B167" s="307" t="str">
        <f>[9]Sheet16!G13</f>
        <v>Bonsu Jude Kwaku</v>
      </c>
      <c r="C167" s="204">
        <v>114</v>
      </c>
      <c r="D167" s="203" t="str">
        <f>D166</f>
        <v>ED4-CHE</v>
      </c>
      <c r="E167" s="203" t="str">
        <f>[9]Sheet16!B13</f>
        <v>CHE 461</v>
      </c>
      <c r="F167" s="203"/>
      <c r="G167" s="203" t="str">
        <f>[9]Sheet16!E13</f>
        <v>COMPUTER OPTIMIZATION METHOD</v>
      </c>
    </row>
    <row r="168" spans="1:7" s="3" customFormat="1" x14ac:dyDescent="0.35">
      <c r="A168" s="257" t="str">
        <f t="shared" si="18"/>
        <v>CHE 467,ED4-CHE</v>
      </c>
      <c r="B168" s="307" t="s">
        <v>1799</v>
      </c>
      <c r="C168" s="204">
        <v>31</v>
      </c>
      <c r="D168" s="203" t="str">
        <f>D167</f>
        <v>ED4-CHE</v>
      </c>
      <c r="E168" s="203" t="s">
        <v>1796</v>
      </c>
      <c r="F168" s="203"/>
      <c r="G168" s="203" t="s">
        <v>1798</v>
      </c>
    </row>
    <row r="169" spans="1:7" s="3" customFormat="1" x14ac:dyDescent="0.35">
      <c r="A169" s="257" t="str">
        <f t="shared" si="18"/>
        <v>ARC 155,ED1-CE</v>
      </c>
      <c r="B169" s="312" t="str">
        <f>[9]Sheet16!G18</f>
        <v>Amos-Abanyie Samuel</v>
      </c>
      <c r="C169" s="261">
        <v>74</v>
      </c>
      <c r="D169" s="260" t="s">
        <v>165</v>
      </c>
      <c r="E169" s="260" t="str">
        <f>[9]Sheet16!B18</f>
        <v>ARC 155</v>
      </c>
      <c r="F169" s="260"/>
      <c r="G169" s="260" t="str">
        <f>[9]Sheet16!E18</f>
        <v>CLIMATE AND ARCHITECTURE</v>
      </c>
    </row>
    <row r="170" spans="1:7" s="3" customFormat="1" x14ac:dyDescent="0.35">
      <c r="A170" s="257" t="str">
        <f t="shared" si="18"/>
        <v>CE 151,ED1-CE</v>
      </c>
      <c r="B170" s="312" t="str">
        <f>[9]Sheet16!G19</f>
        <v>Afrifa Russel Owusu</v>
      </c>
      <c r="C170" s="261">
        <v>242</v>
      </c>
      <c r="D170" s="260" t="str">
        <f t="shared" ref="D170:D177" si="23">D169</f>
        <v>ED1-CE</v>
      </c>
      <c r="E170" s="260" t="str">
        <f>[9]Sheet16!B19</f>
        <v>CE 151</v>
      </c>
      <c r="F170" s="260"/>
      <c r="G170" s="260" t="str">
        <f>[9]Sheet16!E19</f>
        <v>ELEMENTARY STRUCTURES</v>
      </c>
    </row>
    <row r="171" spans="1:7" s="3" customFormat="1" x14ac:dyDescent="0.35">
      <c r="A171" s="257" t="str">
        <f t="shared" si="18"/>
        <v>CE 153,ED1-CE</v>
      </c>
      <c r="B171" s="312" t="str">
        <f>[9]Sheet16!G20</f>
        <v>Acquaah Vincent Kofi Abaka</v>
      </c>
      <c r="C171" s="261">
        <v>242</v>
      </c>
      <c r="D171" s="260" t="str">
        <f t="shared" si="23"/>
        <v>ED1-CE</v>
      </c>
      <c r="E171" s="260" t="str">
        <f>[9]Sheet16!B20</f>
        <v>CE 153</v>
      </c>
      <c r="F171" s="260"/>
      <c r="G171" s="260" t="str">
        <f>[9]Sheet16!E20</f>
        <v>ENGINEERING PRACTICE AND TECHNOLOGY</v>
      </c>
    </row>
    <row r="172" spans="1:7" s="3" customFormat="1" x14ac:dyDescent="0.35">
      <c r="A172" s="257" t="str">
        <f t="shared" si="18"/>
        <v>ECON 151,ED1-CE</v>
      </c>
      <c r="B172" s="312" t="str">
        <f>[9]Sheet16!G21</f>
        <v>Takyi Paul Owusu</v>
      </c>
      <c r="C172" s="261">
        <v>32</v>
      </c>
      <c r="D172" s="260" t="str">
        <f t="shared" si="23"/>
        <v>ED1-CE</v>
      </c>
      <c r="E172" s="260" t="str">
        <f>[9]Sheet16!B21</f>
        <v>ECON 151</v>
      </c>
      <c r="F172" s="260"/>
      <c r="G172" s="260" t="str">
        <f>[9]Sheet16!E21</f>
        <v>INTRODUCTORY ECONOMICS I</v>
      </c>
    </row>
    <row r="173" spans="1:7" s="3" customFormat="1" x14ac:dyDescent="0.35">
      <c r="A173" s="257" t="str">
        <f t="shared" si="18"/>
        <v>ENGL 157,ED1-CE</v>
      </c>
      <c r="B173" s="312" t="str">
        <f>[9]Sheet16!G22</f>
        <v>Alhassan Yakubu</v>
      </c>
      <c r="C173" s="261">
        <v>242</v>
      </c>
      <c r="D173" s="260" t="str">
        <f t="shared" si="23"/>
        <v>ED1-CE</v>
      </c>
      <c r="E173" s="260" t="str">
        <f>[9]Sheet16!B22</f>
        <v>ENGL 157</v>
      </c>
      <c r="F173" s="260"/>
      <c r="G173" s="260" t="str">
        <f>[9]Sheet16!E22</f>
        <v>COMMUNICATION SKILLS I</v>
      </c>
    </row>
    <row r="174" spans="1:7" s="3" customFormat="1" x14ac:dyDescent="0.35">
      <c r="A174" s="257" t="str">
        <f t="shared" si="18"/>
        <v>FC 181,ED1-CE</v>
      </c>
      <c r="B174" s="312" t="str">
        <f>[9]Sheet16!G23</f>
        <v>Boakye-Agyeman Candy</v>
      </c>
      <c r="C174" s="261">
        <v>136</v>
      </c>
      <c r="D174" s="260" t="str">
        <f t="shared" si="23"/>
        <v>ED1-CE</v>
      </c>
      <c r="E174" s="260" t="str">
        <f>[9]Sheet16!B23</f>
        <v>FC 181</v>
      </c>
      <c r="F174" s="260"/>
      <c r="G174" s="260" t="str">
        <f>[9]Sheet16!E23</f>
        <v>FRENCH FOR COMMUNICATION PURPOSES I</v>
      </c>
    </row>
    <row r="175" spans="1:7" s="3" customFormat="1" x14ac:dyDescent="0.35">
      <c r="A175" s="257" t="str">
        <f t="shared" si="18"/>
        <v>MATH 151,ED1-CE</v>
      </c>
      <c r="B175" s="312" t="str">
        <f>[9]Sheet16!G24</f>
        <v>Ezearn Jeffery</v>
      </c>
      <c r="C175" s="261">
        <v>242</v>
      </c>
      <c r="D175" s="260" t="str">
        <f t="shared" si="23"/>
        <v>ED1-CE</v>
      </c>
      <c r="E175" s="260" t="str">
        <f>[9]Sheet16!B24</f>
        <v>MATH 151</v>
      </c>
      <c r="F175" s="260"/>
      <c r="G175" s="260" t="str">
        <f>[9]Sheet16!E24</f>
        <v>ALGEBRA</v>
      </c>
    </row>
    <row r="176" spans="1:7" s="3" customFormat="1" x14ac:dyDescent="0.35">
      <c r="A176" s="257" t="str">
        <f t="shared" si="18"/>
        <v>ME 159,ED1-CE</v>
      </c>
      <c r="B176" s="312" t="str">
        <f>[9]Sheet16!G25</f>
        <v>Aveyire Joseph</v>
      </c>
      <c r="C176" s="261">
        <v>242</v>
      </c>
      <c r="D176" s="260" t="str">
        <f t="shared" si="23"/>
        <v>ED1-CE</v>
      </c>
      <c r="E176" s="260" t="str">
        <f>[9]Sheet16!B25</f>
        <v>ME 159</v>
      </c>
      <c r="F176" s="260"/>
      <c r="G176" s="260" t="str">
        <f>[9]Sheet16!E25</f>
        <v>TECHNICAL DRAWING</v>
      </c>
    </row>
    <row r="177" spans="1:7" s="3" customFormat="1" x14ac:dyDescent="0.35">
      <c r="A177" s="257" t="str">
        <f t="shared" si="18"/>
        <v>ME 161,ED1-CE</v>
      </c>
      <c r="B177" s="312" t="str">
        <f>[9]Sheet16!G26</f>
        <v>Opoku Richard</v>
      </c>
      <c r="C177" s="261">
        <v>242</v>
      </c>
      <c r="D177" s="260" t="str">
        <f t="shared" si="23"/>
        <v>ED1-CE</v>
      </c>
      <c r="E177" s="260" t="str">
        <f>[9]Sheet16!B26</f>
        <v>ME 161</v>
      </c>
      <c r="F177" s="260"/>
      <c r="G177" s="260" t="str">
        <f>[9]Sheet16!E26</f>
        <v>BASIC MECHANICS</v>
      </c>
    </row>
    <row r="178" spans="1:7" s="3" customFormat="1" x14ac:dyDescent="0.35">
      <c r="A178" s="257" t="str">
        <f t="shared" si="18"/>
        <v>CE 251,ED2-CE</v>
      </c>
      <c r="B178" s="312" t="str">
        <f>[9]Sheet17!G8</f>
        <v>Amponsah Evans</v>
      </c>
      <c r="C178" s="261">
        <v>260</v>
      </c>
      <c r="D178" s="260" t="s">
        <v>101</v>
      </c>
      <c r="E178" s="260" t="str">
        <f>[9]Sheet17!B8</f>
        <v>CE 251</v>
      </c>
      <c r="F178" s="260"/>
      <c r="G178" s="260" t="str">
        <f>[9]Sheet17!E8</f>
        <v>STRENGTH OF MATERIALS</v>
      </c>
    </row>
    <row r="179" spans="1:7" s="3" customFormat="1" x14ac:dyDescent="0.35">
      <c r="A179" s="257" t="str">
        <f t="shared" si="18"/>
        <v>CE 255,ED2-CE</v>
      </c>
      <c r="B179" s="312" t="str">
        <f>[9]Sheet17!G9</f>
        <v>Ampofo James Wiafe</v>
      </c>
      <c r="C179" s="261">
        <v>260</v>
      </c>
      <c r="D179" s="260" t="str">
        <f t="shared" ref="D179:D184" si="24">D178</f>
        <v>ED2-CE</v>
      </c>
      <c r="E179" s="260" t="str">
        <f>[9]Sheet17!B9</f>
        <v>CE 255</v>
      </c>
      <c r="F179" s="260"/>
      <c r="G179" s="260" t="str">
        <f>[9]Sheet17!E9</f>
        <v>THEORY OF STRUCTURES</v>
      </c>
    </row>
    <row r="180" spans="1:7" s="3" customFormat="1" x14ac:dyDescent="0.35">
      <c r="A180" s="257" t="str">
        <f t="shared" si="18"/>
        <v>CE 257,ED2-CE</v>
      </c>
      <c r="B180" s="312" t="str">
        <f>[9]Sheet17!G10</f>
        <v>Osei Jack Banahene</v>
      </c>
      <c r="C180" s="261">
        <v>260</v>
      </c>
      <c r="D180" s="260" t="str">
        <f t="shared" si="24"/>
        <v>ED2-CE</v>
      </c>
      <c r="E180" s="260" t="str">
        <f>[9]Sheet17!B10</f>
        <v>CE 257</v>
      </c>
      <c r="F180" s="260"/>
      <c r="G180" s="260" t="str">
        <f>[9]Sheet17!E10</f>
        <v>COMPUTER PROGRAMMING</v>
      </c>
    </row>
    <row r="181" spans="1:7" s="3" customFormat="1" x14ac:dyDescent="0.35">
      <c r="A181" s="257" t="str">
        <f t="shared" si="18"/>
        <v>CE 259,ED2-CE</v>
      </c>
      <c r="B181" s="312" t="str">
        <f>[9]Sheet17!G11</f>
        <v>Acquaah Vincent Kofi Abaka</v>
      </c>
      <c r="C181" s="261">
        <v>260</v>
      </c>
      <c r="D181" s="260" t="str">
        <f t="shared" si="24"/>
        <v>ED2-CE</v>
      </c>
      <c r="E181" s="260" t="str">
        <f>[9]Sheet17!B11</f>
        <v>CE 259</v>
      </c>
      <c r="F181" s="260"/>
      <c r="G181" s="260" t="str">
        <f>[9]Sheet17!E11</f>
        <v>ENGINEERING GEOLOGY</v>
      </c>
    </row>
    <row r="182" spans="1:7" s="3" customFormat="1" x14ac:dyDescent="0.35">
      <c r="A182" s="257" t="str">
        <f t="shared" si="18"/>
        <v>CE 271,ED2-CE</v>
      </c>
      <c r="B182" s="312" t="str">
        <f>[9]Sheet17!G12</f>
        <v>Tuffour Yaw Adubofour</v>
      </c>
      <c r="C182" s="261">
        <v>260</v>
      </c>
      <c r="D182" s="260" t="str">
        <f t="shared" si="24"/>
        <v>ED2-CE</v>
      </c>
      <c r="E182" s="260" t="str">
        <f>[9]Sheet17!B12</f>
        <v>CE 271</v>
      </c>
      <c r="F182" s="260"/>
      <c r="G182" s="260" t="str">
        <f>[9]Sheet17!E12</f>
        <v>ENGINEERING REPORTING</v>
      </c>
    </row>
    <row r="183" spans="1:7" s="3" customFormat="1" x14ac:dyDescent="0.35">
      <c r="A183" s="257" t="str">
        <f t="shared" si="18"/>
        <v>CENG 291,ED2-CE</v>
      </c>
      <c r="B183" s="312" t="str">
        <f>[9]Sheet17!G13</f>
        <v>Appiah-Effah Eugene</v>
      </c>
      <c r="C183" s="261">
        <v>260</v>
      </c>
      <c r="D183" s="260" t="str">
        <f t="shared" si="24"/>
        <v>ED2-CE</v>
      </c>
      <c r="E183" s="260" t="str">
        <f>[9]Sheet17!B13</f>
        <v>CENG 291</v>
      </c>
      <c r="F183" s="260"/>
      <c r="G183" s="260" t="str">
        <f>[9]Sheet17!E13</f>
        <v>ENGINEERING IN SOCIETY</v>
      </c>
    </row>
    <row r="184" spans="1:7" s="3" customFormat="1" x14ac:dyDescent="0.35">
      <c r="A184" s="257" t="str">
        <f t="shared" si="18"/>
        <v>MATH 251,ED2-CE</v>
      </c>
      <c r="B184" s="312" t="str">
        <f>[9]Sheet17!G14</f>
        <v>Wireko Fredrick Asenso</v>
      </c>
      <c r="C184" s="261">
        <v>260</v>
      </c>
      <c r="D184" s="260" t="str">
        <f t="shared" si="24"/>
        <v>ED2-CE</v>
      </c>
      <c r="E184" s="260" t="str">
        <f>[9]Sheet17!B14</f>
        <v>MATH 251</v>
      </c>
      <c r="F184" s="260"/>
      <c r="G184" s="260" t="str">
        <f>[9]Sheet17!E14</f>
        <v>DIFFERENTIAL EQUATIONS</v>
      </c>
    </row>
    <row r="185" spans="1:7" s="3" customFormat="1" x14ac:dyDescent="0.35">
      <c r="A185" s="257" t="str">
        <f t="shared" si="18"/>
        <v>CE 353,ED3-CE</v>
      </c>
      <c r="B185" s="312" t="str">
        <f>[9]Sheet18!G8</f>
        <v>Owusu Twumasi Jones</v>
      </c>
      <c r="C185" s="261">
        <v>223</v>
      </c>
      <c r="D185" s="260" t="s">
        <v>22</v>
      </c>
      <c r="E185" s="260" t="str">
        <f>[9]Sheet18!B8</f>
        <v>CE 353</v>
      </c>
      <c r="F185" s="260"/>
      <c r="G185" s="260" t="str">
        <f>[9]Sheet18!E8</f>
        <v>REINFORCED CONCRETE DESIGN</v>
      </c>
    </row>
    <row r="186" spans="1:7" s="3" customFormat="1" x14ac:dyDescent="0.35">
      <c r="A186" s="257" t="str">
        <f t="shared" si="18"/>
        <v>CE 355,ED3-CE</v>
      </c>
      <c r="B186" s="312" t="str">
        <f>[9]Sheet18!G9</f>
        <v>Adjei Kwaku Amaning</v>
      </c>
      <c r="C186" s="261">
        <v>223</v>
      </c>
      <c r="D186" s="260" t="str">
        <f t="shared" ref="D186:D193" si="25">D185</f>
        <v>ED3-CE</v>
      </c>
      <c r="E186" s="260" t="str">
        <f>[9]Sheet18!B9</f>
        <v>CE 355</v>
      </c>
      <c r="F186" s="260"/>
      <c r="G186" s="260" t="str">
        <f>[9]Sheet18!E9</f>
        <v>HYDROLOGY</v>
      </c>
    </row>
    <row r="187" spans="1:7" s="3" customFormat="1" x14ac:dyDescent="0.35">
      <c r="A187" s="257" t="str">
        <f t="shared" si="18"/>
        <v>CE 359,ED3-CE</v>
      </c>
      <c r="B187" s="312" t="str">
        <f>[9]Sheet18!G10</f>
        <v>Charkley Frederick Nai</v>
      </c>
      <c r="C187" s="261">
        <v>223</v>
      </c>
      <c r="D187" s="260" t="str">
        <f t="shared" si="25"/>
        <v>ED3-CE</v>
      </c>
      <c r="E187" s="260" t="str">
        <f>[9]Sheet18!B10</f>
        <v>CE 359</v>
      </c>
      <c r="F187" s="260"/>
      <c r="G187" s="260" t="str">
        <f>[9]Sheet18!E10</f>
        <v>SOIL MECHANICS</v>
      </c>
    </row>
    <row r="188" spans="1:7" s="3" customFormat="1" x14ac:dyDescent="0.35">
      <c r="A188" s="257" t="str">
        <f t="shared" si="18"/>
        <v>CE 361,ED3-CE</v>
      </c>
      <c r="B188" s="312" t="str">
        <f>[9]Sheet18!G11</f>
        <v>Dzikunu-Bansah Nancy Anataba Kyorku</v>
      </c>
      <c r="C188" s="261">
        <v>223</v>
      </c>
      <c r="D188" s="260" t="str">
        <f t="shared" si="25"/>
        <v>ED3-CE</v>
      </c>
      <c r="E188" s="260" t="str">
        <f>[9]Sheet18!B11</f>
        <v>CE 361</v>
      </c>
      <c r="F188" s="260"/>
      <c r="G188" s="260" t="str">
        <f>[9]Sheet18!E11</f>
        <v>SOIL MECHANICS LABORATORY</v>
      </c>
    </row>
    <row r="189" spans="1:7" s="3" customFormat="1" x14ac:dyDescent="0.35">
      <c r="A189" s="257" t="str">
        <f t="shared" si="18"/>
        <v>CE 367,ED3-CE</v>
      </c>
      <c r="B189" s="312" t="str">
        <f>[9]Sheet18!G12</f>
        <v>Tutu Kenneth Adomako</v>
      </c>
      <c r="C189" s="261">
        <v>223</v>
      </c>
      <c r="D189" s="260" t="str">
        <f t="shared" si="25"/>
        <v>ED3-CE</v>
      </c>
      <c r="E189" s="260" t="str">
        <f>[9]Sheet18!B12</f>
        <v>CE 367</v>
      </c>
      <c r="F189" s="260"/>
      <c r="G189" s="260" t="str">
        <f>[9]Sheet18!E12</f>
        <v>TRANSPORTATION ENGINEERING I</v>
      </c>
    </row>
    <row r="190" spans="1:7" s="3" customFormat="1" x14ac:dyDescent="0.35">
      <c r="A190" s="257" t="str">
        <f t="shared" si="18"/>
        <v>CE 391,ED3-CE</v>
      </c>
      <c r="B190" s="312" t="str">
        <f>[9]Sheet18!G13</f>
        <v>Tutu Kenneth Adomako</v>
      </c>
      <c r="C190" s="261">
        <v>223</v>
      </c>
      <c r="D190" s="260" t="str">
        <f t="shared" si="25"/>
        <v>ED3-CE</v>
      </c>
      <c r="E190" s="260" t="str">
        <f>[9]Sheet18!B13</f>
        <v>CE 391</v>
      </c>
      <c r="F190" s="260"/>
      <c r="G190" s="260" t="str">
        <f>[9]Sheet18!E13</f>
        <v>TRAFFIC ENGINEERING LABORATORY</v>
      </c>
    </row>
    <row r="191" spans="1:7" s="3" customFormat="1" x14ac:dyDescent="0.35">
      <c r="A191" s="257" t="str">
        <f t="shared" si="18"/>
        <v>GE 381,ED3-CE</v>
      </c>
      <c r="B191" s="312" t="str">
        <f>[9]Sheet18!G14</f>
        <v>Obeng Kwame</v>
      </c>
      <c r="C191" s="261">
        <v>223</v>
      </c>
      <c r="D191" s="260" t="str">
        <f t="shared" si="25"/>
        <v>ED3-CE</v>
      </c>
      <c r="E191" s="260" t="str">
        <f>[9]Sheet18!B14</f>
        <v>GE 381</v>
      </c>
      <c r="F191" s="260"/>
      <c r="G191" s="260" t="str">
        <f>[9]Sheet18!E14</f>
        <v>ENGINEERING SURVEYING I</v>
      </c>
    </row>
    <row r="192" spans="1:7" s="3" customFormat="1" x14ac:dyDescent="0.35">
      <c r="A192" s="257" t="str">
        <f t="shared" si="18"/>
        <v>MATH 351,ED3-CE</v>
      </c>
      <c r="B192" s="312" t="str">
        <f>[9]Sheet18!G15</f>
        <v>Borkor Reindorf Nartey</v>
      </c>
      <c r="C192" s="261">
        <v>223</v>
      </c>
      <c r="D192" s="260" t="str">
        <f t="shared" si="25"/>
        <v>ED3-CE</v>
      </c>
      <c r="E192" s="260" t="str">
        <f>[9]Sheet18!B15</f>
        <v>MATH 351</v>
      </c>
      <c r="F192" s="260"/>
      <c r="G192" s="260" t="str">
        <f>[9]Sheet18!E15</f>
        <v>NUMERICAL ANALYSIS</v>
      </c>
    </row>
    <row r="193" spans="1:7" s="3" customFormat="1" x14ac:dyDescent="0.35">
      <c r="A193" s="257" t="str">
        <f t="shared" si="18"/>
        <v>STAT 253,ED3-CE</v>
      </c>
      <c r="B193" s="312" t="str">
        <f>[9]Sheet18!G16</f>
        <v>Awiakye-Marfo George</v>
      </c>
      <c r="C193" s="261">
        <v>223</v>
      </c>
      <c r="D193" s="260" t="str">
        <f t="shared" si="25"/>
        <v>ED3-CE</v>
      </c>
      <c r="E193" s="260" t="str">
        <f>[9]Sheet18!B16</f>
        <v>STAT 253</v>
      </c>
      <c r="F193" s="260"/>
      <c r="G193" s="260" t="str">
        <f>[9]Sheet18!E16</f>
        <v>PROBABILITY AND STATISTICS</v>
      </c>
    </row>
    <row r="194" spans="1:7" s="3" customFormat="1" x14ac:dyDescent="0.35">
      <c r="A194" s="257" t="str">
        <f t="shared" si="18"/>
        <v>CE 451,ED4-CE</v>
      </c>
      <c r="B194" s="312" t="str">
        <f>[9]Sheet19!G8</f>
        <v>Osei Jack Banahene</v>
      </c>
      <c r="C194" s="261">
        <v>245</v>
      </c>
      <c r="D194" s="260" t="s">
        <v>68</v>
      </c>
      <c r="E194" s="260" t="str">
        <f>[9]Sheet19!B8</f>
        <v>CE 451</v>
      </c>
      <c r="F194" s="260"/>
      <c r="G194" s="260" t="str">
        <f>[9]Sheet19!E8</f>
        <v>STRUCTURAL ENGINEERING I</v>
      </c>
    </row>
    <row r="195" spans="1:7" s="3" customFormat="1" x14ac:dyDescent="0.35">
      <c r="A195" s="257" t="str">
        <f t="shared" si="18"/>
        <v>CE 457,ED4-CE</v>
      </c>
      <c r="B195" s="312" t="str">
        <f>[9]Sheet19!G9</f>
        <v>Adjei Kwaku Amaning</v>
      </c>
      <c r="C195" s="261">
        <v>245</v>
      </c>
      <c r="D195" s="260" t="str">
        <f t="shared" ref="D195:D206" si="26">D194</f>
        <v>ED4-CE</v>
      </c>
      <c r="E195" s="260" t="str">
        <f>[9]Sheet19!B9</f>
        <v>CE 457</v>
      </c>
      <c r="F195" s="260"/>
      <c r="G195" s="260" t="str">
        <f>[9]Sheet19!E9</f>
        <v>DRAINAGE SYSTEMS</v>
      </c>
    </row>
    <row r="196" spans="1:7" s="3" customFormat="1" x14ac:dyDescent="0.35">
      <c r="A196" s="257" t="str">
        <f t="shared" si="18"/>
        <v>CE 461,ED4-CE</v>
      </c>
      <c r="B196" s="312" t="str">
        <f>[9]Sheet19!G10</f>
        <v>Appiah-Effah Eugene</v>
      </c>
      <c r="C196" s="261">
        <v>245</v>
      </c>
      <c r="D196" s="260" t="str">
        <f t="shared" si="26"/>
        <v>ED4-CE</v>
      </c>
      <c r="E196" s="260" t="str">
        <f>[9]Sheet19!B10</f>
        <v>CE 461</v>
      </c>
      <c r="F196" s="260"/>
      <c r="G196" s="260" t="str">
        <f>[9]Sheet19!E10</f>
        <v>ENGINEERING ECONOMY AND ENTERPRENEURSHIP</v>
      </c>
    </row>
    <row r="197" spans="1:7" s="3" customFormat="1" x14ac:dyDescent="0.35">
      <c r="A197" s="257" t="str">
        <f t="shared" si="18"/>
        <v>CE 463,ED4-CE</v>
      </c>
      <c r="B197" s="312" t="str">
        <f>[9]Sheet19!G11</f>
        <v>Buamah Richard Akwasi</v>
      </c>
      <c r="C197" s="261">
        <v>245</v>
      </c>
      <c r="D197" s="260" t="str">
        <f t="shared" si="26"/>
        <v>ED4-CE</v>
      </c>
      <c r="E197" s="260" t="str">
        <f>[9]Sheet19!B11</f>
        <v>CE 463</v>
      </c>
      <c r="F197" s="260"/>
      <c r="G197" s="260" t="str">
        <f>[9]Sheet19!E11</f>
        <v>WATER AND WASTE WATER ENGINEERING</v>
      </c>
    </row>
    <row r="198" spans="1:7" s="3" customFormat="1" x14ac:dyDescent="0.35">
      <c r="A198" s="257" t="str">
        <f t="shared" si="18"/>
        <v>CE 467,ED4-CE</v>
      </c>
      <c r="B198" s="312" t="str">
        <f>[9]Sheet19!G12</f>
        <v>Tuffour Yaw Adubofour</v>
      </c>
      <c r="C198" s="261">
        <v>245</v>
      </c>
      <c r="D198" s="260" t="str">
        <f t="shared" si="26"/>
        <v>ED4-CE</v>
      </c>
      <c r="E198" s="260" t="str">
        <f>[9]Sheet19!B12</f>
        <v>CE 467</v>
      </c>
      <c r="F198" s="260"/>
      <c r="G198" s="260" t="str">
        <f>[9]Sheet19!E12</f>
        <v>HIGHWAY ENGINEERING II</v>
      </c>
    </row>
    <row r="199" spans="1:7" s="3" customFormat="1" x14ac:dyDescent="0.35">
      <c r="A199" s="257" t="str">
        <f t="shared" si="18"/>
        <v>CE 471,ED4-CE</v>
      </c>
      <c r="B199" s="312" t="str">
        <f>[9]Sheet19!G13</f>
        <v>Anornu Geophrey Kwame</v>
      </c>
      <c r="C199" s="261">
        <v>245</v>
      </c>
      <c r="D199" s="260" t="str">
        <f t="shared" si="26"/>
        <v>ED4-CE</v>
      </c>
      <c r="E199" s="260" t="str">
        <f>[9]Sheet19!B13</f>
        <v>CE 471</v>
      </c>
      <c r="F199" s="260"/>
      <c r="G199" s="260" t="str">
        <f>[9]Sheet19!E13</f>
        <v>IRRIGATION AND DRAINAGE ENGINEERING</v>
      </c>
    </row>
    <row r="200" spans="1:7" s="3" customFormat="1" x14ac:dyDescent="0.35">
      <c r="A200" s="257" t="str">
        <f t="shared" ref="A200:A265" si="27">_xlfn.CONCAT(E200,",",D200)</f>
        <v>CE 473,ED4-CE</v>
      </c>
      <c r="B200" s="312" t="str">
        <f>[9]Sheet19!G14</f>
        <v>Tuffour Yaw Adubofour</v>
      </c>
      <c r="C200" s="261">
        <v>245</v>
      </c>
      <c r="D200" s="260" t="str">
        <f t="shared" si="26"/>
        <v>ED4-CE</v>
      </c>
      <c r="E200" s="260" t="str">
        <f>[9]Sheet19!B14</f>
        <v>CE 473</v>
      </c>
      <c r="F200" s="260"/>
      <c r="G200" s="260" t="str">
        <f>[9]Sheet19!E14</f>
        <v>DEVELOPMENT ENGINEERING</v>
      </c>
    </row>
    <row r="201" spans="1:7" s="3" customFormat="1" x14ac:dyDescent="0.35">
      <c r="A201" s="257" t="str">
        <f t="shared" si="27"/>
        <v>CE 475,ED4-CE</v>
      </c>
      <c r="B201" s="312" t="str">
        <f>[9]Sheet19!G15</f>
        <v>Donkor Emmanuel Amponsah</v>
      </c>
      <c r="C201" s="261">
        <v>245</v>
      </c>
      <c r="D201" s="260" t="str">
        <f t="shared" si="26"/>
        <v>ED4-CE</v>
      </c>
      <c r="E201" s="260" t="str">
        <f>[9]Sheet19!B15</f>
        <v>CE 475</v>
      </c>
      <c r="F201" s="260"/>
      <c r="G201" s="260" t="str">
        <f>[9]Sheet19!E15</f>
        <v>SYSTEMS ENGINEERING I</v>
      </c>
    </row>
    <row r="202" spans="1:7" s="3" customFormat="1" x14ac:dyDescent="0.35">
      <c r="A202" s="257" t="str">
        <f t="shared" si="27"/>
        <v>CE 477,ED4-CE</v>
      </c>
      <c r="B202" s="312" t="str">
        <f>[9]Sheet19!G16</f>
        <v>Ayeh Felix Jojo Fianko</v>
      </c>
      <c r="C202" s="261">
        <v>245</v>
      </c>
      <c r="D202" s="260" t="str">
        <f t="shared" si="26"/>
        <v>ED4-CE</v>
      </c>
      <c r="E202" s="260" t="str">
        <f>[9]Sheet19!B16</f>
        <v>CE 477</v>
      </c>
      <c r="F202" s="260"/>
      <c r="G202" s="260" t="str">
        <f>[9]Sheet19!E16</f>
        <v>GEOTECHNICAL ENGINEERING I</v>
      </c>
    </row>
    <row r="203" spans="1:7" s="3" customFormat="1" x14ac:dyDescent="0.35">
      <c r="A203" s="257" t="str">
        <f t="shared" si="27"/>
        <v>CE 479,ED4-CE</v>
      </c>
      <c r="B203" s="312" t="str">
        <f>[9]Sheet19!G17</f>
        <v>Owusu-Nimo Frederick</v>
      </c>
      <c r="C203" s="261">
        <v>245</v>
      </c>
      <c r="D203" s="260" t="str">
        <f>D202</f>
        <v>ED4-CE</v>
      </c>
      <c r="E203" s="260" t="str">
        <f>[9]Sheet19!B17</f>
        <v>CE 479</v>
      </c>
      <c r="F203" s="260"/>
      <c r="G203" s="260" t="str">
        <f>[9]Sheet19!E17</f>
        <v>ENGINEERING AND ENVIRONMENTAL GEOPHYSICS</v>
      </c>
    </row>
    <row r="204" spans="1:7" s="3" customFormat="1" x14ac:dyDescent="0.35">
      <c r="A204" s="257" t="str">
        <f t="shared" si="27"/>
        <v>CE 481,ED4-CE</v>
      </c>
      <c r="B204" s="312" t="str">
        <f>[9]Sheet19!G18</f>
        <v>Appiah-Effah Eugene</v>
      </c>
      <c r="C204" s="261">
        <v>245</v>
      </c>
      <c r="D204" s="260" t="str">
        <f t="shared" si="26"/>
        <v>ED4-CE</v>
      </c>
      <c r="E204" s="260" t="str">
        <f>[9]Sheet19!B18</f>
        <v>CE 481</v>
      </c>
      <c r="F204" s="260"/>
      <c r="G204" s="260" t="str">
        <f>[9]Sheet19!E18</f>
        <v>VACATION TRAINING</v>
      </c>
    </row>
    <row r="205" spans="1:7" s="3" customFormat="1" x14ac:dyDescent="0.35">
      <c r="A205" s="257" t="str">
        <f t="shared" si="27"/>
        <v>CE 495,ED4-CE</v>
      </c>
      <c r="B205" s="312" t="str">
        <f>[9]Sheet19!G19</f>
        <v>Buamah Richard Akwasi</v>
      </c>
      <c r="C205" s="261">
        <v>245</v>
      </c>
      <c r="D205" s="260" t="str">
        <f t="shared" si="26"/>
        <v>ED4-CE</v>
      </c>
      <c r="E205" s="260" t="str">
        <f>[9]Sheet19!B19</f>
        <v>CE 495</v>
      </c>
      <c r="F205" s="260"/>
      <c r="G205" s="260" t="str">
        <f>[9]Sheet19!E19</f>
        <v>RESEARCH PROJECT I</v>
      </c>
    </row>
    <row r="206" spans="1:7" s="3" customFormat="1" x14ac:dyDescent="0.35">
      <c r="A206" s="257" t="str">
        <f t="shared" si="27"/>
        <v>CE 497,ED4-CE</v>
      </c>
      <c r="B206" s="312" t="str">
        <f>[9]Sheet19!G20</f>
        <v>Appiah-Effah Eugene</v>
      </c>
      <c r="C206" s="261">
        <v>245</v>
      </c>
      <c r="D206" s="260" t="str">
        <f t="shared" si="26"/>
        <v>ED4-CE</v>
      </c>
      <c r="E206" s="260" t="str">
        <f>[9]Sheet19!B20</f>
        <v>CE 497</v>
      </c>
      <c r="F206" s="260"/>
      <c r="G206" s="260" t="str">
        <f>[9]Sheet19!E20</f>
        <v>CIVIL ENGINEERING DESIGN</v>
      </c>
    </row>
    <row r="207" spans="1:7" s="3" customFormat="1" x14ac:dyDescent="0.35">
      <c r="A207" s="257" t="str">
        <f t="shared" si="27"/>
        <v>CE 155,ED1-COE</v>
      </c>
      <c r="B207" s="307" t="str">
        <f>[9]Sheet22!G24</f>
        <v>Essandoh Helen Michelle Korkor</v>
      </c>
      <c r="C207" s="204">
        <v>261</v>
      </c>
      <c r="D207" s="203" t="s">
        <v>69</v>
      </c>
      <c r="E207" s="203" t="s">
        <v>182</v>
      </c>
      <c r="F207" s="203"/>
      <c r="G207" s="203" t="str">
        <f>[9]Sheet22!E24</f>
        <v>ENVIRONMENTAL STUDIES</v>
      </c>
    </row>
    <row r="208" spans="1:7" s="3" customFormat="1" x14ac:dyDescent="0.35">
      <c r="A208" s="257" t="str">
        <f t="shared" si="27"/>
        <v>COE 153,ED1-COE</v>
      </c>
      <c r="B208" s="307" t="str">
        <f>[9]Sheet22!G25</f>
        <v>Addo Daniel Akwei</v>
      </c>
      <c r="C208" s="204">
        <v>261</v>
      </c>
      <c r="D208" s="203" t="str">
        <f t="shared" ref="D208:D212" si="28">D207</f>
        <v>ED1-COE</v>
      </c>
      <c r="E208" s="203" t="s">
        <v>453</v>
      </c>
      <c r="F208" s="203"/>
      <c r="G208" s="203" t="str">
        <f>[9]Sheet22!E25</f>
        <v>ENGINEERING TECHNOLOGY</v>
      </c>
    </row>
    <row r="209" spans="1:7" s="3" customFormat="1" x14ac:dyDescent="0.35">
      <c r="A209" s="257" t="str">
        <f t="shared" si="27"/>
        <v>COE 181,ED1-COE</v>
      </c>
      <c r="B209" s="307" t="s">
        <v>410</v>
      </c>
      <c r="C209" s="204">
        <v>261</v>
      </c>
      <c r="D209" s="203" t="str">
        <f t="shared" si="28"/>
        <v>ED1-COE</v>
      </c>
      <c r="E209" s="203" t="s">
        <v>279</v>
      </c>
      <c r="F209" s="203"/>
      <c r="G209" s="203" t="str">
        <f>[9]Sheet22!E26</f>
        <v>APPLIED ELECTRICITY</v>
      </c>
    </row>
    <row r="210" spans="1:7" s="3" customFormat="1" x14ac:dyDescent="0.35">
      <c r="A210" s="257" t="str">
        <f t="shared" si="27"/>
        <v>ENGL 157,ED1-COE</v>
      </c>
      <c r="B210" s="307" t="str">
        <f>[9]Sheet22!G27</f>
        <v>Alhassan Yakubu</v>
      </c>
      <c r="C210" s="204">
        <v>261</v>
      </c>
      <c r="D210" s="203" t="str">
        <f t="shared" si="28"/>
        <v>ED1-COE</v>
      </c>
      <c r="E210" s="203" t="s">
        <v>412</v>
      </c>
      <c r="F210" s="203"/>
      <c r="G210" s="203" t="str">
        <f>[9]Sheet22!E27</f>
        <v>COMMUNICATION SKILLS I</v>
      </c>
    </row>
    <row r="211" spans="1:7" s="3" customFormat="1" x14ac:dyDescent="0.35">
      <c r="A211" s="257" t="str">
        <f t="shared" si="27"/>
        <v>MATH 151,ED1-COE</v>
      </c>
      <c r="B211" s="307" t="str">
        <f>[9]Sheet22!G28</f>
        <v>Ezearn Jeffery</v>
      </c>
      <c r="C211" s="204">
        <v>261</v>
      </c>
      <c r="D211" s="203" t="str">
        <f t="shared" si="28"/>
        <v>ED1-COE</v>
      </c>
      <c r="E211" s="203" t="s">
        <v>160</v>
      </c>
      <c r="F211" s="203"/>
      <c r="G211" s="203" t="str">
        <f>[9]Sheet22!E28</f>
        <v>ALGEBRA</v>
      </c>
    </row>
    <row r="212" spans="1:7" s="3" customFormat="1" x14ac:dyDescent="0.35">
      <c r="A212" s="257" t="str">
        <f t="shared" si="27"/>
        <v>ME 159,ED1-COE</v>
      </c>
      <c r="B212" s="307" t="str">
        <f>[9]Sheet22!G29</f>
        <v>Afriyie Nyarko Frank Kwabena</v>
      </c>
      <c r="C212" s="204">
        <v>261</v>
      </c>
      <c r="D212" s="203" t="str">
        <f t="shared" si="28"/>
        <v>ED1-COE</v>
      </c>
      <c r="E212" s="203" t="s">
        <v>38</v>
      </c>
      <c r="F212" s="203"/>
      <c r="G212" s="203" t="str">
        <f>[9]Sheet22!E29</f>
        <v>TECHNICAL DRAWING</v>
      </c>
    </row>
    <row r="213" spans="1:7" s="3" customFormat="1" x14ac:dyDescent="0.35">
      <c r="A213" s="257" t="str">
        <f t="shared" si="27"/>
        <v>ME 161,ED1-COE</v>
      </c>
      <c r="B213" s="307" t="str">
        <f>[9]Sheet22!G30</f>
        <v>Tay Godwin Fabiola Kwaku</v>
      </c>
      <c r="C213" s="204">
        <v>261</v>
      </c>
      <c r="D213" s="203" t="str">
        <f>D212</f>
        <v>ED1-COE</v>
      </c>
      <c r="E213" s="203" t="s">
        <v>193</v>
      </c>
      <c r="F213" s="203"/>
      <c r="G213" s="203" t="str">
        <f>[9]Sheet22!E30</f>
        <v>BASIC MECHANICS</v>
      </c>
    </row>
    <row r="214" spans="1:7" s="3" customFormat="1" x14ac:dyDescent="0.35">
      <c r="A214" s="257" t="str">
        <f t="shared" si="27"/>
        <v>ACF 255,ED2-COE</v>
      </c>
      <c r="B214" s="307" t="str">
        <f>[9]Sheet23!G8</f>
        <v>Yeboah Edward</v>
      </c>
      <c r="C214" s="204">
        <v>61</v>
      </c>
      <c r="D214" s="203" t="s">
        <v>30</v>
      </c>
      <c r="E214" s="203" t="str">
        <f>[9]Sheet23!B8</f>
        <v>ACF 255</v>
      </c>
      <c r="F214" s="203"/>
      <c r="G214" s="203" t="str">
        <f>[9]Sheet23!E8</f>
        <v>FINANCIAL ACCOUNTING I</v>
      </c>
    </row>
    <row r="215" spans="1:7" s="3" customFormat="1" x14ac:dyDescent="0.35">
      <c r="A215" s="257" t="str">
        <f t="shared" si="27"/>
        <v>CENG 291,ED2-COE</v>
      </c>
      <c r="B215" s="313" t="str">
        <f>[9]Sheet23!G9</f>
        <v>Odame Prince</v>
      </c>
      <c r="C215" s="204">
        <v>253</v>
      </c>
      <c r="D215" s="203" t="str">
        <f t="shared" ref="D215:D223" si="29">D214</f>
        <v>ED2-COE</v>
      </c>
      <c r="E215" s="203" t="str">
        <f>[9]Sheet23!B9</f>
        <v>CENG 291</v>
      </c>
      <c r="F215" s="203"/>
      <c r="G215" s="203" t="str">
        <f>[9]Sheet23!E9</f>
        <v>ENGINEERING IN SOCIETY</v>
      </c>
    </row>
    <row r="216" spans="1:7" s="3" customFormat="1" x14ac:dyDescent="0.35">
      <c r="A216" s="257" t="str">
        <f t="shared" si="27"/>
        <v>COE 253,ED2-COE</v>
      </c>
      <c r="B216" s="307" t="str">
        <f>[9]Sheet23!G10</f>
        <v>Kwabi Prince Amponsah</v>
      </c>
      <c r="C216" s="204">
        <v>253</v>
      </c>
      <c r="D216" s="203" t="str">
        <f t="shared" si="29"/>
        <v>ED2-COE</v>
      </c>
      <c r="E216" s="203" t="str">
        <f>[9]Sheet23!B10</f>
        <v>COE 253</v>
      </c>
      <c r="F216" s="203"/>
      <c r="G216" s="203" t="str">
        <f>[9]Sheet23!E10</f>
        <v>DISCRETE STRUCTURES</v>
      </c>
    </row>
    <row r="217" spans="1:7" s="3" customFormat="1" x14ac:dyDescent="0.35">
      <c r="A217" s="257" t="str">
        <f t="shared" si="27"/>
        <v>COE 261,ED2-COE</v>
      </c>
      <c r="B217" s="307" t="str">
        <f>[9]Sheet23!G11</f>
        <v>Tchao Eric Tutu</v>
      </c>
      <c r="C217" s="204">
        <v>253</v>
      </c>
      <c r="D217" s="203" t="str">
        <f t="shared" si="29"/>
        <v>ED2-COE</v>
      </c>
      <c r="E217" s="203" t="str">
        <f>[9]Sheet23!B11</f>
        <v>COE 261</v>
      </c>
      <c r="F217" s="203"/>
      <c r="G217" s="203" t="str">
        <f>[9]Sheet23!E11</f>
        <v>COMMUNICATION SYSTEMS</v>
      </c>
    </row>
    <row r="218" spans="1:7" s="3" customFormat="1" x14ac:dyDescent="0.35">
      <c r="A218" s="257" t="str">
        <f t="shared" si="27"/>
        <v>COE 271,ED2-COE</v>
      </c>
      <c r="B218" s="307" t="str">
        <f>[9]Sheet23!G12</f>
        <v>Kommey Benjamin</v>
      </c>
      <c r="C218" s="204">
        <v>253</v>
      </c>
      <c r="D218" s="203" t="str">
        <f t="shared" si="29"/>
        <v>ED2-COE</v>
      </c>
      <c r="E218" s="203" t="str">
        <f>[9]Sheet23!B12</f>
        <v>COE 271</v>
      </c>
      <c r="F218" s="203"/>
      <c r="G218" s="203" t="str">
        <f>[9]Sheet23!E12</f>
        <v>SEMICONDUCTOR DEVICES</v>
      </c>
    </row>
    <row r="219" spans="1:7" s="3" customFormat="1" x14ac:dyDescent="0.35">
      <c r="A219" s="257" t="str">
        <f t="shared" si="27"/>
        <v>COE 281,ED2-COE</v>
      </c>
      <c r="B219" s="307" t="str">
        <f>$B$236</f>
        <v>Adjaidoo Theresa-Samuelle Maame Atwemaah</v>
      </c>
      <c r="C219" s="204">
        <v>253</v>
      </c>
      <c r="D219" s="203" t="str">
        <f t="shared" si="29"/>
        <v>ED2-COE</v>
      </c>
      <c r="E219" s="203" t="s">
        <v>1372</v>
      </c>
      <c r="F219" s="203"/>
      <c r="G219" s="203" t="s">
        <v>1386</v>
      </c>
    </row>
    <row r="220" spans="1:7" s="3" customFormat="1" x14ac:dyDescent="0.35">
      <c r="A220" s="257" t="str">
        <f t="shared" si="27"/>
        <v>COE 291,ED2-COE</v>
      </c>
      <c r="B220" s="307" t="str">
        <f>[9]Sheet23!G13</f>
        <v>Kommey Benjamin</v>
      </c>
      <c r="C220" s="204">
        <v>253</v>
      </c>
      <c r="D220" s="203" t="str">
        <f>D218</f>
        <v>ED2-COE</v>
      </c>
      <c r="E220" s="203" t="str">
        <f>[9]Sheet23!B13</f>
        <v>COE 291</v>
      </c>
      <c r="F220" s="203"/>
      <c r="G220" s="203" t="str">
        <f>[9]Sheet23!E13</f>
        <v>COMPUTER ENGINEERING LAB. I</v>
      </c>
    </row>
    <row r="221" spans="1:7" s="3" customFormat="1" x14ac:dyDescent="0.35">
      <c r="A221" s="257" t="str">
        <f t="shared" si="27"/>
        <v>ECON 151,ED2-COE</v>
      </c>
      <c r="B221" s="307" t="str">
        <f>[9]Sheet23!G14</f>
        <v>Takyi Paul Owusu</v>
      </c>
      <c r="C221" s="204">
        <v>36</v>
      </c>
      <c r="D221" s="203" t="str">
        <f t="shared" si="29"/>
        <v>ED2-COE</v>
      </c>
      <c r="E221" s="203" t="str">
        <f>[9]Sheet23!B14</f>
        <v>ECON 151</v>
      </c>
      <c r="F221" s="203"/>
      <c r="G221" s="203" t="str">
        <f>[9]Sheet23!E14</f>
        <v>ELEMENTS OF ECONOMICS I</v>
      </c>
    </row>
    <row r="222" spans="1:7" s="3" customFormat="1" x14ac:dyDescent="0.35">
      <c r="A222" s="257" t="str">
        <f t="shared" si="27"/>
        <v>FC 181,ED2-COE</v>
      </c>
      <c r="B222" s="307" t="str">
        <f>[9]Sheet23!G15</f>
        <v>Boakye-Agyeman Candy</v>
      </c>
      <c r="C222" s="204">
        <v>146</v>
      </c>
      <c r="D222" s="203" t="str">
        <f t="shared" si="29"/>
        <v>ED2-COE</v>
      </c>
      <c r="E222" s="203" t="str">
        <f>[9]Sheet23!B15</f>
        <v>FC 181</v>
      </c>
      <c r="F222" s="203"/>
      <c r="G222" s="203" t="str">
        <f>[9]Sheet23!E15</f>
        <v>FRENCH FOR COMMUNICATION PURPOSES I</v>
      </c>
    </row>
    <row r="223" spans="1:7" s="3" customFormat="1" x14ac:dyDescent="0.35">
      <c r="A223" s="257" t="str">
        <f t="shared" si="27"/>
        <v>MATH 251,ED2-COE</v>
      </c>
      <c r="B223" s="307" t="str">
        <f>[9]Sheet23!G16</f>
        <v>Wireko Fredrick Asenso</v>
      </c>
      <c r="C223" s="204">
        <v>253</v>
      </c>
      <c r="D223" s="203" t="str">
        <f t="shared" si="29"/>
        <v>ED2-COE</v>
      </c>
      <c r="E223" s="203" t="str">
        <f>[9]Sheet23!B16</f>
        <v>MATH 251</v>
      </c>
      <c r="F223" s="203"/>
      <c r="G223" s="203" t="str">
        <f>[9]Sheet23!E16</f>
        <v>DIFFERENTIAL EQUATIONS</v>
      </c>
    </row>
    <row r="224" spans="1:7" s="3" customFormat="1" x14ac:dyDescent="0.35">
      <c r="A224" s="257" t="str">
        <f t="shared" si="27"/>
        <v>COE 371,ED3-COE</v>
      </c>
      <c r="B224" s="307" t="str">
        <f>[9]Sheet24!G8</f>
        <v>Agbemenu Andrew Selasi</v>
      </c>
      <c r="C224" s="204">
        <v>276</v>
      </c>
      <c r="D224" s="203" t="s">
        <v>17</v>
      </c>
      <c r="E224" s="203" t="str">
        <f>[9]Sheet24!B8</f>
        <v>COE 371</v>
      </c>
      <c r="F224" s="203"/>
      <c r="G224" s="203" t="str">
        <f>[9]Sheet24!E8</f>
        <v>LINEAR ELECTRONIC CIRCUITS</v>
      </c>
    </row>
    <row r="225" spans="1:7" s="3" customFormat="1" x14ac:dyDescent="0.35">
      <c r="A225" s="257" t="str">
        <f t="shared" si="27"/>
        <v>COE 381,ED3-COE</v>
      </c>
      <c r="B225" s="307" t="str">
        <f>[9]Sheet24!G9</f>
        <v>Keelson Eliel</v>
      </c>
      <c r="C225" s="204">
        <v>276</v>
      </c>
      <c r="D225" s="203" t="str">
        <f t="shared" ref="D225:D230" si="30">D224</f>
        <v>ED3-COE</v>
      </c>
      <c r="E225" s="203" t="str">
        <f>[9]Sheet24!B9</f>
        <v>COE 381</v>
      </c>
      <c r="F225" s="203"/>
      <c r="G225" s="203" t="str">
        <f>[9]Sheet24!E9</f>
        <v>MICROPROCESSORS</v>
      </c>
    </row>
    <row r="226" spans="1:7" s="3" customFormat="1" x14ac:dyDescent="0.35">
      <c r="A226" s="257" t="str">
        <f t="shared" si="27"/>
        <v>COE 363,ED3-COE</v>
      </c>
      <c r="B226" s="307" t="str">
        <f>$B$236</f>
        <v>Adjaidoo Theresa-Samuelle Maame Atwemaah</v>
      </c>
      <c r="C226" s="204">
        <v>276</v>
      </c>
      <c r="D226" s="203" t="str">
        <f t="shared" si="30"/>
        <v>ED3-COE</v>
      </c>
      <c r="E226" s="203" t="s">
        <v>1389</v>
      </c>
      <c r="F226" s="203"/>
      <c r="G226" s="203" t="s">
        <v>1387</v>
      </c>
    </row>
    <row r="227" spans="1:7" s="3" customFormat="1" x14ac:dyDescent="0.35">
      <c r="A227" s="257" t="str">
        <f t="shared" si="27"/>
        <v>COE 387,ED3-COE</v>
      </c>
      <c r="B227" s="307" t="str">
        <f>[9]Sheet24!G10</f>
        <v>Klogo Griffith Selorm</v>
      </c>
      <c r="C227" s="204">
        <v>276</v>
      </c>
      <c r="D227" s="203" t="str">
        <f>D225</f>
        <v>ED3-COE</v>
      </c>
      <c r="E227" s="203" t="str">
        <f>[9]Sheet24!B10</f>
        <v>COE 387</v>
      </c>
      <c r="F227" s="203"/>
      <c r="G227" s="203" t="str">
        <f>[9]Sheet24!E10</f>
        <v>CLASSICAL CONTROL SYSTEMS</v>
      </c>
    </row>
    <row r="228" spans="1:7" s="3" customFormat="1" x14ac:dyDescent="0.35">
      <c r="A228" s="257" t="str">
        <f t="shared" si="27"/>
        <v>MATH 351,ED3-COE</v>
      </c>
      <c r="B228" s="307" t="str">
        <f>[9]Sheet24!G11</f>
        <v>Borkor Reindorf Nartey</v>
      </c>
      <c r="C228" s="204">
        <v>276</v>
      </c>
      <c r="D228" s="203" t="str">
        <f t="shared" si="30"/>
        <v>ED3-COE</v>
      </c>
      <c r="E228" s="203" t="str">
        <f>[9]Sheet24!B11</f>
        <v>MATH 351</v>
      </c>
      <c r="F228" s="203"/>
      <c r="G228" s="203" t="str">
        <f>[9]Sheet24!E11</f>
        <v>NUMERICAL ANALYSIS</v>
      </c>
    </row>
    <row r="229" spans="1:7" s="3" customFormat="1" x14ac:dyDescent="0.35">
      <c r="A229" s="257" t="str">
        <f t="shared" si="27"/>
        <v>STAT 253,ED3-COE</v>
      </c>
      <c r="B229" s="307" t="str">
        <f>[9]Sheet24!G12</f>
        <v>Amoako-Yirenkyi Carole Fredua</v>
      </c>
      <c r="C229" s="204">
        <v>276</v>
      </c>
      <c r="D229" s="203" t="str">
        <f t="shared" si="30"/>
        <v>ED3-COE</v>
      </c>
      <c r="E229" s="203" t="str">
        <f>[9]Sheet24!B12</f>
        <v>STAT 253</v>
      </c>
      <c r="F229" s="203"/>
      <c r="G229" s="203" t="str">
        <f>[9]Sheet24!E12</f>
        <v>PROBABILITY AND STATISTICS</v>
      </c>
    </row>
    <row r="230" spans="1:7" s="3" customFormat="1" x14ac:dyDescent="0.35">
      <c r="A230" s="257" t="str">
        <f t="shared" si="27"/>
        <v>TE 385,ED3-COE</v>
      </c>
      <c r="B230" s="307" t="str">
        <f>[9]Sheet24!G13</f>
        <v>Yeboah-Akowuah Bright</v>
      </c>
      <c r="C230" s="204">
        <v>276</v>
      </c>
      <c r="D230" s="203" t="str">
        <f t="shared" si="30"/>
        <v>ED3-COE</v>
      </c>
      <c r="E230" s="203" t="str">
        <f>[9]Sheet24!B13</f>
        <v>TE 385</v>
      </c>
      <c r="F230" s="203"/>
      <c r="G230" s="203" t="str">
        <f>[9]Sheet24!E13</f>
        <v>SIGNALS AND SYSTEMS</v>
      </c>
    </row>
    <row r="231" spans="1:7" s="3" customFormat="1" x14ac:dyDescent="0.35">
      <c r="A231" s="257" t="str">
        <f t="shared" si="27"/>
        <v>COE 451,ED4-COE</v>
      </c>
      <c r="B231" s="307" t="str">
        <f>[9]Sheet25!G8</f>
        <v>Klogo Griffith Selorm</v>
      </c>
      <c r="C231" s="204">
        <v>170</v>
      </c>
      <c r="D231" s="203" t="s">
        <v>60</v>
      </c>
      <c r="E231" s="203" t="str">
        <f>[9]Sheet25!B8</f>
        <v>COE 451</v>
      </c>
      <c r="F231" s="203"/>
      <c r="G231" s="203" t="str">
        <f>[9]Sheet25!E8</f>
        <v>COMPUTER GRAPHICS</v>
      </c>
    </row>
    <row r="232" spans="1:7" s="3" customFormat="1" x14ac:dyDescent="0.35">
      <c r="A232" s="257" t="str">
        <f t="shared" si="27"/>
        <v>COE 453,ED4-COE</v>
      </c>
      <c r="B232" s="307" t="str">
        <f>[9]Sheet25!G9</f>
        <v>Keelson Eliel</v>
      </c>
      <c r="C232" s="204">
        <v>170</v>
      </c>
      <c r="D232" s="203" t="str">
        <f t="shared" ref="D232:D238" si="31">D231</f>
        <v>ED4-COE</v>
      </c>
      <c r="E232" s="203" t="str">
        <f>[9]Sheet25!B9</f>
        <v>COE 453</v>
      </c>
      <c r="F232" s="203"/>
      <c r="G232" s="203" t="str">
        <f>[9]Sheet25!E9</f>
        <v>DISTRIBUTED COMPUTING</v>
      </c>
    </row>
    <row r="233" spans="1:7" s="3" customFormat="1" x14ac:dyDescent="0.35">
      <c r="A233" s="257" t="str">
        <f t="shared" si="27"/>
        <v>COE 457,ED4-COE</v>
      </c>
      <c r="B233" s="307" t="str">
        <f>[9]Sheet25!G10</f>
        <v>Nunoo-Mensah Henry</v>
      </c>
      <c r="C233" s="204">
        <v>170</v>
      </c>
      <c r="D233" s="203" t="str">
        <f t="shared" si="31"/>
        <v>ED4-COE</v>
      </c>
      <c r="E233" s="203" t="str">
        <f>[9]Sheet25!B10</f>
        <v>COE 457</v>
      </c>
      <c r="F233" s="203"/>
      <c r="G233" s="203" t="str">
        <f>[9]Sheet25!E10</f>
        <v>ARTIFICIAL INTELLIGENCE</v>
      </c>
    </row>
    <row r="234" spans="1:7" s="3" customFormat="1" x14ac:dyDescent="0.35">
      <c r="A234" s="257" t="str">
        <f t="shared" si="27"/>
        <v>COE 475,ED4-COE</v>
      </c>
      <c r="B234" s="307" t="str">
        <f>[9]Sheet25!G11</f>
        <v>Akowuah Emmanuel Kofi</v>
      </c>
      <c r="C234" s="204">
        <v>170</v>
      </c>
      <c r="D234" s="203" t="str">
        <f t="shared" si="31"/>
        <v>ED4-COE</v>
      </c>
      <c r="E234" s="203" t="str">
        <f>[9]Sheet25!B11</f>
        <v>COE 475</v>
      </c>
      <c r="F234" s="203"/>
      <c r="G234" s="203" t="str">
        <f>[9]Sheet25!E11</f>
        <v>COMPUTER NETWORKING</v>
      </c>
    </row>
    <row r="235" spans="1:7" s="3" customFormat="1" x14ac:dyDescent="0.35">
      <c r="A235" s="257" t="str">
        <f t="shared" si="27"/>
        <v>COE 485,ED4-COE</v>
      </c>
      <c r="B235" s="307" t="str">
        <f>[9]Sheet25!G12</f>
        <v>Boateng Kwame Osei</v>
      </c>
      <c r="C235" s="204">
        <v>170</v>
      </c>
      <c r="D235" s="203" t="str">
        <f t="shared" si="31"/>
        <v>ED4-COE</v>
      </c>
      <c r="E235" s="203" t="str">
        <f>[9]Sheet25!B12</f>
        <v>COE 485</v>
      </c>
      <c r="F235" s="203"/>
      <c r="G235" s="203" t="str">
        <f>[9]Sheet25!E12</f>
        <v>COMPUTER ARCHITECTURE</v>
      </c>
    </row>
    <row r="236" spans="1:7" s="3" customFormat="1" x14ac:dyDescent="0.35">
      <c r="A236" s="257" t="str">
        <f t="shared" si="27"/>
        <v>COE 497,ED4-COE</v>
      </c>
      <c r="B236" s="307" t="str">
        <f>[9]Sheet25!G13</f>
        <v>Adjaidoo Theresa-Samuelle Maame Atwemaah</v>
      </c>
      <c r="C236" s="204">
        <v>170</v>
      </c>
      <c r="D236" s="203" t="str">
        <f t="shared" si="31"/>
        <v>ED4-COE</v>
      </c>
      <c r="E236" s="203" t="str">
        <f>[9]Sheet25!B13</f>
        <v>COE 497</v>
      </c>
      <c r="F236" s="203"/>
      <c r="G236" s="203" t="str">
        <f>[9]Sheet25!E13</f>
        <v>PROJECT 1</v>
      </c>
    </row>
    <row r="237" spans="1:7" s="3" customFormat="1" x14ac:dyDescent="0.35">
      <c r="A237" s="257" t="str">
        <f t="shared" si="27"/>
        <v>COE 499,ED4-COE</v>
      </c>
      <c r="B237" s="307" t="str">
        <f>[9]Sheet25!G14</f>
        <v>Yeboah-Akowuah Bright</v>
      </c>
      <c r="C237" s="204">
        <v>170</v>
      </c>
      <c r="D237" s="203" t="str">
        <f t="shared" si="31"/>
        <v>ED4-COE</v>
      </c>
      <c r="E237" s="203" t="str">
        <f>[9]Sheet25!B14</f>
        <v>COE 499</v>
      </c>
      <c r="F237" s="203"/>
      <c r="G237" s="203" t="str">
        <f>[9]Sheet25!E14</f>
        <v>VACATION TRAINING</v>
      </c>
    </row>
    <row r="238" spans="1:7" s="3" customFormat="1" x14ac:dyDescent="0.35">
      <c r="A238" s="257" t="str">
        <f t="shared" si="27"/>
        <v>ME 491,ED4-COE</v>
      </c>
      <c r="B238" s="307" t="str">
        <f>[9]Sheet25!G15</f>
        <v>Mensah Lena Dzifa</v>
      </c>
      <c r="C238" s="204">
        <v>170</v>
      </c>
      <c r="D238" s="203" t="str">
        <f t="shared" si="31"/>
        <v>ED4-COE</v>
      </c>
      <c r="E238" s="203" t="str">
        <f>[9]Sheet25!B15</f>
        <v>ME 491</v>
      </c>
      <c r="F238" s="203"/>
      <c r="G238" s="203" t="str">
        <f>[9]Sheet25!E15</f>
        <v>ENGINEERING ECONOMICS AND MANAGEMENT</v>
      </c>
    </row>
    <row r="239" spans="1:7" s="3" customFormat="1" x14ac:dyDescent="0.35">
      <c r="A239" s="257" t="str">
        <f t="shared" si="27"/>
        <v>EE 151,ED1-EE</v>
      </c>
      <c r="B239" s="312" t="str">
        <f>[9]Sheet25!G20</f>
        <v>Effah Francis Boafo</v>
      </c>
      <c r="C239" s="260">
        <v>287</v>
      </c>
      <c r="D239" s="260" t="s">
        <v>58</v>
      </c>
      <c r="E239" s="260" t="str">
        <f>[9]Sheet25!B20</f>
        <v>EE 151</v>
      </c>
      <c r="F239" s="260"/>
      <c r="G239" s="260" t="str">
        <f>[9]Sheet25!E20</f>
        <v>APPLIED ELECTRICITY</v>
      </c>
    </row>
    <row r="240" spans="1:7" s="3" customFormat="1" x14ac:dyDescent="0.35">
      <c r="A240" s="257" t="str">
        <f t="shared" si="27"/>
        <v>EE 153,ED1-EE</v>
      </c>
      <c r="B240" s="312" t="str">
        <f>[9]Sheet25!G21</f>
        <v>Prah II Nicholas Kwesi</v>
      </c>
      <c r="C240" s="260">
        <v>287</v>
      </c>
      <c r="D240" s="260" t="str">
        <f t="shared" ref="D240:D245" si="32">D239</f>
        <v>ED1-EE</v>
      </c>
      <c r="E240" s="260" t="str">
        <f>[9]Sheet25!B21</f>
        <v>EE 153</v>
      </c>
      <c r="F240" s="260"/>
      <c r="G240" s="260" t="str">
        <f>[9]Sheet25!E21</f>
        <v>ELECTRICAL ENGINEERING TECHNOLOGY WITH MATLAB</v>
      </c>
    </row>
    <row r="241" spans="1:7" s="3" customFormat="1" x14ac:dyDescent="0.35">
      <c r="A241" s="257" t="str">
        <f t="shared" si="27"/>
        <v>EE 161,ED1-EE</v>
      </c>
      <c r="B241" s="312" t="str">
        <f>[9]Sheet25!G22</f>
        <v>Opoku Daniel</v>
      </c>
      <c r="C241" s="260">
        <v>287</v>
      </c>
      <c r="D241" s="260" t="str">
        <f t="shared" si="32"/>
        <v>ED1-EE</v>
      </c>
      <c r="E241" s="260" t="str">
        <f>[9]Sheet25!B22</f>
        <v>EE 161</v>
      </c>
      <c r="F241" s="260"/>
      <c r="G241" s="260" t="str">
        <f>[9]Sheet25!E22</f>
        <v>TRANSFORMERS</v>
      </c>
    </row>
    <row r="242" spans="1:7" s="3" customFormat="1" x14ac:dyDescent="0.35">
      <c r="A242" s="257" t="str">
        <f t="shared" si="27"/>
        <v>EE 167,ED1-EE</v>
      </c>
      <c r="B242" s="312" t="str">
        <f>[9]Sheet25!G23</f>
        <v>Asiedu Charlotte</v>
      </c>
      <c r="C242" s="260">
        <v>287</v>
      </c>
      <c r="D242" s="260" t="str">
        <f t="shared" si="32"/>
        <v>ED1-EE</v>
      </c>
      <c r="E242" s="260" t="str">
        <f>[9]Sheet25!B23</f>
        <v>EE 167</v>
      </c>
      <c r="F242" s="260"/>
      <c r="G242" s="260" t="str">
        <f>[9]Sheet25!E23</f>
        <v>OCCUPATIONAL HEALTH AND SAFETY</v>
      </c>
    </row>
    <row r="243" spans="1:7" s="3" customFormat="1" x14ac:dyDescent="0.35">
      <c r="A243" s="257" t="str">
        <f t="shared" si="27"/>
        <v>ENGL 157,ED1-EE</v>
      </c>
      <c r="B243" s="312" t="str">
        <f>[9]Sheet25!G24</f>
        <v>Sarfo-Adu Kwasi</v>
      </c>
      <c r="C243" s="260">
        <v>287</v>
      </c>
      <c r="D243" s="260" t="str">
        <f t="shared" si="32"/>
        <v>ED1-EE</v>
      </c>
      <c r="E243" s="260" t="str">
        <f>[9]Sheet25!B24</f>
        <v>ENGL 157</v>
      </c>
      <c r="F243" s="260"/>
      <c r="G243" s="260" t="str">
        <f>[9]Sheet25!E24</f>
        <v>COMMUNICATION SKILLS I</v>
      </c>
    </row>
    <row r="244" spans="1:7" s="3" customFormat="1" x14ac:dyDescent="0.35">
      <c r="A244" s="257" t="str">
        <f t="shared" si="27"/>
        <v>MATH 151,ED1-EE</v>
      </c>
      <c r="B244" s="312" t="str">
        <f>[9]Sheet25!G25</f>
        <v>Ayekple Yao Elikem</v>
      </c>
      <c r="C244" s="260">
        <v>287</v>
      </c>
      <c r="D244" s="260" t="str">
        <f t="shared" si="32"/>
        <v>ED1-EE</v>
      </c>
      <c r="E244" s="260" t="str">
        <f>[9]Sheet25!B25</f>
        <v>MATH 151</v>
      </c>
      <c r="F244" s="260"/>
      <c r="G244" s="260" t="str">
        <f>[9]Sheet25!E25</f>
        <v>ALGEBRA</v>
      </c>
    </row>
    <row r="245" spans="1:7" s="3" customFormat="1" x14ac:dyDescent="0.35">
      <c r="A245" s="257" t="str">
        <f t="shared" si="27"/>
        <v>ME 161,ED1-EE</v>
      </c>
      <c r="B245" s="312" t="str">
        <f>[9]Sheet25!G26</f>
        <v>Dzebre Denis Edem Kwame</v>
      </c>
      <c r="C245" s="260">
        <v>287</v>
      </c>
      <c r="D245" s="260" t="str">
        <f t="shared" si="32"/>
        <v>ED1-EE</v>
      </c>
      <c r="E245" s="260" t="str">
        <f>[9]Sheet25!B26</f>
        <v>ME 161</v>
      </c>
      <c r="F245" s="260"/>
      <c r="G245" s="260" t="str">
        <f>[9]Sheet25!E26</f>
        <v>BASIC MECHANICS</v>
      </c>
    </row>
    <row r="246" spans="1:7" s="3" customFormat="1" x14ac:dyDescent="0.35">
      <c r="A246" s="257" t="str">
        <f t="shared" si="27"/>
        <v>CENG 291,ED2-EE</v>
      </c>
      <c r="B246" s="312" t="str">
        <f>[9]Sheet26!G9</f>
        <v>Kwegyir Daniel</v>
      </c>
      <c r="C246" s="260">
        <v>340</v>
      </c>
      <c r="D246" s="260" t="s">
        <v>82</v>
      </c>
      <c r="E246" s="260" t="str">
        <f>[9]Sheet26!B9</f>
        <v>CENG 291</v>
      </c>
      <c r="F246" s="260"/>
      <c r="G246" s="260" t="str">
        <f>[9]Sheet26!E9</f>
        <v>ENGINEERING IN SOCIETY</v>
      </c>
    </row>
    <row r="247" spans="1:7" s="3" customFormat="1" x14ac:dyDescent="0.35">
      <c r="A247" s="257" t="str">
        <f t="shared" si="27"/>
        <v>COE 251,ED2-EE</v>
      </c>
      <c r="B247" s="312" t="str">
        <f>[9]Sheet26!G10</f>
        <v>Adjei Prince Ebenezer</v>
      </c>
      <c r="C247" s="260">
        <v>340</v>
      </c>
      <c r="D247" s="260" t="str">
        <f t="shared" ref="D247:D254" si="33">D246</f>
        <v>ED2-EE</v>
      </c>
      <c r="E247" s="260" t="str">
        <f>[9]Sheet26!B10</f>
        <v>COE 251</v>
      </c>
      <c r="F247" s="260"/>
      <c r="G247" s="260" t="str">
        <f>[9]Sheet26!E10</f>
        <v>C PROGRAMMING</v>
      </c>
    </row>
    <row r="248" spans="1:7" s="3" customFormat="1" x14ac:dyDescent="0.35">
      <c r="A248" s="257" t="str">
        <f t="shared" si="27"/>
        <v>ECON 151,ED2-EE</v>
      </c>
      <c r="B248" s="312" t="str">
        <f>[9]Sheet26!G11</f>
        <v>Takyi Paul Owusu</v>
      </c>
      <c r="C248" s="260">
        <v>142</v>
      </c>
      <c r="D248" s="260" t="str">
        <f t="shared" si="33"/>
        <v>ED2-EE</v>
      </c>
      <c r="E248" s="260" t="s">
        <v>243</v>
      </c>
      <c r="F248" s="260"/>
      <c r="G248" s="260" t="str">
        <f>[9]Sheet26!E11</f>
        <v>ELEMENTS OF ECONOMICS I</v>
      </c>
    </row>
    <row r="249" spans="1:7" s="3" customFormat="1" x14ac:dyDescent="0.35">
      <c r="A249" s="257" t="str">
        <f t="shared" si="27"/>
        <v>EE 261,ED2-EE</v>
      </c>
      <c r="B249" s="314" t="str">
        <f>[9]Sheet26!G12</f>
        <v>Effah Francis Boafo</v>
      </c>
      <c r="C249" s="260">
        <v>340</v>
      </c>
      <c r="D249" s="260" t="str">
        <f t="shared" si="33"/>
        <v>ED2-EE</v>
      </c>
      <c r="E249" s="260" t="str">
        <f>[9]Sheet26!B12</f>
        <v>EE 261</v>
      </c>
      <c r="F249" s="260"/>
      <c r="G249" s="260" t="str">
        <f>[9]Sheet26!E12</f>
        <v>DC MACHINES</v>
      </c>
    </row>
    <row r="250" spans="1:7" s="3" customFormat="1" x14ac:dyDescent="0.35">
      <c r="A250" s="257" t="str">
        <f t="shared" si="27"/>
        <v>EE 271,ED2-EE</v>
      </c>
      <c r="B250" s="312" t="str">
        <f>$B$255</f>
        <v>Sekyere Yaw Opoku Mensah</v>
      </c>
      <c r="C250" s="260">
        <v>340</v>
      </c>
      <c r="D250" s="260" t="str">
        <f t="shared" si="33"/>
        <v>ED2-EE</v>
      </c>
      <c r="E250" s="260" t="str">
        <f>[9]Sheet26!B13</f>
        <v>EE 271</v>
      </c>
      <c r="F250" s="260"/>
      <c r="G250" s="260" t="str">
        <f>[9]Sheet26!E13</f>
        <v>SEMICONDUCTOR DEVICES</v>
      </c>
    </row>
    <row r="251" spans="1:7" s="3" customFormat="1" x14ac:dyDescent="0.35">
      <c r="A251" s="257" t="str">
        <f t="shared" si="27"/>
        <v>EE 291,ED2-EE</v>
      </c>
      <c r="B251" s="312" t="str">
        <f>[9]Sheet26!G14</f>
        <v>Frimpong Emmanuel Asuming</v>
      </c>
      <c r="C251" s="260">
        <v>340</v>
      </c>
      <c r="D251" s="260" t="str">
        <f t="shared" si="33"/>
        <v>ED2-EE</v>
      </c>
      <c r="E251" s="260" t="str">
        <f>[9]Sheet26!B14</f>
        <v>EE 291</v>
      </c>
      <c r="F251" s="260"/>
      <c r="G251" s="260" t="str">
        <f>[9]Sheet26!E14</f>
        <v>ELECTRICAL ENGINEERING LAB. I</v>
      </c>
    </row>
    <row r="252" spans="1:7" s="3" customFormat="1" x14ac:dyDescent="0.35">
      <c r="A252" s="257" t="str">
        <f t="shared" si="27"/>
        <v>FC 181,ED2-EE</v>
      </c>
      <c r="B252" s="312" t="str">
        <f>[9]Sheet26!G15</f>
        <v>Boakye-Agyeman Candy</v>
      </c>
      <c r="C252" s="260">
        <v>174</v>
      </c>
      <c r="D252" s="260" t="str">
        <f t="shared" si="33"/>
        <v>ED2-EE</v>
      </c>
      <c r="E252" s="260" t="str">
        <f>[9]Sheet26!B15</f>
        <v>FC 181</v>
      </c>
      <c r="F252" s="260"/>
      <c r="G252" s="260" t="str">
        <f>[9]Sheet26!E15</f>
        <v>FRENCH FOR COMMUNICATION PURPOSES I</v>
      </c>
    </row>
    <row r="253" spans="1:7" s="3" customFormat="1" x14ac:dyDescent="0.35">
      <c r="A253" s="257" t="str">
        <f t="shared" si="27"/>
        <v>MATH 251,ED2-EE</v>
      </c>
      <c r="B253" s="312" t="str">
        <f>[9]Sheet26!G16</f>
        <v>Barnes Benedict</v>
      </c>
      <c r="C253" s="260">
        <v>340</v>
      </c>
      <c r="D253" s="260" t="str">
        <f t="shared" si="33"/>
        <v>ED2-EE</v>
      </c>
      <c r="E253" s="260" t="str">
        <f>[9]Sheet26!B16</f>
        <v>MATH 251</v>
      </c>
      <c r="F253" s="260"/>
      <c r="G253" s="260" t="str">
        <f>[9]Sheet26!E16</f>
        <v>DIFFERENTIAL EQUATIONS</v>
      </c>
    </row>
    <row r="254" spans="1:7" s="3" customFormat="1" x14ac:dyDescent="0.35">
      <c r="A254" s="257" t="str">
        <f t="shared" si="27"/>
        <v>EE 265,ED2-EE</v>
      </c>
      <c r="B254" s="312" t="str">
        <f>[9]Sheet26!G17</f>
        <v>Kwegyir Daniel</v>
      </c>
      <c r="C254" s="260">
        <v>340</v>
      </c>
      <c r="D254" s="260" t="str">
        <f t="shared" si="33"/>
        <v>ED2-EE</v>
      </c>
      <c r="E254" s="260" t="str">
        <f>[9]Sheet26!B17</f>
        <v>EE 265</v>
      </c>
      <c r="F254" s="260"/>
      <c r="G254" s="260" t="str">
        <f>[9]Sheet26!E17</f>
        <v>ELECTRICAL SERVICES DESIGN</v>
      </c>
    </row>
    <row r="255" spans="1:7" s="3" customFormat="1" x14ac:dyDescent="0.35">
      <c r="A255" s="257" t="str">
        <f t="shared" si="27"/>
        <v>EE 371,ED3-EE</v>
      </c>
      <c r="B255" s="312" t="str">
        <f>[9]Sheet27!G8</f>
        <v>Sekyere Yaw Opoku Mensah</v>
      </c>
      <c r="C255" s="260">
        <v>254</v>
      </c>
      <c r="D255" s="260" t="s">
        <v>19</v>
      </c>
      <c r="E255" s="260" t="str">
        <f>[9]Sheet27!B8</f>
        <v>EE 371</v>
      </c>
      <c r="F255" s="260"/>
      <c r="G255" s="260" t="str">
        <f>[9]Sheet27!E8</f>
        <v>LINEAR ELECTRONIC CIRCUITS</v>
      </c>
    </row>
    <row r="256" spans="1:7" s="3" customFormat="1" x14ac:dyDescent="0.35">
      <c r="A256" s="257" t="str">
        <f t="shared" si="27"/>
        <v>STAT 253,ED3-EE</v>
      </c>
      <c r="B256" s="312" t="str">
        <f>[9]Sheet27!G9</f>
        <v>Okutu John Kwadey</v>
      </c>
      <c r="C256" s="260">
        <v>254</v>
      </c>
      <c r="D256" s="260" t="str">
        <f t="shared" ref="D256:D262" si="34">D255</f>
        <v>ED3-EE</v>
      </c>
      <c r="E256" s="260" t="str">
        <f>[9]Sheet27!B9</f>
        <v>STAT 253</v>
      </c>
      <c r="F256" s="260"/>
      <c r="G256" s="260" t="str">
        <f>[9]Sheet27!E9</f>
        <v>PROBABILITY AND STATISTICS</v>
      </c>
    </row>
    <row r="257" spans="1:7" s="3" customFormat="1" x14ac:dyDescent="0.35">
      <c r="A257" s="257" t="str">
        <f t="shared" si="27"/>
        <v>COE 381,ED3-EE</v>
      </c>
      <c r="B257" s="312" t="str">
        <f>[9]Sheet27!G10</f>
        <v>Keelson Eliel</v>
      </c>
      <c r="C257" s="260">
        <v>254</v>
      </c>
      <c r="D257" s="260" t="str">
        <f t="shared" si="34"/>
        <v>ED3-EE</v>
      </c>
      <c r="E257" s="260" t="str">
        <f>[9]Sheet27!B10</f>
        <v>COE 381</v>
      </c>
      <c r="F257" s="260"/>
      <c r="G257" s="260" t="str">
        <f>[9]Sheet27!E10</f>
        <v>MICROPROCESSORS</v>
      </c>
    </row>
    <row r="258" spans="1:7" s="3" customFormat="1" x14ac:dyDescent="0.35">
      <c r="A258" s="257" t="str">
        <f t="shared" si="27"/>
        <v>EE 365,ED3-EE</v>
      </c>
      <c r="B258" s="312" t="str">
        <f>[9]Sheet27!G11</f>
        <v>Kwegyir Daniel</v>
      </c>
      <c r="C258" s="260">
        <v>254</v>
      </c>
      <c r="D258" s="260" t="str">
        <f t="shared" si="34"/>
        <v>ED3-EE</v>
      </c>
      <c r="E258" s="260" t="str">
        <f>[9]Sheet27!B11</f>
        <v>EE 365</v>
      </c>
      <c r="F258" s="260"/>
      <c r="G258" s="260" t="str">
        <f>[9]Sheet27!E11</f>
        <v>ELECTRICAL SERVICES DESIGN</v>
      </c>
    </row>
    <row r="259" spans="1:7" s="3" customFormat="1" x14ac:dyDescent="0.35">
      <c r="A259" s="257" t="str">
        <f t="shared" si="27"/>
        <v>EE 367,ED3-EE</v>
      </c>
      <c r="B259" s="312" t="str">
        <f>[9]Sheet27!G12</f>
        <v>Asigri Peter</v>
      </c>
      <c r="C259" s="260">
        <v>254</v>
      </c>
      <c r="D259" s="260" t="str">
        <f t="shared" si="34"/>
        <v>ED3-EE</v>
      </c>
      <c r="E259" s="260" t="str">
        <f>[9]Sheet27!B12</f>
        <v>EE 367</v>
      </c>
      <c r="F259" s="260"/>
      <c r="G259" s="260" t="str">
        <f>[9]Sheet27!E12</f>
        <v>POWER GENERATION  AND SUPPLY</v>
      </c>
    </row>
    <row r="260" spans="1:7" s="3" customFormat="1" x14ac:dyDescent="0.35">
      <c r="A260" s="257" t="str">
        <f t="shared" si="27"/>
        <v>EE 387,ED3-EE</v>
      </c>
      <c r="B260" s="312" t="str">
        <f>[9]Sheet27!G13</f>
        <v>Opoku Daniel</v>
      </c>
      <c r="C260" s="260">
        <v>254</v>
      </c>
      <c r="D260" s="260" t="str">
        <f t="shared" si="34"/>
        <v>ED3-EE</v>
      </c>
      <c r="E260" s="260" t="str">
        <f>[9]Sheet27!B13</f>
        <v>EE 387</v>
      </c>
      <c r="F260" s="260"/>
      <c r="G260" s="260" t="str">
        <f>[9]Sheet27!E13</f>
        <v>CLASSICAL CONTROL SYSTEMS</v>
      </c>
    </row>
    <row r="261" spans="1:7" s="3" customFormat="1" x14ac:dyDescent="0.35">
      <c r="A261" s="257" t="str">
        <f t="shared" si="27"/>
        <v>MATH 351,ED3-EE</v>
      </c>
      <c r="B261" s="312" t="str">
        <f>[9]Sheet27!G14</f>
        <v>Awashie Gaston Edem</v>
      </c>
      <c r="C261" s="260">
        <v>254</v>
      </c>
      <c r="D261" s="260" t="str">
        <f t="shared" si="34"/>
        <v>ED3-EE</v>
      </c>
      <c r="E261" s="260" t="str">
        <f>[9]Sheet27!B14</f>
        <v>MATH 351</v>
      </c>
      <c r="F261" s="260"/>
      <c r="G261" s="260" t="str">
        <f>[9]Sheet27!E14</f>
        <v>NUMERICAL ANALYSIS</v>
      </c>
    </row>
    <row r="262" spans="1:7" s="3" customFormat="1" x14ac:dyDescent="0.35">
      <c r="A262" s="257" t="str">
        <f t="shared" si="27"/>
        <v>TE 271,ED3-EE</v>
      </c>
      <c r="B262" s="312" t="str">
        <f>[9]Sheet27!G15</f>
        <v>Ellis Sani Mubarak</v>
      </c>
      <c r="C262" s="260">
        <v>254</v>
      </c>
      <c r="D262" s="260" t="str">
        <f t="shared" si="34"/>
        <v>ED3-EE</v>
      </c>
      <c r="E262" s="260" t="str">
        <f>[9]Sheet27!B15</f>
        <v>TE 271</v>
      </c>
      <c r="F262" s="260"/>
      <c r="G262" s="260" t="str">
        <f>[9]Sheet27!E15</f>
        <v>ANALOG COMMUNICATION SYSTEMS</v>
      </c>
    </row>
    <row r="263" spans="1:7" s="3" customFormat="1" x14ac:dyDescent="0.35">
      <c r="A263" s="257" t="str">
        <f t="shared" si="27"/>
        <v>COE 475,ED4-EE</v>
      </c>
      <c r="B263" s="312" t="str">
        <f>[9]Sheet28!G9</f>
        <v>Adrah Charles Mawutor</v>
      </c>
      <c r="C263" s="260">
        <v>224</v>
      </c>
      <c r="D263" s="260" t="s">
        <v>56</v>
      </c>
      <c r="E263" s="260" t="str">
        <f>[9]Sheet28!B9</f>
        <v>COE 475</v>
      </c>
      <c r="F263" s="260"/>
      <c r="G263" s="260" t="str">
        <f>[9]Sheet28!E9</f>
        <v>COMPUTER NETWORKING</v>
      </c>
    </row>
    <row r="264" spans="1:7" s="3" customFormat="1" x14ac:dyDescent="0.35">
      <c r="A264" s="257" t="str">
        <f t="shared" si="27"/>
        <v>EE 463,ED4-EE</v>
      </c>
      <c r="B264" s="312" t="str">
        <f>[9]Sheet28!G10</f>
        <v>Kwegyir Daniel</v>
      </c>
      <c r="C264" s="260">
        <v>224</v>
      </c>
      <c r="D264" s="260" t="str">
        <f t="shared" ref="D264:D269" si="35">D263</f>
        <v>ED4-EE</v>
      </c>
      <c r="E264" s="260" t="str">
        <f>[9]Sheet28!B10</f>
        <v>EE 463</v>
      </c>
      <c r="F264" s="260"/>
      <c r="G264" s="260" t="str">
        <f>[9]Sheet28!E10</f>
        <v>SPECIAL ELECTRICAL MACHINES</v>
      </c>
    </row>
    <row r="265" spans="1:7" s="3" customFormat="1" x14ac:dyDescent="0.35">
      <c r="A265" s="257" t="str">
        <f t="shared" si="27"/>
        <v>EE 467,ED4-EE</v>
      </c>
      <c r="B265" s="312" t="str">
        <f>[9]Sheet28!G11</f>
        <v>Antoh Emmanuel Kwaku</v>
      </c>
      <c r="C265" s="260">
        <v>224</v>
      </c>
      <c r="D265" s="260" t="str">
        <f t="shared" si="35"/>
        <v>ED4-EE</v>
      </c>
      <c r="E265" s="260" t="str">
        <f>[9]Sheet28!B11</f>
        <v>EE 467</v>
      </c>
      <c r="F265" s="260"/>
      <c r="G265" s="260" t="str">
        <f>[9]Sheet28!E11</f>
        <v>POWER SYSTEMS OPERATION AND CONTROL</v>
      </c>
    </row>
    <row r="266" spans="1:7" s="3" customFormat="1" x14ac:dyDescent="0.35">
      <c r="A266" s="257" t="str">
        <f t="shared" ref="A266:A329" si="36">_xlfn.CONCAT(E266,",",D266)</f>
        <v>EE 489,ED4-EE</v>
      </c>
      <c r="B266" s="312" t="str">
        <f>[9]Sheet28!G12</f>
        <v>Kwegyir Daniel</v>
      </c>
      <c r="C266" s="260">
        <v>224</v>
      </c>
      <c r="D266" s="260" t="str">
        <f t="shared" si="35"/>
        <v>ED4-EE</v>
      </c>
      <c r="E266" s="260" t="str">
        <f>[9]Sheet28!B12</f>
        <v>EE 489</v>
      </c>
      <c r="F266" s="260"/>
      <c r="G266" s="260" t="str">
        <f>[9]Sheet28!E12</f>
        <v>INDUSTRIAL TRAINING</v>
      </c>
    </row>
    <row r="267" spans="1:7" s="3" customFormat="1" x14ac:dyDescent="0.35">
      <c r="A267" s="257" t="str">
        <f t="shared" si="36"/>
        <v>EE 497,ED4-EE</v>
      </c>
      <c r="B267" s="312" t="str">
        <f>[9]Sheet28!G13</f>
        <v>Sekyere Yaw Opoku Mensah</v>
      </c>
      <c r="C267" s="260">
        <v>224</v>
      </c>
      <c r="D267" s="260" t="str">
        <f t="shared" si="35"/>
        <v>ED4-EE</v>
      </c>
      <c r="E267" s="260" t="str">
        <f>[9]Sheet28!B13</f>
        <v>EE 497</v>
      </c>
      <c r="F267" s="260"/>
      <c r="G267" s="260" t="str">
        <f>[9]Sheet28!E13</f>
        <v>PROJECT I</v>
      </c>
    </row>
    <row r="268" spans="1:7" s="3" customFormat="1" x14ac:dyDescent="0.35">
      <c r="A268" s="257" t="str">
        <f t="shared" si="36"/>
        <v>ME 491,ED4-EE</v>
      </c>
      <c r="B268" s="312" t="str">
        <f>[9]Sheet28!G14</f>
        <v>Mensah Lena Dzifa</v>
      </c>
      <c r="C268" s="260">
        <v>224</v>
      </c>
      <c r="D268" s="260" t="str">
        <f t="shared" si="35"/>
        <v>ED4-EE</v>
      </c>
      <c r="E268" s="260" t="str">
        <f>[9]Sheet28!B14</f>
        <v>ME 491</v>
      </c>
      <c r="F268" s="260"/>
      <c r="G268" s="260" t="str">
        <f>[9]Sheet28!E14</f>
        <v>ENGINEERING ECONOMICS AND MANAGEMENT</v>
      </c>
    </row>
    <row r="269" spans="1:7" s="3" customFormat="1" x14ac:dyDescent="0.35">
      <c r="A269" s="257" t="str">
        <f t="shared" si="36"/>
        <v>TE 481,ED4-EE</v>
      </c>
      <c r="B269" s="312" t="str">
        <f>[9]Sheet28!G15</f>
        <v>Opare Kwasi Adu-Boahen</v>
      </c>
      <c r="C269" s="260">
        <v>224</v>
      </c>
      <c r="D269" s="260" t="str">
        <f t="shared" si="35"/>
        <v>ED4-EE</v>
      </c>
      <c r="E269" s="260" t="str">
        <f>[9]Sheet28!B15</f>
        <v>TE 481</v>
      </c>
      <c r="F269" s="260"/>
      <c r="G269" s="260" t="str">
        <f>[9]Sheet28!E15</f>
        <v>WIRELESS DATA COMMUNICATION NETWORK</v>
      </c>
    </row>
    <row r="270" spans="1:7" s="3" customFormat="1" x14ac:dyDescent="0.35">
      <c r="A270" s="257" t="str">
        <f t="shared" si="36"/>
        <v>ACF 255,ED1-GEOL</v>
      </c>
      <c r="B270" s="307" t="str">
        <f>[9]Sheet31!G19</f>
        <v>Yeboah Edward</v>
      </c>
      <c r="C270" s="203">
        <v>3</v>
      </c>
      <c r="D270" s="203" t="s">
        <v>36</v>
      </c>
      <c r="E270" s="203" t="str">
        <f>[9]Sheet31!B19</f>
        <v>ACF 255</v>
      </c>
      <c r="F270" s="203"/>
      <c r="G270" s="203" t="str">
        <f>[9]Sheet31!E19</f>
        <v>FINANCIAL ACCOUNTING I</v>
      </c>
    </row>
    <row r="271" spans="1:7" s="3" customFormat="1" x14ac:dyDescent="0.35">
      <c r="A271" s="257" t="str">
        <f t="shared" si="36"/>
        <v>CE 151,ED1-GEOL</v>
      </c>
      <c r="B271" s="307" t="str">
        <f>[9]Sheet31!G20</f>
        <v>Afrifa Russel Owusu</v>
      </c>
      <c r="C271" s="203">
        <v>119</v>
      </c>
      <c r="D271" s="203" t="str">
        <f t="shared" ref="D271:D279" si="37">D270</f>
        <v>ED1-GEOL</v>
      </c>
      <c r="E271" s="203" t="str">
        <f>[9]Sheet31!B20</f>
        <v>CE 151</v>
      </c>
      <c r="F271" s="203"/>
      <c r="G271" s="203" t="str">
        <f>[9]Sheet31!E20</f>
        <v>ELEMENTARY STRUCTURES</v>
      </c>
    </row>
    <row r="272" spans="1:7" s="3" customFormat="1" x14ac:dyDescent="0.35">
      <c r="A272" s="257" t="str">
        <f t="shared" si="36"/>
        <v>ECON 151,ED1-GEOL</v>
      </c>
      <c r="B272" s="307" t="str">
        <f>[9]Sheet31!G21</f>
        <v>Takyi Paul Owusu</v>
      </c>
      <c r="C272" s="203">
        <v>34</v>
      </c>
      <c r="D272" s="203" t="str">
        <f t="shared" si="37"/>
        <v>ED1-GEOL</v>
      </c>
      <c r="E272" s="203" t="str">
        <f>[9]Sheet31!B21</f>
        <v>ECON 151</v>
      </c>
      <c r="F272" s="203"/>
      <c r="G272" s="203" t="str">
        <f>[9]Sheet31!E21</f>
        <v>INTRODUCTORY ECONOMICS I</v>
      </c>
    </row>
    <row r="273" spans="1:7" s="3" customFormat="1" x14ac:dyDescent="0.35">
      <c r="A273" s="257" t="str">
        <f t="shared" si="36"/>
        <v>ENGL 157,ED1-GEOL</v>
      </c>
      <c r="B273" s="307" t="str">
        <f>[9]Sheet31!G22</f>
        <v>Yeboah Philomena Ama Okyeso</v>
      </c>
      <c r="C273" s="203">
        <v>119</v>
      </c>
      <c r="D273" s="203" t="str">
        <f t="shared" si="37"/>
        <v>ED1-GEOL</v>
      </c>
      <c r="E273" s="203" t="str">
        <f>[9]Sheet31!B22</f>
        <v>ENGL 157</v>
      </c>
      <c r="F273" s="203"/>
      <c r="G273" s="203" t="str">
        <f>[9]Sheet31!E22</f>
        <v>COMMUNICATION SKILLS I</v>
      </c>
    </row>
    <row r="274" spans="1:7" s="3" customFormat="1" x14ac:dyDescent="0.35">
      <c r="A274" s="257" t="str">
        <f t="shared" si="36"/>
        <v>FC 181,ED1-GEOL</v>
      </c>
      <c r="B274" s="307" t="str">
        <f>[9]Sheet31!G23</f>
        <v>Boakye-Agyeman Candy</v>
      </c>
      <c r="C274" s="203">
        <v>80</v>
      </c>
      <c r="D274" s="203" t="str">
        <f t="shared" si="37"/>
        <v>ED1-GEOL</v>
      </c>
      <c r="E274" s="203" t="str">
        <f>[9]Sheet31!B23</f>
        <v>FC 181</v>
      </c>
      <c r="F274" s="203"/>
      <c r="G274" s="203" t="str">
        <f>[9]Sheet31!E23</f>
        <v>FRENCH FOR COMMUNICATION PURPOSES I</v>
      </c>
    </row>
    <row r="275" spans="1:7" s="3" customFormat="1" x14ac:dyDescent="0.35">
      <c r="A275" s="257" t="str">
        <f t="shared" si="36"/>
        <v>GED 151,ED1-GEOL</v>
      </c>
      <c r="B275" s="307" t="str">
        <f>[9]Sheet31!G24</f>
        <v>Gawu Simon Kafui Yawo</v>
      </c>
      <c r="C275" s="203">
        <v>119</v>
      </c>
      <c r="D275" s="203" t="str">
        <f t="shared" si="37"/>
        <v>ED1-GEOL</v>
      </c>
      <c r="E275" s="203" t="str">
        <f>[9]Sheet31!B24</f>
        <v>GED 151</v>
      </c>
      <c r="F275" s="203"/>
      <c r="G275" s="203" t="str">
        <f>[9]Sheet31!E24</f>
        <v>BASIC GEOLOGY</v>
      </c>
    </row>
    <row r="276" spans="1:7" s="3" customFormat="1" x14ac:dyDescent="0.35">
      <c r="A276" s="257" t="str">
        <f t="shared" si="36"/>
        <v>GED 153,ED1-GEOL</v>
      </c>
      <c r="B276" s="307" t="str">
        <f>[9]Sheet31!G25</f>
        <v>Nuamah Daniel Oduro Boatey</v>
      </c>
      <c r="C276" s="203">
        <v>119</v>
      </c>
      <c r="D276" s="203" t="str">
        <f t="shared" si="37"/>
        <v>ED1-GEOL</v>
      </c>
      <c r="E276" s="203" t="str">
        <f>[9]Sheet31!B25</f>
        <v>GED 153</v>
      </c>
      <c r="F276" s="203"/>
      <c r="G276" s="203" t="str">
        <f>[9]Sheet31!E25</f>
        <v>ENGINEERING TECHNOLOGY</v>
      </c>
    </row>
    <row r="277" spans="1:7" s="3" customFormat="1" x14ac:dyDescent="0.35">
      <c r="A277" s="257" t="str">
        <f t="shared" si="36"/>
        <v>MATH 151,ED1-GEOL</v>
      </c>
      <c r="B277" s="307" t="str">
        <f>[9]Sheet31!G26</f>
        <v>Kwabi Prince Amponsah</v>
      </c>
      <c r="C277" s="203">
        <v>119</v>
      </c>
      <c r="D277" s="203" t="str">
        <f t="shared" si="37"/>
        <v>ED1-GEOL</v>
      </c>
      <c r="E277" s="203" t="str">
        <f>[9]Sheet31!B26</f>
        <v>MATH 151</v>
      </c>
      <c r="F277" s="203"/>
      <c r="G277" s="203" t="str">
        <f>[9]Sheet31!E26</f>
        <v>ALGEBRA</v>
      </c>
    </row>
    <row r="278" spans="1:7" s="3" customFormat="1" x14ac:dyDescent="0.35">
      <c r="A278" s="257" t="str">
        <f t="shared" si="36"/>
        <v>ME 159,ED1-GEOL</v>
      </c>
      <c r="B278" s="307" t="str">
        <f>[9]Sheet31!G27</f>
        <v>Boahen Samuel</v>
      </c>
      <c r="C278" s="203">
        <v>119</v>
      </c>
      <c r="D278" s="203" t="str">
        <f t="shared" si="37"/>
        <v>ED1-GEOL</v>
      </c>
      <c r="E278" s="203" t="str">
        <f>[9]Sheet31!B27</f>
        <v>ME 159</v>
      </c>
      <c r="F278" s="203"/>
      <c r="G278" s="203" t="str">
        <f>[9]Sheet31!E27</f>
        <v>TECHNICAL DRAWING</v>
      </c>
    </row>
    <row r="279" spans="1:7" s="3" customFormat="1" x14ac:dyDescent="0.35">
      <c r="A279" s="257" t="str">
        <f t="shared" si="36"/>
        <v>ME 161,ED1-GEOL</v>
      </c>
      <c r="B279" s="307" t="s">
        <v>1513</v>
      </c>
      <c r="C279" s="203">
        <v>119</v>
      </c>
      <c r="D279" s="203" t="str">
        <f t="shared" si="37"/>
        <v>ED1-GEOL</v>
      </c>
      <c r="E279" s="203" t="str">
        <f>[9]Sheet31!B28</f>
        <v>ME 161</v>
      </c>
      <c r="F279" s="203"/>
      <c r="G279" s="203" t="str">
        <f>[9]Sheet31!E28</f>
        <v>BASIC MECHANICS</v>
      </c>
    </row>
    <row r="280" spans="1:7" s="3" customFormat="1" x14ac:dyDescent="0.35">
      <c r="A280" s="257" t="str">
        <f t="shared" si="36"/>
        <v>CENG 291,ED2-GEOL</v>
      </c>
      <c r="B280" s="307">
        <f>[9]Sheet32!G8</f>
        <v>0</v>
      </c>
      <c r="C280" s="203">
        <v>154</v>
      </c>
      <c r="D280" s="203" t="s">
        <v>126</v>
      </c>
      <c r="E280" s="203" t="str">
        <f>[9]Sheet32!B8</f>
        <v>CENG 291</v>
      </c>
      <c r="F280" s="203"/>
      <c r="G280" s="203" t="str">
        <f>[9]Sheet32!E8</f>
        <v>ENGINEERING IN SOCIETY</v>
      </c>
    </row>
    <row r="281" spans="1:7" s="3" customFormat="1" x14ac:dyDescent="0.35">
      <c r="A281" s="257" t="str">
        <f t="shared" si="36"/>
        <v>CE 251,ED2-GEOL</v>
      </c>
      <c r="B281" s="307" t="str">
        <f>[9]Sheet32!G9</f>
        <v>Kankam Charles Kwame</v>
      </c>
      <c r="C281" s="203">
        <v>154</v>
      </c>
      <c r="D281" s="203" t="str">
        <f t="shared" ref="D281:D286" si="38">D280</f>
        <v>ED2-GEOL</v>
      </c>
      <c r="E281" s="203" t="str">
        <f>[9]Sheet32!B9</f>
        <v>CE 251</v>
      </c>
      <c r="F281" s="203"/>
      <c r="G281" s="203" t="str">
        <f>[9]Sheet32!E9</f>
        <v>STRENGTH OF MATERIALS</v>
      </c>
    </row>
    <row r="282" spans="1:7" s="3" customFormat="1" x14ac:dyDescent="0.35">
      <c r="A282" s="257" t="str">
        <f t="shared" si="36"/>
        <v>CE 255,ED2-GEOL</v>
      </c>
      <c r="B282" s="307" t="s">
        <v>1788</v>
      </c>
      <c r="C282" s="203">
        <v>154</v>
      </c>
      <c r="D282" s="203" t="str">
        <f t="shared" si="38"/>
        <v>ED2-GEOL</v>
      </c>
      <c r="E282" s="203" t="str">
        <f>[9]Sheet32!B10</f>
        <v>CE 255</v>
      </c>
      <c r="F282" s="203"/>
      <c r="G282" s="203" t="str">
        <f>[9]Sheet32!E10</f>
        <v>THEORY OF STRUCTURES</v>
      </c>
    </row>
    <row r="283" spans="1:7" s="3" customFormat="1" x14ac:dyDescent="0.35">
      <c r="A283" s="257" t="str">
        <f t="shared" si="36"/>
        <v>GED 251,ED2-GEOL</v>
      </c>
      <c r="B283" s="307" t="str">
        <f>[9]Sheet32!G11</f>
        <v>Wilson Matthew Coffie</v>
      </c>
      <c r="C283" s="203">
        <v>154</v>
      </c>
      <c r="D283" s="203" t="str">
        <f t="shared" si="38"/>
        <v>ED2-GEOL</v>
      </c>
      <c r="E283" s="203" t="str">
        <f>[9]Sheet32!B11</f>
        <v>GED 251</v>
      </c>
      <c r="F283" s="203"/>
      <c r="G283" s="203" t="str">
        <f>[9]Sheet32!E11</f>
        <v>MINERALOGY</v>
      </c>
    </row>
    <row r="284" spans="1:7" s="3" customFormat="1" x14ac:dyDescent="0.35">
      <c r="A284" s="257" t="str">
        <f t="shared" si="36"/>
        <v>GED 253,ED2-GEOL</v>
      </c>
      <c r="B284" s="307" t="str">
        <f>[9]Sheet32!G12</f>
        <v>Mensah Emmanuel</v>
      </c>
      <c r="C284" s="203">
        <v>154</v>
      </c>
      <c r="D284" s="203" t="str">
        <f t="shared" si="38"/>
        <v>ED2-GEOL</v>
      </c>
      <c r="E284" s="203" t="str">
        <f>[9]Sheet32!B12</f>
        <v>GED 253</v>
      </c>
      <c r="F284" s="203"/>
      <c r="G284" s="203" t="str">
        <f>[9]Sheet32!E12</f>
        <v>PHYSICAL GEOLOGY</v>
      </c>
    </row>
    <row r="285" spans="1:7" s="3" customFormat="1" x14ac:dyDescent="0.35">
      <c r="A285" s="257" t="str">
        <f t="shared" si="36"/>
        <v>GED 267,ED2-GEOL</v>
      </c>
      <c r="B285" s="307" t="str">
        <f>[9]Sheet32!G13</f>
        <v>Kwaw Albert Kwame</v>
      </c>
      <c r="C285" s="203">
        <v>154</v>
      </c>
      <c r="D285" s="203" t="str">
        <f t="shared" si="38"/>
        <v>ED2-GEOL</v>
      </c>
      <c r="E285" s="203" t="str">
        <f>[9]Sheet32!B13</f>
        <v>GED 267</v>
      </c>
      <c r="F285" s="203"/>
      <c r="G285" s="203" t="str">
        <f>[9]Sheet32!E13</f>
        <v>COMPUTER PROGRAMMING</v>
      </c>
    </row>
    <row r="286" spans="1:7" s="3" customFormat="1" x14ac:dyDescent="0.35">
      <c r="A286" s="257" t="str">
        <f t="shared" si="36"/>
        <v>MATH 251,ED2-GEOL</v>
      </c>
      <c r="B286" s="307" t="str">
        <f>[9]Sheet32!G14</f>
        <v>Wireko Fredrick Asenso</v>
      </c>
      <c r="C286" s="203">
        <v>154</v>
      </c>
      <c r="D286" s="203" t="str">
        <f t="shared" si="38"/>
        <v>ED2-GEOL</v>
      </c>
      <c r="E286" s="203" t="str">
        <f>[9]Sheet32!B14</f>
        <v>MATH 251</v>
      </c>
      <c r="F286" s="203"/>
      <c r="G286" s="203" t="str">
        <f>[9]Sheet32!E14</f>
        <v>DIFFERENTIAL EQUATIONS</v>
      </c>
    </row>
    <row r="287" spans="1:7" s="3" customFormat="1" x14ac:dyDescent="0.35">
      <c r="A287" s="257" t="str">
        <f t="shared" si="36"/>
        <v>GED 351,ED3-GEOL</v>
      </c>
      <c r="B287" s="307" t="str">
        <f>[9]Sheet33!G8</f>
        <v>Foli Gordon</v>
      </c>
      <c r="C287" s="203">
        <v>154</v>
      </c>
      <c r="D287" s="203" t="s">
        <v>16</v>
      </c>
      <c r="E287" s="203" t="str">
        <f>[9]Sheet33!B8</f>
        <v>GED 351</v>
      </c>
      <c r="F287" s="203"/>
      <c r="G287" s="203" t="str">
        <f>[9]Sheet33!E8</f>
        <v>PETROLOGY</v>
      </c>
    </row>
    <row r="288" spans="1:7" s="3" customFormat="1" x14ac:dyDescent="0.35">
      <c r="A288" s="257" t="str">
        <f t="shared" si="36"/>
        <v>GED 357,ED3-GEOL</v>
      </c>
      <c r="B288" s="307" t="str">
        <f>[9]Sheet33!G9</f>
        <v>Appiah-Adjei Emmanuel Kwame</v>
      </c>
      <c r="C288" s="203">
        <v>154</v>
      </c>
      <c r="D288" s="203" t="str">
        <f t="shared" ref="D288:D294" si="39">D287</f>
        <v>ED3-GEOL</v>
      </c>
      <c r="E288" s="203" t="str">
        <f>[9]Sheet33!B9</f>
        <v>GED 357</v>
      </c>
      <c r="F288" s="203"/>
      <c r="G288" s="203" t="str">
        <f>[9]Sheet33!E9</f>
        <v>BASIC HYDROLOGY</v>
      </c>
    </row>
    <row r="289" spans="1:7" s="3" customFormat="1" x14ac:dyDescent="0.35">
      <c r="A289" s="257" t="str">
        <f t="shared" si="36"/>
        <v>GED 365,ED3-GEOL</v>
      </c>
      <c r="B289" s="307" t="str">
        <f>[9]Sheet33!G10</f>
        <v>Brako Blestmond Afrifa</v>
      </c>
      <c r="C289" s="203">
        <v>154</v>
      </c>
      <c r="D289" s="203" t="str">
        <f t="shared" si="39"/>
        <v>ED3-GEOL</v>
      </c>
      <c r="E289" s="203" t="str">
        <f>[9]Sheet33!B10</f>
        <v>GED 365</v>
      </c>
      <c r="F289" s="203"/>
      <c r="G289" s="203" t="str">
        <f>[9]Sheet33!E10</f>
        <v>GEOLOGICAL FIELD MAPPPING</v>
      </c>
    </row>
    <row r="290" spans="1:7" s="3" customFormat="1" x14ac:dyDescent="0.35">
      <c r="A290" s="257" t="str">
        <f t="shared" si="36"/>
        <v>GED 369,ED3-GEOL</v>
      </c>
      <c r="B290" s="307" t="str">
        <f>[9]Sheet33!G11</f>
        <v>Nuamah Daniel Oduro Boatey</v>
      </c>
      <c r="C290" s="203">
        <v>154</v>
      </c>
      <c r="D290" s="203" t="str">
        <f t="shared" si="39"/>
        <v>ED3-GEOL</v>
      </c>
      <c r="E290" s="203" t="str">
        <f>[9]Sheet33!B11</f>
        <v>GED 369</v>
      </c>
      <c r="F290" s="203"/>
      <c r="G290" s="203" t="str">
        <f>[9]Sheet33!E11</f>
        <v>PHOTOGEOLOGY AND REMOTE SENSING</v>
      </c>
    </row>
    <row r="291" spans="1:7" s="3" customFormat="1" x14ac:dyDescent="0.35">
      <c r="A291" s="257" t="str">
        <f t="shared" si="36"/>
        <v>GED 375,ED3-GEOL</v>
      </c>
      <c r="B291" s="307" t="str">
        <f>[9]Sheet33!G12</f>
        <v>Gidigasu Solomon Senyo Robert</v>
      </c>
      <c r="C291" s="203">
        <v>154</v>
      </c>
      <c r="D291" s="203" t="str">
        <f t="shared" si="39"/>
        <v>ED3-GEOL</v>
      </c>
      <c r="E291" s="203" t="str">
        <f>[9]Sheet33!B12</f>
        <v>GED 375</v>
      </c>
      <c r="F291" s="203"/>
      <c r="G291" s="203" t="str">
        <f>[9]Sheet33!E12</f>
        <v>PRINCIPLES OF ENGINEERING GEOLOGY</v>
      </c>
    </row>
    <row r="292" spans="1:7" s="3" customFormat="1" x14ac:dyDescent="0.35">
      <c r="A292" s="257" t="str">
        <f t="shared" si="36"/>
        <v>GED 379,ED3-GEOL</v>
      </c>
      <c r="B292" s="307" t="str">
        <f>[9]Sheet33!G13</f>
        <v>Amenuvor Andrew Cudzo</v>
      </c>
      <c r="C292" s="203">
        <v>154</v>
      </c>
      <c r="D292" s="203" t="str">
        <f t="shared" si="39"/>
        <v>ED3-GEOL</v>
      </c>
      <c r="E292" s="203" t="str">
        <f>[9]Sheet33!B13</f>
        <v>GED 379</v>
      </c>
      <c r="F292" s="203"/>
      <c r="G292" s="203" t="str">
        <f>[9]Sheet33!E13</f>
        <v>SOIL MECHANICS</v>
      </c>
    </row>
    <row r="293" spans="1:7" s="3" customFormat="1" x14ac:dyDescent="0.35">
      <c r="A293" s="257" t="str">
        <f t="shared" si="36"/>
        <v>MATH 351,ED3-GEOL</v>
      </c>
      <c r="B293" s="307" t="str">
        <f>[9]Sheet33!G14</f>
        <v>Borkor Reindorf Nartey</v>
      </c>
      <c r="C293" s="203">
        <v>154</v>
      </c>
      <c r="D293" s="203" t="str">
        <f t="shared" si="39"/>
        <v>ED3-GEOL</v>
      </c>
      <c r="E293" s="203" t="str">
        <f>[9]Sheet33!B14</f>
        <v>MATH 351</v>
      </c>
      <c r="F293" s="203"/>
      <c r="G293" s="203" t="str">
        <f>[9]Sheet33!E14</f>
        <v>NUMERICAL ANALYSIS</v>
      </c>
    </row>
    <row r="294" spans="1:7" s="3" customFormat="1" x14ac:dyDescent="0.35">
      <c r="A294" s="257" t="str">
        <f t="shared" si="36"/>
        <v>STAT 253,ED3-GEOL</v>
      </c>
      <c r="B294" s="307" t="str">
        <f>$B$124</f>
        <v>David Benteh</v>
      </c>
      <c r="C294" s="203">
        <v>154</v>
      </c>
      <c r="D294" s="203" t="str">
        <f t="shared" si="39"/>
        <v>ED3-GEOL</v>
      </c>
      <c r="E294" s="203" t="str">
        <f>[9]Sheet33!B15</f>
        <v>STAT 253</v>
      </c>
      <c r="F294" s="203"/>
      <c r="G294" s="203" t="str">
        <f>[9]Sheet33!E15</f>
        <v>PROBABILITY AND STATISTICS</v>
      </c>
    </row>
    <row r="295" spans="1:7" s="3" customFormat="1" x14ac:dyDescent="0.35">
      <c r="A295" s="257" t="str">
        <f t="shared" si="36"/>
        <v>CE 477,ED4-GEOL</v>
      </c>
      <c r="B295" s="307" t="str">
        <f>[9]Sheet34!G8</f>
        <v>Ampadu Samuel Innocent Kofi</v>
      </c>
      <c r="C295" s="203">
        <v>102</v>
      </c>
      <c r="D295" s="203" t="s">
        <v>50</v>
      </c>
      <c r="E295" s="203" t="str">
        <f>[9]Sheet34!B8</f>
        <v>CE 477</v>
      </c>
      <c r="F295" s="203"/>
      <c r="G295" s="203" t="str">
        <f>[9]Sheet34!E8</f>
        <v>GEOTECHNICAL ENGINEERING I</v>
      </c>
    </row>
    <row r="296" spans="1:7" s="3" customFormat="1" x14ac:dyDescent="0.35">
      <c r="A296" s="257" t="str">
        <f t="shared" si="36"/>
        <v>GED 461,ED4-GEOL</v>
      </c>
      <c r="B296" s="307" t="str">
        <f>[9]Sheet34!G9</f>
        <v>Ali Bukari</v>
      </c>
      <c r="C296" s="203">
        <v>102</v>
      </c>
      <c r="D296" s="203" t="str">
        <f t="shared" ref="D296:D302" si="40">D295</f>
        <v>ED4-GEOL</v>
      </c>
      <c r="E296" s="203" t="str">
        <f>[9]Sheet34!B9</f>
        <v>GED 461</v>
      </c>
      <c r="F296" s="203"/>
      <c r="G296" s="203" t="str">
        <f>[9]Sheet34!E9</f>
        <v>EXPLORATION GEOPHYSICS</v>
      </c>
    </row>
    <row r="297" spans="1:7" s="3" customFormat="1" x14ac:dyDescent="0.35">
      <c r="A297" s="257" t="str">
        <f t="shared" si="36"/>
        <v>GED 471,ED4-GEOL</v>
      </c>
      <c r="B297" s="307">
        <f>[9]Sheet34!G10</f>
        <v>0</v>
      </c>
      <c r="C297" s="203">
        <v>102</v>
      </c>
      <c r="D297" s="203" t="str">
        <f t="shared" si="40"/>
        <v>ED4-GEOL</v>
      </c>
      <c r="E297" s="203" t="str">
        <f>[9]Sheet34!B10</f>
        <v>GED 471</v>
      </c>
      <c r="F297" s="203"/>
      <c r="G297" s="203" t="str">
        <f>[9]Sheet34!E10</f>
        <v>INDUSTRIAL TRAINING</v>
      </c>
    </row>
    <row r="298" spans="1:7" s="3" customFormat="1" x14ac:dyDescent="0.35">
      <c r="A298" s="257" t="str">
        <f t="shared" si="36"/>
        <v>GED 451,ED4-GEOL</v>
      </c>
      <c r="B298" s="307" t="str">
        <f>[9]Sheet34!G11</f>
        <v>Foli Gordon</v>
      </c>
      <c r="C298" s="203">
        <v>102</v>
      </c>
      <c r="D298" s="203" t="str">
        <f t="shared" si="40"/>
        <v>ED4-GEOL</v>
      </c>
      <c r="E298" s="203" t="str">
        <f>[9]Sheet34!B11</f>
        <v>GED 451</v>
      </c>
      <c r="F298" s="203"/>
      <c r="G298" s="203" t="str">
        <f>[9]Sheet34!E11</f>
        <v>REGIONAL GEOLOGY</v>
      </c>
    </row>
    <row r="299" spans="1:7" s="3" customFormat="1" x14ac:dyDescent="0.35">
      <c r="A299" s="257" t="str">
        <f t="shared" si="36"/>
        <v>GED 457,ED4-GEOL</v>
      </c>
      <c r="B299" s="307" t="str">
        <f>[9]Sheet34!G12</f>
        <v>Appiah-Adjei Emmanuel Kwame</v>
      </c>
      <c r="C299" s="203">
        <v>102</v>
      </c>
      <c r="D299" s="203" t="str">
        <f t="shared" si="40"/>
        <v>ED4-GEOL</v>
      </c>
      <c r="E299" s="203" t="str">
        <f>[9]Sheet34!B12</f>
        <v>GED 457</v>
      </c>
      <c r="F299" s="203"/>
      <c r="G299" s="203" t="str">
        <f>[9]Sheet34!E12</f>
        <v>PROJECT 1</v>
      </c>
    </row>
    <row r="300" spans="1:7" s="3" customFormat="1" x14ac:dyDescent="0.35">
      <c r="A300" s="257" t="str">
        <f t="shared" si="36"/>
        <v>GED 459,ED4-GEOL</v>
      </c>
      <c r="B300" s="307" t="str">
        <f>[9]Sheet34!G13</f>
        <v>Gawu Simon Kafui Yawo</v>
      </c>
      <c r="C300" s="203">
        <v>102</v>
      </c>
      <c r="D300" s="203" t="str">
        <f t="shared" si="40"/>
        <v>ED4-GEOL</v>
      </c>
      <c r="E300" s="203" t="str">
        <f>[9]Sheet34!B13</f>
        <v>GED 459</v>
      </c>
      <c r="F300" s="203"/>
      <c r="G300" s="203" t="str">
        <f>[9]Sheet34!E13</f>
        <v>EXPLORATION GEOCHEMISTRY</v>
      </c>
    </row>
    <row r="301" spans="1:7" s="3" customFormat="1" x14ac:dyDescent="0.35">
      <c r="A301" s="257" t="str">
        <f t="shared" si="36"/>
        <v>GED 465,ED4-GEOL</v>
      </c>
      <c r="B301" s="307" t="str">
        <f>[9]Sheet34!G14</f>
        <v>Ali Bukari</v>
      </c>
      <c r="C301" s="203">
        <v>102</v>
      </c>
      <c r="D301" s="203" t="str">
        <f t="shared" si="40"/>
        <v>ED4-GEOL</v>
      </c>
      <c r="E301" s="203" t="str">
        <f>[9]Sheet34!B14</f>
        <v>GED 465</v>
      </c>
      <c r="F301" s="203"/>
      <c r="G301" s="203" t="str">
        <f>[9]Sheet34!E14</f>
        <v>ENGINEERING GEOLOGICAL INVESTIGATIONS</v>
      </c>
    </row>
    <row r="302" spans="1:7" s="3" customFormat="1" x14ac:dyDescent="0.35">
      <c r="A302" s="257" t="str">
        <f t="shared" si="36"/>
        <v>GED 475,ED4-GEOL</v>
      </c>
      <c r="B302" s="307" t="str">
        <f>[9]Sheet34!G15</f>
        <v>Appiah-Adjei Emmanuel Kwame</v>
      </c>
      <c r="C302" s="203">
        <v>102</v>
      </c>
      <c r="D302" s="203" t="str">
        <f t="shared" si="40"/>
        <v>ED4-GEOL</v>
      </c>
      <c r="E302" s="203" t="str">
        <f>[9]Sheet34!B15</f>
        <v>GED 475</v>
      </c>
      <c r="F302" s="203"/>
      <c r="G302" s="203" t="str">
        <f>[9]Sheet34!E15</f>
        <v>PRINCIPLES OF HYDROGEOLOGY</v>
      </c>
    </row>
    <row r="303" spans="1:7" s="3" customFormat="1" x14ac:dyDescent="0.35">
      <c r="A303" s="257" t="str">
        <f t="shared" si="36"/>
        <v>ENGL 157,ED1-GEOM</v>
      </c>
      <c r="B303" s="312" t="str">
        <f>[9]Sheet37!G19</f>
        <v>Yeboah Philomena Ama Okyeso</v>
      </c>
      <c r="C303" s="260">
        <v>100</v>
      </c>
      <c r="D303" s="260" t="s">
        <v>66</v>
      </c>
      <c r="E303" s="260" t="str">
        <f>[9]Sheet37!B19</f>
        <v>ENGL 157</v>
      </c>
      <c r="F303" s="260"/>
      <c r="G303" s="260" t="str">
        <f>[9]Sheet37!E19</f>
        <v>COMMUNICATION SKILLS I</v>
      </c>
    </row>
    <row r="304" spans="1:7" s="3" customFormat="1" x14ac:dyDescent="0.35">
      <c r="A304" s="257" t="str">
        <f t="shared" si="36"/>
        <v>GE 151,ED1-GEOM</v>
      </c>
      <c r="B304" s="312" t="str">
        <f>[9]Sheet37!G20</f>
        <v>Quaye-Ballard Jonathan Arthur</v>
      </c>
      <c r="C304" s="260">
        <v>100</v>
      </c>
      <c r="D304" s="260" t="str">
        <f t="shared" ref="D304:D309" si="41">D303</f>
        <v>ED1-GEOM</v>
      </c>
      <c r="E304" s="260" t="str">
        <f>[9]Sheet37!B20</f>
        <v>GE 151</v>
      </c>
      <c r="F304" s="260"/>
      <c r="G304" s="260" t="str">
        <f>[9]Sheet37!E20</f>
        <v>CARTOGRAPHY I</v>
      </c>
    </row>
    <row r="305" spans="1:7" s="3" customFormat="1" x14ac:dyDescent="0.35">
      <c r="A305" s="257" t="str">
        <f t="shared" si="36"/>
        <v>GE 161,ED1-GEOM</v>
      </c>
      <c r="B305" s="312" t="str">
        <f>[9]Sheet37!G21</f>
        <v>Ayer John Wise Divine</v>
      </c>
      <c r="C305" s="260">
        <v>100</v>
      </c>
      <c r="D305" s="260" t="str">
        <f t="shared" si="41"/>
        <v>ED1-GEOM</v>
      </c>
      <c r="E305" s="260" t="str">
        <f>[9]Sheet37!B21</f>
        <v>GE 161</v>
      </c>
      <c r="F305" s="260"/>
      <c r="G305" s="260" t="str">
        <f>[9]Sheet37!E21</f>
        <v>BASIC SURVEY PRINCIPLES I</v>
      </c>
    </row>
    <row r="306" spans="1:7" s="3" customFormat="1" x14ac:dyDescent="0.35">
      <c r="A306" s="257" t="str">
        <f t="shared" si="36"/>
        <v>GE 171,ED1-GEOM</v>
      </c>
      <c r="B306" s="312" t="str">
        <f>[9]Sheet37!G22</f>
        <v>Andam-Akorful Samuel Ato</v>
      </c>
      <c r="C306" s="260">
        <v>100</v>
      </c>
      <c r="D306" s="260" t="str">
        <f t="shared" si="41"/>
        <v>ED1-GEOM</v>
      </c>
      <c r="E306" s="260" t="str">
        <f>[9]Sheet37!B22</f>
        <v>GE 171</v>
      </c>
      <c r="F306" s="260"/>
      <c r="G306" s="260" t="str">
        <f>[9]Sheet37!E22</f>
        <v>APPLIED OPTICS</v>
      </c>
    </row>
    <row r="307" spans="1:7" s="3" customFormat="1" x14ac:dyDescent="0.35">
      <c r="A307" s="257" t="str">
        <f t="shared" si="36"/>
        <v>MATH 151,ED1-GEOM</v>
      </c>
      <c r="B307" s="312" t="str">
        <f>[9]Sheet37!G23</f>
        <v>Azure Isaac</v>
      </c>
      <c r="C307" s="260">
        <v>100</v>
      </c>
      <c r="D307" s="260" t="str">
        <f t="shared" si="41"/>
        <v>ED1-GEOM</v>
      </c>
      <c r="E307" s="260" t="str">
        <f>[9]Sheet37!B23</f>
        <v>MATH 151</v>
      </c>
      <c r="F307" s="260"/>
      <c r="G307" s="260" t="str">
        <f>[9]Sheet37!E23</f>
        <v>ALGEBRA</v>
      </c>
    </row>
    <row r="308" spans="1:7" s="3" customFormat="1" ht="20.25" customHeight="1" x14ac:dyDescent="0.35">
      <c r="A308" s="257" t="str">
        <f t="shared" si="36"/>
        <v>ME 159,ED1-GEOM</v>
      </c>
      <c r="B308" s="312" t="str">
        <f>[9]Sheet37!G24</f>
        <v>Dzebre Denis Edem Kwame</v>
      </c>
      <c r="C308" s="260">
        <v>100</v>
      </c>
      <c r="D308" s="260" t="str">
        <f t="shared" si="41"/>
        <v>ED1-GEOM</v>
      </c>
      <c r="E308" s="260" t="str">
        <f>[9]Sheet37!B24</f>
        <v>ME 159</v>
      </c>
      <c r="F308" s="260"/>
      <c r="G308" s="260" t="str">
        <f>[9]Sheet37!E24</f>
        <v>TECHNICAL DRAWING</v>
      </c>
    </row>
    <row r="309" spans="1:7" s="3" customFormat="1" x14ac:dyDescent="0.35">
      <c r="A309" s="257" t="str">
        <f t="shared" si="36"/>
        <v>ME 161,ED1-GEOM</v>
      </c>
      <c r="B309" s="312" t="str">
        <f>[9]Sheet37!G25</f>
        <v>Dzebre Denis Edem Kwame</v>
      </c>
      <c r="C309" s="260">
        <v>100</v>
      </c>
      <c r="D309" s="260" t="str">
        <f t="shared" si="41"/>
        <v>ED1-GEOM</v>
      </c>
      <c r="E309" s="260" t="str">
        <f>[9]Sheet37!B25</f>
        <v>ME 161</v>
      </c>
      <c r="F309" s="260"/>
      <c r="G309" s="260" t="str">
        <f>[9]Sheet37!E25</f>
        <v>BASIC MECHANICS</v>
      </c>
    </row>
    <row r="310" spans="1:7" s="3" customFormat="1" x14ac:dyDescent="0.35">
      <c r="A310" s="257" t="str">
        <f t="shared" si="36"/>
        <v>CENG 291,ED2-GEOM</v>
      </c>
      <c r="B310" s="312" t="str">
        <f>[9]Sheet38!G8</f>
        <v>Kwarteng Efiba Vidda Senkyire</v>
      </c>
      <c r="C310" s="260">
        <v>134</v>
      </c>
      <c r="D310" s="260" t="s">
        <v>84</v>
      </c>
      <c r="E310" s="260" t="str">
        <f>[9]Sheet38!B8</f>
        <v>CENG 291</v>
      </c>
      <c r="F310" s="260"/>
      <c r="G310" s="260" t="str">
        <f>[9]Sheet38!E8</f>
        <v>ENGINEERING IN SOCIETY</v>
      </c>
    </row>
    <row r="311" spans="1:7" s="3" customFormat="1" x14ac:dyDescent="0.35">
      <c r="A311" s="257" t="str">
        <f t="shared" si="36"/>
        <v>ENGL 263,ED2-GEOM</v>
      </c>
      <c r="B311" s="312" t="str">
        <f>[9]Sheet38!G9</f>
        <v>Yeboah Philomena Ama Okyeso</v>
      </c>
      <c r="C311" s="260">
        <v>134</v>
      </c>
      <c r="D311" s="260" t="str">
        <f t="shared" ref="D311:D317" si="42">D310</f>
        <v>ED2-GEOM</v>
      </c>
      <c r="E311" s="260" t="str">
        <f>[9]Sheet38!B9</f>
        <v>ENGL 263</v>
      </c>
      <c r="F311" s="260"/>
      <c r="G311" s="260" t="str">
        <f>[9]Sheet38!E9</f>
        <v>LITERATURE IN ENGLISH I</v>
      </c>
    </row>
    <row r="312" spans="1:7" s="3" customFormat="1" x14ac:dyDescent="0.35">
      <c r="A312" s="257" t="str">
        <f t="shared" si="36"/>
        <v>GE 251,ED2-GEOM</v>
      </c>
      <c r="B312" s="312" t="str">
        <f>[9]Sheet38!G10</f>
        <v>Ahorsu Harriet Atsufui</v>
      </c>
      <c r="C312" s="260">
        <v>134</v>
      </c>
      <c r="D312" s="260" t="str">
        <f t="shared" si="42"/>
        <v>ED2-GEOM</v>
      </c>
      <c r="E312" s="260" t="str">
        <f>[9]Sheet38!B10</f>
        <v>GE 251</v>
      </c>
      <c r="F312" s="260"/>
      <c r="G312" s="260" t="str">
        <f>[9]Sheet38!E10</f>
        <v>PRINCIPLES OF PHOTOGRAMMETRY</v>
      </c>
    </row>
    <row r="313" spans="1:7" s="3" customFormat="1" x14ac:dyDescent="0.35">
      <c r="A313" s="257" t="str">
        <f t="shared" si="36"/>
        <v>GE 261,ED2-GEOM</v>
      </c>
      <c r="B313" s="312" t="str">
        <f>[9]Sheet38!G11</f>
        <v>Ayer John Wise Divine</v>
      </c>
      <c r="C313" s="260">
        <v>134</v>
      </c>
      <c r="D313" s="260" t="str">
        <f t="shared" si="42"/>
        <v>ED2-GEOM</v>
      </c>
      <c r="E313" s="260" t="str">
        <f>[9]Sheet38!B11</f>
        <v>GE 261</v>
      </c>
      <c r="F313" s="260"/>
      <c r="G313" s="260" t="str">
        <f>[9]Sheet38!E11</f>
        <v>FIELD AND GEODETIC ASTRONOMY</v>
      </c>
    </row>
    <row r="314" spans="1:7" s="3" customFormat="1" x14ac:dyDescent="0.35">
      <c r="A314" s="257" t="str">
        <f t="shared" si="36"/>
        <v>GE 263,ED2-GEOM</v>
      </c>
      <c r="B314" s="312" t="str">
        <f>[9]Sheet38!G12</f>
        <v>Tienaah Titus</v>
      </c>
      <c r="C314" s="260">
        <v>134</v>
      </c>
      <c r="D314" s="260" t="str">
        <f t="shared" si="42"/>
        <v>ED2-GEOM</v>
      </c>
      <c r="E314" s="260" t="str">
        <f>[9]Sheet38!B12</f>
        <v>GE 263</v>
      </c>
      <c r="F314" s="260"/>
      <c r="G314" s="260" t="str">
        <f>[9]Sheet38!E12</f>
        <v>INFORMATION SCIENCE AND PROGRAMMING</v>
      </c>
    </row>
    <row r="315" spans="1:7" s="3" customFormat="1" x14ac:dyDescent="0.35">
      <c r="A315" s="257" t="str">
        <f t="shared" si="36"/>
        <v>GE 271,ED2-GEOM</v>
      </c>
      <c r="B315" s="312" t="str">
        <f>[9]Sheet38!G13</f>
        <v>Arko-Adjei Anthony</v>
      </c>
      <c r="C315" s="260">
        <v>134</v>
      </c>
      <c r="D315" s="260" t="str">
        <f t="shared" si="42"/>
        <v>ED2-GEOM</v>
      </c>
      <c r="E315" s="260" t="str">
        <f>[9]Sheet38!B13</f>
        <v>GE 271</v>
      </c>
      <c r="F315" s="260"/>
      <c r="G315" s="260" t="str">
        <f>[9]Sheet38!E13</f>
        <v>ENGINEERING SURVEYING I</v>
      </c>
    </row>
    <row r="316" spans="1:7" s="3" customFormat="1" x14ac:dyDescent="0.35">
      <c r="A316" s="257" t="str">
        <f t="shared" si="36"/>
        <v>GE 281,ED2-GEOM</v>
      </c>
      <c r="B316" s="312" t="str">
        <f>[9]Sheet38!G14</f>
        <v>Dadzie Isaac</v>
      </c>
      <c r="C316" s="260">
        <v>134</v>
      </c>
      <c r="D316" s="260" t="str">
        <f t="shared" si="42"/>
        <v>ED2-GEOM</v>
      </c>
      <c r="E316" s="260" t="str">
        <f>[9]Sheet38!B14</f>
        <v>GE 281</v>
      </c>
      <c r="F316" s="260"/>
      <c r="G316" s="260" t="str">
        <f>[9]Sheet38!E14</f>
        <v>BASIC PHYSICAL GEODESY</v>
      </c>
    </row>
    <row r="317" spans="1:7" s="3" customFormat="1" x14ac:dyDescent="0.35">
      <c r="A317" s="257" t="str">
        <f t="shared" si="36"/>
        <v>MATH 251,ED2-GEOM</v>
      </c>
      <c r="B317" s="312" t="str">
        <f>[9]Sheet38!G15</f>
        <v>Barnes Benedict</v>
      </c>
      <c r="C317" s="260">
        <v>134</v>
      </c>
      <c r="D317" s="260" t="str">
        <f t="shared" si="42"/>
        <v>ED2-GEOM</v>
      </c>
      <c r="E317" s="260" t="str">
        <f>[9]Sheet38!B15</f>
        <v>MATH 251</v>
      </c>
      <c r="F317" s="260"/>
      <c r="G317" s="260" t="str">
        <f>[9]Sheet38!E15</f>
        <v>DIFFERENTIAL EQUATIONS</v>
      </c>
    </row>
    <row r="318" spans="1:7" s="3" customFormat="1" x14ac:dyDescent="0.35">
      <c r="A318" s="257" t="str">
        <f t="shared" si="36"/>
        <v>ACF 255,ED3-GEOM</v>
      </c>
      <c r="B318" s="312" t="str">
        <f>[9]Sheet39!G8</f>
        <v>Yeboah Edward</v>
      </c>
      <c r="C318" s="260">
        <v>34</v>
      </c>
      <c r="D318" s="260" t="s">
        <v>34</v>
      </c>
      <c r="E318" s="260" t="str">
        <f>[9]Sheet39!B8</f>
        <v>ACF 255</v>
      </c>
      <c r="F318" s="260"/>
      <c r="G318" s="260" t="str">
        <f>[9]Sheet39!E8</f>
        <v>FINANCIAL ACCOUNTING I</v>
      </c>
    </row>
    <row r="319" spans="1:7" s="3" customFormat="1" x14ac:dyDescent="0.35">
      <c r="A319" s="257" t="str">
        <f t="shared" si="36"/>
        <v>CE 367,ED3-GEOM</v>
      </c>
      <c r="B319" s="312" t="str">
        <f>[9]Sheet39!G9</f>
        <v>Ababio-Donkor Augustus</v>
      </c>
      <c r="C319" s="260">
        <v>115</v>
      </c>
      <c r="D319" s="260" t="str">
        <f t="shared" ref="D319:D327" si="43">D318</f>
        <v>ED3-GEOM</v>
      </c>
      <c r="E319" s="260" t="str">
        <f>[9]Sheet39!B9</f>
        <v>CE 367</v>
      </c>
      <c r="F319" s="260"/>
      <c r="G319" s="260" t="str">
        <f>[9]Sheet39!E9</f>
        <v>HIGHWAY AND TRANSPORTATION ENGINEERING I</v>
      </c>
    </row>
    <row r="320" spans="1:7" s="3" customFormat="1" x14ac:dyDescent="0.35">
      <c r="A320" s="257" t="str">
        <f t="shared" si="36"/>
        <v>CE 391,ED3-GEOM</v>
      </c>
      <c r="B320" s="312" t="str">
        <f>[9]Sheet39!G10</f>
        <v>Ababio-Donkor Augustus</v>
      </c>
      <c r="C320" s="260">
        <v>115</v>
      </c>
      <c r="D320" s="260" t="s">
        <v>34</v>
      </c>
      <c r="E320" s="260" t="str">
        <f>[9]Sheet39!B10</f>
        <v>CE 391</v>
      </c>
      <c r="F320" s="260"/>
      <c r="G320" s="260" t="str">
        <f>[9]Sheet39!E10</f>
        <v>TRAFFIC ENGINEERING LABORATORY</v>
      </c>
    </row>
    <row r="321" spans="1:7" s="3" customFormat="1" x14ac:dyDescent="0.35">
      <c r="A321" s="257" t="str">
        <f t="shared" si="36"/>
        <v>ECON151,ED3-GEOM</v>
      </c>
      <c r="B321" s="312" t="str">
        <f>[9]Sheet39!G11</f>
        <v>Takyi Paul Owusu</v>
      </c>
      <c r="C321" s="260">
        <v>16</v>
      </c>
      <c r="D321" s="260" t="str">
        <f>D319</f>
        <v>ED3-GEOM</v>
      </c>
      <c r="E321" s="260" t="str">
        <f>[9]Sheet39!B11</f>
        <v>ECON151</v>
      </c>
      <c r="F321" s="260"/>
      <c r="G321" s="260" t="str">
        <f>[9]Sheet39!E11</f>
        <v>ELEMENTS OF ECONOMICS I</v>
      </c>
    </row>
    <row r="322" spans="1:7" s="3" customFormat="1" x14ac:dyDescent="0.35">
      <c r="A322" s="257" t="str">
        <f t="shared" si="36"/>
        <v>FC 181,ED3-GEOM</v>
      </c>
      <c r="B322" s="312" t="str">
        <f>[9]Sheet39!G12</f>
        <v>Osei-Danso Harriet Efua</v>
      </c>
      <c r="C322" s="260">
        <v>60</v>
      </c>
      <c r="D322" s="260" t="str">
        <f t="shared" si="43"/>
        <v>ED3-GEOM</v>
      </c>
      <c r="E322" s="260" t="str">
        <f>[9]Sheet39!B12</f>
        <v>FC 181</v>
      </c>
      <c r="F322" s="260"/>
      <c r="G322" s="260" t="str">
        <f>[9]Sheet39!E12</f>
        <v>FRENCH FOR COMMUNICATION PURPOSES I</v>
      </c>
    </row>
    <row r="323" spans="1:7" s="3" customFormat="1" x14ac:dyDescent="0.35">
      <c r="A323" s="257" t="str">
        <f t="shared" si="36"/>
        <v>GE 351,ED3-GEOM</v>
      </c>
      <c r="B323" s="312" t="str">
        <f>[9]Sheet39!G13</f>
        <v>Tienaah Titus</v>
      </c>
      <c r="C323" s="260">
        <v>115</v>
      </c>
      <c r="D323" s="260" t="str">
        <f t="shared" si="43"/>
        <v>ED3-GEOM</v>
      </c>
      <c r="E323" s="260" t="str">
        <f>[9]Sheet39!B13</f>
        <v>GE 351</v>
      </c>
      <c r="F323" s="260"/>
      <c r="G323" s="260" t="str">
        <f>[9]Sheet39!E13</f>
        <v>STEREO PHOTOGRAMMETRY</v>
      </c>
    </row>
    <row r="324" spans="1:7" s="3" customFormat="1" x14ac:dyDescent="0.35">
      <c r="A324" s="257" t="str">
        <f t="shared" si="36"/>
        <v>GE 353,ED3-GEOM</v>
      </c>
      <c r="B324" s="312" t="str">
        <f>[9]Sheet39!G14</f>
        <v>Dadzie Isaac</v>
      </c>
      <c r="C324" s="260">
        <v>115</v>
      </c>
      <c r="D324" s="260" t="str">
        <f t="shared" si="43"/>
        <v>ED3-GEOM</v>
      </c>
      <c r="E324" s="260" t="str">
        <f>[9]Sheet39!B14</f>
        <v>GE 353</v>
      </c>
      <c r="F324" s="260"/>
      <c r="G324" s="260" t="str">
        <f>[9]Sheet39!E14</f>
        <v>GEOMETRICAL GEODESY</v>
      </c>
    </row>
    <row r="325" spans="1:7" s="3" customFormat="1" x14ac:dyDescent="0.35">
      <c r="A325" s="257" t="str">
        <f t="shared" si="36"/>
        <v>GE 361,ED3-GEOM</v>
      </c>
      <c r="B325" s="312" t="str">
        <f>[9]Sheet39!G15</f>
        <v xml:space="preserve">Asare Yaw Mensah </v>
      </c>
      <c r="C325" s="260">
        <v>115</v>
      </c>
      <c r="D325" s="260" t="str">
        <f t="shared" si="43"/>
        <v>ED3-GEOM</v>
      </c>
      <c r="E325" s="260" t="str">
        <f>[9]Sheet39!B15</f>
        <v>GE 361</v>
      </c>
      <c r="F325" s="260"/>
      <c r="G325" s="260" t="str">
        <f>[9]Sheet39!E15</f>
        <v>IMAGE PROCESSING AND INTERPRETATION</v>
      </c>
    </row>
    <row r="326" spans="1:7" s="3" customFormat="1" x14ac:dyDescent="0.35">
      <c r="A326" s="257" t="str">
        <f t="shared" si="36"/>
        <v>GE 371,ED3-GEOM</v>
      </c>
      <c r="B326" s="312" t="str">
        <f>[9]Sheet39!G16</f>
        <v>Fosu Collins</v>
      </c>
      <c r="C326" s="260">
        <v>115</v>
      </c>
      <c r="D326" s="260" t="str">
        <f t="shared" si="43"/>
        <v>ED3-GEOM</v>
      </c>
      <c r="E326" s="260" t="str">
        <f>[9]Sheet39!B16</f>
        <v>GE 371</v>
      </c>
      <c r="F326" s="260"/>
      <c r="G326" s="260" t="str">
        <f>[9]Sheet39!E16</f>
        <v>SURVEY ADJUSTMENT I</v>
      </c>
    </row>
    <row r="327" spans="1:7" s="3" customFormat="1" x14ac:dyDescent="0.35">
      <c r="A327" s="257" t="str">
        <f t="shared" si="36"/>
        <v>STAT 253,ED3-GEOM</v>
      </c>
      <c r="B327" s="312" t="str">
        <f>[9]Sheet39!G17</f>
        <v>Amoako-Yirenkyi Carole Fredua</v>
      </c>
      <c r="C327" s="260">
        <v>93</v>
      </c>
      <c r="D327" s="260" t="str">
        <f t="shared" si="43"/>
        <v>ED3-GEOM</v>
      </c>
      <c r="E327" s="260" t="str">
        <f>[9]Sheet39!B17</f>
        <v>STAT 253</v>
      </c>
      <c r="F327" s="260"/>
      <c r="G327" s="260" t="str">
        <f>[9]Sheet39!E17</f>
        <v>PROBABILITY AND STATISTICS</v>
      </c>
    </row>
    <row r="328" spans="1:7" s="3" customFormat="1" x14ac:dyDescent="0.35">
      <c r="A328" s="257" t="str">
        <f t="shared" si="36"/>
        <v>CE 461,ED4-GEOM</v>
      </c>
      <c r="B328" s="312" t="str">
        <f>[9]Sheet40!G8</f>
        <v>Appiah-Effah Eugene</v>
      </c>
      <c r="C328" s="260">
        <v>93</v>
      </c>
      <c r="D328" s="260" t="s">
        <v>78</v>
      </c>
      <c r="E328" s="260" t="str">
        <f>[9]Sheet40!B8</f>
        <v>CE 461</v>
      </c>
      <c r="F328" s="260"/>
      <c r="G328" s="260" t="str">
        <f>[9]Sheet40!E8</f>
        <v>ENG ECONOMY AND ENTERPRENEURSHIP DEVELOPMENT</v>
      </c>
    </row>
    <row r="329" spans="1:7" s="3" customFormat="1" x14ac:dyDescent="0.35">
      <c r="A329" s="257" t="str">
        <f t="shared" si="36"/>
        <v>GE 451,ED4-GEOM</v>
      </c>
      <c r="B329" s="312" t="str">
        <f>[9]Sheet40!G9</f>
        <v>Fosu Collins</v>
      </c>
      <c r="C329" s="260">
        <v>93</v>
      </c>
      <c r="D329" s="260" t="str">
        <f>D328</f>
        <v>ED4-GEOM</v>
      </c>
      <c r="E329" s="260" t="str">
        <f>[9]Sheet40!B9</f>
        <v>GE 451</v>
      </c>
      <c r="F329" s="260"/>
      <c r="G329" s="260" t="str">
        <f>[9]Sheet40!E9</f>
        <v>GEODETIC SURVEYING II</v>
      </c>
    </row>
    <row r="330" spans="1:7" s="3" customFormat="1" x14ac:dyDescent="0.35">
      <c r="A330" s="257" t="str">
        <f t="shared" ref="A330:A393" si="44">_xlfn.CONCAT(E330,",",D330)</f>
        <v>GE 461,ED4-GEOM</v>
      </c>
      <c r="B330" s="312" t="str">
        <f>[9]Sheet40!G10</f>
        <v>Akrofi Emmanuel Offei</v>
      </c>
      <c r="C330" s="260">
        <v>93</v>
      </c>
      <c r="D330" s="260" t="str">
        <f>D329</f>
        <v>ED4-GEOM</v>
      </c>
      <c r="E330" s="260" t="str">
        <f>[9]Sheet40!B10</f>
        <v>GE 461</v>
      </c>
      <c r="F330" s="260"/>
      <c r="G330" s="260" t="str">
        <f>[9]Sheet40!E10</f>
        <v>CADASTRAL SURVEYING</v>
      </c>
    </row>
    <row r="331" spans="1:7" s="3" customFormat="1" x14ac:dyDescent="0.35">
      <c r="A331" s="257" t="str">
        <f t="shared" si="44"/>
        <v>GE 463,ED4-GEOM</v>
      </c>
      <c r="B331" s="312" t="str">
        <f>[9]Sheet40!G11</f>
        <v>Forkuo Eric Kwabena</v>
      </c>
      <c r="C331" s="260">
        <v>93</v>
      </c>
      <c r="D331" s="260" t="str">
        <f>D330</f>
        <v>ED4-GEOM</v>
      </c>
      <c r="E331" s="260" t="str">
        <f>[9]Sheet40!B11</f>
        <v>GE 463</v>
      </c>
      <c r="F331" s="260"/>
      <c r="G331" s="260" t="str">
        <f>[9]Sheet40!E11</f>
        <v>LAND AND GEOGRAPHIC INFORMATION SYSTEM I</v>
      </c>
    </row>
    <row r="332" spans="1:7" s="3" customFormat="1" x14ac:dyDescent="0.35">
      <c r="A332" s="257" t="str">
        <f t="shared" si="44"/>
        <v>GE 475,ED4-GEOM</v>
      </c>
      <c r="B332" s="312" t="str">
        <f>[9]Sheet40!G12</f>
        <v>Duker Alfred Alan</v>
      </c>
      <c r="C332" s="260">
        <v>93</v>
      </c>
      <c r="D332" s="260" t="str">
        <f>D331</f>
        <v>ED4-GEOM</v>
      </c>
      <c r="E332" s="260" t="str">
        <f>[9]Sheet40!B12</f>
        <v>GE 475</v>
      </c>
      <c r="F332" s="260"/>
      <c r="G332" s="260" t="str">
        <f>[9]Sheet40!E12</f>
        <v>RESEARCH METHODS</v>
      </c>
    </row>
    <row r="333" spans="1:7" s="3" customFormat="1" x14ac:dyDescent="0.35">
      <c r="A333" s="257" t="str">
        <f t="shared" si="44"/>
        <v>GE 491,ED4-GEOM</v>
      </c>
      <c r="B333" s="312" t="str">
        <f>[9]Sheet40!G13</f>
        <v>Forkuo Eric Kwabena</v>
      </c>
      <c r="C333" s="260">
        <v>93</v>
      </c>
      <c r="D333" s="260" t="str">
        <f>D332</f>
        <v>ED4-GEOM</v>
      </c>
      <c r="E333" s="260" t="str">
        <f>[9]Sheet40!B13</f>
        <v>GE 491</v>
      </c>
      <c r="F333" s="260"/>
      <c r="G333" s="260" t="str">
        <f>[9]Sheet40!E13</f>
        <v>PROJECT I</v>
      </c>
    </row>
    <row r="334" spans="1:7" s="3" customFormat="1" x14ac:dyDescent="0.35">
      <c r="A334" s="257" t="str">
        <f t="shared" si="44"/>
        <v>CE 155,ED1-IND</v>
      </c>
      <c r="B334" s="307" t="str">
        <f>[9]Sheet43!G18</f>
        <v>Appiah-Brempong Miriam</v>
      </c>
      <c r="C334" s="203">
        <v>81</v>
      </c>
      <c r="D334" s="203" t="s">
        <v>161</v>
      </c>
      <c r="E334" s="203" t="str">
        <f>[9]Sheet43!B18</f>
        <v>CE 155</v>
      </c>
      <c r="F334" s="203"/>
      <c r="G334" s="203" t="str">
        <f>[9]Sheet43!E18</f>
        <v>ENVIRONMENTAL STUDIES</v>
      </c>
    </row>
    <row r="335" spans="1:7" s="3" customFormat="1" x14ac:dyDescent="0.35">
      <c r="A335" s="257" t="str">
        <f t="shared" si="44"/>
        <v>EE 151,ED1-IND</v>
      </c>
      <c r="B335" s="307" t="str">
        <f>[9]Sheet43!G19</f>
        <v>Obeng Kwakye Kingsford Sarkodie</v>
      </c>
      <c r="C335" s="203">
        <v>81</v>
      </c>
      <c r="D335" s="203" t="str">
        <f t="shared" ref="D335:D340" si="45">D334</f>
        <v>ED1-IND</v>
      </c>
      <c r="E335" s="203" t="str">
        <f>[9]Sheet43!B19</f>
        <v>EE 151</v>
      </c>
      <c r="F335" s="203"/>
      <c r="G335" s="203" t="str">
        <f>[9]Sheet43!E19</f>
        <v>APPLIED ELECTRICITY</v>
      </c>
    </row>
    <row r="336" spans="1:7" s="3" customFormat="1" x14ac:dyDescent="0.35">
      <c r="A336" s="257" t="str">
        <f t="shared" si="44"/>
        <v>ENGL 157,ED1-IND</v>
      </c>
      <c r="B336" s="307" t="str">
        <f>[9]Sheet43!G20</f>
        <v>Yeboah Philomena Ama Okyeso</v>
      </c>
      <c r="C336" s="203">
        <v>81</v>
      </c>
      <c r="D336" s="203" t="str">
        <f t="shared" si="45"/>
        <v>ED1-IND</v>
      </c>
      <c r="E336" s="203" t="str">
        <f>[9]Sheet43!B20</f>
        <v>ENGL 157</v>
      </c>
      <c r="F336" s="203"/>
      <c r="G336" s="203" t="str">
        <f>[9]Sheet43!E20</f>
        <v>COMMUNICATION SKILLS I</v>
      </c>
    </row>
    <row r="337" spans="1:7" s="3" customFormat="1" x14ac:dyDescent="0.35">
      <c r="A337" s="257" t="str">
        <f t="shared" si="44"/>
        <v>MATH 151,ED1-IND</v>
      </c>
      <c r="B337" s="307" t="str">
        <f>[9]Sheet43!G21</f>
        <v>Fosu Gabriel Obed</v>
      </c>
      <c r="C337" s="203">
        <v>81</v>
      </c>
      <c r="D337" s="203" t="str">
        <f t="shared" si="45"/>
        <v>ED1-IND</v>
      </c>
      <c r="E337" s="203" t="str">
        <f>[9]Sheet43!B21</f>
        <v>MATH 151</v>
      </c>
      <c r="F337" s="203"/>
      <c r="G337" s="203" t="str">
        <f>[9]Sheet43!E21</f>
        <v>ALGEBRA</v>
      </c>
    </row>
    <row r="338" spans="1:7" s="3" customFormat="1" x14ac:dyDescent="0.35">
      <c r="A338" s="257" t="str">
        <f t="shared" si="44"/>
        <v>ME 157,ED1-IND</v>
      </c>
      <c r="B338" s="307" t="str">
        <f>[9]Sheet43!G22</f>
        <v>Sekyere Charles Kofi Kafui</v>
      </c>
      <c r="C338" s="203">
        <v>81</v>
      </c>
      <c r="D338" s="203" t="str">
        <f t="shared" si="45"/>
        <v>ED1-IND</v>
      </c>
      <c r="E338" s="203" t="str">
        <f>[9]Sheet43!B22</f>
        <v>ME 157</v>
      </c>
      <c r="F338" s="203"/>
      <c r="G338" s="203" t="str">
        <f>[9]Sheet43!E22</f>
        <v>INTRODUCTION TO INFORMATION TECHNOLOGY</v>
      </c>
    </row>
    <row r="339" spans="1:7" s="3" customFormat="1" x14ac:dyDescent="0.35">
      <c r="A339" s="257" t="str">
        <f t="shared" si="44"/>
        <v>ME 159,ED1-IND</v>
      </c>
      <c r="B339" s="307" t="str">
        <f>[9]Sheet43!G23</f>
        <v>Sekyere Charles Kofi Kafui</v>
      </c>
      <c r="C339" s="203">
        <v>81</v>
      </c>
      <c r="D339" s="203" t="str">
        <f t="shared" si="45"/>
        <v>ED1-IND</v>
      </c>
      <c r="E339" s="203" t="str">
        <f>[9]Sheet43!B23</f>
        <v>ME 159</v>
      </c>
      <c r="F339" s="203"/>
      <c r="G339" s="203" t="str">
        <f>[9]Sheet43!E23</f>
        <v>TECHNICAL DRAWING</v>
      </c>
    </row>
    <row r="340" spans="1:7" s="3" customFormat="1" x14ac:dyDescent="0.35">
      <c r="A340" s="257" t="str">
        <f t="shared" si="44"/>
        <v>ME 195,ED1-IND</v>
      </c>
      <c r="B340" s="307" t="str">
        <f>[9]Sheet43!G24</f>
        <v>Oppong Tawiah Peter</v>
      </c>
      <c r="C340" s="203">
        <v>81</v>
      </c>
      <c r="D340" s="203" t="str">
        <f t="shared" si="45"/>
        <v>ED1-IND</v>
      </c>
      <c r="E340" s="203" t="str">
        <f>[9]Sheet43!B24</f>
        <v>ME 195</v>
      </c>
      <c r="F340" s="203"/>
      <c r="G340" s="203" t="str">
        <f>[9]Sheet43!E24</f>
        <v xml:space="preserve">ENGINEERING TECHNOLOGY </v>
      </c>
    </row>
    <row r="341" spans="1:7" s="3" customFormat="1" x14ac:dyDescent="0.35">
      <c r="A341" s="257" t="str">
        <f t="shared" si="44"/>
        <v>CENG 291,ED2-IND</v>
      </c>
      <c r="B341" s="307" t="str">
        <f>[9]Sheet44!G8</f>
        <v>Afriyie Nyarko Frank Kwabena</v>
      </c>
      <c r="C341" s="203">
        <v>80</v>
      </c>
      <c r="D341" s="203" t="s">
        <v>25</v>
      </c>
      <c r="E341" s="203" t="str">
        <f>[9]Sheet44!B8</f>
        <v>CENG 291</v>
      </c>
      <c r="F341" s="203"/>
      <c r="G341" s="203" t="str">
        <f>[9]Sheet44!E8</f>
        <v>ENGINEERING IN SOCIETY</v>
      </c>
    </row>
    <row r="342" spans="1:7" s="3" customFormat="1" x14ac:dyDescent="0.35">
      <c r="A342" s="257" t="str">
        <f t="shared" si="44"/>
        <v>ENGL 263,ED2-IND</v>
      </c>
      <c r="B342" s="307" t="str">
        <f>[9]Sheet44!G9</f>
        <v>Yeboah Philomena Ama Okyeso</v>
      </c>
      <c r="C342" s="203">
        <v>80</v>
      </c>
      <c r="D342" s="203" t="str">
        <f t="shared" ref="D342:D349" si="46">D341</f>
        <v>ED2-IND</v>
      </c>
      <c r="E342" s="203" t="str">
        <f>[9]Sheet44!B9</f>
        <v>ENGL 263</v>
      </c>
      <c r="F342" s="203"/>
      <c r="G342" s="203" t="str">
        <f>[9]Sheet44!E9</f>
        <v>LITERATURE IN ENGLISH I</v>
      </c>
    </row>
    <row r="343" spans="1:7" s="3" customFormat="1" x14ac:dyDescent="0.35">
      <c r="A343" s="257" t="str">
        <f t="shared" si="44"/>
        <v>IE 295,ED2-IND</v>
      </c>
      <c r="B343" s="307" t="str">
        <f>[9]Sheet44!G10</f>
        <v>Tay Godwin Fabiola Kwaku</v>
      </c>
      <c r="C343" s="203">
        <v>80</v>
      </c>
      <c r="D343" s="203" t="str">
        <f t="shared" si="46"/>
        <v>ED2-IND</v>
      </c>
      <c r="E343" s="203" t="str">
        <f>[9]Sheet44!B10</f>
        <v>IE 295</v>
      </c>
      <c r="F343" s="203"/>
      <c r="G343" s="203" t="str">
        <f>[9]Sheet44!E10</f>
        <v>INDUSTRIAL ENGINEERING LABORATORY I</v>
      </c>
    </row>
    <row r="344" spans="1:7" s="3" customFormat="1" x14ac:dyDescent="0.35">
      <c r="A344" s="257" t="str">
        <f t="shared" si="44"/>
        <v>MATH 251,ED2-IND</v>
      </c>
      <c r="B344" s="307" t="str">
        <f>[9]Sheet44!G11</f>
        <v>Wireko Fredrick Asenso</v>
      </c>
      <c r="C344" s="203">
        <v>80</v>
      </c>
      <c r="D344" s="203" t="str">
        <f t="shared" si="46"/>
        <v>ED2-IND</v>
      </c>
      <c r="E344" s="203" t="str">
        <f>[9]Sheet44!B11</f>
        <v>MATH 251</v>
      </c>
      <c r="F344" s="203"/>
      <c r="G344" s="203" t="str">
        <f>[9]Sheet44!E11</f>
        <v>DIFFERENTIAL EQUATIONS</v>
      </c>
    </row>
    <row r="345" spans="1:7" s="3" customFormat="1" x14ac:dyDescent="0.35">
      <c r="A345" s="257" t="str">
        <f t="shared" si="44"/>
        <v>ME 251,ED2-IND</v>
      </c>
      <c r="B345" s="307" t="str">
        <f>[9]Sheet44!G12</f>
        <v>Tay Godwin Fabiola Kwaku</v>
      </c>
      <c r="C345" s="203">
        <v>80</v>
      </c>
      <c r="D345" s="203" t="str">
        <f t="shared" si="46"/>
        <v>ED2-IND</v>
      </c>
      <c r="E345" s="203" t="str">
        <f>[9]Sheet44!B12</f>
        <v>ME 251</v>
      </c>
      <c r="F345" s="203"/>
      <c r="G345" s="203" t="str">
        <f>[9]Sheet44!E12</f>
        <v>INTRODUCTION TO FLUID MECHANICS</v>
      </c>
    </row>
    <row r="346" spans="1:7" s="3" customFormat="1" x14ac:dyDescent="0.35">
      <c r="A346" s="257" t="str">
        <f t="shared" si="44"/>
        <v>ME 255,ED2-IND</v>
      </c>
      <c r="B346" s="307" t="str">
        <f>[9]Sheet44!G13</f>
        <v>Dzebre Denis Edem Kwame</v>
      </c>
      <c r="C346" s="203">
        <v>80</v>
      </c>
      <c r="D346" s="203" t="str">
        <f t="shared" si="46"/>
        <v>ED2-IND</v>
      </c>
      <c r="E346" s="203" t="str">
        <f>[9]Sheet44!B13</f>
        <v>ME 255</v>
      </c>
      <c r="F346" s="203"/>
      <c r="G346" s="203" t="str">
        <f>[9]Sheet44!E13</f>
        <v>STRENGTH OF MATERIALS I</v>
      </c>
    </row>
    <row r="347" spans="1:7" s="3" customFormat="1" x14ac:dyDescent="0.35">
      <c r="A347" s="257" t="str">
        <f t="shared" si="44"/>
        <v>ME 259,ED2-IND</v>
      </c>
      <c r="B347" s="307" t="str">
        <f>[9]Sheet44!G14</f>
        <v>Ayetor Godwin Kafui Kwesi</v>
      </c>
      <c r="C347" s="203">
        <v>80</v>
      </c>
      <c r="D347" s="203" t="str">
        <f t="shared" si="46"/>
        <v>ED2-IND</v>
      </c>
      <c r="E347" s="203" t="str">
        <f>[9]Sheet44!B14</f>
        <v>ME 259</v>
      </c>
      <c r="F347" s="203"/>
      <c r="G347" s="203" t="str">
        <f>[9]Sheet44!E14</f>
        <v>APPLICATIONS OF COMPUTER GRAPHICS</v>
      </c>
    </row>
    <row r="348" spans="1:7" s="3" customFormat="1" x14ac:dyDescent="0.35">
      <c r="A348" s="257" t="str">
        <f t="shared" si="44"/>
        <v>ME 261,ED2-IND</v>
      </c>
      <c r="B348" s="307" t="str">
        <f>[9]Sheet44!G15</f>
        <v>Ampofo Joshua</v>
      </c>
      <c r="C348" s="203">
        <v>80</v>
      </c>
      <c r="D348" s="203" t="str">
        <f t="shared" si="46"/>
        <v>ED2-IND</v>
      </c>
      <c r="E348" s="203" t="str">
        <f>[9]Sheet44!B15</f>
        <v>ME 261</v>
      </c>
      <c r="F348" s="203"/>
      <c r="G348" s="203" t="str">
        <f>[9]Sheet44!E15</f>
        <v>ENGINEERING MECHANICS II:DYNAMICS</v>
      </c>
    </row>
    <row r="349" spans="1:7" s="3" customFormat="1" x14ac:dyDescent="0.35">
      <c r="A349" s="257" t="str">
        <f t="shared" si="44"/>
        <v>ME 281,ED2-IND</v>
      </c>
      <c r="B349" s="307" t="str">
        <f>[9]Sheet44!G16</f>
        <v>Boahen Samuel</v>
      </c>
      <c r="C349" s="203">
        <v>80</v>
      </c>
      <c r="D349" s="203" t="str">
        <f t="shared" si="46"/>
        <v>ED2-IND</v>
      </c>
      <c r="E349" s="203" t="str">
        <f>[9]Sheet44!B16</f>
        <v>ME 281</v>
      </c>
      <c r="F349" s="203"/>
      <c r="G349" s="203" t="str">
        <f>[9]Sheet44!E16</f>
        <v>ENGINEERING MATERIALS I</v>
      </c>
    </row>
    <row r="350" spans="1:7" s="3" customFormat="1" x14ac:dyDescent="0.35">
      <c r="A350" s="257" t="str">
        <f t="shared" si="44"/>
        <v>IE 351,ED3-IND</v>
      </c>
      <c r="B350" s="307" t="str">
        <f>[9]Sheet45!G8</f>
        <v>Mensah Lena Dzifa</v>
      </c>
      <c r="C350" s="203">
        <v>72</v>
      </c>
      <c r="D350" s="203" t="s">
        <v>20</v>
      </c>
      <c r="E350" s="203" t="str">
        <f>[9]Sheet45!B8</f>
        <v>IE 351</v>
      </c>
      <c r="F350" s="203"/>
      <c r="G350" s="203" t="str">
        <f>[9]Sheet45!E8</f>
        <v>OPERATIONS RESEARCH I</v>
      </c>
    </row>
    <row r="351" spans="1:7" s="3" customFormat="1" x14ac:dyDescent="0.35">
      <c r="A351" s="257" t="str">
        <f t="shared" si="44"/>
        <v>IE 355,ED3-IND</v>
      </c>
      <c r="B351" s="307" t="str">
        <f>[9]Sheet45!G9</f>
        <v>Takyi Gabriel</v>
      </c>
      <c r="C351" s="203">
        <v>72</v>
      </c>
      <c r="D351" s="203" t="str">
        <f t="shared" ref="D351:D357" si="47">D350</f>
        <v>ED3-IND</v>
      </c>
      <c r="E351" s="203" t="str">
        <f>[9]Sheet45!B9</f>
        <v>IE 355</v>
      </c>
      <c r="F351" s="203"/>
      <c r="G351" s="203" t="str">
        <f>[9]Sheet45!E9</f>
        <v>DISCRETE EVENT SIMULATION</v>
      </c>
    </row>
    <row r="352" spans="1:7" s="3" customFormat="1" x14ac:dyDescent="0.35">
      <c r="A352" s="257" t="str">
        <f t="shared" si="44"/>
        <v>IE 357,ED3-IND</v>
      </c>
      <c r="B352" s="307" t="str">
        <f>[9]Sheet45!G10</f>
        <v>Asiedu Charlotte</v>
      </c>
      <c r="C352" s="203">
        <v>72</v>
      </c>
      <c r="D352" s="203" t="str">
        <f t="shared" si="47"/>
        <v>ED3-IND</v>
      </c>
      <c r="E352" s="203" t="str">
        <f>[9]Sheet45!B10</f>
        <v>IE 357</v>
      </c>
      <c r="F352" s="203"/>
      <c r="G352" s="203" t="str">
        <f>[9]Sheet45!E10</f>
        <v>PROJECT MANAGEMENT</v>
      </c>
    </row>
    <row r="353" spans="1:7" s="3" customFormat="1" x14ac:dyDescent="0.35">
      <c r="A353" s="257" t="str">
        <f t="shared" si="44"/>
        <v>IE 363,ED3-IND</v>
      </c>
      <c r="B353" s="307" t="str">
        <f>[9]Sheet45!G11</f>
        <v>Sackey Samuel Mensah</v>
      </c>
      <c r="C353" s="203">
        <v>72</v>
      </c>
      <c r="D353" s="203" t="str">
        <f t="shared" si="47"/>
        <v>ED3-IND</v>
      </c>
      <c r="E353" s="203" t="str">
        <f>[9]Sheet45!B11</f>
        <v>IE 363</v>
      </c>
      <c r="F353" s="203"/>
      <c r="G353" s="203" t="str">
        <f>[9]Sheet45!E11</f>
        <v>PROCESS PLANNING SYSTEMS</v>
      </c>
    </row>
    <row r="354" spans="1:7" s="3" customFormat="1" x14ac:dyDescent="0.35">
      <c r="A354" s="257" t="str">
        <f t="shared" si="44"/>
        <v>IE 365,ED3-IND</v>
      </c>
      <c r="B354" s="307" t="str">
        <f>[9]Sheet45!G12</f>
        <v>Takyi Gabriel</v>
      </c>
      <c r="C354" s="203">
        <v>72</v>
      </c>
      <c r="D354" s="203" t="str">
        <f t="shared" si="47"/>
        <v>ED3-IND</v>
      </c>
      <c r="E354" s="203" t="str">
        <f>[9]Sheet45!B12</f>
        <v>IE 365</v>
      </c>
      <c r="F354" s="203"/>
      <c r="G354" s="203" t="str">
        <f>[9]Sheet45!E12</f>
        <v>ENGINEERING WORK STUDY</v>
      </c>
    </row>
    <row r="355" spans="1:7" s="3" customFormat="1" x14ac:dyDescent="0.35">
      <c r="A355" s="257" t="str">
        <f t="shared" si="44"/>
        <v>IE 367,ED3-IND</v>
      </c>
      <c r="B355" s="307" t="str">
        <f>[9]Sheet45!G13</f>
        <v>Asiedu Charlotte</v>
      </c>
      <c r="C355" s="203">
        <v>72</v>
      </c>
      <c r="D355" s="203" t="str">
        <f t="shared" si="47"/>
        <v>ED3-IND</v>
      </c>
      <c r="E355" s="203" t="str">
        <f>[9]Sheet45!B13</f>
        <v>IE 367</v>
      </c>
      <c r="F355" s="203"/>
      <c r="G355" s="203" t="str">
        <f>[9]Sheet45!E13</f>
        <v>ETHICS, CONTRACT &amp; PRODUCT LIABILITY LAW</v>
      </c>
    </row>
    <row r="356" spans="1:7" s="3" customFormat="1" x14ac:dyDescent="0.35">
      <c r="A356" s="257" t="str">
        <f t="shared" si="44"/>
        <v>MATH 351,ED3-IND</v>
      </c>
      <c r="B356" s="307" t="str">
        <f>[9]Sheet45!G14</f>
        <v>Awashie Gaston Edem</v>
      </c>
      <c r="C356" s="203">
        <v>72</v>
      </c>
      <c r="D356" s="203" t="str">
        <f t="shared" si="47"/>
        <v>ED3-IND</v>
      </c>
      <c r="E356" s="203" t="str">
        <f>[9]Sheet45!B14</f>
        <v>MATH 351</v>
      </c>
      <c r="F356" s="203"/>
      <c r="G356" s="203" t="str">
        <f>[9]Sheet45!E14</f>
        <v>NUMERICAL ANALYSIS</v>
      </c>
    </row>
    <row r="357" spans="1:7" s="3" customFormat="1" x14ac:dyDescent="0.35">
      <c r="A357" s="257" t="str">
        <f t="shared" si="44"/>
        <v>STAT 253,ED3-IND</v>
      </c>
      <c r="B357" s="307" t="str">
        <f>[9]Sheet45!G15</f>
        <v>Amoako-Yirenkyi Carole Fredua</v>
      </c>
      <c r="C357" s="203">
        <v>72</v>
      </c>
      <c r="D357" s="203" t="str">
        <f t="shared" si="47"/>
        <v>ED3-IND</v>
      </c>
      <c r="E357" s="203" t="str">
        <f>[9]Sheet45!B15</f>
        <v>STAT 253</v>
      </c>
      <c r="F357" s="203"/>
      <c r="G357" s="203" t="str">
        <f>[9]Sheet45!E15</f>
        <v>PROBABILITY AND STATISTICS</v>
      </c>
    </row>
    <row r="358" spans="1:7" s="3" customFormat="1" x14ac:dyDescent="0.35">
      <c r="A358" s="257" t="str">
        <f t="shared" si="44"/>
        <v>IE 395,ED4-IND</v>
      </c>
      <c r="B358" s="307" t="str">
        <f>[9]Sheet46!G8</f>
        <v>Boahen Samuel</v>
      </c>
      <c r="C358" s="203">
        <v>67</v>
      </c>
      <c r="D358" s="203" t="s">
        <v>80</v>
      </c>
      <c r="E358" s="203" t="str">
        <f>[9]Sheet46!B8</f>
        <v>IE 395</v>
      </c>
      <c r="F358" s="203"/>
      <c r="G358" s="203" t="str">
        <f>[9]Sheet46!E8</f>
        <v>SUPERVISED INDUSTRIAL WORK EXPERIENCE</v>
      </c>
    </row>
    <row r="359" spans="1:7" s="3" customFormat="1" x14ac:dyDescent="0.35">
      <c r="A359" s="257" t="str">
        <f t="shared" si="44"/>
        <v>IE 451,ED4-IND</v>
      </c>
      <c r="B359" s="307" t="str">
        <f>[9]Sheet46!G9</f>
        <v>Sackey Samuel Mensah</v>
      </c>
      <c r="C359" s="203">
        <v>67</v>
      </c>
      <c r="D359" s="203" t="str">
        <f t="shared" ref="D359:D366" si="48">D358</f>
        <v>ED4-IND</v>
      </c>
      <c r="E359" s="203" t="str">
        <f>[9]Sheet46!B9</f>
        <v>IE 451</v>
      </c>
      <c r="F359" s="203"/>
      <c r="G359" s="203" t="str">
        <f>[9]Sheet46!E9</f>
        <v>FACILITIES DESIGN AND MATERIAL HANDLING</v>
      </c>
    </row>
    <row r="360" spans="1:7" s="3" customFormat="1" x14ac:dyDescent="0.35">
      <c r="A360" s="257" t="str">
        <f t="shared" si="44"/>
        <v>IE 453,ED4-IND</v>
      </c>
      <c r="B360" s="307" t="str">
        <f>[9]Sheet46!G10</f>
        <v>Opoku Richard</v>
      </c>
      <c r="C360" s="203">
        <v>67</v>
      </c>
      <c r="D360" s="203" t="str">
        <f t="shared" si="48"/>
        <v>ED4-IND</v>
      </c>
      <c r="E360" s="203" t="str">
        <f>[9]Sheet46!B10</f>
        <v>IE 453</v>
      </c>
      <c r="F360" s="203"/>
      <c r="G360" s="203" t="str">
        <f>[9]Sheet46!E10</f>
        <v>INDUSTRIAL ENGINNERING LAB IV</v>
      </c>
    </row>
    <row r="361" spans="1:7" s="3" customFormat="1" x14ac:dyDescent="0.35">
      <c r="A361" s="257" t="str">
        <f t="shared" si="44"/>
        <v>IE 455,ED4-IND</v>
      </c>
      <c r="B361" s="307" t="str">
        <f>[9]Sheet46!G11</f>
        <v>Mensah Lena Dzifa</v>
      </c>
      <c r="C361" s="203">
        <v>67</v>
      </c>
      <c r="D361" s="203" t="str">
        <f t="shared" si="48"/>
        <v>ED4-IND</v>
      </c>
      <c r="E361" s="203" t="str">
        <f>[9]Sheet46!B11</f>
        <v>IE 455</v>
      </c>
      <c r="F361" s="203"/>
      <c r="G361" s="203" t="str">
        <f>[9]Sheet46!E11</f>
        <v>COSTING AND BREAK-EVEN ANALYSIS</v>
      </c>
    </row>
    <row r="362" spans="1:7" s="3" customFormat="1" x14ac:dyDescent="0.35">
      <c r="A362" s="257" t="str">
        <f t="shared" si="44"/>
        <v>IE 457,ED4-IND</v>
      </c>
      <c r="B362" s="307" t="str">
        <f>[9]Sheet46!G12</f>
        <v>Takyi Gabriel</v>
      </c>
      <c r="C362" s="203">
        <v>67</v>
      </c>
      <c r="D362" s="203" t="str">
        <f t="shared" si="48"/>
        <v>ED4-IND</v>
      </c>
      <c r="E362" s="203" t="str">
        <f>[9]Sheet46!B12</f>
        <v>IE 457</v>
      </c>
      <c r="F362" s="203"/>
      <c r="G362" s="203" t="str">
        <f>[9]Sheet46!E12</f>
        <v>ADVANCED MANUFACTURING TECHNOLOGY II</v>
      </c>
    </row>
    <row r="363" spans="1:7" s="3" customFormat="1" x14ac:dyDescent="0.35">
      <c r="A363" s="257" t="str">
        <f t="shared" si="44"/>
        <v>IE 459,ED4-IND</v>
      </c>
      <c r="B363" s="307" t="str">
        <f>[9]Sheet46!G13</f>
        <v>Asiedu Charlotte</v>
      </c>
      <c r="C363" s="203">
        <v>67</v>
      </c>
      <c r="D363" s="203" t="str">
        <f t="shared" si="48"/>
        <v>ED4-IND</v>
      </c>
      <c r="E363" s="203" t="str">
        <f>[9]Sheet46!B13</f>
        <v>IE 459</v>
      </c>
      <c r="F363" s="203"/>
      <c r="G363" s="203" t="str">
        <f>[9]Sheet46!E13</f>
        <v>RISK ANALYSIS</v>
      </c>
    </row>
    <row r="364" spans="1:7" s="3" customFormat="1" x14ac:dyDescent="0.35">
      <c r="A364" s="257" t="str">
        <f t="shared" si="44"/>
        <v>IE 461,ED4-IND</v>
      </c>
      <c r="B364" s="307" t="str">
        <f>[9]Sheet46!G14</f>
        <v>Asiedu Charlotte</v>
      </c>
      <c r="C364" s="203">
        <v>67</v>
      </c>
      <c r="D364" s="203" t="str">
        <f t="shared" si="48"/>
        <v>ED4-IND</v>
      </c>
      <c r="E364" s="203" t="str">
        <f>[9]Sheet46!B14</f>
        <v>IE 461</v>
      </c>
      <c r="F364" s="203"/>
      <c r="G364" s="203" t="str">
        <f>[9]Sheet46!E14</f>
        <v>INDUSTRIAL SAFETY AND MANUFACTURING RELATIONS</v>
      </c>
    </row>
    <row r="365" spans="1:7" s="3" customFormat="1" x14ac:dyDescent="0.35">
      <c r="A365" s="257" t="str">
        <f t="shared" si="44"/>
        <v>IE 463,ED4-IND</v>
      </c>
      <c r="B365" s="307" t="str">
        <f>[9]Sheet46!G15</f>
        <v>Tay Godwin Fabiola Kwaku</v>
      </c>
      <c r="C365" s="203">
        <v>67</v>
      </c>
      <c r="D365" s="203" t="str">
        <f t="shared" si="48"/>
        <v>ED4-IND</v>
      </c>
      <c r="E365" s="203" t="str">
        <f>[9]Sheet46!B15</f>
        <v>IE 463</v>
      </c>
      <c r="F365" s="203"/>
      <c r="G365" s="203" t="str">
        <f>[9]Sheet46!E15</f>
        <v>FINAL YEAR PROJECT I</v>
      </c>
    </row>
    <row r="366" spans="1:7" s="3" customFormat="1" x14ac:dyDescent="0.35">
      <c r="A366" s="257" t="str">
        <f t="shared" si="44"/>
        <v>ME 491,ED4-IND</v>
      </c>
      <c r="B366" s="307" t="str">
        <f>[9]Sheet46!G16</f>
        <v>Mensah Lena Dzifa</v>
      </c>
      <c r="C366" s="203">
        <v>67</v>
      </c>
      <c r="D366" s="203" t="str">
        <f t="shared" si="48"/>
        <v>ED4-IND</v>
      </c>
      <c r="E366" s="203" t="str">
        <f>[9]Sheet46!B16</f>
        <v>ME 491</v>
      </c>
      <c r="F366" s="203"/>
      <c r="G366" s="203" t="str">
        <f>[9]Sheet46!E16</f>
        <v>ENGINEERING ECONOMY AND MANAGEMENT</v>
      </c>
    </row>
    <row r="367" spans="1:7" s="3" customFormat="1" x14ac:dyDescent="0.35">
      <c r="A367" s="257" t="str">
        <f t="shared" si="44"/>
        <v>EE 151,ED1-MARI</v>
      </c>
      <c r="B367" s="312" t="str">
        <f>[9]Sheet46!G21</f>
        <v>Acheampong Francisca Adoma</v>
      </c>
      <c r="C367" s="260">
        <v>46</v>
      </c>
      <c r="D367" s="260" t="s">
        <v>41</v>
      </c>
      <c r="E367" s="260" t="str">
        <f>[9]Sheet46!B21</f>
        <v>EE 151</v>
      </c>
      <c r="F367" s="260"/>
      <c r="G367" s="260" t="str">
        <f>[9]Sheet46!E21</f>
        <v>APPLIED ELECTRICITY</v>
      </c>
    </row>
    <row r="368" spans="1:7" s="3" customFormat="1" x14ac:dyDescent="0.35">
      <c r="A368" s="257" t="str">
        <f t="shared" si="44"/>
        <v>ENGL 157,ED1-MARI</v>
      </c>
      <c r="B368" s="312" t="str">
        <f>[9]Sheet46!G22</f>
        <v>Yeboah Philomena Ama Okyeso</v>
      </c>
      <c r="C368" s="260">
        <v>46</v>
      </c>
      <c r="D368" s="260" t="str">
        <f t="shared" ref="D368:D374" si="49">D367</f>
        <v>ED1-MARI</v>
      </c>
      <c r="E368" s="260" t="str">
        <f>[9]Sheet46!B22</f>
        <v>ENGL 157</v>
      </c>
      <c r="F368" s="260"/>
      <c r="G368" s="260" t="str">
        <f>[9]Sheet46!E22</f>
        <v>COMMUNICATION SKILLS I</v>
      </c>
    </row>
    <row r="369" spans="1:7" s="3" customFormat="1" x14ac:dyDescent="0.35">
      <c r="A369" s="257" t="str">
        <f t="shared" si="44"/>
        <v>FC 181,ED1-MARI</v>
      </c>
      <c r="B369" s="312" t="str">
        <f>[9]Sheet46!G23</f>
        <v>Boakye-Agyeman Candy</v>
      </c>
      <c r="C369" s="260">
        <v>46</v>
      </c>
      <c r="D369" s="260" t="str">
        <f t="shared" si="49"/>
        <v>ED1-MARI</v>
      </c>
      <c r="E369" s="260" t="str">
        <f>[9]Sheet46!B23</f>
        <v>FC 181</v>
      </c>
      <c r="F369" s="260"/>
      <c r="G369" s="260" t="str">
        <f>[9]Sheet46!E23</f>
        <v>FRENCH FOR COMMUNICATION PURPOSES I</v>
      </c>
    </row>
    <row r="370" spans="1:7" s="3" customFormat="1" x14ac:dyDescent="0.35">
      <c r="A370" s="257" t="str">
        <f t="shared" si="44"/>
        <v>MATH 151,ED1-MARI</v>
      </c>
      <c r="B370" s="312" t="str">
        <f>[9]Sheet46!G24</f>
        <v>Fosu Gabriel Obed</v>
      </c>
      <c r="C370" s="260">
        <v>46</v>
      </c>
      <c r="D370" s="260" t="str">
        <f t="shared" si="49"/>
        <v>ED1-MARI</v>
      </c>
      <c r="E370" s="260" t="str">
        <f>[9]Sheet46!B24</f>
        <v>MATH 151</v>
      </c>
      <c r="F370" s="260"/>
      <c r="G370" s="260" t="str">
        <f>[9]Sheet46!E24</f>
        <v>ALGEBRA</v>
      </c>
    </row>
    <row r="371" spans="1:7" s="3" customFormat="1" x14ac:dyDescent="0.35">
      <c r="A371" s="257" t="str">
        <f t="shared" si="44"/>
        <v>ME 157,ED1-MARI</v>
      </c>
      <c r="B371" s="312" t="str">
        <f>[9]Sheet46!G25</f>
        <v>Sekyere Charles Kofi Kafui</v>
      </c>
      <c r="C371" s="260">
        <v>46</v>
      </c>
      <c r="D371" s="260" t="str">
        <f t="shared" si="49"/>
        <v>ED1-MARI</v>
      </c>
      <c r="E371" s="260" t="str">
        <f>[9]Sheet46!B25</f>
        <v>ME 157</v>
      </c>
      <c r="F371" s="260"/>
      <c r="G371" s="260" t="str">
        <f>[9]Sheet46!E25</f>
        <v>INTRODUCTION TO INFORMATION TECHNOLOGY</v>
      </c>
    </row>
    <row r="372" spans="1:7" s="3" customFormat="1" x14ac:dyDescent="0.35">
      <c r="A372" s="257" t="str">
        <f t="shared" si="44"/>
        <v>ME 159,ED1-MARI</v>
      </c>
      <c r="B372" s="312" t="str">
        <f>$B$437</f>
        <v>Sunnu Albert Kojo</v>
      </c>
      <c r="C372" s="260">
        <v>46</v>
      </c>
      <c r="D372" s="260" t="str">
        <f t="shared" si="49"/>
        <v>ED1-MARI</v>
      </c>
      <c r="E372" s="260" t="str">
        <f>[9]Sheet46!B26</f>
        <v>ME 159</v>
      </c>
      <c r="F372" s="260"/>
      <c r="G372" s="260" t="str">
        <f>[9]Sheet46!E26</f>
        <v>TECHNICAL DRAWING</v>
      </c>
    </row>
    <row r="373" spans="1:7" s="3" customFormat="1" x14ac:dyDescent="0.35">
      <c r="A373" s="257" t="str">
        <f t="shared" si="44"/>
        <v>MME 155,ED1-MARI</v>
      </c>
      <c r="B373" s="312" t="str">
        <f>[9]Sheet46!G27</f>
        <v>Miezah Kodwo</v>
      </c>
      <c r="C373" s="260">
        <v>46</v>
      </c>
      <c r="D373" s="260" t="str">
        <f t="shared" si="49"/>
        <v>ED1-MARI</v>
      </c>
      <c r="E373" s="260" t="str">
        <f>[9]Sheet46!B27</f>
        <v>MME 155</v>
      </c>
      <c r="F373" s="260"/>
      <c r="G373" s="260" t="str">
        <f>[9]Sheet46!E27</f>
        <v>INTRODUCTION TO OCEANOGRAPHY</v>
      </c>
    </row>
    <row r="374" spans="1:7" s="3" customFormat="1" x14ac:dyDescent="0.35">
      <c r="A374" s="257" t="str">
        <f t="shared" si="44"/>
        <v>MME 195,ED1-MARI</v>
      </c>
      <c r="B374" s="312" t="str">
        <f>[9]Sheet46!G28</f>
        <v>Amoabeng Kofi Owura</v>
      </c>
      <c r="C374" s="260">
        <v>37</v>
      </c>
      <c r="D374" s="260" t="str">
        <f t="shared" si="49"/>
        <v>ED1-MARI</v>
      </c>
      <c r="E374" s="260" t="str">
        <f>[9]Sheet46!B28</f>
        <v>MME 195</v>
      </c>
      <c r="F374" s="260"/>
      <c r="G374" s="260" t="str">
        <f>[9]Sheet46!E28</f>
        <v>MARINE ENGINEERING TECHNOLOGY</v>
      </c>
    </row>
    <row r="375" spans="1:7" s="3" customFormat="1" x14ac:dyDescent="0.35">
      <c r="A375" s="257" t="str">
        <f t="shared" si="44"/>
        <v>CENG 291,ED2-MARI</v>
      </c>
      <c r="B375" s="312" t="str">
        <f>[9]Sheet47!G8</f>
        <v>Adam Faisal Wahib</v>
      </c>
      <c r="C375" s="260">
        <v>37</v>
      </c>
      <c r="D375" s="260" t="s">
        <v>24</v>
      </c>
      <c r="E375" s="260" t="str">
        <f>[9]Sheet47!B8</f>
        <v>CENG 291</v>
      </c>
      <c r="F375" s="260"/>
      <c r="G375" s="260" t="str">
        <f>[9]Sheet47!E8</f>
        <v>ENGINEERING IN SOCIETY</v>
      </c>
    </row>
    <row r="376" spans="1:7" s="3" customFormat="1" x14ac:dyDescent="0.35">
      <c r="A376" s="257" t="str">
        <f t="shared" si="44"/>
        <v>MATH 251,ED2-MARI</v>
      </c>
      <c r="B376" s="312" t="str">
        <f>[9]Sheet47!G9</f>
        <v>Boateng Maxwell Akwasi</v>
      </c>
      <c r="C376" s="260">
        <v>37</v>
      </c>
      <c r="D376" s="260" t="str">
        <f t="shared" ref="D376:D383" si="50">D375</f>
        <v>ED2-MARI</v>
      </c>
      <c r="E376" s="260" t="str">
        <f>[9]Sheet47!B9</f>
        <v>MATH 251</v>
      </c>
      <c r="F376" s="260"/>
      <c r="G376" s="260" t="str">
        <f>[9]Sheet47!E9</f>
        <v>DIFFERENTIAL EQUATIONS</v>
      </c>
    </row>
    <row r="377" spans="1:7" s="3" customFormat="1" x14ac:dyDescent="0.35">
      <c r="A377" s="257" t="str">
        <f t="shared" si="44"/>
        <v>ME 251,ED2-MARI</v>
      </c>
      <c r="B377" s="312" t="str">
        <f>[9]Sheet47!G10</f>
        <v>Tay Godwin Fabiola Kwaku</v>
      </c>
      <c r="C377" s="260">
        <v>37</v>
      </c>
      <c r="D377" s="260" t="str">
        <f t="shared" si="50"/>
        <v>ED2-MARI</v>
      </c>
      <c r="E377" s="260" t="str">
        <f>[9]Sheet47!B10</f>
        <v>ME 251</v>
      </c>
      <c r="F377" s="260"/>
      <c r="G377" s="260" t="str">
        <f>[9]Sheet47!E10</f>
        <v>INTRODUCTION TO FLUID MECHANICS</v>
      </c>
    </row>
    <row r="378" spans="1:7" s="3" customFormat="1" x14ac:dyDescent="0.35">
      <c r="A378" s="257" t="str">
        <f t="shared" si="44"/>
        <v>ME 255,ED2-MARI</v>
      </c>
      <c r="B378" s="312" t="str">
        <f>[9]Sheet47!G11</f>
        <v>Dzebre Denis Edem Kwame</v>
      </c>
      <c r="C378" s="260">
        <v>37</v>
      </c>
      <c r="D378" s="260" t="str">
        <f t="shared" si="50"/>
        <v>ED2-MARI</v>
      </c>
      <c r="E378" s="260" t="str">
        <f>[9]Sheet47!B11</f>
        <v>ME 255</v>
      </c>
      <c r="F378" s="260"/>
      <c r="G378" s="260" t="str">
        <f>[9]Sheet47!E11</f>
        <v>STRENGTH OF MATERIALS I</v>
      </c>
    </row>
    <row r="379" spans="1:7" s="3" customFormat="1" x14ac:dyDescent="0.35">
      <c r="A379" s="257" t="str">
        <f t="shared" si="44"/>
        <v>ME 259,ED2-MARI</v>
      </c>
      <c r="B379" s="312" t="str">
        <f>[9]Sheet47!G12</f>
        <v>Ayetor Godwin Kafui Kwesi</v>
      </c>
      <c r="C379" s="260">
        <v>37</v>
      </c>
      <c r="D379" s="260" t="str">
        <f t="shared" si="50"/>
        <v>ED2-MARI</v>
      </c>
      <c r="E379" s="260" t="str">
        <f>[9]Sheet47!B12</f>
        <v>ME 259</v>
      </c>
      <c r="F379" s="260"/>
      <c r="G379" s="260" t="str">
        <f>[9]Sheet47!E12</f>
        <v>APPLICATIONS OF COMPUTER GRAPHICS</v>
      </c>
    </row>
    <row r="380" spans="1:7" s="3" customFormat="1" x14ac:dyDescent="0.35">
      <c r="A380" s="257" t="str">
        <f t="shared" si="44"/>
        <v>ME 261,ED2-MARI</v>
      </c>
      <c r="B380" s="312" t="str">
        <f>[9]Sheet47!G13</f>
        <v>Ampofo Joshua</v>
      </c>
      <c r="C380" s="260">
        <v>37</v>
      </c>
      <c r="D380" s="260" t="str">
        <f t="shared" si="50"/>
        <v>ED2-MARI</v>
      </c>
      <c r="E380" s="260" t="str">
        <f>[9]Sheet47!B13</f>
        <v>ME 261</v>
      </c>
      <c r="F380" s="260"/>
      <c r="G380" s="260" t="str">
        <f>[9]Sheet47!E13</f>
        <v>ENGINEERING MECHANICS II:DYNAMICS</v>
      </c>
    </row>
    <row r="381" spans="1:7" s="3" customFormat="1" x14ac:dyDescent="0.35">
      <c r="A381" s="257" t="str">
        <f t="shared" si="44"/>
        <v>MME 281,ED2-MARI</v>
      </c>
      <c r="B381" s="312" t="str">
        <f>[9]Sheet47!G14</f>
        <v>Boahen Samuel</v>
      </c>
      <c r="C381" s="260">
        <v>37</v>
      </c>
      <c r="D381" s="260" t="str">
        <f t="shared" si="50"/>
        <v>ED2-MARI</v>
      </c>
      <c r="E381" s="260" t="str">
        <f>[9]Sheet47!B14</f>
        <v>MME 281</v>
      </c>
      <c r="F381" s="260"/>
      <c r="G381" s="260" t="str">
        <f>[9]Sheet47!E14</f>
        <v>MARINE ENGINEERING MATERIALS</v>
      </c>
    </row>
    <row r="382" spans="1:7" s="3" customFormat="1" x14ac:dyDescent="0.35">
      <c r="A382" s="257" t="str">
        <f t="shared" si="44"/>
        <v>MME 291,ED2-MARI</v>
      </c>
      <c r="B382" s="312" t="str">
        <f>[9]Sheet47!G15</f>
        <v>Bonuedi Isaac</v>
      </c>
      <c r="C382" s="260">
        <v>37</v>
      </c>
      <c r="D382" s="260" t="str">
        <f t="shared" si="50"/>
        <v>ED2-MARI</v>
      </c>
      <c r="E382" s="260" t="str">
        <f>[9]Sheet47!B15</f>
        <v>MME 291</v>
      </c>
      <c r="F382" s="260"/>
      <c r="G382" s="260" t="str">
        <f>[9]Sheet47!E15</f>
        <v>ECONOMICS AND COMMERCIAL GEOGRAPHY</v>
      </c>
    </row>
    <row r="383" spans="1:7" s="3" customFormat="1" x14ac:dyDescent="0.35">
      <c r="A383" s="257" t="str">
        <f t="shared" si="44"/>
        <v>SES 171,ED2-MARI</v>
      </c>
      <c r="B383" s="312" t="str">
        <f>[9]Sheet47!G16</f>
        <v>Afrifa Daniel</v>
      </c>
      <c r="C383" s="260">
        <v>40</v>
      </c>
      <c r="D383" s="260" t="str">
        <f t="shared" si="50"/>
        <v>ED2-MARI</v>
      </c>
      <c r="E383" s="260" t="str">
        <f>[9]Sheet47!B16</f>
        <v>SES 171</v>
      </c>
      <c r="F383" s="260"/>
      <c r="G383" s="260" t="str">
        <f>[9]Sheet47!E16</f>
        <v>FUNDAMENTALS OF ACQUATIC SKILLS</v>
      </c>
    </row>
    <row r="384" spans="1:7" s="3" customFormat="1" x14ac:dyDescent="0.35">
      <c r="A384" s="257" t="str">
        <f t="shared" si="44"/>
        <v>MATH 351,ED3-MARI</v>
      </c>
      <c r="B384" s="312" t="str">
        <f>[9]Sheet48!G8</f>
        <v>Awashie Gaston Edem</v>
      </c>
      <c r="C384" s="260">
        <v>40</v>
      </c>
      <c r="D384" s="260" t="s">
        <v>21</v>
      </c>
      <c r="E384" s="260" t="str">
        <f>[9]Sheet48!B8</f>
        <v>MATH 351</v>
      </c>
      <c r="F384" s="260"/>
      <c r="G384" s="260" t="str">
        <f>[9]Sheet48!E8</f>
        <v>NUMERICAL ANALYSIS</v>
      </c>
    </row>
    <row r="385" spans="1:7" s="3" customFormat="1" x14ac:dyDescent="0.35">
      <c r="A385" s="257" t="str">
        <f t="shared" si="44"/>
        <v>ME 361,ED3-MARI</v>
      </c>
      <c r="B385" s="312" t="str">
        <f>[9]Sheet48!G9</f>
        <v>Ampofo Joshua</v>
      </c>
      <c r="C385" s="260">
        <v>40</v>
      </c>
      <c r="D385" s="260" t="str">
        <f t="shared" ref="D385:D392" si="51">D384</f>
        <v>ED3-MARI</v>
      </c>
      <c r="E385" s="260" t="str">
        <f>[9]Sheet48!B9</f>
        <v>ME 361</v>
      </c>
      <c r="F385" s="260"/>
      <c r="G385" s="260" t="str">
        <f>[9]Sheet48!E9</f>
        <v>DYNAMICS OF MACHINERY</v>
      </c>
    </row>
    <row r="386" spans="1:7" s="3" customFormat="1" x14ac:dyDescent="0.35">
      <c r="A386" s="257" t="str">
        <f t="shared" si="44"/>
        <v>ME 363,ED3-MARI</v>
      </c>
      <c r="B386" s="312" t="str">
        <f>[9]Sheet48!G10</f>
        <v>Adam Faisal Wahib</v>
      </c>
      <c r="C386" s="260">
        <v>40</v>
      </c>
      <c r="D386" s="260" t="str">
        <f t="shared" si="51"/>
        <v>ED3-MARI</v>
      </c>
      <c r="E386" s="260" t="str">
        <f>[9]Sheet48!B10</f>
        <v>ME 363</v>
      </c>
      <c r="F386" s="260"/>
      <c r="G386" s="260" t="str">
        <f>[9]Sheet48!E10</f>
        <v>AUTOMATIC CONTROL I</v>
      </c>
    </row>
    <row r="387" spans="1:7" s="3" customFormat="1" x14ac:dyDescent="0.35">
      <c r="A387" s="257" t="str">
        <f t="shared" si="44"/>
        <v>MME 353,ED3-MARI</v>
      </c>
      <c r="B387" s="312" t="str">
        <f>[9]Sheet48!G11</f>
        <v>Frimpong Emmanuel Asuming</v>
      </c>
      <c r="C387" s="260">
        <v>40</v>
      </c>
      <c r="D387" s="260" t="str">
        <f t="shared" si="51"/>
        <v>ED3-MARI</v>
      </c>
      <c r="E387" s="260" t="str">
        <f>[9]Sheet48!B11</f>
        <v>MME 353</v>
      </c>
      <c r="F387" s="260"/>
      <c r="G387" s="260" t="str">
        <f>[9]Sheet48!E11</f>
        <v>MARINE ELECTRICAL TECHNOLOGY</v>
      </c>
    </row>
    <row r="388" spans="1:7" s="3" customFormat="1" x14ac:dyDescent="0.35">
      <c r="A388" s="257" t="str">
        <f t="shared" si="44"/>
        <v>MME 355,ED3-MARI</v>
      </c>
      <c r="B388" s="312" t="str">
        <f>[9]Sheet48!G12</f>
        <v>Andoh Prince Yaw</v>
      </c>
      <c r="C388" s="260">
        <v>40</v>
      </c>
      <c r="D388" s="260" t="str">
        <f t="shared" si="51"/>
        <v>ED3-MARI</v>
      </c>
      <c r="E388" s="260" t="str">
        <f>[9]Sheet48!B12</f>
        <v>MME 355</v>
      </c>
      <c r="F388" s="260"/>
      <c r="G388" s="260" t="str">
        <f>[9]Sheet48!E12</f>
        <v>BASIC SHIP STRUCTURE</v>
      </c>
    </row>
    <row r="389" spans="1:7" s="3" customFormat="1" x14ac:dyDescent="0.35">
      <c r="A389" s="257" t="str">
        <f t="shared" si="44"/>
        <v>MME 365,ED3-MARI</v>
      </c>
      <c r="B389" s="312" t="str">
        <f>[9]Sheet48!G13</f>
        <v>Amoabeng Kofi Owura</v>
      </c>
      <c r="C389" s="260">
        <v>40</v>
      </c>
      <c r="D389" s="260" t="str">
        <f t="shared" si="51"/>
        <v>ED3-MARI</v>
      </c>
      <c r="E389" s="260" t="str">
        <f>[9]Sheet48!B13</f>
        <v>MME 365</v>
      </c>
      <c r="F389" s="260"/>
      <c r="G389" s="260" t="str">
        <f>[9]Sheet48!E13</f>
        <v>ENGINEERING THERMODYNAMICS</v>
      </c>
    </row>
    <row r="390" spans="1:7" s="3" customFormat="1" x14ac:dyDescent="0.35">
      <c r="A390" s="257" t="str">
        <f t="shared" si="44"/>
        <v>MME 373,ED3-MARI</v>
      </c>
      <c r="B390" s="312" t="str">
        <f>[9]Sheet48!G14</f>
        <v>Andoh Prince Yaw</v>
      </c>
      <c r="C390" s="260">
        <v>40</v>
      </c>
      <c r="D390" s="260" t="str">
        <f t="shared" si="51"/>
        <v>ED3-MARI</v>
      </c>
      <c r="E390" s="260" t="str">
        <f>[9]Sheet48!B14</f>
        <v>MME 373</v>
      </c>
      <c r="F390" s="260"/>
      <c r="G390" s="260" t="str">
        <f>[9]Sheet48!E14</f>
        <v>DESIGN OF MARINE MACHINE ELEMENTS</v>
      </c>
    </row>
    <row r="391" spans="1:7" s="3" customFormat="1" x14ac:dyDescent="0.35">
      <c r="A391" s="257" t="str">
        <f t="shared" si="44"/>
        <v>MME 395,ED3-MARI</v>
      </c>
      <c r="B391" s="312" t="str">
        <f>[9]Sheet48!G15</f>
        <v>Sackey Michael Nii</v>
      </c>
      <c r="C391" s="260">
        <v>40</v>
      </c>
      <c r="D391" s="260" t="str">
        <f t="shared" si="51"/>
        <v>ED3-MARI</v>
      </c>
      <c r="E391" s="260" t="str">
        <f>[9]Sheet48!B15</f>
        <v>MME 395</v>
      </c>
      <c r="F391" s="260"/>
      <c r="G391" s="260" t="str">
        <f>[9]Sheet48!E15</f>
        <v>MARINE ENGINEERING LABORATORY II</v>
      </c>
    </row>
    <row r="392" spans="1:7" s="3" customFormat="1" x14ac:dyDescent="0.35">
      <c r="A392" s="257" t="str">
        <f t="shared" si="44"/>
        <v>STAT 253,ED3-MARI</v>
      </c>
      <c r="B392" s="312" t="str">
        <f>$B$124</f>
        <v>David Benteh</v>
      </c>
      <c r="C392" s="260">
        <v>40</v>
      </c>
      <c r="D392" s="260" t="str">
        <f t="shared" si="51"/>
        <v>ED3-MARI</v>
      </c>
      <c r="E392" s="260" t="str">
        <f>[9]Sheet48!B16</f>
        <v>STAT 253</v>
      </c>
      <c r="F392" s="260"/>
      <c r="G392" s="260" t="str">
        <f>[9]Sheet48!E16</f>
        <v>PROBABILITY AND STATISTICS</v>
      </c>
    </row>
    <row r="393" spans="1:7" s="3" customFormat="1" x14ac:dyDescent="0.35">
      <c r="A393" s="257" t="str">
        <f t="shared" si="44"/>
        <v>ME 453,ED4-MARI</v>
      </c>
      <c r="B393" s="312" t="str">
        <f>[9]Sheet49!G8</f>
        <v>Fiagbe Yesuenyeagbe Atsu Kwabla</v>
      </c>
      <c r="C393" s="260">
        <v>23</v>
      </c>
      <c r="D393" s="260" t="s">
        <v>113</v>
      </c>
      <c r="E393" s="260" t="str">
        <f>[9]Sheet49!B8</f>
        <v>ME 453</v>
      </c>
      <c r="F393" s="260"/>
      <c r="G393" s="260" t="str">
        <f>[9]Sheet49!E8</f>
        <v>HYDRAULICS AND PNEUMATICS</v>
      </c>
    </row>
    <row r="394" spans="1:7" s="3" customFormat="1" x14ac:dyDescent="0.35">
      <c r="A394" s="257" t="str">
        <f t="shared" ref="A394:A457" si="52">_xlfn.CONCAT(E394,",",D394)</f>
        <v>MME 465,ED4-MARI</v>
      </c>
      <c r="B394" s="312" t="str">
        <f>[9]Sheet49!G9</f>
        <v>Sekyere Charles Kofi Kafui</v>
      </c>
      <c r="C394" s="260">
        <v>23</v>
      </c>
      <c r="D394" s="260" t="str">
        <f t="shared" ref="D394:D399" si="53">D393</f>
        <v>ED4-MARI</v>
      </c>
      <c r="E394" s="260" t="str">
        <f>[9]Sheet49!B9</f>
        <v>MME 465</v>
      </c>
      <c r="F394" s="260"/>
      <c r="G394" s="260" t="str">
        <f>[9]Sheet49!E9</f>
        <v>MARINE AIR CONDITIONING AND REFRIGERATION</v>
      </c>
    </row>
    <row r="395" spans="1:7" s="3" customFormat="1" x14ac:dyDescent="0.35">
      <c r="A395" s="257" t="str">
        <f t="shared" si="52"/>
        <v>MME 467,ED4-MARI</v>
      </c>
      <c r="B395" s="312" t="str">
        <f>[9]Sheet49!G10</f>
        <v>Amoabeng Kofi Owura</v>
      </c>
      <c r="C395" s="260">
        <v>23</v>
      </c>
      <c r="D395" s="260" t="str">
        <f t="shared" si="53"/>
        <v>ED4-MARI</v>
      </c>
      <c r="E395" s="260" t="str">
        <f>[9]Sheet49!B10</f>
        <v>MME 467</v>
      </c>
      <c r="F395" s="260"/>
      <c r="G395" s="260" t="str">
        <f>[9]Sheet49!E10</f>
        <v>MARINE INTERNAL COMBUSTION ENGINES</v>
      </c>
    </row>
    <row r="396" spans="1:7" s="3" customFormat="1" x14ac:dyDescent="0.35">
      <c r="A396" s="257" t="str">
        <f t="shared" si="52"/>
        <v>MME 473,ED4-MARI</v>
      </c>
      <c r="B396" s="312" t="str">
        <f>[9]Sheet49!G11</f>
        <v>Sackey Michael Nii</v>
      </c>
      <c r="C396" s="260">
        <v>23</v>
      </c>
      <c r="D396" s="260" t="str">
        <f t="shared" si="53"/>
        <v>ED4-MARI</v>
      </c>
      <c r="E396" s="260" t="str">
        <f>[9]Sheet49!B11</f>
        <v>MME 473</v>
      </c>
      <c r="F396" s="260"/>
      <c r="G396" s="260" t="str">
        <f>[9]Sheet49!E11</f>
        <v>MARINE MACHINERY SYSTEM DESIGN</v>
      </c>
    </row>
    <row r="397" spans="1:7" s="3" customFormat="1" x14ac:dyDescent="0.35">
      <c r="A397" s="257" t="str">
        <f t="shared" si="52"/>
        <v>MME 491,ED4-MARI</v>
      </c>
      <c r="B397" s="312" t="str">
        <f>[9]Sheet49!G12</f>
        <v>Mensah Lena Dzifa</v>
      </c>
      <c r="C397" s="260">
        <v>23</v>
      </c>
      <c r="D397" s="260" t="str">
        <f t="shared" si="53"/>
        <v>ED4-MARI</v>
      </c>
      <c r="E397" s="260" t="str">
        <f>[9]Sheet49!B12</f>
        <v>MME 491</v>
      </c>
      <c r="F397" s="260"/>
      <c r="G397" s="260" t="str">
        <f>[9]Sheet49!E12</f>
        <v>MARINE ENGINEERING ECONOMY, ACCOUNTING AND MANAGEMENT</v>
      </c>
    </row>
    <row r="398" spans="1:7" s="3" customFormat="1" x14ac:dyDescent="0.35">
      <c r="A398" s="257" t="str">
        <f t="shared" si="52"/>
        <v>MME 495,ED4-MARI</v>
      </c>
      <c r="B398" s="312" t="str">
        <f>[9]Sheet49!G13</f>
        <v>Amoabeng Kofi Owura</v>
      </c>
      <c r="C398" s="260">
        <v>23</v>
      </c>
      <c r="D398" s="260" t="str">
        <f t="shared" si="53"/>
        <v>ED4-MARI</v>
      </c>
      <c r="E398" s="260" t="str">
        <f>[9]Sheet49!B13</f>
        <v>MME 495</v>
      </c>
      <c r="F398" s="260"/>
      <c r="G398" s="260" t="str">
        <f>[9]Sheet49!E13</f>
        <v>MARINE ENGINEERING PRACTICAL</v>
      </c>
    </row>
    <row r="399" spans="1:7" s="3" customFormat="1" x14ac:dyDescent="0.35">
      <c r="A399" s="257" t="str">
        <f t="shared" si="52"/>
        <v>MME 497,ED4-MARI</v>
      </c>
      <c r="B399" s="312" t="str">
        <f>[9]Sheet49!G14</f>
        <v>Tay Godwin Fabiola Kwaku</v>
      </c>
      <c r="C399" s="260">
        <v>23</v>
      </c>
      <c r="D399" s="260" t="str">
        <f t="shared" si="53"/>
        <v>ED4-MARI</v>
      </c>
      <c r="E399" s="260" t="str">
        <f>[9]Sheet49!B14</f>
        <v>MME 497</v>
      </c>
      <c r="F399" s="260"/>
      <c r="G399" s="260" t="str">
        <f>[9]Sheet49!E14</f>
        <v>FINAL YEAR PROJECT I</v>
      </c>
    </row>
    <row r="400" spans="1:7" s="3" customFormat="1" x14ac:dyDescent="0.35">
      <c r="A400" s="257" t="str">
        <f t="shared" si="52"/>
        <v>EE 151,ED1-MSE</v>
      </c>
      <c r="B400" s="307" t="str">
        <f>[9]Sheet49!G18</f>
        <v>Oteng Gyasi Kwame</v>
      </c>
      <c r="C400" s="203">
        <v>98</v>
      </c>
      <c r="D400" s="203" t="s">
        <v>115</v>
      </c>
      <c r="E400" s="203" t="str">
        <f>[9]Sheet49!B18</f>
        <v>EE 151</v>
      </c>
      <c r="F400" s="203"/>
      <c r="G400" s="203" t="str">
        <f>[9]Sheet49!E18</f>
        <v>APPLIED ELECTRICITY</v>
      </c>
    </row>
    <row r="401" spans="1:7" s="3" customFormat="1" x14ac:dyDescent="0.35">
      <c r="A401" s="257" t="str">
        <f t="shared" si="52"/>
        <v>ENGL 157,ED1-MSE</v>
      </c>
      <c r="B401" s="307" t="str">
        <f>[9]Sheet49!G19</f>
        <v>Alhassan Yakubu</v>
      </c>
      <c r="C401" s="203">
        <v>98</v>
      </c>
      <c r="D401" s="203" t="str">
        <f t="shared" ref="D401:D407" si="54">D400</f>
        <v>ED1-MSE</v>
      </c>
      <c r="E401" s="203" t="str">
        <f>[9]Sheet49!B19</f>
        <v>ENGL 157</v>
      </c>
      <c r="F401" s="203"/>
      <c r="G401" s="203" t="str">
        <f>[9]Sheet49!E19</f>
        <v>COMMUNICATION SKILLS I</v>
      </c>
    </row>
    <row r="402" spans="1:7" s="3" customFormat="1" x14ac:dyDescent="0.35">
      <c r="A402" s="257" t="str">
        <f t="shared" si="52"/>
        <v>MATH 151,ED1-MSE</v>
      </c>
      <c r="B402" s="307" t="str">
        <f>[9]Sheet49!G20</f>
        <v>Fosu Gabriel Obed</v>
      </c>
      <c r="C402" s="203">
        <v>98</v>
      </c>
      <c r="D402" s="203" t="str">
        <f t="shared" si="54"/>
        <v>ED1-MSE</v>
      </c>
      <c r="E402" s="203" t="str">
        <f>[9]Sheet49!B20</f>
        <v>MATH 151</v>
      </c>
      <c r="F402" s="203"/>
      <c r="G402" s="203" t="str">
        <f>[9]Sheet49!E20</f>
        <v>ALGEBRA</v>
      </c>
    </row>
    <row r="403" spans="1:7" s="3" customFormat="1" x14ac:dyDescent="0.35">
      <c r="A403" s="257" t="str">
        <f t="shared" si="52"/>
        <v>ME 159,ED1-MSE</v>
      </c>
      <c r="B403" s="307" t="str">
        <f>$B$437</f>
        <v>Sunnu Albert Kojo</v>
      </c>
      <c r="C403" s="203">
        <v>98</v>
      </c>
      <c r="D403" s="203" t="str">
        <f t="shared" si="54"/>
        <v>ED1-MSE</v>
      </c>
      <c r="E403" s="203" t="str">
        <f>[9]Sheet49!B21</f>
        <v>ME 159</v>
      </c>
      <c r="F403" s="203"/>
      <c r="G403" s="203" t="str">
        <f>[9]Sheet49!E21</f>
        <v>TECHNICAL DRAWING</v>
      </c>
    </row>
    <row r="404" spans="1:7" s="3" customFormat="1" x14ac:dyDescent="0.35">
      <c r="A404" s="257" t="str">
        <f t="shared" si="52"/>
        <v>ME 195,ED1-MSE</v>
      </c>
      <c r="B404" s="307" t="str">
        <f>[9]Sheet49!G22</f>
        <v>Adam Faisal Wahib</v>
      </c>
      <c r="C404" s="203">
        <v>98</v>
      </c>
      <c r="D404" s="203" t="str">
        <f t="shared" si="54"/>
        <v>ED1-MSE</v>
      </c>
      <c r="E404" s="203" t="str">
        <f>[9]Sheet49!B22</f>
        <v>ME 195</v>
      </c>
      <c r="F404" s="203"/>
      <c r="G404" s="203" t="str">
        <f>[9]Sheet49!E22</f>
        <v>ENGINEERING TECHNOLOGY I</v>
      </c>
    </row>
    <row r="405" spans="1:7" s="3" customFormat="1" x14ac:dyDescent="0.35">
      <c r="A405" s="257" t="str">
        <f t="shared" si="52"/>
        <v>MSE 151,ED1-MSE</v>
      </c>
      <c r="B405" s="307" t="str">
        <f>[9]Sheet49!G23</f>
        <v>Gikunoo Emmanuel</v>
      </c>
      <c r="C405" s="203">
        <v>98</v>
      </c>
      <c r="D405" s="203" t="str">
        <f t="shared" si="54"/>
        <v>ED1-MSE</v>
      </c>
      <c r="E405" s="203" t="str">
        <f>[9]Sheet49!B23</f>
        <v>MSE 151</v>
      </c>
      <c r="F405" s="203"/>
      <c r="G405" s="203" t="str">
        <f>[9]Sheet49!E23</f>
        <v>INTRODUCTION TO THERMODYNAMICS OF MATERIALS</v>
      </c>
    </row>
    <row r="406" spans="1:7" s="3" customFormat="1" ht="15.5" x14ac:dyDescent="0.35">
      <c r="A406" s="257" t="str">
        <f t="shared" si="52"/>
        <v>MSE 153,ED1-MSE</v>
      </c>
      <c r="B406" s="307" t="str">
        <f>[9]Sheet49!G24</f>
        <v>Okae James</v>
      </c>
      <c r="C406" s="203">
        <v>98</v>
      </c>
      <c r="D406" s="203" t="str">
        <f t="shared" si="54"/>
        <v>ED1-MSE</v>
      </c>
      <c r="E406" s="203" t="str">
        <f>[9]Sheet49!B24</f>
        <v>MSE 153</v>
      </c>
      <c r="F406" s="203"/>
      <c r="G406" s="262" t="str">
        <f>[9]Sheet49!E24</f>
        <v>INTRODUCTION TO INFORMATION TECHNOLOGY</v>
      </c>
    </row>
    <row r="407" spans="1:7" s="3" customFormat="1" ht="15.5" x14ac:dyDescent="0.35">
      <c r="A407" s="257" t="str">
        <f t="shared" si="52"/>
        <v>MSE 155,ED1-MSE</v>
      </c>
      <c r="B407" s="315" t="str">
        <f>[9]Sheet49!G25</f>
        <v>Nartey Martinson Addo</v>
      </c>
      <c r="C407" s="203">
        <v>98</v>
      </c>
      <c r="D407" s="203" t="str">
        <f t="shared" si="54"/>
        <v>ED1-MSE</v>
      </c>
      <c r="E407" s="203" t="str">
        <f>[9]Sheet49!B25</f>
        <v>MSE 155</v>
      </c>
      <c r="F407" s="203"/>
      <c r="G407" s="203" t="str">
        <f>[9]Sheet49!E25</f>
        <v>PRINCIPLES OF MATERIALS SCIENCE</v>
      </c>
    </row>
    <row r="408" spans="1:7" s="3" customFormat="1" x14ac:dyDescent="0.35">
      <c r="A408" s="257" t="str">
        <f t="shared" si="52"/>
        <v>ACF 255,ED2-MSE</v>
      </c>
      <c r="B408" s="307" t="str">
        <f>[9]Sheet50!G8</f>
        <v>Yeboah Edward</v>
      </c>
      <c r="C408" s="203">
        <v>13</v>
      </c>
      <c r="D408" s="203" t="s">
        <v>33</v>
      </c>
      <c r="E408" s="203" t="str">
        <f>[9]Sheet50!B8</f>
        <v>ACF 255</v>
      </c>
      <c r="F408" s="203"/>
      <c r="G408" s="203" t="str">
        <f>[9]Sheet50!E8</f>
        <v>FINANCIAL ACCOUNTING I</v>
      </c>
    </row>
    <row r="409" spans="1:7" s="3" customFormat="1" x14ac:dyDescent="0.35">
      <c r="A409" s="257" t="str">
        <f t="shared" si="52"/>
        <v>CENG 291,ED2-MSE</v>
      </c>
      <c r="B409" s="307" t="str">
        <f>[9]Sheet50!G9</f>
        <v>Koomson Bennetta</v>
      </c>
      <c r="C409" s="203">
        <v>80</v>
      </c>
      <c r="D409" s="203" t="str">
        <f t="shared" ref="D409:D416" si="55">D408</f>
        <v>ED2-MSE</v>
      </c>
      <c r="E409" s="203" t="str">
        <f>[9]Sheet50!B9</f>
        <v>CENG 291</v>
      </c>
      <c r="F409" s="203"/>
      <c r="G409" s="203" t="str">
        <f>[9]Sheet50!E9</f>
        <v>ENGINEERING IN SOCIETY</v>
      </c>
    </row>
    <row r="410" spans="1:7" s="3" customFormat="1" x14ac:dyDescent="0.35">
      <c r="A410" s="257" t="str">
        <f t="shared" si="52"/>
        <v>ECON 151,ED2-MSE</v>
      </c>
      <c r="B410" s="307" t="str">
        <f>[9]Sheet50!G10</f>
        <v>Takyi Paul Owusu</v>
      </c>
      <c r="C410" s="203">
        <v>13</v>
      </c>
      <c r="D410" s="203" t="str">
        <f t="shared" si="55"/>
        <v>ED2-MSE</v>
      </c>
      <c r="E410" s="203" t="str">
        <f>[9]Sheet50!B10</f>
        <v>ECON 151</v>
      </c>
      <c r="F410" s="203"/>
      <c r="G410" s="203" t="str">
        <f>[9]Sheet50!E10</f>
        <v>INTRODUCTORY ECONOMICS I</v>
      </c>
    </row>
    <row r="411" spans="1:7" s="3" customFormat="1" x14ac:dyDescent="0.35">
      <c r="A411" s="257" t="str">
        <f t="shared" si="52"/>
        <v>FC 181,ED2-MSE</v>
      </c>
      <c r="B411" s="307" t="str">
        <f>[9]Sheet50!G11</f>
        <v>Ocloo Alexander</v>
      </c>
      <c r="C411" s="203">
        <v>53</v>
      </c>
      <c r="D411" s="203" t="str">
        <f t="shared" si="55"/>
        <v>ED2-MSE</v>
      </c>
      <c r="E411" s="203" t="str">
        <f>[9]Sheet50!B11</f>
        <v>FC 181</v>
      </c>
      <c r="F411" s="203"/>
      <c r="G411" s="203" t="str">
        <f>[9]Sheet50!E11</f>
        <v>FRENCH FOR COMMUNICATION PURPOSES I</v>
      </c>
    </row>
    <row r="412" spans="1:7" s="3" customFormat="1" x14ac:dyDescent="0.35">
      <c r="A412" s="257" t="str">
        <f t="shared" si="52"/>
        <v>MATH 251,ED2-MSE</v>
      </c>
      <c r="B412" s="307" t="str">
        <f>[9]Sheet50!G12</f>
        <v>Asamoah Joshua Kiddy Kwasi</v>
      </c>
      <c r="C412" s="203">
        <v>80</v>
      </c>
      <c r="D412" s="203" t="str">
        <f t="shared" si="55"/>
        <v>ED2-MSE</v>
      </c>
      <c r="E412" s="203" t="str">
        <f>[9]Sheet50!B12</f>
        <v>MATH 251</v>
      </c>
      <c r="F412" s="203"/>
      <c r="G412" s="203" t="str">
        <f>[9]Sheet50!E12</f>
        <v>DIFFERENTIAL EQUATIONS</v>
      </c>
    </row>
    <row r="413" spans="1:7" s="3" customFormat="1" x14ac:dyDescent="0.35">
      <c r="A413" s="257" t="str">
        <f t="shared" si="52"/>
        <v>MSE 251,ED2-MSE</v>
      </c>
      <c r="B413" s="307" t="str">
        <f>[9]Sheet50!G13</f>
        <v>Adjaottor Albert Amatey</v>
      </c>
      <c r="C413" s="203">
        <v>80</v>
      </c>
      <c r="D413" s="203" t="str">
        <f t="shared" si="55"/>
        <v>ED2-MSE</v>
      </c>
      <c r="E413" s="203" t="str">
        <f>[9]Sheet50!B13</f>
        <v>MSE 251</v>
      </c>
      <c r="F413" s="203"/>
      <c r="G413" s="203" t="str">
        <f>[9]Sheet50!E13</f>
        <v>MOMENTUM TRANSPORT</v>
      </c>
    </row>
    <row r="414" spans="1:7" s="3" customFormat="1" x14ac:dyDescent="0.35">
      <c r="A414" s="257" t="str">
        <f t="shared" si="52"/>
        <v>MSE 253,ED2-MSE</v>
      </c>
      <c r="B414" s="307" t="str">
        <f>[9]Sheet50!G14</f>
        <v>Kwofie Samuel</v>
      </c>
      <c r="C414" s="203">
        <v>80</v>
      </c>
      <c r="D414" s="203" t="str">
        <f t="shared" si="55"/>
        <v>ED2-MSE</v>
      </c>
      <c r="E414" s="203" t="str">
        <f>[9]Sheet50!B14</f>
        <v>MSE 253</v>
      </c>
      <c r="F414" s="203"/>
      <c r="G414" s="203" t="str">
        <f>[9]Sheet50!E14</f>
        <v>MECHANICAL BEHAVIOUR OF MATERIALS</v>
      </c>
    </row>
    <row r="415" spans="1:7" s="3" customFormat="1" x14ac:dyDescent="0.35">
      <c r="A415" s="257" t="str">
        <f t="shared" si="52"/>
        <v>MSE 255,ED2-MSE</v>
      </c>
      <c r="B415" s="307" t="str">
        <f>[9]Sheet50!G15</f>
        <v>Dzikunu Perseverance</v>
      </c>
      <c r="C415" s="203">
        <v>80</v>
      </c>
      <c r="D415" s="203" t="str">
        <f t="shared" si="55"/>
        <v>ED2-MSE</v>
      </c>
      <c r="E415" s="203" t="str">
        <f>[9]Sheet50!B15</f>
        <v>MSE 255</v>
      </c>
      <c r="F415" s="203"/>
      <c r="G415" s="263" t="str">
        <f>[9]Sheet50!E15</f>
        <v>ELECTRICAL AND MAGNETIC BEHAVIOUR OF MATERIALS</v>
      </c>
    </row>
    <row r="416" spans="1:7" s="3" customFormat="1" ht="15.5" x14ac:dyDescent="0.35">
      <c r="A416" s="257" t="str">
        <f t="shared" si="52"/>
        <v>MSE 257,ED2-MSE</v>
      </c>
      <c r="B416" s="316" t="str">
        <f>$B$487</f>
        <v>Agyemang Frank Ofori</v>
      </c>
      <c r="C416" s="203">
        <v>80</v>
      </c>
      <c r="D416" s="203" t="str">
        <f t="shared" si="55"/>
        <v>ED2-MSE</v>
      </c>
      <c r="E416" s="203" t="str">
        <f>[9]Sheet50!B16</f>
        <v>MSE 257</v>
      </c>
      <c r="F416" s="203"/>
      <c r="G416" s="203" t="str">
        <f>[9]Sheet50!E16</f>
        <v>MATERIALS PROCESSING</v>
      </c>
    </row>
    <row r="417" spans="1:7" s="3" customFormat="1" x14ac:dyDescent="0.35">
      <c r="A417" s="257" t="str">
        <f t="shared" si="52"/>
        <v>MSE 351,ED3-MSE</v>
      </c>
      <c r="B417" s="307" t="str">
        <f>[9]Sheet51!G8</f>
        <v>Andrews Anthony</v>
      </c>
      <c r="C417" s="203">
        <v>89</v>
      </c>
      <c r="D417" s="203" t="s">
        <v>123</v>
      </c>
      <c r="E417" s="203" t="str">
        <f>[9]Sheet51!B8</f>
        <v>MSE 351</v>
      </c>
      <c r="F417" s="203"/>
      <c r="G417" s="203" t="str">
        <f>[9]Sheet51!E8</f>
        <v>ENGINEERING CERAMICS</v>
      </c>
    </row>
    <row r="418" spans="1:7" s="3" customFormat="1" x14ac:dyDescent="0.35">
      <c r="A418" s="257" t="str">
        <f t="shared" si="52"/>
        <v>MSE 353,ED3-MSE</v>
      </c>
      <c r="B418" s="307" t="str">
        <f>[9]Sheet51!G9</f>
        <v>Agyemang Frank Ofori</v>
      </c>
      <c r="C418" s="203">
        <v>89</v>
      </c>
      <c r="D418" s="203" t="str">
        <f t="shared" ref="D418:D424" si="56">D417</f>
        <v>ED3-MSE</v>
      </c>
      <c r="E418" s="203" t="str">
        <f>[9]Sheet51!B9</f>
        <v>MSE 353</v>
      </c>
      <c r="F418" s="203"/>
      <c r="G418" s="203" t="str">
        <f>[9]Sheet51!E9</f>
        <v>PYROMETALLURGY</v>
      </c>
    </row>
    <row r="419" spans="1:7" s="3" customFormat="1" x14ac:dyDescent="0.35">
      <c r="A419" s="257" t="str">
        <f t="shared" si="52"/>
        <v>MSE 355,ED3-MSE</v>
      </c>
      <c r="B419" s="307" t="str">
        <f>[9]Sheet51!G10</f>
        <v>Asare Eric Kwame Anokye</v>
      </c>
      <c r="C419" s="203">
        <v>89</v>
      </c>
      <c r="D419" s="203" t="str">
        <f t="shared" si="56"/>
        <v>ED3-MSE</v>
      </c>
      <c r="E419" s="203" t="str">
        <f>[9]Sheet51!B10</f>
        <v>MSE 355</v>
      </c>
      <c r="F419" s="203"/>
      <c r="G419" s="203" t="str">
        <f>[9]Sheet51!E10</f>
        <v>POLYMER PROCESSING</v>
      </c>
    </row>
    <row r="420" spans="1:7" s="3" customFormat="1" x14ac:dyDescent="0.35">
      <c r="A420" s="257" t="str">
        <f t="shared" si="52"/>
        <v>MSE 357,ED3-MSE</v>
      </c>
      <c r="B420" s="307" t="str">
        <f>[9]Sheet51!G11</f>
        <v>Bota Osei Sekyere</v>
      </c>
      <c r="C420" s="203">
        <v>89</v>
      </c>
      <c r="D420" s="203" t="str">
        <f t="shared" si="56"/>
        <v>ED3-MSE</v>
      </c>
      <c r="E420" s="203" t="str">
        <f>[9]Sheet51!B11</f>
        <v>MSE 357</v>
      </c>
      <c r="F420" s="203"/>
      <c r="G420" s="203" t="str">
        <f>[9]Sheet51!E11</f>
        <v>FOUNDRY TECHNOLOGY</v>
      </c>
    </row>
    <row r="421" spans="1:7" s="3" customFormat="1" x14ac:dyDescent="0.35">
      <c r="A421" s="257" t="str">
        <f t="shared" si="52"/>
        <v>MSE 361,ED3-MSE</v>
      </c>
      <c r="B421" s="307" t="str">
        <f>[9]Sheet51!G12</f>
        <v>Mensah-Darkwa Kwadwo</v>
      </c>
      <c r="C421" s="203">
        <v>89</v>
      </c>
      <c r="D421" s="203" t="str">
        <f t="shared" si="56"/>
        <v>ED3-MSE</v>
      </c>
      <c r="E421" s="203" t="str">
        <f>[9]Sheet51!B12</f>
        <v>MSE 361</v>
      </c>
      <c r="F421" s="203"/>
      <c r="G421" s="203" t="str">
        <f>[9]Sheet51!E12</f>
        <v>STRESS AND STRAIN ANALYSIS OF RIGID BODIES</v>
      </c>
    </row>
    <row r="422" spans="1:7" s="3" customFormat="1" x14ac:dyDescent="0.35">
      <c r="A422" s="257" t="str">
        <f t="shared" si="52"/>
        <v>STAT 253,ED3-MSE</v>
      </c>
      <c r="B422" s="307" t="str">
        <f>[9]Sheet51!G13</f>
        <v>Benteh David</v>
      </c>
      <c r="C422" s="203">
        <v>89</v>
      </c>
      <c r="D422" s="203" t="str">
        <f t="shared" si="56"/>
        <v>ED3-MSE</v>
      </c>
      <c r="E422" s="203" t="str">
        <f>[9]Sheet51!B13</f>
        <v>STAT 253</v>
      </c>
      <c r="F422" s="203"/>
      <c r="G422" s="203" t="str">
        <f>[9]Sheet51!E13</f>
        <v>PROBABILITY AND STATISTICS</v>
      </c>
    </row>
    <row r="423" spans="1:7" s="3" customFormat="1" x14ac:dyDescent="0.35">
      <c r="A423" s="257" t="str">
        <f t="shared" si="52"/>
        <v>MSE 359,ED3-MSE</v>
      </c>
      <c r="B423" s="307" t="str">
        <f>[9]Sheet51!G14</f>
        <v>Dzikunu Perseverance</v>
      </c>
      <c r="C423" s="203">
        <v>89</v>
      </c>
      <c r="D423" s="203" t="str">
        <f t="shared" si="56"/>
        <v>ED3-MSE</v>
      </c>
      <c r="E423" s="203" t="str">
        <f>[9]Sheet51!B14</f>
        <v>MSE 359</v>
      </c>
      <c r="F423" s="203"/>
      <c r="G423" s="203" t="str">
        <f>[9]Sheet51!E14</f>
        <v>MATERIALS PROCESSING LABORATORY</v>
      </c>
    </row>
    <row r="424" spans="1:7" s="3" customFormat="1" x14ac:dyDescent="0.35">
      <c r="A424" s="257" t="str">
        <f t="shared" si="52"/>
        <v>MSE 363,ED3-MSE</v>
      </c>
      <c r="B424" s="307" t="str">
        <f>[9]Sheet51!G15</f>
        <v>Arthur Emmanuel Kwesi</v>
      </c>
      <c r="C424" s="203">
        <v>89</v>
      </c>
      <c r="D424" s="203" t="str">
        <f t="shared" si="56"/>
        <v>ED3-MSE</v>
      </c>
      <c r="E424" s="203" t="str">
        <f>[9]Sheet51!B15</f>
        <v>MSE 363</v>
      </c>
      <c r="F424" s="203"/>
      <c r="G424" s="203" t="str">
        <f>[9]Sheet51!E15</f>
        <v>MATERIALS CHARACTERIZATION TECHNIQUE</v>
      </c>
    </row>
    <row r="425" spans="1:7" s="3" customFormat="1" x14ac:dyDescent="0.35">
      <c r="A425" s="257" t="str">
        <f t="shared" si="52"/>
        <v>ME 491,ED4-MSE</v>
      </c>
      <c r="B425" s="307" t="str">
        <f>[9]Sheet52!G8</f>
        <v>Mensah Lena Dzifa</v>
      </c>
      <c r="C425" s="203">
        <v>64</v>
      </c>
      <c r="D425" s="203" t="s">
        <v>97</v>
      </c>
      <c r="E425" s="203" t="str">
        <f>[9]Sheet52!B8</f>
        <v>ME 491</v>
      </c>
      <c r="F425" s="203"/>
      <c r="G425" s="203" t="str">
        <f>[9]Sheet52!E8</f>
        <v>ENGINEERING ECONOMY AND MANAGEMENT</v>
      </c>
    </row>
    <row r="426" spans="1:7" s="3" customFormat="1" x14ac:dyDescent="0.35">
      <c r="A426" s="257" t="str">
        <f t="shared" si="52"/>
        <v>MSE 451,ED4-MSE</v>
      </c>
      <c r="B426" s="307" t="str">
        <f>[9]Sheet52!G9</f>
        <v>Asare Eric Kwame Anokye</v>
      </c>
      <c r="C426" s="203">
        <v>64</v>
      </c>
      <c r="D426" s="203" t="str">
        <f t="shared" ref="D426:D431" si="57">D425</f>
        <v>ED4-MSE</v>
      </c>
      <c r="E426" s="203" t="str">
        <f>[9]Sheet52!B9</f>
        <v>MSE 451</v>
      </c>
      <c r="F426" s="203"/>
      <c r="G426" s="203" t="str">
        <f>[9]Sheet52!E9</f>
        <v>COMPOSITE MATERIALS</v>
      </c>
    </row>
    <row r="427" spans="1:7" s="3" customFormat="1" x14ac:dyDescent="0.35">
      <c r="A427" s="257" t="str">
        <f t="shared" si="52"/>
        <v>MSE 453,ED4-MSE</v>
      </c>
      <c r="B427" s="307" t="str">
        <f>$B$417</f>
        <v>Andrews Anthony</v>
      </c>
      <c r="C427" s="203">
        <v>64</v>
      </c>
      <c r="D427" s="203" t="str">
        <f t="shared" si="57"/>
        <v>ED4-MSE</v>
      </c>
      <c r="E427" s="203" t="str">
        <f>[9]Sheet52!B10</f>
        <v>MSE 453</v>
      </c>
      <c r="F427" s="203"/>
      <c r="G427" s="203" t="str">
        <f>[9]Sheet52!E10</f>
        <v>CORROSION OF ENGINEERING MATERIALS</v>
      </c>
    </row>
    <row r="428" spans="1:7" s="3" customFormat="1" x14ac:dyDescent="0.35">
      <c r="A428" s="257" t="str">
        <f t="shared" si="52"/>
        <v>MSE 455,ED4-MSE</v>
      </c>
      <c r="B428" s="307" t="str">
        <f>[9]Sheet52!G11</f>
        <v>Arthur Emmanuel Kwesi</v>
      </c>
      <c r="C428" s="203">
        <v>64</v>
      </c>
      <c r="D428" s="203" t="str">
        <f t="shared" si="57"/>
        <v>ED4-MSE</v>
      </c>
      <c r="E428" s="203" t="str">
        <f>[9]Sheet52!B11</f>
        <v>MSE 455</v>
      </c>
      <c r="F428" s="203"/>
      <c r="G428" s="203" t="str">
        <f>[9]Sheet52!E11</f>
        <v>FAILURE ANALYSIS AND NON-DESTRUCTIVE TESTING</v>
      </c>
    </row>
    <row r="429" spans="1:7" s="3" customFormat="1" x14ac:dyDescent="0.35">
      <c r="A429" s="257" t="str">
        <f t="shared" si="52"/>
        <v>MSE 457,ED4-MSE</v>
      </c>
      <c r="B429" s="307" t="str">
        <f>[9]Sheet52!G12</f>
        <v>Kwofie Samuel</v>
      </c>
      <c r="C429" s="203">
        <v>64</v>
      </c>
      <c r="D429" s="203" t="str">
        <f t="shared" si="57"/>
        <v>ED4-MSE</v>
      </c>
      <c r="E429" s="203" t="str">
        <f>[9]Sheet52!B12</f>
        <v>MSE 457</v>
      </c>
      <c r="F429" s="203"/>
      <c r="G429" s="203" t="str">
        <f>[9]Sheet52!E12</f>
        <v>METALWORKING PROCESSES</v>
      </c>
    </row>
    <row r="430" spans="1:7" s="3" customFormat="1" x14ac:dyDescent="0.35">
      <c r="A430" s="257" t="str">
        <f t="shared" si="52"/>
        <v>MSE 459,ED4-MSE</v>
      </c>
      <c r="B430" s="307" t="str">
        <f>[9]Sheet52!G13</f>
        <v>Asare Eric Kwame Anokye</v>
      </c>
      <c r="C430" s="203">
        <v>64</v>
      </c>
      <c r="D430" s="203" t="str">
        <f t="shared" si="57"/>
        <v>ED4-MSE</v>
      </c>
      <c r="E430" s="203" t="str">
        <f>[9]Sheet52!B13</f>
        <v>MSE 459</v>
      </c>
      <c r="F430" s="203"/>
      <c r="G430" s="203" t="str">
        <f>[9]Sheet52!E13</f>
        <v>VACATION TRAINING</v>
      </c>
    </row>
    <row r="431" spans="1:7" s="3" customFormat="1" x14ac:dyDescent="0.35">
      <c r="A431" s="257" t="str">
        <f t="shared" si="52"/>
        <v>MSE 497,ED4-MSE</v>
      </c>
      <c r="B431" s="307" t="str">
        <f>[9]Sheet52!G14</f>
        <v>Asare Eric Kwame Anokye</v>
      </c>
      <c r="C431" s="203">
        <v>64</v>
      </c>
      <c r="D431" s="203" t="str">
        <f t="shared" si="57"/>
        <v>ED4-MSE</v>
      </c>
      <c r="E431" s="203" t="str">
        <f>[9]Sheet52!B14</f>
        <v>MSE 497</v>
      </c>
      <c r="F431" s="203"/>
      <c r="G431" s="203" t="str">
        <f>[9]Sheet52!E14</f>
        <v>FINAL YEAR PROJECT-PROPOSAL DEVELOPMENT</v>
      </c>
    </row>
    <row r="432" spans="1:7" s="3" customFormat="1" x14ac:dyDescent="0.35">
      <c r="A432" s="257" t="str">
        <f t="shared" si="52"/>
        <v>CE 155,ED1-ME</v>
      </c>
      <c r="B432" s="312" t="str">
        <f>[9]Sheet55!G19</f>
        <v>Awuah Esi</v>
      </c>
      <c r="C432" s="260">
        <v>223</v>
      </c>
      <c r="D432" s="260" t="s">
        <v>164</v>
      </c>
      <c r="E432" s="260" t="str">
        <f>[9]Sheet55!B19</f>
        <v>CE 155</v>
      </c>
      <c r="F432" s="260"/>
      <c r="G432" s="260" t="str">
        <f>[9]Sheet55!E19</f>
        <v>ENVIRONMENTAL STUDIES</v>
      </c>
    </row>
    <row r="433" spans="1:7" s="3" customFormat="1" x14ac:dyDescent="0.35">
      <c r="A433" s="257" t="str">
        <f t="shared" si="52"/>
        <v>EE 151,ED1-ME</v>
      </c>
      <c r="B433" s="312" t="str">
        <f>[9]Sheet55!G20</f>
        <v>Affum Emmanuel Ampoma</v>
      </c>
      <c r="C433" s="260">
        <v>223</v>
      </c>
      <c r="D433" s="260" t="str">
        <f t="shared" ref="D433:D438" si="58">D432</f>
        <v>ED1-ME</v>
      </c>
      <c r="E433" s="260" t="str">
        <f>[9]Sheet55!B20</f>
        <v>EE 151</v>
      </c>
      <c r="F433" s="260"/>
      <c r="G433" s="260" t="str">
        <f>[9]Sheet55!E20</f>
        <v>APPLIED ELECTRICITY</v>
      </c>
    </row>
    <row r="434" spans="1:7" s="3" customFormat="1" x14ac:dyDescent="0.35">
      <c r="A434" s="257" t="str">
        <f t="shared" si="52"/>
        <v>ENGL 157,ED1-ME</v>
      </c>
      <c r="B434" s="312" t="str">
        <f>[9]Sheet55!G21</f>
        <v>Yeboah Philomena Ama Okyeso</v>
      </c>
      <c r="C434" s="260">
        <v>223</v>
      </c>
      <c r="D434" s="260" t="str">
        <f t="shared" si="58"/>
        <v>ED1-ME</v>
      </c>
      <c r="E434" s="260" t="str">
        <f>[9]Sheet55!B21</f>
        <v>ENGL 157</v>
      </c>
      <c r="F434" s="260"/>
      <c r="G434" s="260" t="str">
        <f>[9]Sheet55!E21</f>
        <v>COMMUNICATION SKILLS I</v>
      </c>
    </row>
    <row r="435" spans="1:7" s="3" customFormat="1" x14ac:dyDescent="0.35">
      <c r="A435" s="257" t="str">
        <f t="shared" si="52"/>
        <v>MATH 151,ED1-ME</v>
      </c>
      <c r="B435" s="312" t="str">
        <f>[9]Sheet55!G22</f>
        <v>Asamoah Joshua Kiddy Kwasi</v>
      </c>
      <c r="C435" s="260">
        <v>223</v>
      </c>
      <c r="D435" s="260" t="str">
        <f t="shared" si="58"/>
        <v>ED1-ME</v>
      </c>
      <c r="E435" s="260" t="str">
        <f>[9]Sheet55!B22</f>
        <v>MATH 151</v>
      </c>
      <c r="F435" s="260"/>
      <c r="G435" s="260" t="str">
        <f>[9]Sheet55!E22</f>
        <v>ALGEBRA</v>
      </c>
    </row>
    <row r="436" spans="1:7" s="3" customFormat="1" x14ac:dyDescent="0.35">
      <c r="A436" s="257" t="str">
        <f t="shared" si="52"/>
        <v>ME 157,ED1-ME</v>
      </c>
      <c r="B436" s="312" t="str">
        <f>[9]Sheet55!G23</f>
        <v>Sackey Michael Nii</v>
      </c>
      <c r="C436" s="260">
        <v>223</v>
      </c>
      <c r="D436" s="260" t="str">
        <f t="shared" si="58"/>
        <v>ED1-ME</v>
      </c>
      <c r="E436" s="260" t="str">
        <f>[9]Sheet55!B23</f>
        <v>ME 157</v>
      </c>
      <c r="F436" s="260"/>
      <c r="G436" s="260" t="str">
        <f>[9]Sheet55!E23</f>
        <v>INTRODUCTION TO INFORMATION TECHNOLOGY</v>
      </c>
    </row>
    <row r="437" spans="1:7" s="3" customFormat="1" ht="16.5" customHeight="1" x14ac:dyDescent="0.35">
      <c r="A437" s="257" t="str">
        <f t="shared" si="52"/>
        <v>ME 159,ED1-ME</v>
      </c>
      <c r="B437" s="312" t="str">
        <f>[9]Sheet55!G24</f>
        <v>Sunnu Albert Kojo</v>
      </c>
      <c r="C437" s="260">
        <v>223</v>
      </c>
      <c r="D437" s="260" t="str">
        <f t="shared" si="58"/>
        <v>ED1-ME</v>
      </c>
      <c r="E437" s="260" t="str">
        <f>[9]Sheet55!B24</f>
        <v>ME 159</v>
      </c>
      <c r="F437" s="260"/>
      <c r="G437" s="260" t="str">
        <f>[9]Sheet55!E24</f>
        <v>TECHNICAL DRAWING</v>
      </c>
    </row>
    <row r="438" spans="1:7" s="3" customFormat="1" x14ac:dyDescent="0.35">
      <c r="A438" s="257" t="str">
        <f t="shared" si="52"/>
        <v>ME 195,ED1-ME</v>
      </c>
      <c r="B438" s="312" t="str">
        <f>[9]Sheet55!G25</f>
        <v>Agyei Agyemang Anthony</v>
      </c>
      <c r="C438" s="260">
        <v>223</v>
      </c>
      <c r="D438" s="260" t="str">
        <f t="shared" si="58"/>
        <v>ED1-ME</v>
      </c>
      <c r="E438" s="260" t="str">
        <f>[9]Sheet55!B25</f>
        <v>ME 195</v>
      </c>
      <c r="F438" s="260"/>
      <c r="G438" s="260" t="str">
        <f>[9]Sheet55!E25</f>
        <v>ENGINEERING TECHNOLOGY</v>
      </c>
    </row>
    <row r="439" spans="1:7" s="3" customFormat="1" x14ac:dyDescent="0.35">
      <c r="A439" s="257" t="str">
        <f t="shared" si="52"/>
        <v>CENG 291,ED2-ME</v>
      </c>
      <c r="B439" s="312" t="str">
        <f>[9]Sheet56!G8</f>
        <v>Boahen Samuel</v>
      </c>
      <c r="C439" s="260">
        <v>242</v>
      </c>
      <c r="D439" s="260" t="s">
        <v>141</v>
      </c>
      <c r="E439" s="260" t="str">
        <f>[9]Sheet56!B8</f>
        <v>CENG 291</v>
      </c>
      <c r="F439" s="260"/>
      <c r="G439" s="260" t="str">
        <f>[9]Sheet56!E8</f>
        <v>ENGINEERING IN SOCIETY</v>
      </c>
    </row>
    <row r="440" spans="1:7" s="3" customFormat="1" x14ac:dyDescent="0.35">
      <c r="A440" s="257" t="str">
        <f t="shared" si="52"/>
        <v>MATH 251,ED2-ME</v>
      </c>
      <c r="B440" s="312" t="str">
        <f>[9]Sheet56!G9</f>
        <v>Boateng Maxwell Akwasi</v>
      </c>
      <c r="C440" s="260">
        <v>242</v>
      </c>
      <c r="D440" s="260" t="str">
        <f t="shared" ref="D440:D446" si="59">D439</f>
        <v>ED2-ME</v>
      </c>
      <c r="E440" s="260" t="str">
        <f>[9]Sheet56!B9</f>
        <v>MATH 251</v>
      </c>
      <c r="F440" s="260"/>
      <c r="G440" s="260" t="str">
        <f>[9]Sheet56!E9</f>
        <v>DIFFERENTIAL EQUATIONS</v>
      </c>
    </row>
    <row r="441" spans="1:7" s="3" customFormat="1" x14ac:dyDescent="0.35">
      <c r="A441" s="257" t="str">
        <f t="shared" si="52"/>
        <v>ME 251,ED2-ME</v>
      </c>
      <c r="B441" s="312" t="str">
        <f>[9]Sheet56!G10</f>
        <v>Fiagbe Yesuenyeagbe Atsu Kwabla</v>
      </c>
      <c r="C441" s="260">
        <v>242</v>
      </c>
      <c r="D441" s="260" t="str">
        <f t="shared" si="59"/>
        <v>ED2-ME</v>
      </c>
      <c r="E441" s="260" t="str">
        <f>[9]Sheet56!B10</f>
        <v>ME 251</v>
      </c>
      <c r="F441" s="260"/>
      <c r="G441" s="260" t="str">
        <f>[9]Sheet56!E10</f>
        <v>INTRODUCTION TO FLUID MECHANICS</v>
      </c>
    </row>
    <row r="442" spans="1:7" s="3" customFormat="1" x14ac:dyDescent="0.35">
      <c r="A442" s="257" t="str">
        <f t="shared" si="52"/>
        <v>ME 255,ED2-ME</v>
      </c>
      <c r="B442" s="312" t="str">
        <f>[9]Sheet56!G11</f>
        <v>Andoh Prince Yaw</v>
      </c>
      <c r="C442" s="260">
        <v>242</v>
      </c>
      <c r="D442" s="260" t="str">
        <f t="shared" si="59"/>
        <v>ED2-ME</v>
      </c>
      <c r="E442" s="260" t="str">
        <f>[9]Sheet56!B11</f>
        <v>ME 255</v>
      </c>
      <c r="F442" s="260"/>
      <c r="G442" s="260" t="str">
        <f>[9]Sheet56!E11</f>
        <v>STRENGTH OF MATERIALS I</v>
      </c>
    </row>
    <row r="443" spans="1:7" s="3" customFormat="1" x14ac:dyDescent="0.35">
      <c r="A443" s="257" t="str">
        <f t="shared" si="52"/>
        <v>ME 259,ED2-ME</v>
      </c>
      <c r="B443" s="312" t="str">
        <f>[9]Sheet56!G12</f>
        <v>Sackey Michael Nii</v>
      </c>
      <c r="C443" s="260">
        <v>242</v>
      </c>
      <c r="D443" s="260" t="str">
        <f t="shared" si="59"/>
        <v>ED2-ME</v>
      </c>
      <c r="E443" s="260" t="str">
        <f>[9]Sheet56!B12</f>
        <v>ME 259</v>
      </c>
      <c r="F443" s="260"/>
      <c r="G443" s="260" t="str">
        <f>[9]Sheet56!E12</f>
        <v>APPLICATIONS OF COMPUTER GRAPHICS</v>
      </c>
    </row>
    <row r="444" spans="1:7" s="3" customFormat="1" x14ac:dyDescent="0.35">
      <c r="A444" s="257" t="str">
        <f t="shared" si="52"/>
        <v>ME 261,ED2-ME</v>
      </c>
      <c r="B444" s="312" t="str">
        <f>[9]Sheet56!G13</f>
        <v>Ampofo Joshua</v>
      </c>
      <c r="C444" s="260">
        <v>242</v>
      </c>
      <c r="D444" s="260" t="str">
        <f t="shared" si="59"/>
        <v>ED2-ME</v>
      </c>
      <c r="E444" s="260" t="str">
        <f>[9]Sheet56!B13</f>
        <v>ME 261</v>
      </c>
      <c r="F444" s="260"/>
      <c r="G444" s="260" t="str">
        <f>[9]Sheet56!E13</f>
        <v>ENGINEERING MECHANICS II: DYNAMICS</v>
      </c>
    </row>
    <row r="445" spans="1:7" s="3" customFormat="1" x14ac:dyDescent="0.35">
      <c r="A445" s="257" t="str">
        <f t="shared" si="52"/>
        <v>ME 281,ED2-ME</v>
      </c>
      <c r="B445" s="312" t="str">
        <f>[9]Sheet56!G14</f>
        <v>Amoabeng Kofi Owura</v>
      </c>
      <c r="C445" s="260">
        <v>242</v>
      </c>
      <c r="D445" s="260" t="str">
        <f t="shared" si="59"/>
        <v>ED2-ME</v>
      </c>
      <c r="E445" s="260" t="str">
        <f>[9]Sheet56!B14</f>
        <v>ME 281</v>
      </c>
      <c r="F445" s="260"/>
      <c r="G445" s="260" t="str">
        <f>[9]Sheet56!E14</f>
        <v>ENGINEERING MATERIALS I</v>
      </c>
    </row>
    <row r="446" spans="1:7" x14ac:dyDescent="0.35">
      <c r="A446" s="257" t="str">
        <f t="shared" si="52"/>
        <v>ME 295,ED2-ME</v>
      </c>
      <c r="B446" s="312" t="str">
        <f>[9]Sheet56!G15</f>
        <v>Quansah David Ato</v>
      </c>
      <c r="C446" s="260">
        <v>242</v>
      </c>
      <c r="D446" s="260" t="str">
        <f t="shared" si="59"/>
        <v>ED2-ME</v>
      </c>
      <c r="E446" s="260" t="str">
        <f>[9]Sheet56!B15</f>
        <v>ME 295</v>
      </c>
      <c r="F446" s="260"/>
      <c r="G446" s="260" t="str">
        <f>[9]Sheet56!E15</f>
        <v>MECHANICAL ENGINEERING LAB. I</v>
      </c>
    </row>
    <row r="447" spans="1:7" s="3" customFormat="1" x14ac:dyDescent="0.35">
      <c r="A447" s="257" t="str">
        <f t="shared" si="52"/>
        <v>ECON 151,ED3-ME</v>
      </c>
      <c r="B447" s="312" t="str">
        <f>[9]Sheet57!G8</f>
        <v>Takyi Paul Owusu</v>
      </c>
      <c r="C447" s="260">
        <v>230</v>
      </c>
      <c r="D447" s="260" t="s">
        <v>10</v>
      </c>
      <c r="E447" s="260" t="str">
        <f>[9]Sheet57!B8</f>
        <v>ECON 151</v>
      </c>
      <c r="F447" s="260"/>
      <c r="G447" s="260" t="str">
        <f>[9]Sheet57!E8</f>
        <v>INTRODUCTION TO ECONOMICS I</v>
      </c>
    </row>
    <row r="448" spans="1:7" s="3" customFormat="1" x14ac:dyDescent="0.35">
      <c r="A448" s="257" t="str">
        <f t="shared" si="52"/>
        <v>MATH 351,ED3-ME</v>
      </c>
      <c r="B448" s="312" t="str">
        <f>[9]Sheet57!G9</f>
        <v>Azure Isaac</v>
      </c>
      <c r="C448" s="260">
        <v>230</v>
      </c>
      <c r="D448" s="260" t="str">
        <f t="shared" ref="D448:D454" si="60">D447</f>
        <v>ED3-ME</v>
      </c>
      <c r="E448" s="260" t="str">
        <f>[9]Sheet57!B9</f>
        <v>MATH 351</v>
      </c>
      <c r="F448" s="260"/>
      <c r="G448" s="260" t="str">
        <f>[9]Sheet57!E9</f>
        <v>NUMERICAL ANALYSIS</v>
      </c>
    </row>
    <row r="449" spans="1:7" s="3" customFormat="1" x14ac:dyDescent="0.35">
      <c r="A449" s="257" t="str">
        <f t="shared" si="52"/>
        <v>ME 361,ED3-ME</v>
      </c>
      <c r="B449" s="312" t="str">
        <f>[9]Sheet57!G10</f>
        <v>Sackey Samuel Mensah</v>
      </c>
      <c r="C449" s="260">
        <v>230</v>
      </c>
      <c r="D449" s="260" t="str">
        <f t="shared" si="60"/>
        <v>ED3-ME</v>
      </c>
      <c r="E449" s="260" t="str">
        <f>[9]Sheet57!B10</f>
        <v>ME 361</v>
      </c>
      <c r="F449" s="260"/>
      <c r="G449" s="260" t="str">
        <f>[9]Sheet57!E10</f>
        <v>DYNAMICS OF MACHINERY</v>
      </c>
    </row>
    <row r="450" spans="1:7" s="3" customFormat="1" x14ac:dyDescent="0.35">
      <c r="A450" s="257" t="str">
        <f t="shared" si="52"/>
        <v>ME 363,ED3-ME</v>
      </c>
      <c r="B450" s="312" t="str">
        <f>[9]Sheet57!G11</f>
        <v>Adam Faisal Wahib</v>
      </c>
      <c r="C450" s="260">
        <v>230</v>
      </c>
      <c r="D450" s="260" t="str">
        <f t="shared" si="60"/>
        <v>ED3-ME</v>
      </c>
      <c r="E450" s="260" t="str">
        <f>[9]Sheet57!B11</f>
        <v>ME 363</v>
      </c>
      <c r="F450" s="260"/>
      <c r="G450" s="260" t="str">
        <f>[9]Sheet57!E11</f>
        <v xml:space="preserve">AUTOMATIC CONTROL </v>
      </c>
    </row>
    <row r="451" spans="1:7" s="3" customFormat="1" x14ac:dyDescent="0.35">
      <c r="A451" s="257" t="str">
        <f t="shared" si="52"/>
        <v>ME 365,ED3-ME</v>
      </c>
      <c r="B451" s="312" t="str">
        <f>[9]Sheet57!G12</f>
        <v>Forson Francis Kofi</v>
      </c>
      <c r="C451" s="260">
        <v>230</v>
      </c>
      <c r="D451" s="260" t="str">
        <f t="shared" si="60"/>
        <v>ED3-ME</v>
      </c>
      <c r="E451" s="260" t="str">
        <f>[9]Sheet57!B12</f>
        <v>ME 365</v>
      </c>
      <c r="F451" s="260"/>
      <c r="G451" s="260" t="str">
        <f>[9]Sheet57!E12</f>
        <v>THERMODYNAMICS  II</v>
      </c>
    </row>
    <row r="452" spans="1:7" s="3" customFormat="1" x14ac:dyDescent="0.35">
      <c r="A452" s="257" t="str">
        <f t="shared" si="52"/>
        <v>ME 373,ED3-ME</v>
      </c>
      <c r="B452" s="312" t="str">
        <f>[9]Sheet57!G13</f>
        <v>Davis Francis</v>
      </c>
      <c r="C452" s="260">
        <v>230</v>
      </c>
      <c r="D452" s="260" t="str">
        <f t="shared" si="60"/>
        <v>ED3-ME</v>
      </c>
      <c r="E452" s="260" t="str">
        <f>[9]Sheet57!B13</f>
        <v>ME 373</v>
      </c>
      <c r="F452" s="260"/>
      <c r="G452" s="260" t="str">
        <f>[9]Sheet57!E13</f>
        <v>MACHINE ELEMENTS DESIGN I</v>
      </c>
    </row>
    <row r="453" spans="1:7" s="3" customFormat="1" x14ac:dyDescent="0.35">
      <c r="A453" s="257" t="str">
        <f t="shared" si="52"/>
        <v>ME 395,ED3-ME</v>
      </c>
      <c r="B453" s="312" t="str">
        <f>[9]Sheet57!G14</f>
        <v>Boahen Samuel</v>
      </c>
      <c r="C453" s="260">
        <v>230</v>
      </c>
      <c r="D453" s="260" t="str">
        <f t="shared" si="60"/>
        <v>ED3-ME</v>
      </c>
      <c r="E453" s="260" t="str">
        <f>[9]Sheet57!B14</f>
        <v>ME 395</v>
      </c>
      <c r="F453" s="260"/>
      <c r="G453" s="260" t="str">
        <f>[9]Sheet57!E14</f>
        <v>MECHANICAL ENGINEERING LAB. III</v>
      </c>
    </row>
    <row r="454" spans="1:7" x14ac:dyDescent="0.35">
      <c r="A454" s="257" t="str">
        <f t="shared" si="52"/>
        <v>STAT 253,ED3-ME</v>
      </c>
      <c r="B454" s="312" t="str">
        <f>[9]Sheet57!G15</f>
        <v>Amoako-Yirenkyi Carole Fredua</v>
      </c>
      <c r="C454" s="260">
        <v>230</v>
      </c>
      <c r="D454" s="260" t="str">
        <f t="shared" si="60"/>
        <v>ED3-ME</v>
      </c>
      <c r="E454" s="260" t="str">
        <f>[9]Sheet57!B15</f>
        <v>STAT 253</v>
      </c>
      <c r="F454" s="260"/>
      <c r="G454" s="260" t="str">
        <f>[9]Sheet57!E15</f>
        <v>PROBABILITY AND STATISTICS</v>
      </c>
    </row>
    <row r="455" spans="1:7" s="3" customFormat="1" x14ac:dyDescent="0.35">
      <c r="A455" s="257" t="str">
        <f t="shared" si="52"/>
        <v>ME 465,ED4-ME</v>
      </c>
      <c r="B455" s="312" t="str">
        <f>[9]Sheet58!G8</f>
        <v>Sekyere Charles Kofi Kafui</v>
      </c>
      <c r="C455" s="260">
        <v>144</v>
      </c>
      <c r="D455" s="260" t="s">
        <v>48</v>
      </c>
      <c r="E455" s="260" t="str">
        <f>[9]Sheet58!B8</f>
        <v>ME 465</v>
      </c>
      <c r="F455" s="260"/>
      <c r="G455" s="260" t="str">
        <f>[9]Sheet58!E8</f>
        <v>AIR CONDITIONING AND REFRIGERATION</v>
      </c>
    </row>
    <row r="456" spans="1:7" s="3" customFormat="1" x14ac:dyDescent="0.35">
      <c r="A456" s="257" t="str">
        <f t="shared" si="52"/>
        <v>ME 467,ED4-ME</v>
      </c>
      <c r="B456" s="312" t="str">
        <f>[9]Sheet58!G9</f>
        <v>Quansah David Ato</v>
      </c>
      <c r="C456" s="260">
        <v>144</v>
      </c>
      <c r="D456" s="260" t="s">
        <v>48</v>
      </c>
      <c r="E456" s="260" t="str">
        <f>[9]Sheet58!B9</f>
        <v>ME 467</v>
      </c>
      <c r="F456" s="260"/>
      <c r="G456" s="260" t="str">
        <f>[9]Sheet58!E9</f>
        <v>RENEWABLE ENERGY CONVERSION</v>
      </c>
    </row>
    <row r="457" spans="1:7" s="3" customFormat="1" x14ac:dyDescent="0.35">
      <c r="A457" s="257" t="str">
        <f t="shared" si="52"/>
        <v>ME 453,ED4-ME</v>
      </c>
      <c r="B457" s="312" t="str">
        <f>[9]Sheet58!G10</f>
        <v>Fiagbe Yesuenyeagbe Atsu Kwabla</v>
      </c>
      <c r="C457" s="260">
        <v>144</v>
      </c>
      <c r="D457" s="260" t="str">
        <f>D455</f>
        <v>ED4-ME</v>
      </c>
      <c r="E457" s="260" t="str">
        <f>[9]Sheet58!B10</f>
        <v>ME 453</v>
      </c>
      <c r="F457" s="260"/>
      <c r="G457" s="260" t="str">
        <f>[9]Sheet58!E10</f>
        <v>HYDRAULICS AND PNEUMATICS</v>
      </c>
    </row>
    <row r="458" spans="1:7" s="3" customFormat="1" x14ac:dyDescent="0.35">
      <c r="A458" s="257" t="str">
        <f t="shared" ref="A458:A521" si="61">_xlfn.CONCAT(E458,",",D458)</f>
        <v>ME 455,ED4-ME</v>
      </c>
      <c r="B458" s="312" t="str">
        <f>[9]Sheet58!G11</f>
        <v>Andoh Prince Yaw</v>
      </c>
      <c r="C458" s="260">
        <v>144</v>
      </c>
      <c r="D458" s="260" t="str">
        <f t="shared" ref="D458:D466" si="62">D457</f>
        <v>ED4-ME</v>
      </c>
      <c r="E458" s="260" t="str">
        <f>[9]Sheet58!B11</f>
        <v>ME 455</v>
      </c>
      <c r="F458" s="260"/>
      <c r="G458" s="260" t="str">
        <f>[9]Sheet58!E11</f>
        <v>FINITE ELEMENT METHODS</v>
      </c>
    </row>
    <row r="459" spans="1:7" s="3" customFormat="1" x14ac:dyDescent="0.35">
      <c r="A459" s="257" t="str">
        <f t="shared" si="61"/>
        <v>ME 471,ED4-ME</v>
      </c>
      <c r="B459" s="312" t="str">
        <f>[9]Sheet58!G12</f>
        <v>Obeng George Yaw</v>
      </c>
      <c r="C459" s="260">
        <v>144</v>
      </c>
      <c r="D459" s="260" t="str">
        <f t="shared" si="62"/>
        <v>ED4-ME</v>
      </c>
      <c r="E459" s="260" t="str">
        <f>[9]Sheet58!B12</f>
        <v>ME 471</v>
      </c>
      <c r="F459" s="260"/>
      <c r="G459" s="260" t="str">
        <f>[9]Sheet58!E12</f>
        <v>MACHINE TOOLS DESIGN</v>
      </c>
    </row>
    <row r="460" spans="1:7" s="3" customFormat="1" x14ac:dyDescent="0.35">
      <c r="A460" s="257" t="str">
        <f t="shared" si="61"/>
        <v>ME 473,ED4-ME</v>
      </c>
      <c r="B460" s="312" t="str">
        <f>[9]Sheet58!G13</f>
        <v>Afriyie Nyarko Frank Kwabena</v>
      </c>
      <c r="C460" s="260">
        <v>144</v>
      </c>
      <c r="D460" s="260" t="str">
        <f t="shared" si="62"/>
        <v>ED4-ME</v>
      </c>
      <c r="E460" s="260" t="str">
        <f>[9]Sheet58!B13</f>
        <v>ME 473</v>
      </c>
      <c r="F460" s="260"/>
      <c r="G460" s="260" t="str">
        <f>[9]Sheet58!E13</f>
        <v>COMPUTER AIDED DESIGN AND MANUFACTURING</v>
      </c>
    </row>
    <row r="461" spans="1:7" s="3" customFormat="1" x14ac:dyDescent="0.35">
      <c r="A461" s="257" t="str">
        <f t="shared" si="61"/>
        <v>ME 477,ED4-ME</v>
      </c>
      <c r="B461" s="312" t="str">
        <f>[9]Sheet58!G14</f>
        <v>Obeng George Yaw</v>
      </c>
      <c r="C461" s="260">
        <v>40</v>
      </c>
      <c r="D461" s="260" t="str">
        <f t="shared" si="62"/>
        <v>ED4-ME</v>
      </c>
      <c r="E461" s="260" t="str">
        <f>[9]Sheet58!B14</f>
        <v>ME 477</v>
      </c>
      <c r="F461" s="260"/>
      <c r="G461" s="260" t="str">
        <f>[9]Sheet58!E14</f>
        <v>PRODUCTION ENGINEERING</v>
      </c>
    </row>
    <row r="462" spans="1:7" s="3" customFormat="1" x14ac:dyDescent="0.35">
      <c r="A462" s="257" t="str">
        <f t="shared" si="61"/>
        <v>ME 483,ED4-ME</v>
      </c>
      <c r="B462" s="312" t="str">
        <f>[9]Sheet58!G15</f>
        <v>Sackey Samuel Mensah</v>
      </c>
      <c r="C462" s="260">
        <v>144</v>
      </c>
      <c r="D462" s="260" t="str">
        <f t="shared" si="62"/>
        <v>ED4-ME</v>
      </c>
      <c r="E462" s="260" t="str">
        <f>[9]Sheet58!B15</f>
        <v>ME 483</v>
      </c>
      <c r="F462" s="260"/>
      <c r="G462" s="260" t="str">
        <f>[9]Sheet58!E15</f>
        <v>MECHATRONICS</v>
      </c>
    </row>
    <row r="463" spans="1:7" s="3" customFormat="1" x14ac:dyDescent="0.35">
      <c r="A463" s="257" t="str">
        <f t="shared" si="61"/>
        <v>ME 491,ED4-ME</v>
      </c>
      <c r="B463" s="312" t="str">
        <f>[9]Sheet58!G16</f>
        <v>Mensah Lena Dzifa</v>
      </c>
      <c r="C463" s="260">
        <v>144</v>
      </c>
      <c r="D463" s="260" t="str">
        <f t="shared" si="62"/>
        <v>ED4-ME</v>
      </c>
      <c r="E463" s="260" t="str">
        <f>[9]Sheet58!B16</f>
        <v>ME 491</v>
      </c>
      <c r="F463" s="260"/>
      <c r="G463" s="260" t="str">
        <f>[9]Sheet58!E16</f>
        <v>ENGINEERING ECONOMY AND MANAGEMENT</v>
      </c>
    </row>
    <row r="464" spans="1:7" s="3" customFormat="1" x14ac:dyDescent="0.35">
      <c r="A464" s="257" t="str">
        <f t="shared" si="61"/>
        <v>ME 497,ED4-ME</v>
      </c>
      <c r="B464" s="312" t="str">
        <f>[9]Sheet58!G17</f>
        <v>Tay Godwin Fabiola Kwaku</v>
      </c>
      <c r="C464" s="260">
        <v>144</v>
      </c>
      <c r="D464" s="260" t="str">
        <f t="shared" si="62"/>
        <v>ED4-ME</v>
      </c>
      <c r="E464" s="260" t="str">
        <f>[9]Sheet58!B17</f>
        <v>ME 497</v>
      </c>
      <c r="F464" s="260"/>
      <c r="G464" s="260" t="str">
        <f>[9]Sheet58!E17</f>
        <v>FINAL YEAR PROJECT I</v>
      </c>
    </row>
    <row r="465" spans="1:9" s="3" customFormat="1" x14ac:dyDescent="0.35">
      <c r="A465" s="257" t="str">
        <f t="shared" si="61"/>
        <v>MECH 493,ED4-ME</v>
      </c>
      <c r="B465" s="312" t="str">
        <f>[9]Sheet58!G18</f>
        <v>Boahen Samuel</v>
      </c>
      <c r="C465" s="260">
        <v>144</v>
      </c>
      <c r="D465" s="260" t="str">
        <f t="shared" si="62"/>
        <v>ED4-ME</v>
      </c>
      <c r="E465" s="260" t="str">
        <f>[9]Sheet58!B18</f>
        <v>MECH 493</v>
      </c>
      <c r="F465" s="260"/>
      <c r="G465" s="260" t="str">
        <f>[9]Sheet58!E18</f>
        <v>INDUSTRIAL ATTACHMENT</v>
      </c>
    </row>
    <row r="466" spans="1:9" s="3" customFormat="1" x14ac:dyDescent="0.35">
      <c r="A466" s="257" t="str">
        <f t="shared" si="61"/>
        <v>ME 451,ED4-ME</v>
      </c>
      <c r="B466" s="312" t="str">
        <f>[9]Sheet58!G19</f>
        <v>Opoku Richard</v>
      </c>
      <c r="C466" s="260">
        <v>144</v>
      </c>
      <c r="D466" s="260" t="str">
        <f t="shared" si="62"/>
        <v>ED4-ME</v>
      </c>
      <c r="E466" s="260" t="str">
        <f>[9]Sheet58!B19</f>
        <v>ME 451</v>
      </c>
      <c r="F466" s="260"/>
      <c r="G466" s="260" t="str">
        <f>[9]Sheet58!E19</f>
        <v>BEHAVIOUR OF REAL FLUIDS</v>
      </c>
    </row>
    <row r="467" spans="1:9" s="3" customFormat="1" x14ac:dyDescent="0.35">
      <c r="A467" t="str">
        <f t="shared" si="61"/>
        <v>EE 151,ED1-METE</v>
      </c>
      <c r="B467" s="317" t="s">
        <v>1514</v>
      </c>
      <c r="C467" s="267">
        <v>72</v>
      </c>
      <c r="D467" s="203" t="s">
        <v>39</v>
      </c>
      <c r="E467" s="267" t="str">
        <f>[9]Sheet61!B35</f>
        <v>EE 151</v>
      </c>
      <c r="F467" s="268"/>
      <c r="G467" s="267" t="str">
        <f>[9]Sheet61!E35</f>
        <v>APPLIED ELECTRICITY</v>
      </c>
      <c r="I467" s="269"/>
    </row>
    <row r="468" spans="1:9" s="3" customFormat="1" x14ac:dyDescent="0.35">
      <c r="A468" t="str">
        <f t="shared" si="61"/>
        <v>ENGL 157,ED1-METE</v>
      </c>
      <c r="B468" s="317" t="str">
        <f>[9]Sheet61!G36</f>
        <v>Alhassan Yakubu</v>
      </c>
      <c r="C468" s="267">
        <v>72</v>
      </c>
      <c r="D468" s="203" t="str">
        <f t="shared" ref="D468:D474" si="63">D467</f>
        <v>ED1-METE</v>
      </c>
      <c r="E468" s="267" t="str">
        <f>[9]Sheet61!B36</f>
        <v>ENGL 157</v>
      </c>
      <c r="F468" s="268"/>
      <c r="G468" s="267" t="str">
        <f>[9]Sheet61!E36</f>
        <v>COMMUNICATION SKILLS I</v>
      </c>
      <c r="I468" s="269"/>
    </row>
    <row r="469" spans="1:9" s="3" customFormat="1" ht="22.5" customHeight="1" x14ac:dyDescent="0.35">
      <c r="A469" t="str">
        <f t="shared" si="61"/>
        <v>MATH 151,ED1-METE</v>
      </c>
      <c r="B469" s="317" t="str">
        <f>[9]Sheet61!G37</f>
        <v>Fosu Gabriel Obed</v>
      </c>
      <c r="C469" s="267">
        <v>72</v>
      </c>
      <c r="D469" s="203" t="str">
        <f t="shared" si="63"/>
        <v>ED1-METE</v>
      </c>
      <c r="E469" s="267" t="str">
        <f>[9]Sheet61!B37</f>
        <v>MATH 151</v>
      </c>
      <c r="F469" s="268"/>
      <c r="G469" s="267" t="str">
        <f>[9]Sheet61!E37</f>
        <v>ALGEBRA</v>
      </c>
      <c r="I469" s="269"/>
    </row>
    <row r="470" spans="1:9" s="3" customFormat="1" ht="15" customHeight="1" x14ac:dyDescent="0.35">
      <c r="A470" t="str">
        <f t="shared" si="61"/>
        <v>ME 159,ED1-METE</v>
      </c>
      <c r="B470" s="317" t="str">
        <f>[9]Sheet61!G38</f>
        <v>Oppong Tawiah Peter</v>
      </c>
      <c r="C470" s="267">
        <v>72</v>
      </c>
      <c r="D470" s="203" t="str">
        <f t="shared" si="63"/>
        <v>ED1-METE</v>
      </c>
      <c r="E470" s="267" t="str">
        <f>[9]Sheet61!B38</f>
        <v>ME 159</v>
      </c>
      <c r="F470" s="268"/>
      <c r="G470" s="267" t="str">
        <f>[9]Sheet61!E38</f>
        <v>TECHNICAL DRAWING</v>
      </c>
      <c r="I470" s="269"/>
    </row>
    <row r="471" spans="1:9" s="3" customFormat="1" x14ac:dyDescent="0.35">
      <c r="A471" t="str">
        <f t="shared" si="61"/>
        <v>ME 195,ED1-METE</v>
      </c>
      <c r="B471" s="317" t="str">
        <f>[9]Sheet61!G39</f>
        <v>Amoabeng Kofi Owura</v>
      </c>
      <c r="C471" s="267">
        <v>72</v>
      </c>
      <c r="D471" s="203" t="str">
        <f t="shared" si="63"/>
        <v>ED1-METE</v>
      </c>
      <c r="E471" s="267" t="str">
        <f>[9]Sheet61!B39</f>
        <v>ME 195</v>
      </c>
      <c r="F471" s="268"/>
      <c r="G471" s="267" t="str">
        <f>[9]Sheet61!E39</f>
        <v>ENGINEERING TECHNOLOGY I</v>
      </c>
      <c r="I471" s="269"/>
    </row>
    <row r="472" spans="1:9" s="3" customFormat="1" x14ac:dyDescent="0.35">
      <c r="A472" t="str">
        <f t="shared" si="61"/>
        <v>METE 151,ED1-METE</v>
      </c>
      <c r="B472" s="317" t="str">
        <f>[9]Sheet61!G40</f>
        <v>Koomson Bennetta</v>
      </c>
      <c r="C472" s="267">
        <v>72</v>
      </c>
      <c r="D472" s="203" t="str">
        <f t="shared" si="63"/>
        <v>ED1-METE</v>
      </c>
      <c r="E472" s="267" t="str">
        <f>[9]Sheet61!B40</f>
        <v>METE 151</v>
      </c>
      <c r="F472" s="268"/>
      <c r="G472" s="267" t="str">
        <f>[9]Sheet61!E40</f>
        <v>INTRODUCTION TO METALLURGICAL ENGINEERING</v>
      </c>
      <c r="I472" s="269"/>
    </row>
    <row r="473" spans="1:9" s="3" customFormat="1" x14ac:dyDescent="0.35">
      <c r="A473" t="str">
        <f t="shared" si="61"/>
        <v>MSE 153,ED1-METE</v>
      </c>
      <c r="B473" s="317" t="str">
        <f>[9]Sheet61!G41</f>
        <v>Okae James</v>
      </c>
      <c r="C473" s="267">
        <v>72</v>
      </c>
      <c r="D473" s="203" t="str">
        <f t="shared" si="63"/>
        <v>ED1-METE</v>
      </c>
      <c r="E473" s="267" t="str">
        <f>[9]Sheet61!B41</f>
        <v>MSE 153</v>
      </c>
      <c r="F473" s="268"/>
      <c r="G473" s="267" t="str">
        <f>[9]Sheet61!E41</f>
        <v>INTRODUCTION TO INFORMATION TECHNOLOGY</v>
      </c>
      <c r="I473" s="269"/>
    </row>
    <row r="474" spans="1:9" s="3" customFormat="1" x14ac:dyDescent="0.35">
      <c r="A474" t="str">
        <f t="shared" si="61"/>
        <v>MSE 155,ED1-METE</v>
      </c>
      <c r="B474" s="317" t="str">
        <f>[9]Sheet61!G42</f>
        <v>Nartey Martinson Addo</v>
      </c>
      <c r="C474" s="267">
        <v>72</v>
      </c>
      <c r="D474" s="203" t="str">
        <f t="shared" si="63"/>
        <v>ED1-METE</v>
      </c>
      <c r="E474" s="267" t="str">
        <f>[9]Sheet61!B42</f>
        <v>MSE 155</v>
      </c>
      <c r="F474" s="268"/>
      <c r="G474" s="267" t="str">
        <f>[9]Sheet61!E42</f>
        <v>PRINCIPLES OF MATERIALS SCIENCE</v>
      </c>
      <c r="I474" s="269"/>
    </row>
    <row r="475" spans="1:9" s="3" customFormat="1" x14ac:dyDescent="0.35">
      <c r="A475" t="str">
        <f t="shared" si="61"/>
        <v>CENG 291,ED2-METE</v>
      </c>
      <c r="B475" s="317" t="str">
        <f>[9]Sheet62!G8</f>
        <v>Koomson Bennetta</v>
      </c>
      <c r="C475" s="267">
        <v>59</v>
      </c>
      <c r="D475" s="203" t="s">
        <v>89</v>
      </c>
      <c r="E475" s="267" t="str">
        <f>[9]Sheet62!B8</f>
        <v>CENG 291</v>
      </c>
      <c r="F475" s="268"/>
      <c r="G475" s="267" t="str">
        <f>[9]Sheet62!E8</f>
        <v>ENGINEERING IN SOCIETY</v>
      </c>
      <c r="I475" s="269"/>
    </row>
    <row r="476" spans="1:9" s="3" customFormat="1" x14ac:dyDescent="0.35">
      <c r="A476" t="str">
        <f t="shared" si="61"/>
        <v>GED 251,ED2-METE</v>
      </c>
      <c r="B476" s="317" t="str">
        <f>[9]Sheet62!G9</f>
        <v>Wilson Matthew Coffie</v>
      </c>
      <c r="C476" s="267">
        <v>59</v>
      </c>
      <c r="D476" s="203" t="str">
        <f t="shared" ref="D476:D482" si="64">D475</f>
        <v>ED2-METE</v>
      </c>
      <c r="E476" s="267" t="str">
        <f>[9]Sheet62!B9</f>
        <v>GED 251</v>
      </c>
      <c r="F476" s="268"/>
      <c r="G476" s="267" t="str">
        <f>[9]Sheet62!E9</f>
        <v>MINERALOGY</v>
      </c>
      <c r="I476" s="269"/>
    </row>
    <row r="477" spans="1:9" s="3" customFormat="1" x14ac:dyDescent="0.35">
      <c r="A477" t="str">
        <f t="shared" si="61"/>
        <v>MATH 251,ED2-METE</v>
      </c>
      <c r="B477" s="317" t="str">
        <f>[9]Sheet62!G10</f>
        <v>Asamoah Joshua Kiddy Kwasi</v>
      </c>
      <c r="C477" s="267">
        <v>59</v>
      </c>
      <c r="D477" s="203" t="str">
        <f t="shared" si="64"/>
        <v>ED2-METE</v>
      </c>
      <c r="E477" s="267" t="str">
        <f>[9]Sheet62!B10</f>
        <v>MATH 251</v>
      </c>
      <c r="F477" s="268"/>
      <c r="G477" s="267" t="str">
        <f>[9]Sheet62!E10</f>
        <v>DIFFERENTIAL EQUATIONS</v>
      </c>
      <c r="I477" s="269"/>
    </row>
    <row r="478" spans="1:9" s="3" customFormat="1" x14ac:dyDescent="0.35">
      <c r="A478" t="str">
        <f t="shared" si="61"/>
        <v>METE 251,ED2-METE</v>
      </c>
      <c r="B478" s="317" t="str">
        <f>[9]Sheet62!G11</f>
        <v>Gikunoo Emmanuel</v>
      </c>
      <c r="C478" s="267">
        <v>59</v>
      </c>
      <c r="D478" s="203" t="str">
        <f t="shared" si="64"/>
        <v>ED2-METE</v>
      </c>
      <c r="E478" s="267" t="str">
        <f>[9]Sheet62!B11</f>
        <v>METE 251</v>
      </c>
      <c r="F478" s="268"/>
      <c r="G478" s="267" t="str">
        <f>[9]Sheet62!E11</f>
        <v>METALLURGICAL THERMODYNAMICS</v>
      </c>
      <c r="I478" s="269"/>
    </row>
    <row r="479" spans="1:9" s="3" customFormat="1" x14ac:dyDescent="0.35">
      <c r="A479" t="str">
        <f t="shared" si="61"/>
        <v>MSE 251,ED2-METE</v>
      </c>
      <c r="B479" s="317" t="str">
        <f>[9]Sheet62!G12</f>
        <v>Adjaottor Albert Amatey</v>
      </c>
      <c r="C479" s="267">
        <v>59</v>
      </c>
      <c r="D479" s="203" t="str">
        <f t="shared" si="64"/>
        <v>ED2-METE</v>
      </c>
      <c r="E479" s="267" t="str">
        <f>[9]Sheet62!B12</f>
        <v>MSE 251</v>
      </c>
      <c r="F479" s="268"/>
      <c r="G479" s="267" t="str">
        <f>[9]Sheet62!E12</f>
        <v>MOMENTUM TRANSPORT</v>
      </c>
      <c r="I479" s="269"/>
    </row>
    <row r="480" spans="1:9" s="3" customFormat="1" x14ac:dyDescent="0.35">
      <c r="A480" t="str">
        <f t="shared" si="61"/>
        <v>MSE 253,ED2-METE</v>
      </c>
      <c r="B480" s="317" t="str">
        <f>[9]Sheet62!G13</f>
        <v>Kwofie Samuel</v>
      </c>
      <c r="C480" s="267">
        <v>59</v>
      </c>
      <c r="D480" s="203" t="str">
        <f t="shared" si="64"/>
        <v>ED2-METE</v>
      </c>
      <c r="E480" s="267" t="str">
        <f>[9]Sheet62!B13</f>
        <v>MSE 253</v>
      </c>
      <c r="F480" s="268"/>
      <c r="G480" s="267" t="str">
        <f>[9]Sheet62!E13</f>
        <v>MECHANICAL BEHAVIOUR OF MATERIALS</v>
      </c>
      <c r="I480" s="269"/>
    </row>
    <row r="481" spans="1:9" s="3" customFormat="1" x14ac:dyDescent="0.35">
      <c r="A481" t="str">
        <f t="shared" si="61"/>
        <v>MSE 255,ED2-METE</v>
      </c>
      <c r="B481" s="317" t="str">
        <f>$B$415</f>
        <v>Dzikunu Perseverance</v>
      </c>
      <c r="C481" s="267">
        <v>59</v>
      </c>
      <c r="D481" s="203" t="str">
        <f t="shared" si="64"/>
        <v>ED2-METE</v>
      </c>
      <c r="E481" s="267" t="str">
        <f>[9]Sheet62!B14</f>
        <v>MSE 255</v>
      </c>
      <c r="F481" s="268"/>
      <c r="G481" s="267" t="str">
        <f>[9]Sheet62!E14</f>
        <v>ELECTRICAL AND MAGNETIC BEHAVIOUR OF MATERIALS</v>
      </c>
      <c r="I481" s="269"/>
    </row>
    <row r="482" spans="1:9" s="3" customFormat="1" x14ac:dyDescent="0.35">
      <c r="A482" t="str">
        <f t="shared" si="61"/>
        <v>SOC 255,ED2-METE</v>
      </c>
      <c r="B482" s="317" t="str">
        <f>[9]Sheet63!$G$14</f>
        <v>Boateng Kwabena</v>
      </c>
      <c r="C482" s="267">
        <v>59</v>
      </c>
      <c r="D482" s="203" t="str">
        <f t="shared" si="64"/>
        <v>ED2-METE</v>
      </c>
      <c r="E482" s="267" t="str">
        <f>[9]Sheet62!B15</f>
        <v>SOC 255</v>
      </c>
      <c r="F482" s="268"/>
      <c r="G482" s="267" t="str">
        <f>[9]Sheet62!E15</f>
        <v>INTRODDUCTION TO RURAL SOCIOLOGY</v>
      </c>
      <c r="I482" s="269"/>
    </row>
    <row r="483" spans="1:9" s="3" customFormat="1" x14ac:dyDescent="0.35">
      <c r="A483" t="str">
        <f t="shared" si="61"/>
        <v>METE 355,ED3-METE</v>
      </c>
      <c r="B483" s="317" t="s">
        <v>1366</v>
      </c>
      <c r="C483" s="267">
        <v>83</v>
      </c>
      <c r="D483" s="203" t="s">
        <v>31</v>
      </c>
      <c r="E483" s="267" t="str">
        <f>[9]Sheet63!B8</f>
        <v>METE 355</v>
      </c>
      <c r="F483" s="268"/>
      <c r="G483" s="267" t="str">
        <f>[9]Sheet63!E8</f>
        <v>METALLURGICAL PROCESSING LABORATORY</v>
      </c>
      <c r="I483" s="269"/>
    </row>
    <row r="484" spans="1:9" s="3" customFormat="1" x14ac:dyDescent="0.35">
      <c r="A484" t="str">
        <f t="shared" si="61"/>
        <v>MSE 363,ED3-METE</v>
      </c>
      <c r="B484" s="317" t="str">
        <f>$B$493</f>
        <v>Arthur Emmanuel Kwesi</v>
      </c>
      <c r="C484" s="267">
        <v>83</v>
      </c>
      <c r="D484" s="203" t="str">
        <f>D483</f>
        <v>ED3-METE</v>
      </c>
      <c r="E484" s="267" t="str">
        <f>[9]Sheet63!B9</f>
        <v>MSE 363</v>
      </c>
      <c r="F484" s="268"/>
      <c r="G484" s="267" t="str">
        <f>[9]Sheet63!E9</f>
        <v>MATERIALS CHARACTERIZATION TECHNIQUE</v>
      </c>
      <c r="I484" s="269"/>
    </row>
    <row r="485" spans="1:9" s="3" customFormat="1" x14ac:dyDescent="0.35">
      <c r="A485" t="str">
        <f t="shared" si="61"/>
        <v>METE 351,ED3-METE</v>
      </c>
      <c r="B485" s="317" t="str">
        <f>[9]Sheet63!G10</f>
        <v>Koomson Bennetta</v>
      </c>
      <c r="C485" s="267">
        <v>83</v>
      </c>
      <c r="D485" s="203" t="str">
        <f>D484</f>
        <v>ED3-METE</v>
      </c>
      <c r="E485" s="267" t="str">
        <f>[9]Sheet63!B10</f>
        <v>METE 351</v>
      </c>
      <c r="F485" s="203"/>
      <c r="G485" s="263" t="str">
        <f>[9]Sheet63!E10</f>
        <v>PRINCIPLES OF HYDROMETALLURGY</v>
      </c>
    </row>
    <row r="486" spans="1:9" s="3" customFormat="1" ht="15.5" x14ac:dyDescent="0.35">
      <c r="A486" t="str">
        <f t="shared" si="61"/>
        <v>METE 353,ED3-METE</v>
      </c>
      <c r="B486" s="318" t="str">
        <f>[9]Sheet63!G11</f>
        <v>Mensah-Darkwa Kwadwo</v>
      </c>
      <c r="C486" s="267">
        <v>83</v>
      </c>
      <c r="D486" s="203" t="str">
        <f>D485</f>
        <v>ED3-METE</v>
      </c>
      <c r="E486" s="203" t="str">
        <f>[9]Sheet63!B11</f>
        <v>METE 353</v>
      </c>
      <c r="F486" s="268"/>
      <c r="G486" s="267" t="str">
        <f>[9]Sheet63!E11</f>
        <v>STRENGTH OF MATERIALS</v>
      </c>
      <c r="I486" s="269"/>
    </row>
    <row r="487" spans="1:9" s="3" customFormat="1" x14ac:dyDescent="0.35">
      <c r="A487" t="str">
        <f t="shared" si="61"/>
        <v>MSE 353,ED3-METE</v>
      </c>
      <c r="B487" s="317" t="str">
        <f>[9]Sheet63!G12</f>
        <v>Agyemang Frank Ofori</v>
      </c>
      <c r="C487" s="267">
        <v>83</v>
      </c>
      <c r="D487" s="203" t="str">
        <f>D485</f>
        <v>ED3-METE</v>
      </c>
      <c r="E487" s="267" t="str">
        <f>[9]Sheet63!B12</f>
        <v>MSE 353</v>
      </c>
      <c r="F487" s="268"/>
      <c r="G487" s="267" t="str">
        <f>[9]Sheet63!E12</f>
        <v>PYROMETALLURGY</v>
      </c>
      <c r="I487" s="269"/>
    </row>
    <row r="488" spans="1:9" s="3" customFormat="1" x14ac:dyDescent="0.35">
      <c r="A488" t="str">
        <f t="shared" si="61"/>
        <v>MSE 357,ED3-METE</v>
      </c>
      <c r="B488" s="317" t="str">
        <f>[9]Sheet63!G13</f>
        <v>Bota Osei Sekyere</v>
      </c>
      <c r="C488" s="267">
        <v>83</v>
      </c>
      <c r="D488" s="203" t="str">
        <f t="shared" ref="D488:D490" si="65">D487</f>
        <v>ED3-METE</v>
      </c>
      <c r="E488" s="267" t="str">
        <f>[9]Sheet63!B13</f>
        <v>MSE 357</v>
      </c>
      <c r="F488" s="268"/>
      <c r="G488" s="267" t="str">
        <f>[9]Sheet63!E13</f>
        <v>FOUNDRY TECHNOLOGY</v>
      </c>
      <c r="I488" s="269"/>
    </row>
    <row r="489" spans="1:9" s="3" customFormat="1" x14ac:dyDescent="0.35">
      <c r="A489" t="str">
        <f t="shared" si="61"/>
        <v>SOC 255,ED3-METE</v>
      </c>
      <c r="B489" s="317" t="str">
        <f>[9]Sheet63!G14</f>
        <v>Boateng Kwabena</v>
      </c>
      <c r="C489" s="267">
        <v>83</v>
      </c>
      <c r="D489" s="203" t="str">
        <f t="shared" si="65"/>
        <v>ED3-METE</v>
      </c>
      <c r="E489" s="267" t="str">
        <f>[9]Sheet63!B14</f>
        <v>SOC 255</v>
      </c>
      <c r="F489" s="268"/>
      <c r="G489" s="267" t="str">
        <f>[9]Sheet63!E14</f>
        <v>INTRODUCTION TO RURAL SOCIOLOGY</v>
      </c>
      <c r="I489" s="269"/>
    </row>
    <row r="490" spans="1:9" s="3" customFormat="1" x14ac:dyDescent="0.35">
      <c r="A490" t="str">
        <f t="shared" si="61"/>
        <v>STAT 253,ED3-METE</v>
      </c>
      <c r="B490" s="317" t="str">
        <f>[9]Sheet63!G15</f>
        <v>Benteh David</v>
      </c>
      <c r="C490" s="267">
        <v>83</v>
      </c>
      <c r="D490" s="203" t="str">
        <f t="shared" si="65"/>
        <v>ED3-METE</v>
      </c>
      <c r="E490" s="267" t="str">
        <f>[9]Sheet63!B15</f>
        <v>STAT 253</v>
      </c>
      <c r="F490" s="268"/>
      <c r="G490" s="267" t="str">
        <f>[9]Sheet63!E15</f>
        <v>PROBABILITY AND STATISTICS</v>
      </c>
      <c r="I490" s="269"/>
    </row>
    <row r="491" spans="1:9" s="3" customFormat="1" x14ac:dyDescent="0.35">
      <c r="A491" t="str">
        <f t="shared" si="61"/>
        <v>ME 491,ED4-METE</v>
      </c>
      <c r="B491" s="317" t="str">
        <f>[9]Sheet64!G8</f>
        <v>Mensah Lena Dzifa</v>
      </c>
      <c r="C491" s="267">
        <v>49</v>
      </c>
      <c r="D491" s="203" t="s">
        <v>95</v>
      </c>
      <c r="E491" s="267" t="str">
        <f>[9]Sheet64!B8</f>
        <v>ME 491</v>
      </c>
      <c r="F491" s="268"/>
      <c r="G491" s="267" t="str">
        <f>[9]Sheet64!E8</f>
        <v>ENGINEERING ECONOMY AND MANAGEMENT</v>
      </c>
      <c r="I491" s="269"/>
    </row>
    <row r="492" spans="1:9" s="3" customFormat="1" x14ac:dyDescent="0.35">
      <c r="A492" t="str">
        <f t="shared" si="61"/>
        <v>METE 451,ED4-METE</v>
      </c>
      <c r="B492" s="317" t="str">
        <f>[9]Sheet64!G9</f>
        <v>Koomson Bennetta</v>
      </c>
      <c r="C492" s="267">
        <v>49</v>
      </c>
      <c r="D492" s="203" t="str">
        <f t="shared" ref="D492:D497" si="66">D491</f>
        <v>ED4-METE</v>
      </c>
      <c r="E492" s="267" t="str">
        <f>[9]Sheet64!B9</f>
        <v>METE 451</v>
      </c>
      <c r="F492" s="268"/>
      <c r="G492" s="267" t="str">
        <f>[9]Sheet64!E9</f>
        <v>METALLURGICAL PLANT DESIGN/OPERATIONS</v>
      </c>
      <c r="I492" s="269"/>
    </row>
    <row r="493" spans="1:9" s="3" customFormat="1" x14ac:dyDescent="0.35">
      <c r="A493" t="str">
        <f t="shared" si="61"/>
        <v>METE 453,ED4-METE</v>
      </c>
      <c r="B493" s="317" t="str">
        <f>[9]Sheet64!G10</f>
        <v>Arthur Emmanuel Kwesi</v>
      </c>
      <c r="C493" s="267">
        <v>49</v>
      </c>
      <c r="D493" s="203" t="str">
        <f t="shared" si="66"/>
        <v>ED4-METE</v>
      </c>
      <c r="E493" s="267" t="str">
        <f>[9]Sheet64!B10</f>
        <v>METE 453</v>
      </c>
      <c r="F493" s="268"/>
      <c r="G493" s="267" t="str">
        <f>[9]Sheet64!E10</f>
        <v>METALLURGICAL FAILURE ANALYSIS AND NDTs</v>
      </c>
      <c r="I493" s="269"/>
    </row>
    <row r="494" spans="1:9" s="3" customFormat="1" x14ac:dyDescent="0.35">
      <c r="A494" t="str">
        <f t="shared" si="61"/>
        <v>METE 455,ED4-METE</v>
      </c>
      <c r="B494" s="317" t="str">
        <f>[9]Sheet64!G11</f>
        <v>Asare Eric Kwame Anokye</v>
      </c>
      <c r="C494" s="267">
        <v>49</v>
      </c>
      <c r="D494" s="203" t="str">
        <f t="shared" si="66"/>
        <v>ED4-METE</v>
      </c>
      <c r="E494" s="267" t="str">
        <f>[9]Sheet64!B11</f>
        <v>METE 455</v>
      </c>
      <c r="F494" s="268"/>
      <c r="G494" s="267" t="str">
        <f>[9]Sheet64!E11</f>
        <v>INDUSTRIAL ATTACHMENT AND FIELD TRIP</v>
      </c>
      <c r="I494" s="269"/>
    </row>
    <row r="495" spans="1:9" s="3" customFormat="1" x14ac:dyDescent="0.35">
      <c r="A495" t="str">
        <f t="shared" si="61"/>
        <v>METE 457,ED4-METE</v>
      </c>
      <c r="B495" s="317" t="str">
        <f>$B$427</f>
        <v>Andrews Anthony</v>
      </c>
      <c r="C495" s="267">
        <v>49</v>
      </c>
      <c r="D495" s="203" t="str">
        <f t="shared" si="66"/>
        <v>ED4-METE</v>
      </c>
      <c r="E495" s="267" t="str">
        <f>[9]Sheet64!B12</f>
        <v>METE 457</v>
      </c>
      <c r="F495" s="268"/>
      <c r="G495" s="267" t="str">
        <f>[9]Sheet64!E12</f>
        <v>CORROSION OF ENGINEERING MATERIALS</v>
      </c>
      <c r="I495" s="269"/>
    </row>
    <row r="496" spans="1:9" s="3" customFormat="1" x14ac:dyDescent="0.35">
      <c r="A496" t="str">
        <f t="shared" si="61"/>
        <v>METE 497,ED4-METE</v>
      </c>
      <c r="B496" s="317" t="str">
        <f>[9]Sheet64!G13</f>
        <v>Asare Eric Kwame Anokye</v>
      </c>
      <c r="C496" s="267">
        <v>49</v>
      </c>
      <c r="D496" s="203" t="str">
        <f t="shared" si="66"/>
        <v>ED4-METE</v>
      </c>
      <c r="E496" s="267" t="str">
        <f>[9]Sheet64!B13</f>
        <v>METE 497</v>
      </c>
      <c r="F496" s="268"/>
      <c r="G496" s="267" t="str">
        <f>[9]Sheet64!E13</f>
        <v>FINAL YEAR PROJECT-PROPOSAL DEVELOPMENT</v>
      </c>
      <c r="I496" s="269"/>
    </row>
    <row r="497" spans="1:7" s="3" customFormat="1" ht="22.5" customHeight="1" x14ac:dyDescent="0.35">
      <c r="A497" t="str">
        <f t="shared" si="61"/>
        <v>MSE 457,ED4-METE</v>
      </c>
      <c r="B497" s="317" t="s">
        <v>462</v>
      </c>
      <c r="C497" s="267">
        <v>49</v>
      </c>
      <c r="D497" s="203" t="str">
        <f t="shared" si="66"/>
        <v>ED4-METE</v>
      </c>
      <c r="E497" s="267" t="s">
        <v>345</v>
      </c>
      <c r="F497" s="203"/>
      <c r="G497" s="203" t="str">
        <f>[9]Sheet64!$E$14</f>
        <v>METAL FORMING PROCESSES</v>
      </c>
    </row>
    <row r="498" spans="1:7" s="3" customFormat="1" ht="15" customHeight="1" x14ac:dyDescent="0.35">
      <c r="A498" s="257" t="str">
        <f t="shared" si="61"/>
        <v>CHE 151,ED1-PCE</v>
      </c>
      <c r="B498" s="312" t="str">
        <f>[9]Sheet67!G18</f>
        <v>Opoku Francis</v>
      </c>
      <c r="C498" s="260">
        <v>56</v>
      </c>
      <c r="D498" s="260" t="s">
        <v>104</v>
      </c>
      <c r="E498" s="260" t="str">
        <f>[9]Sheet67!B18</f>
        <v>CHE 151</v>
      </c>
      <c r="F498" s="260"/>
      <c r="G498" s="260" t="str">
        <f>[9]Sheet67!E18</f>
        <v>INORGANIC CHEMISTRY FOR ENGINEERS</v>
      </c>
    </row>
    <row r="499" spans="1:7" s="3" customFormat="1" x14ac:dyDescent="0.35">
      <c r="A499" s="257" t="str">
        <f t="shared" si="61"/>
        <v>CHE 153,ED1-PCE</v>
      </c>
      <c r="B499" s="312" t="str">
        <f>[9]Sheet67!G19</f>
        <v>Laryea Michael Konney</v>
      </c>
      <c r="C499" s="260">
        <v>56</v>
      </c>
      <c r="D499" s="260" t="str">
        <f t="shared" ref="D499:D504" si="67">D498</f>
        <v>ED1-PCE</v>
      </c>
      <c r="E499" s="260" t="str">
        <f>[9]Sheet67!B19</f>
        <v>CHE 153</v>
      </c>
      <c r="F499" s="260"/>
      <c r="G499" s="260" t="str">
        <f>[9]Sheet67!E19</f>
        <v>ORGANIC CHEMISTRY FOR ENGINEERS</v>
      </c>
    </row>
    <row r="500" spans="1:7" s="3" customFormat="1" x14ac:dyDescent="0.35">
      <c r="A500" s="257" t="str">
        <f t="shared" si="61"/>
        <v>CHEM 169,ED1-PCE</v>
      </c>
      <c r="B500" s="312" t="str">
        <f>[9]Sheet67!G20</f>
        <v>Opoku Francis</v>
      </c>
      <c r="C500" s="260">
        <v>56</v>
      </c>
      <c r="D500" s="260" t="str">
        <f t="shared" si="67"/>
        <v>ED1-PCE</v>
      </c>
      <c r="E500" s="260" t="str">
        <f>[9]Sheet67!B20</f>
        <v>CHEM 169</v>
      </c>
      <c r="F500" s="260"/>
      <c r="G500" s="260" t="str">
        <f>[9]Sheet67!E20</f>
        <v>PRACTICAL CHEMISTRY I</v>
      </c>
    </row>
    <row r="501" spans="1:7" s="3" customFormat="1" x14ac:dyDescent="0.35">
      <c r="A501" s="257" t="str">
        <f t="shared" si="61"/>
        <v>EE 151,ED1-PCE</v>
      </c>
      <c r="B501" s="312" t="s">
        <v>1514</v>
      </c>
      <c r="C501" s="260">
        <v>56</v>
      </c>
      <c r="D501" s="260" t="str">
        <f t="shared" si="67"/>
        <v>ED1-PCE</v>
      </c>
      <c r="E501" s="260" t="str">
        <f>[9]Sheet67!B21</f>
        <v>EE 151</v>
      </c>
      <c r="F501" s="260"/>
      <c r="G501" s="260" t="str">
        <f>[9]Sheet67!E21</f>
        <v>APPLIED ELECTRICITY</v>
      </c>
    </row>
    <row r="502" spans="1:7" s="3" customFormat="1" x14ac:dyDescent="0.35">
      <c r="A502" s="257" t="str">
        <f t="shared" si="61"/>
        <v>ENGL 157,ED1-PCE</v>
      </c>
      <c r="B502" s="312" t="s">
        <v>1848</v>
      </c>
      <c r="C502" s="260">
        <v>56</v>
      </c>
      <c r="D502" s="260" t="str">
        <f t="shared" si="67"/>
        <v>ED1-PCE</v>
      </c>
      <c r="E502" s="260" t="str">
        <f>[9]Sheet67!B22</f>
        <v>ENGL 157</v>
      </c>
      <c r="F502" s="260"/>
      <c r="G502" s="260" t="str">
        <f>[9]Sheet67!E22</f>
        <v>COMMUNICATION SKILLS I</v>
      </c>
    </row>
    <row r="503" spans="1:7" s="3" customFormat="1" x14ac:dyDescent="0.35">
      <c r="A503" s="257" t="str">
        <f t="shared" si="61"/>
        <v>MATH 151,ED1-PCE</v>
      </c>
      <c r="B503" s="312" t="s">
        <v>1847</v>
      </c>
      <c r="C503" s="260">
        <v>56</v>
      </c>
      <c r="D503" s="260" t="str">
        <f t="shared" si="67"/>
        <v>ED1-PCE</v>
      </c>
      <c r="E503" s="260" t="str">
        <f>[9]Sheet67!B23</f>
        <v>MATH 151</v>
      </c>
      <c r="F503" s="260"/>
      <c r="G503" s="260" t="str">
        <f>[9]Sheet67!E23</f>
        <v>ALGEBRA</v>
      </c>
    </row>
    <row r="504" spans="1:7" s="3" customFormat="1" x14ac:dyDescent="0.35">
      <c r="A504" s="257" t="str">
        <f t="shared" si="61"/>
        <v>ME 159,ED1-PCE</v>
      </c>
      <c r="B504" s="312" t="str">
        <f>[9]Sheet67!G24</f>
        <v>Boahen Samuel</v>
      </c>
      <c r="C504" s="260">
        <v>56</v>
      </c>
      <c r="D504" s="260" t="str">
        <f t="shared" si="67"/>
        <v>ED1-PCE</v>
      </c>
      <c r="E504" s="260" t="str">
        <f>[9]Sheet67!B24</f>
        <v>ME 159</v>
      </c>
      <c r="F504" s="260"/>
      <c r="G504" s="260" t="str">
        <f>[9]Sheet67!E24</f>
        <v>TECHNICAL DRAWING</v>
      </c>
    </row>
    <row r="505" spans="1:7" s="3" customFormat="1" x14ac:dyDescent="0.35">
      <c r="A505" s="257" t="str">
        <f t="shared" si="61"/>
        <v>CENG 291,ED2-PCE</v>
      </c>
      <c r="B505" s="312" t="str">
        <f>[9]Sheet68!G8</f>
        <v>Kwao-Boateng Emmanuela</v>
      </c>
      <c r="C505" s="260">
        <v>59</v>
      </c>
      <c r="D505" s="260" t="s">
        <v>64</v>
      </c>
      <c r="E505" s="260" t="str">
        <f>[9]Sheet68!B8</f>
        <v>CENG 291</v>
      </c>
      <c r="F505" s="260"/>
      <c r="G505" s="260" t="str">
        <f>[9]Sheet68!E8</f>
        <v>ENGINEERING IN SOCIETY</v>
      </c>
    </row>
    <row r="506" spans="1:7" s="3" customFormat="1" x14ac:dyDescent="0.35">
      <c r="A506" s="257" t="str">
        <f t="shared" si="61"/>
        <v>CHE 257,ED2-PCE</v>
      </c>
      <c r="B506" s="312" t="str">
        <f>[9]Sheet68!G9</f>
        <v>Boakye Patrick</v>
      </c>
      <c r="C506" s="260">
        <v>59</v>
      </c>
      <c r="D506" s="260" t="str">
        <f t="shared" ref="D506:D512" si="68">D505</f>
        <v>ED2-PCE</v>
      </c>
      <c r="E506" s="260" t="str">
        <f>[9]Sheet68!B9</f>
        <v>CHE 257</v>
      </c>
      <c r="F506" s="260"/>
      <c r="G506" s="260" t="str">
        <f>[9]Sheet68!E9</f>
        <v>ANALYTICAL CHEMISTRY FOR CHEMICAL ENGINEERS</v>
      </c>
    </row>
    <row r="507" spans="1:7" s="3" customFormat="1" x14ac:dyDescent="0.35">
      <c r="A507" s="257" t="str">
        <f t="shared" si="61"/>
        <v>CHE 251,ED2-PCE</v>
      </c>
      <c r="B507" s="312" t="str">
        <f>[9]Sheet68!G10</f>
        <v>Ohemeng-Boahen Godfred</v>
      </c>
      <c r="C507" s="260">
        <v>59</v>
      </c>
      <c r="D507" s="260" t="str">
        <f t="shared" si="68"/>
        <v>ED2-PCE</v>
      </c>
      <c r="E507" s="260" t="str">
        <f>[9]Sheet68!B10</f>
        <v>CHE 251</v>
      </c>
      <c r="F507" s="260"/>
      <c r="G507" s="260" t="str">
        <f>[9]Sheet68!E10</f>
        <v>CHEMICAL PROCESS CALCULATIONS I</v>
      </c>
    </row>
    <row r="508" spans="1:7" s="3" customFormat="1" x14ac:dyDescent="0.35">
      <c r="A508" s="257" t="str">
        <f t="shared" si="61"/>
        <v>CHE 253,ED2-PCE</v>
      </c>
      <c r="B508" s="312" t="str">
        <f>[9]Sheet68!G11</f>
        <v>Dogbe Eunice Sefakor Aku</v>
      </c>
      <c r="C508" s="260">
        <v>59</v>
      </c>
      <c r="D508" s="260" t="str">
        <f t="shared" si="68"/>
        <v>ED2-PCE</v>
      </c>
      <c r="E508" s="260" t="str">
        <f>[9]Sheet68!B11</f>
        <v>CHE 253</v>
      </c>
      <c r="F508" s="260"/>
      <c r="G508" s="260" t="str">
        <f>[9]Sheet68!E11</f>
        <v>CHEMICAL ENGINEERING THERMODYNAMICS I</v>
      </c>
    </row>
    <row r="509" spans="1:7" s="3" customFormat="1" x14ac:dyDescent="0.35">
      <c r="A509" s="257" t="str">
        <f t="shared" si="61"/>
        <v>PCE 253,ED2-PCE</v>
      </c>
      <c r="B509" s="312" t="str">
        <f>[9]Sheet68!G12</f>
        <v>Baidoo Martina Francisca</v>
      </c>
      <c r="C509" s="260">
        <v>59</v>
      </c>
      <c r="D509" s="260" t="str">
        <f t="shared" si="68"/>
        <v>ED2-PCE</v>
      </c>
      <c r="E509" s="260" t="str">
        <f>[9]Sheet68!B12</f>
        <v>PCE 253</v>
      </c>
      <c r="F509" s="260"/>
      <c r="G509" s="260" t="str">
        <f>[9]Sheet68!E12</f>
        <v>INTRODUCTION TO PETROCHEMICAL INDUSTRIES</v>
      </c>
    </row>
    <row r="510" spans="1:7" s="3" customFormat="1" x14ac:dyDescent="0.35">
      <c r="A510" s="257" t="str">
        <f t="shared" si="61"/>
        <v>CHE 255,ED2-PCE</v>
      </c>
      <c r="B510" s="312" t="str">
        <f>[9]Sheet68!G14</f>
        <v>Dogbe Eunice Sefakor Aku</v>
      </c>
      <c r="C510" s="260">
        <v>59</v>
      </c>
      <c r="D510" s="260" t="str">
        <f t="shared" si="68"/>
        <v>ED2-PCE</v>
      </c>
      <c r="E510" s="260" t="str">
        <f>[9]Sheet68!B14</f>
        <v>CHE 255</v>
      </c>
      <c r="F510" s="260"/>
      <c r="G510" s="260" t="str">
        <f>[9]Sheet68!E14</f>
        <v>FLUID TRANSPORT</v>
      </c>
    </row>
    <row r="511" spans="1:7" s="3" customFormat="1" x14ac:dyDescent="0.35">
      <c r="A511" s="257" t="str">
        <f t="shared" si="61"/>
        <v>CHE 261,ED2-PCE</v>
      </c>
      <c r="B511" s="312" t="str">
        <f>[9]Sheet68!G15</f>
        <v>Bonsu Jude Kwaku</v>
      </c>
      <c r="C511" s="260">
        <v>59</v>
      </c>
      <c r="D511" s="260" t="str">
        <f t="shared" si="68"/>
        <v>ED2-PCE</v>
      </c>
      <c r="E511" s="260" t="str">
        <f>[9]Sheet68!B15</f>
        <v>CHE 261</v>
      </c>
      <c r="F511" s="260"/>
      <c r="G511" s="260" t="str">
        <f>[9]Sheet68!E15</f>
        <v>COMPUTER APPLICATIONS FOR ENGINEERS</v>
      </c>
    </row>
    <row r="512" spans="1:7" s="3" customFormat="1" x14ac:dyDescent="0.35">
      <c r="A512" s="257" t="str">
        <f t="shared" si="61"/>
        <v>MATH 251,ED2-PCE</v>
      </c>
      <c r="B512" s="312" t="str">
        <f>[9]Sheet68!G16</f>
        <v>Eghan Rhydal Esi</v>
      </c>
      <c r="C512" s="260">
        <v>59</v>
      </c>
      <c r="D512" s="260" t="str">
        <f t="shared" si="68"/>
        <v>ED2-PCE</v>
      </c>
      <c r="E512" s="260" t="str">
        <f>[9]Sheet68!B16</f>
        <v>MATH 251</v>
      </c>
      <c r="F512" s="260"/>
      <c r="G512" s="260" t="str">
        <f>[9]Sheet68!E16</f>
        <v>DIFFERENTIAL EQUATIONS</v>
      </c>
    </row>
    <row r="513" spans="1:7" s="3" customFormat="1" x14ac:dyDescent="0.35">
      <c r="A513" s="257" t="str">
        <f t="shared" si="61"/>
        <v>CHE 365,ED3-PCE</v>
      </c>
      <c r="B513" s="312" t="str">
        <f>[9]Sheet69!G8</f>
        <v>Darkwah Lawrence</v>
      </c>
      <c r="C513" s="260">
        <v>51</v>
      </c>
      <c r="D513" s="260" t="s">
        <v>71</v>
      </c>
      <c r="E513" s="260" t="str">
        <f>[9]Sheet69!B8</f>
        <v>CHE 365</v>
      </c>
      <c r="F513" s="260"/>
      <c r="G513" s="260" t="str">
        <f>[9]Sheet69!E8</f>
        <v>FERTILIZER TECHNOLOGY</v>
      </c>
    </row>
    <row r="514" spans="1:7" s="3" customFormat="1" x14ac:dyDescent="0.35">
      <c r="A514" s="257" t="str">
        <f t="shared" si="61"/>
        <v>ECON 151,ED3-PCE</v>
      </c>
      <c r="B514" s="312" t="str">
        <f>[9]Sheet69!G9</f>
        <v>Takyi Paul Owusu</v>
      </c>
      <c r="C514" s="260">
        <v>26</v>
      </c>
      <c r="D514" s="260" t="str">
        <f t="shared" ref="D514:D522" si="69">D513</f>
        <v>ED3-PCE</v>
      </c>
      <c r="E514" s="260" t="str">
        <f>[9]Sheet69!B9</f>
        <v>ECON 151</v>
      </c>
      <c r="F514" s="260"/>
      <c r="G514" s="260" t="str">
        <f>[9]Sheet69!E9</f>
        <v>INTRODUCTORY ECONOMICS I</v>
      </c>
    </row>
    <row r="515" spans="1:7" s="3" customFormat="1" x14ac:dyDescent="0.35">
      <c r="A515" s="257" t="str">
        <f t="shared" si="61"/>
        <v>FC 181,ED3-PCE</v>
      </c>
      <c r="B515" s="312" t="str">
        <f>[9]Sheet69!G10</f>
        <v>Darko Jeel Pharis</v>
      </c>
      <c r="C515" s="260">
        <v>22</v>
      </c>
      <c r="D515" s="260" t="str">
        <f t="shared" si="69"/>
        <v>ED3-PCE</v>
      </c>
      <c r="E515" s="260" t="str">
        <f>[9]Sheet69!B10</f>
        <v>FC 181</v>
      </c>
      <c r="F515" s="260"/>
      <c r="G515" s="260" t="str">
        <f>[9]Sheet69!E10</f>
        <v>FRENCH FOR COMMUNICATION PURPOSES I</v>
      </c>
    </row>
    <row r="516" spans="1:7" s="7" customFormat="1" x14ac:dyDescent="0.35">
      <c r="A516" s="270" t="str">
        <f t="shared" si="61"/>
        <v>PCE 355,ED3-PCE</v>
      </c>
      <c r="B516" s="319" t="str">
        <f>[9]Sheet69!G11</f>
        <v>Momade Zsuzsanna Gál</v>
      </c>
      <c r="C516" s="261">
        <v>51</v>
      </c>
      <c r="D516" s="261" t="str">
        <f t="shared" si="69"/>
        <v>ED3-PCE</v>
      </c>
      <c r="E516" s="261" t="str">
        <f>[9]Sheet69!B11</f>
        <v>PCE 355</v>
      </c>
      <c r="F516" s="261"/>
      <c r="G516" s="261" t="str">
        <f>[9]Sheet69!E11</f>
        <v>FIRE AND SAFETY ENGINEERING</v>
      </c>
    </row>
    <row r="517" spans="1:7" s="3" customFormat="1" x14ac:dyDescent="0.35">
      <c r="A517" s="257" t="str">
        <f t="shared" si="61"/>
        <v>PCE 359,ED3-PCE</v>
      </c>
      <c r="B517" s="312" t="str">
        <f>[9]Sheet69!G12</f>
        <v>Adenutsi Caspar Daniel</v>
      </c>
      <c r="C517" s="260">
        <v>51</v>
      </c>
      <c r="D517" s="260" t="str">
        <f t="shared" si="69"/>
        <v>ED3-PCE</v>
      </c>
      <c r="E517" s="260" t="str">
        <f>[9]Sheet69!B12</f>
        <v>PCE 359</v>
      </c>
      <c r="F517" s="260"/>
      <c r="G517" s="260" t="str">
        <f>[9]Sheet69!E12</f>
        <v>PETROLEUM FLUID PROPERTIES</v>
      </c>
    </row>
    <row r="518" spans="1:7" s="3" customFormat="1" x14ac:dyDescent="0.35">
      <c r="A518" s="257" t="str">
        <f t="shared" si="61"/>
        <v>CHE 357,ED3-PCE</v>
      </c>
      <c r="B518" s="312" t="str">
        <f>[9]Sheet69!G13</f>
        <v>Kwao-Boateng Emmanuela</v>
      </c>
      <c r="C518" s="260">
        <v>51</v>
      </c>
      <c r="D518" s="260" t="str">
        <f t="shared" si="69"/>
        <v>ED3-PCE</v>
      </c>
      <c r="E518" s="260" t="str">
        <f>[9]Sheet69!B13</f>
        <v>CHE 357</v>
      </c>
      <c r="F518" s="260"/>
      <c r="G518" s="260" t="str">
        <f>[9]Sheet69!E13</f>
        <v>EXPERIMENTAL DATA ANALYSIS</v>
      </c>
    </row>
    <row r="519" spans="1:7" s="3" customFormat="1" x14ac:dyDescent="0.35">
      <c r="A519" s="257" t="str">
        <f t="shared" si="61"/>
        <v>PCE 351,ED3-PCE</v>
      </c>
      <c r="B519" s="312" t="str">
        <f>[9]Sheet69!G14</f>
        <v>Dogbe Eunice Sefakor Aku</v>
      </c>
      <c r="C519" s="260">
        <v>51</v>
      </c>
      <c r="D519" s="260" t="str">
        <f t="shared" si="69"/>
        <v>ED3-PCE</v>
      </c>
      <c r="E519" s="260" t="str">
        <f>[9]Sheet69!B14</f>
        <v>PCE 351</v>
      </c>
      <c r="F519" s="260"/>
      <c r="G519" s="260" t="str">
        <f>[9]Sheet69!E14</f>
        <v>SEPARATION PROCESSES I</v>
      </c>
    </row>
    <row r="520" spans="1:7" s="3" customFormat="1" x14ac:dyDescent="0.35">
      <c r="A520" s="257" t="str">
        <f t="shared" si="61"/>
        <v>CHE 363,ED3-PCE</v>
      </c>
      <c r="B520" s="312" t="str">
        <f>[9]Sheet69!G15</f>
        <v>Boakye Patrick</v>
      </c>
      <c r="C520" s="260">
        <v>51</v>
      </c>
      <c r="D520" s="260" t="str">
        <f t="shared" si="69"/>
        <v>ED3-PCE</v>
      </c>
      <c r="E520" s="260" t="str">
        <f>[9]Sheet69!B15</f>
        <v>CHE 363</v>
      </c>
      <c r="F520" s="260"/>
      <c r="G520" s="260" t="str">
        <f>[9]Sheet69!E15</f>
        <v>POLYMER TECHNOLOGY</v>
      </c>
    </row>
    <row r="521" spans="1:7" s="3" customFormat="1" x14ac:dyDescent="0.35">
      <c r="A521" s="257" t="str">
        <f t="shared" si="61"/>
        <v>PCE 353,ED3-PCE</v>
      </c>
      <c r="B521" s="312" t="str">
        <f>[9]Sheet69!G16</f>
        <v>Mensah Mary</v>
      </c>
      <c r="C521" s="260">
        <v>51</v>
      </c>
      <c r="D521" s="260" t="str">
        <f t="shared" si="69"/>
        <v>ED3-PCE</v>
      </c>
      <c r="E521" s="260" t="str">
        <f>[9]Sheet69!B16</f>
        <v>PCE 353</v>
      </c>
      <c r="F521" s="260"/>
      <c r="G521" s="260" t="str">
        <f>[9]Sheet69!E16</f>
        <v>PETROCHEMICAL ENGINEERING LABORATORY I</v>
      </c>
    </row>
    <row r="522" spans="1:7" s="3" customFormat="1" x14ac:dyDescent="0.35">
      <c r="A522" s="257" t="str">
        <f t="shared" ref="A522:A585" si="70">_xlfn.CONCAT(E522,",",D522)</f>
        <v>PCE 357,ED3-PCE</v>
      </c>
      <c r="B522" s="312" t="str">
        <f>[9]Sheet69!G17</f>
        <v>Mensah Mary</v>
      </c>
      <c r="C522" s="260">
        <v>51</v>
      </c>
      <c r="D522" s="260" t="str">
        <f t="shared" si="69"/>
        <v>ED3-PCE</v>
      </c>
      <c r="E522" s="260" t="str">
        <f>[9]Sheet69!B17</f>
        <v>PCE 357</v>
      </c>
      <c r="F522" s="260"/>
      <c r="G522" s="260" t="str">
        <f>[9]Sheet69!E17</f>
        <v>ORGANIC AND PETROCHEMICAL SYNTHESIS</v>
      </c>
    </row>
    <row r="523" spans="1:7" s="3" customFormat="1" x14ac:dyDescent="0.35">
      <c r="A523" s="257" t="str">
        <f t="shared" si="70"/>
        <v>CHE 451,ED4-PCE</v>
      </c>
      <c r="B523" s="312" t="str">
        <f>[9]Sheet70!G8</f>
        <v>Afotey Benjamin</v>
      </c>
      <c r="C523" s="260">
        <v>62</v>
      </c>
      <c r="D523" s="260" t="s">
        <v>87</v>
      </c>
      <c r="E523" s="260" t="str">
        <f>[9]Sheet70!B8</f>
        <v>CHE 451</v>
      </c>
      <c r="F523" s="260"/>
      <c r="G523" s="260" t="str">
        <f>[9]Sheet70!E8</f>
        <v>CHEMICAL PROCESS DESIGN AND ECONOMICS</v>
      </c>
    </row>
    <row r="524" spans="1:7" s="3" customFormat="1" x14ac:dyDescent="0.35">
      <c r="A524" s="257" t="str">
        <f t="shared" si="70"/>
        <v>CHE 455,ED4-PCE</v>
      </c>
      <c r="B524" s="312" t="str">
        <f>$B$528</f>
        <v>Baidoo Martina Francisca</v>
      </c>
      <c r="C524" s="260">
        <v>62</v>
      </c>
      <c r="D524" s="260" t="str">
        <f t="shared" ref="D524:D532" si="71">D523</f>
        <v>ED4-PCE</v>
      </c>
      <c r="E524" s="260" t="str">
        <f>[9]Sheet70!B9</f>
        <v>CHE 455</v>
      </c>
      <c r="F524" s="260"/>
      <c r="G524" s="260" t="str">
        <f>[9]Sheet70!E9</f>
        <v>PROCESS CONTROL AND INSTRUMENTATION</v>
      </c>
    </row>
    <row r="525" spans="1:7" s="3" customFormat="1" x14ac:dyDescent="0.35">
      <c r="A525" s="257" t="str">
        <f t="shared" si="70"/>
        <v>CHE 461,ED4-PCE</v>
      </c>
      <c r="B525" s="312" t="str">
        <f>[9]Sheet70!G10</f>
        <v>Bonsu Jude Kwaku</v>
      </c>
      <c r="C525" s="260">
        <v>8</v>
      </c>
      <c r="D525" s="260" t="str">
        <f t="shared" si="71"/>
        <v>ED4-PCE</v>
      </c>
      <c r="E525" s="260" t="str">
        <f>[9]Sheet70!B10</f>
        <v>CHE 461</v>
      </c>
      <c r="F525" s="260"/>
      <c r="G525" s="260" t="str">
        <f>[9]Sheet70!E10</f>
        <v>COMPUTER OPTIMIZATION METHOD</v>
      </c>
    </row>
    <row r="526" spans="1:7" s="3" customFormat="1" x14ac:dyDescent="0.35">
      <c r="A526" s="257" t="str">
        <f t="shared" si="70"/>
        <v>CHE 463,ED4-PCE</v>
      </c>
      <c r="B526" s="312" t="str">
        <f>[9]Sheet70!G11</f>
        <v>Anang Daniel Adjah</v>
      </c>
      <c r="C526" s="260">
        <v>18</v>
      </c>
      <c r="D526" s="260" t="str">
        <f t="shared" si="71"/>
        <v>ED4-PCE</v>
      </c>
      <c r="E526" s="260" t="str">
        <f>[9]Sheet70!B11</f>
        <v>CHE 463</v>
      </c>
      <c r="F526" s="260"/>
      <c r="G526" s="260" t="str">
        <f>[9]Sheet70!E11</f>
        <v>ELECTROCHEMICAL TECHNOLOGY</v>
      </c>
    </row>
    <row r="527" spans="1:7" s="3" customFormat="1" x14ac:dyDescent="0.35">
      <c r="A527" s="257" t="str">
        <f t="shared" si="70"/>
        <v>CHE 471,ED4-PCE</v>
      </c>
      <c r="B527" s="312" t="str">
        <f>[9]Sheet70!G12</f>
        <v>Johnson Raphael</v>
      </c>
      <c r="C527" s="260">
        <v>36</v>
      </c>
      <c r="D527" s="260" t="str">
        <f t="shared" si="71"/>
        <v>ED4-PCE</v>
      </c>
      <c r="E527" s="260" t="str">
        <f>[9]Sheet70!B12</f>
        <v>CHE 471</v>
      </c>
      <c r="F527" s="260"/>
      <c r="G527" s="260" t="str">
        <f>[9]Sheet70!E12</f>
        <v>PHARMACEUTICAL TECHNOLOGY</v>
      </c>
    </row>
    <row r="528" spans="1:7" s="3" customFormat="1" x14ac:dyDescent="0.35">
      <c r="A528" s="257" t="str">
        <f t="shared" si="70"/>
        <v>PCE 451,ED4-PCE</v>
      </c>
      <c r="B528" s="312" t="str">
        <f>[9]Sheet70!G13</f>
        <v>Baidoo Martina Francisca</v>
      </c>
      <c r="C528" s="260">
        <v>62</v>
      </c>
      <c r="D528" s="260" t="str">
        <f t="shared" si="71"/>
        <v>ED4-PCE</v>
      </c>
      <c r="E528" s="260" t="str">
        <f>[9]Sheet70!B13</f>
        <v>PCE 451</v>
      </c>
      <c r="F528" s="260"/>
      <c r="G528" s="260" t="str">
        <f>[9]Sheet70!E13</f>
        <v>CATALYSIS</v>
      </c>
    </row>
    <row r="529" spans="1:7" s="3" customFormat="1" x14ac:dyDescent="0.35">
      <c r="A529" s="257" t="str">
        <f t="shared" si="70"/>
        <v>PCE 453,ED4-PCE</v>
      </c>
      <c r="B529" s="312" t="str">
        <f>[9]Sheet70!G14</f>
        <v>Afotey Benjamin</v>
      </c>
      <c r="C529" s="260">
        <v>62</v>
      </c>
      <c r="D529" s="260" t="str">
        <f t="shared" si="71"/>
        <v>ED4-PCE</v>
      </c>
      <c r="E529" s="260" t="str">
        <f>[9]Sheet70!B14</f>
        <v>PCE 453</v>
      </c>
      <c r="F529" s="260"/>
      <c r="G529" s="260" t="str">
        <f>[9]Sheet70!E14</f>
        <v>PROJECT I</v>
      </c>
    </row>
    <row r="530" spans="1:7" s="3" customFormat="1" x14ac:dyDescent="0.35">
      <c r="A530" s="257" t="str">
        <f t="shared" si="70"/>
        <v>PCE 455,ED4-PCE</v>
      </c>
      <c r="B530" s="312" t="str">
        <f>[9]Sheet70!G15</f>
        <v>Kwao-Boateng Emmanuela</v>
      </c>
      <c r="C530" s="260">
        <v>62</v>
      </c>
      <c r="D530" s="260" t="str">
        <f t="shared" si="71"/>
        <v>ED4-PCE</v>
      </c>
      <c r="E530" s="260" t="str">
        <f>[9]Sheet70!B15</f>
        <v>PCE 455</v>
      </c>
      <c r="F530" s="260"/>
      <c r="G530" s="260" t="str">
        <f>[9]Sheet70!E15</f>
        <v>POLLUTION CONTROL IN PETROCHEMICAL INDUSTRY</v>
      </c>
    </row>
    <row r="531" spans="1:7" s="3" customFormat="1" x14ac:dyDescent="0.35">
      <c r="A531" s="257" t="str">
        <f t="shared" si="70"/>
        <v>PCE 457,ED4-PCE</v>
      </c>
      <c r="B531" s="312" t="str">
        <f>[9]Sheet70!G16</f>
        <v>Anang Daniel Adjah</v>
      </c>
      <c r="C531" s="260">
        <v>62</v>
      </c>
      <c r="D531" s="260" t="str">
        <f t="shared" si="71"/>
        <v>ED4-PCE</v>
      </c>
      <c r="E531" s="260" t="str">
        <f>[9]Sheet70!B16</f>
        <v>PCE 457</v>
      </c>
      <c r="F531" s="260"/>
      <c r="G531" s="260" t="str">
        <f>[9]Sheet70!E16</f>
        <v>CORROSION ENGINEERING</v>
      </c>
    </row>
    <row r="532" spans="1:7" x14ac:dyDescent="0.35">
      <c r="A532" s="257" t="str">
        <f t="shared" si="70"/>
        <v>PCE 461,ED4-PCE</v>
      </c>
      <c r="B532" s="312" t="str">
        <f>[9]Sheet70!G17</f>
        <v>Ohemeng-Boahen Godfred</v>
      </c>
      <c r="C532" s="260">
        <v>45</v>
      </c>
      <c r="D532" s="260" t="str">
        <f t="shared" si="71"/>
        <v>ED4-PCE</v>
      </c>
      <c r="E532" s="260" t="str">
        <f>[9]Sheet70!B17</f>
        <v>PCE 461</v>
      </c>
      <c r="F532" s="260"/>
      <c r="G532" s="260" t="str">
        <f>[9]Sheet70!E17</f>
        <v>FUEL AND COMBUSTION TECHNOLOGY</v>
      </c>
    </row>
    <row r="533" spans="1:7" s="3" customFormat="1" x14ac:dyDescent="0.35">
      <c r="A533" s="257" t="str">
        <f t="shared" si="70"/>
        <v>CHEM 169,ED1-PE</v>
      </c>
      <c r="B533" s="307" t="str">
        <f>[9]Sheet70!G22</f>
        <v>Opoku Francis</v>
      </c>
      <c r="C533" s="203">
        <v>129</v>
      </c>
      <c r="D533" s="203" t="s">
        <v>1382</v>
      </c>
      <c r="E533" s="203" t="str">
        <f>[9]Sheet70!B22</f>
        <v>CHEM 169</v>
      </c>
      <c r="F533" s="203"/>
      <c r="G533" s="203" t="str">
        <f>[9]Sheet70!E22</f>
        <v>PRACTICAL CHEMISTRY I</v>
      </c>
    </row>
    <row r="534" spans="1:7" s="3" customFormat="1" x14ac:dyDescent="0.35">
      <c r="A534" s="257" t="str">
        <f t="shared" si="70"/>
        <v>EE 151,ED1-PE</v>
      </c>
      <c r="B534" s="307" t="str">
        <f>[9]Sheet70!G23</f>
        <v>Ellis Sani Mubarak</v>
      </c>
      <c r="C534" s="203">
        <v>129</v>
      </c>
      <c r="D534" s="203" t="str">
        <f t="shared" ref="D534:D540" si="72">D533</f>
        <v>ED1-PE</v>
      </c>
      <c r="E534" s="203" t="str">
        <f>[9]Sheet70!B23</f>
        <v>EE 151</v>
      </c>
      <c r="F534" s="203"/>
      <c r="G534" s="203" t="str">
        <f>[9]Sheet70!E23</f>
        <v>APPLIED ELECTRICITY</v>
      </c>
    </row>
    <row r="535" spans="1:7" s="3" customFormat="1" x14ac:dyDescent="0.35">
      <c r="A535" s="257" t="str">
        <f t="shared" si="70"/>
        <v>ENGL 157,ED1-PE</v>
      </c>
      <c r="B535" s="307" t="str">
        <f>[9]Sheet70!G24</f>
        <v>Alhassan Yakubu</v>
      </c>
      <c r="C535" s="203">
        <v>129</v>
      </c>
      <c r="D535" s="203" t="str">
        <f t="shared" si="72"/>
        <v>ED1-PE</v>
      </c>
      <c r="E535" s="203" t="str">
        <f>[9]Sheet70!B24</f>
        <v>ENGL 157</v>
      </c>
      <c r="F535" s="203"/>
      <c r="G535" s="203" t="str">
        <f>[9]Sheet70!E24</f>
        <v>COMMUNICATION SKILLS I</v>
      </c>
    </row>
    <row r="536" spans="1:7" s="3" customFormat="1" x14ac:dyDescent="0.35">
      <c r="A536" s="257" t="str">
        <f t="shared" si="70"/>
        <v>MATH 151,ED1-PE</v>
      </c>
      <c r="B536" s="307" t="str">
        <f>[9]Sheet70!G25</f>
        <v>Kwabi Prince Amponsah</v>
      </c>
      <c r="C536" s="203">
        <v>129</v>
      </c>
      <c r="D536" s="203" t="str">
        <f t="shared" si="72"/>
        <v>ED1-PE</v>
      </c>
      <c r="E536" s="203" t="str">
        <f>[9]Sheet70!B25</f>
        <v>MATH 151</v>
      </c>
      <c r="F536" s="203"/>
      <c r="G536" s="203" t="str">
        <f>[9]Sheet70!E25</f>
        <v>ALGEBRA</v>
      </c>
    </row>
    <row r="537" spans="1:7" s="3" customFormat="1" x14ac:dyDescent="0.35">
      <c r="A537" s="257" t="str">
        <f t="shared" si="70"/>
        <v>ME 159,ED1-PE</v>
      </c>
      <c r="B537" s="307" t="str">
        <f>[9]Sheet70!G26</f>
        <v>Oppong Tawiah Peter</v>
      </c>
      <c r="C537" s="203">
        <v>129</v>
      </c>
      <c r="D537" s="203" t="str">
        <f t="shared" si="72"/>
        <v>ED1-PE</v>
      </c>
      <c r="E537" s="203" t="str">
        <f>[9]Sheet70!B26</f>
        <v>ME 159</v>
      </c>
      <c r="F537" s="203"/>
      <c r="G537" s="203" t="str">
        <f>[9]Sheet70!E26</f>
        <v>TECHNICAL DRAWING</v>
      </c>
    </row>
    <row r="538" spans="1:7" s="3" customFormat="1" x14ac:dyDescent="0.35">
      <c r="A538" s="257" t="str">
        <f t="shared" si="70"/>
        <v>PE 151,ED1-PE</v>
      </c>
      <c r="B538" s="307" t="str">
        <f>[9]Sheet70!G27</f>
        <v>Opoku Francis</v>
      </c>
      <c r="C538" s="203">
        <v>129</v>
      </c>
      <c r="D538" s="203" t="str">
        <f t="shared" si="72"/>
        <v>ED1-PE</v>
      </c>
      <c r="E538" s="203" t="str">
        <f>[9]Sheet70!B27</f>
        <v>PE 151</v>
      </c>
      <c r="F538" s="203"/>
      <c r="G538" s="203" t="str">
        <f>[9]Sheet70!E27</f>
        <v>INORGANIC CHEMISTRY FOR ENGINEERS</v>
      </c>
    </row>
    <row r="539" spans="1:7" s="3" customFormat="1" x14ac:dyDescent="0.35">
      <c r="A539" s="257" t="str">
        <f t="shared" si="70"/>
        <v>PE 153,ED1-PE</v>
      </c>
      <c r="B539" s="307" t="str">
        <f>[9]Sheet70!G28</f>
        <v>Laryea Michael Konney</v>
      </c>
      <c r="C539" s="203">
        <v>129</v>
      </c>
      <c r="D539" s="203" t="str">
        <f t="shared" si="72"/>
        <v>ED1-PE</v>
      </c>
      <c r="E539" s="203" t="str">
        <f>[9]Sheet70!B28</f>
        <v>PE 153</v>
      </c>
      <c r="F539" s="203"/>
      <c r="G539" s="203" t="str">
        <f>[9]Sheet70!E28</f>
        <v>ORGANIC CHEMISTRY FOR ENGINEERS</v>
      </c>
    </row>
    <row r="540" spans="1:7" s="3" customFormat="1" x14ac:dyDescent="0.35">
      <c r="A540" s="257" t="str">
        <f t="shared" si="70"/>
        <v>PE 155,ED1-PE</v>
      </c>
      <c r="B540" s="307" t="str">
        <f>[9]Sheet70!G29</f>
        <v>Sokama-Neuyam Yen Adams</v>
      </c>
      <c r="C540" s="203">
        <v>129</v>
      </c>
      <c r="D540" s="203" t="str">
        <f t="shared" si="72"/>
        <v>ED1-PE</v>
      </c>
      <c r="E540" s="203" t="str">
        <f>[9]Sheet70!B29</f>
        <v>PE 155</v>
      </c>
      <c r="F540" s="203"/>
      <c r="G540" s="203" t="str">
        <f>[9]Sheet70!E29</f>
        <v>INTRODUCTION TO INFORMATION TECHNOLOGY</v>
      </c>
    </row>
    <row r="541" spans="1:7" s="3" customFormat="1" x14ac:dyDescent="0.35">
      <c r="A541" s="257" t="str">
        <f t="shared" si="70"/>
        <v>CENG 291,ED2-PE</v>
      </c>
      <c r="B541" s="307" t="str">
        <f>[9]Sheet71!G8</f>
        <v>Erzuah Samuel</v>
      </c>
      <c r="C541" s="203">
        <v>97</v>
      </c>
      <c r="D541" s="203" t="s">
        <v>1383</v>
      </c>
      <c r="E541" s="203" t="str">
        <f>[9]Sheet71!B8</f>
        <v>CENG 291</v>
      </c>
      <c r="F541" s="203"/>
      <c r="G541" s="203" t="str">
        <f>[9]Sheet71!E8</f>
        <v>ENGINEERING IN SOCIETY</v>
      </c>
    </row>
    <row r="542" spans="1:7" s="3" customFormat="1" x14ac:dyDescent="0.35">
      <c r="A542" s="257" t="str">
        <f t="shared" si="70"/>
        <v>MATH 251,ED2-PE</v>
      </c>
      <c r="B542" s="307" t="str">
        <f>[9]Sheet71!G9</f>
        <v>Eghan Rhydal Esi</v>
      </c>
      <c r="C542" s="203">
        <v>97</v>
      </c>
      <c r="D542" s="203" t="str">
        <f t="shared" ref="D542:D548" si="73">D541</f>
        <v>ED2-PE</v>
      </c>
      <c r="E542" s="203" t="str">
        <f>[9]Sheet71!B9</f>
        <v>MATH 251</v>
      </c>
      <c r="F542" s="203"/>
      <c r="G542" s="203" t="str">
        <f>[9]Sheet71!E9</f>
        <v>DIFFERENTIAL EQUATIONS</v>
      </c>
    </row>
    <row r="543" spans="1:7" s="3" customFormat="1" x14ac:dyDescent="0.35">
      <c r="A543" s="257" t="str">
        <f t="shared" si="70"/>
        <v>ME 255,ED2-PE</v>
      </c>
      <c r="B543" s="307" t="str">
        <f>[9]Sheet71!G10</f>
        <v>Andoh Prince Yaw</v>
      </c>
      <c r="C543" s="203">
        <v>97</v>
      </c>
      <c r="D543" s="203" t="str">
        <f t="shared" si="73"/>
        <v>ED2-PE</v>
      </c>
      <c r="E543" s="203" t="str">
        <f>[9]Sheet71!B10</f>
        <v>ME 255</v>
      </c>
      <c r="F543" s="203"/>
      <c r="G543" s="203" t="str">
        <f>[9]Sheet71!E10</f>
        <v>STRENGTH OF MATERIALS I</v>
      </c>
    </row>
    <row r="544" spans="1:7" s="3" customFormat="1" x14ac:dyDescent="0.35">
      <c r="A544" s="257" t="str">
        <f t="shared" si="70"/>
        <v>PE 251,ED2-PE</v>
      </c>
      <c r="B544" s="307" t="str">
        <f>[9]Sheet71!G11</f>
        <v>Adenutsi Caspar Daniel</v>
      </c>
      <c r="C544" s="203">
        <v>97</v>
      </c>
      <c r="D544" s="203" t="str">
        <f t="shared" si="73"/>
        <v>ED2-PE</v>
      </c>
      <c r="E544" s="203" t="str">
        <f>[9]Sheet71!B11</f>
        <v>PE 251</v>
      </c>
      <c r="F544" s="203"/>
      <c r="G544" s="203" t="str">
        <f>[9]Sheet71!E11</f>
        <v>RESERVOIR ENGINEERING I</v>
      </c>
    </row>
    <row r="545" spans="1:7" s="3" customFormat="1" x14ac:dyDescent="0.35">
      <c r="A545" s="257" t="str">
        <f t="shared" si="70"/>
        <v>PE 253,ED2-PE</v>
      </c>
      <c r="B545" s="307" t="str">
        <f>[9]Sheet71!G12</f>
        <v>Quaye Jonathan Atuquaye</v>
      </c>
      <c r="C545" s="203">
        <v>97</v>
      </c>
      <c r="D545" s="203" t="str">
        <f t="shared" si="73"/>
        <v>ED2-PE</v>
      </c>
      <c r="E545" s="203" t="str">
        <f>[9]Sheet71!B12</f>
        <v>PE 253</v>
      </c>
      <c r="F545" s="203"/>
      <c r="G545" s="203" t="str">
        <f>[9]Sheet71!E12</f>
        <v>BASIC GEOLOGY</v>
      </c>
    </row>
    <row r="546" spans="1:7" s="3" customFormat="1" x14ac:dyDescent="0.35">
      <c r="A546" s="257" t="str">
        <f t="shared" si="70"/>
        <v>PE 255,ED2-PE</v>
      </c>
      <c r="B546" s="307" t="str">
        <f>[9]Sheet71!G13</f>
        <v>Adjei Stephen</v>
      </c>
      <c r="C546" s="203">
        <v>97</v>
      </c>
      <c r="D546" s="203" t="str">
        <f t="shared" si="73"/>
        <v>ED2-PE</v>
      </c>
      <c r="E546" s="203" t="str">
        <f>[9]Sheet71!B13</f>
        <v>PE 255</v>
      </c>
      <c r="F546" s="203"/>
      <c r="G546" s="203" t="str">
        <f>[9]Sheet71!E13</f>
        <v>FLUID MECHANICS</v>
      </c>
    </row>
    <row r="547" spans="1:7" s="3" customFormat="1" x14ac:dyDescent="0.35">
      <c r="A547" s="257" t="str">
        <f t="shared" si="70"/>
        <v>PE 257,ED2-PE</v>
      </c>
      <c r="B547" s="307" t="str">
        <f>[9]Sheet71!G14</f>
        <v>Sokama-Neuyam Yen Adams</v>
      </c>
      <c r="C547" s="203">
        <v>97</v>
      </c>
      <c r="D547" s="203" t="str">
        <f t="shared" si="73"/>
        <v>ED2-PE</v>
      </c>
      <c r="E547" s="203" t="str">
        <f>[9]Sheet71!B14</f>
        <v>PE 257</v>
      </c>
      <c r="F547" s="203"/>
      <c r="G547" s="203" t="str">
        <f>[9]Sheet71!E14</f>
        <v>PETROLEUM ENGINEERING THERMODYNAMICS I</v>
      </c>
    </row>
    <row r="548" spans="1:7" s="3" customFormat="1" x14ac:dyDescent="0.35">
      <c r="A548" s="257" t="str">
        <f t="shared" si="70"/>
        <v>PE 259,ED2-PE</v>
      </c>
      <c r="B548" s="307" t="str">
        <f>[9]Sheet71!G15</f>
        <v>Gyamfi Isaac</v>
      </c>
      <c r="C548" s="203">
        <v>97</v>
      </c>
      <c r="D548" s="203" t="str">
        <f t="shared" si="73"/>
        <v>ED2-PE</v>
      </c>
      <c r="E548" s="203" t="str">
        <f>[9]Sheet71!B15</f>
        <v>PE 259</v>
      </c>
      <c r="F548" s="203"/>
      <c r="G548" s="203" t="str">
        <f>[9]Sheet71!E15</f>
        <v>SURVIVAL SWIMMING TECHNIQUES</v>
      </c>
    </row>
    <row r="549" spans="1:7" s="3" customFormat="1" x14ac:dyDescent="0.35">
      <c r="A549" s="257" t="str">
        <f t="shared" si="70"/>
        <v>PE 351,ED3-PE</v>
      </c>
      <c r="B549" s="307" t="str">
        <f>[9]Sheet72!G8</f>
        <v>Erzuah Samuel</v>
      </c>
      <c r="C549" s="203">
        <v>82</v>
      </c>
      <c r="D549" s="203" t="s">
        <v>1384</v>
      </c>
      <c r="E549" s="203" t="str">
        <f>[9]Sheet72!B8</f>
        <v>PE 351</v>
      </c>
      <c r="F549" s="203"/>
      <c r="G549" s="203" t="str">
        <f>[9]Sheet72!E8</f>
        <v>PETROLEUM ROCK MECHANICS</v>
      </c>
    </row>
    <row r="550" spans="1:7" s="3" customFormat="1" x14ac:dyDescent="0.35">
      <c r="A550" s="257" t="str">
        <f t="shared" si="70"/>
        <v>PE 353,ED3-PE</v>
      </c>
      <c r="B550" s="307" t="str">
        <f>[9]Sheet72!G9</f>
        <v>Adjei Stephen</v>
      </c>
      <c r="C550" s="203">
        <v>82</v>
      </c>
      <c r="D550" s="203" t="str">
        <f t="shared" ref="D550:D556" si="74">D549</f>
        <v>ED3-PE</v>
      </c>
      <c r="E550" s="203" t="str">
        <f>[9]Sheet72!B9</f>
        <v>PE 353</v>
      </c>
      <c r="F550" s="203"/>
      <c r="G550" s="203" t="str">
        <f>[9]Sheet72!E9</f>
        <v>DRILLING ENGINEERING I</v>
      </c>
    </row>
    <row r="551" spans="1:7" s="3" customFormat="1" x14ac:dyDescent="0.35">
      <c r="A551" s="257" t="str">
        <f t="shared" si="70"/>
        <v>PE 355,ED3-PE</v>
      </c>
      <c r="B551" s="307" t="str">
        <f>[9]Sheet72!G10</f>
        <v>Adenutsi Caspar Daniel</v>
      </c>
      <c r="C551" s="203">
        <v>82</v>
      </c>
      <c r="D551" s="203" t="str">
        <f t="shared" si="74"/>
        <v>ED3-PE</v>
      </c>
      <c r="E551" s="203" t="str">
        <f>[9]Sheet72!B10</f>
        <v>PE 355</v>
      </c>
      <c r="F551" s="203"/>
      <c r="G551" s="203" t="str">
        <f>[9]Sheet72!E10</f>
        <v>PETROLEUM ENGINEERING LABORATORY I</v>
      </c>
    </row>
    <row r="552" spans="1:7" s="3" customFormat="1" x14ac:dyDescent="0.35">
      <c r="A552" s="257" t="str">
        <f t="shared" si="70"/>
        <v>PE 357,ED3-PE</v>
      </c>
      <c r="B552" s="307" t="str">
        <f>[9]Sheet72!G11</f>
        <v>Sarkodie Kwame</v>
      </c>
      <c r="C552" s="203">
        <v>82</v>
      </c>
      <c r="D552" s="203" t="str">
        <f t="shared" si="74"/>
        <v>ED3-PE</v>
      </c>
      <c r="E552" s="203" t="str">
        <f>[9]Sheet72!B11</f>
        <v>PE 357</v>
      </c>
      <c r="F552" s="203"/>
      <c r="G552" s="203" t="str">
        <f>[9]Sheet72!E11</f>
        <v>PETROLEUM PRODUCTION ENGINEERING I</v>
      </c>
    </row>
    <row r="553" spans="1:7" s="3" customFormat="1" x14ac:dyDescent="0.35">
      <c r="A553" s="257" t="str">
        <f t="shared" si="70"/>
        <v>PE 359,ED3-PE</v>
      </c>
      <c r="B553" s="307" t="str">
        <f>[9]Sheet72!G12</f>
        <v>Erzuah Samuel</v>
      </c>
      <c r="C553" s="203">
        <v>82</v>
      </c>
      <c r="D553" s="203" t="str">
        <f t="shared" si="74"/>
        <v>ED3-PE</v>
      </c>
      <c r="E553" s="203" t="str">
        <f>[9]Sheet72!B12</f>
        <v>PE 359</v>
      </c>
      <c r="F553" s="203"/>
      <c r="G553" s="203" t="str">
        <f>[9]Sheet72!E12</f>
        <v>RESERVOIR PETROPHYSICS</v>
      </c>
    </row>
    <row r="554" spans="1:7" s="3" customFormat="1" x14ac:dyDescent="0.35">
      <c r="A554" s="257" t="str">
        <f t="shared" si="70"/>
        <v>PE 361,ED3-PE</v>
      </c>
      <c r="B554" s="307" t="str">
        <f>[9]Sheet72!G13</f>
        <v>Adenutsi Caspar Daniel</v>
      </c>
      <c r="C554" s="203">
        <v>82</v>
      </c>
      <c r="D554" s="203" t="str">
        <f t="shared" si="74"/>
        <v>ED3-PE</v>
      </c>
      <c r="E554" s="203" t="str">
        <f>[9]Sheet72!B13</f>
        <v>PE 361</v>
      </c>
      <c r="F554" s="203"/>
      <c r="G554" s="203" t="str">
        <f>[9]Sheet72!E13</f>
        <v>RESERVOIR ENGINEERING II</v>
      </c>
    </row>
    <row r="555" spans="1:7" s="3" customFormat="1" x14ac:dyDescent="0.35">
      <c r="A555" s="257" t="str">
        <f t="shared" si="70"/>
        <v>PE 363,ED3-PE</v>
      </c>
      <c r="B555" s="307" t="str">
        <f>[9]Sheet72!G14</f>
        <v>Borkloe Julius Kwame</v>
      </c>
      <c r="C555" s="203">
        <v>82</v>
      </c>
      <c r="D555" s="203" t="str">
        <f t="shared" si="74"/>
        <v>ED3-PE</v>
      </c>
      <c r="E555" s="203" t="str">
        <f>[9]Sheet72!B14</f>
        <v>PE 363</v>
      </c>
      <c r="F555" s="203"/>
      <c r="G555" s="203" t="str">
        <f>[9]Sheet72!E14</f>
        <v>FORMATION EVALUATION</v>
      </c>
    </row>
    <row r="556" spans="1:7" s="3" customFormat="1" x14ac:dyDescent="0.35">
      <c r="A556" s="257" t="str">
        <f t="shared" si="70"/>
        <v>PE 367,ED3-PE</v>
      </c>
      <c r="B556" s="307" t="str">
        <f>[9]Sheet72!G15</f>
        <v>Adjei Stephen</v>
      </c>
      <c r="C556" s="203">
        <v>82</v>
      </c>
      <c r="D556" s="203" t="str">
        <f t="shared" si="74"/>
        <v>ED3-PE</v>
      </c>
      <c r="E556" s="203" t="str">
        <f>[9]Sheet72!B15</f>
        <v>PE 367</v>
      </c>
      <c r="F556" s="203"/>
      <c r="G556" s="203" t="str">
        <f>[9]Sheet72!E15</f>
        <v>STATISTICS FOR PETROLEUM ENGINEERS</v>
      </c>
    </row>
    <row r="557" spans="1:7" s="3" customFormat="1" x14ac:dyDescent="0.35">
      <c r="A557" s="257" t="str">
        <f t="shared" si="70"/>
        <v>PCE 461,ED4-PE</v>
      </c>
      <c r="B557" s="307" t="str">
        <f>[9]Sheet73!G8</f>
        <v>Ohemeng-Boahen Godfred</v>
      </c>
      <c r="C557" s="203">
        <v>3</v>
      </c>
      <c r="D557" s="203" t="s">
        <v>1385</v>
      </c>
      <c r="E557" s="203" t="str">
        <f>[9]Sheet73!B8</f>
        <v>PCE 461</v>
      </c>
      <c r="F557" s="203"/>
      <c r="G557" s="203" t="str">
        <f>[9]Sheet73!E8</f>
        <v>FUEL AND COMBUSTION TECHNOLOGY</v>
      </c>
    </row>
    <row r="558" spans="1:7" s="3" customFormat="1" x14ac:dyDescent="0.35">
      <c r="A558" s="257" t="str">
        <f t="shared" si="70"/>
        <v>PE 451,ED4-PE</v>
      </c>
      <c r="B558" s="307" t="str">
        <f>[9]Sheet73!G9</f>
        <v>Quaye Jonathan Atuquaye</v>
      </c>
      <c r="C558" s="203">
        <v>103</v>
      </c>
      <c r="D558" s="203" t="str">
        <f>D557</f>
        <v>ED4-PE</v>
      </c>
      <c r="E558" s="203" t="str">
        <f>[9]Sheet73!B9</f>
        <v>PE 451</v>
      </c>
      <c r="F558" s="203"/>
      <c r="G558" s="203" t="str">
        <f>[9]Sheet73!E9</f>
        <v>PETROLEUM ECONOMICS</v>
      </c>
    </row>
    <row r="559" spans="1:7" s="3" customFormat="1" x14ac:dyDescent="0.35">
      <c r="A559" s="257" t="str">
        <f t="shared" si="70"/>
        <v>PE 453,ED4-PE</v>
      </c>
      <c r="B559" s="307" t="str">
        <f>[9]Sheet73!G10</f>
        <v>Adenutsi Caspar Daniel</v>
      </c>
      <c r="C559" s="203">
        <v>103</v>
      </c>
      <c r="D559" s="203" t="str">
        <f t="shared" ref="D559:D565" si="75">D558</f>
        <v>ED4-PE</v>
      </c>
      <c r="E559" s="203" t="str">
        <f>[9]Sheet73!B10</f>
        <v>PE 453</v>
      </c>
      <c r="F559" s="203"/>
      <c r="G559" s="203" t="str">
        <f>[9]Sheet73!E10</f>
        <v>DESIGN PROJECT I</v>
      </c>
    </row>
    <row r="560" spans="1:7" s="3" customFormat="1" x14ac:dyDescent="0.35">
      <c r="A560" s="257" t="str">
        <f t="shared" si="70"/>
        <v>PE 455,ED4-PE</v>
      </c>
      <c r="B560" s="307" t="str">
        <f>[9]Sheet73!G11</f>
        <v>Ampomah William</v>
      </c>
      <c r="C560" s="203">
        <v>103</v>
      </c>
      <c r="D560" s="203" t="str">
        <f t="shared" si="75"/>
        <v>ED4-PE</v>
      </c>
      <c r="E560" s="203" t="str">
        <f>[9]Sheet73!B11</f>
        <v>PE 455</v>
      </c>
      <c r="F560" s="203"/>
      <c r="G560" s="203" t="str">
        <f>[9]Sheet73!E11</f>
        <v>RESERVOIR SIMULATION</v>
      </c>
    </row>
    <row r="561" spans="1:7" s="3" customFormat="1" x14ac:dyDescent="0.35">
      <c r="A561" s="257" t="str">
        <f t="shared" si="70"/>
        <v>PE 457,ED4-PE</v>
      </c>
      <c r="B561" s="307" t="str">
        <f>[9]Sheet73!G12</f>
        <v>Erzuah Samuel</v>
      </c>
      <c r="C561" s="203">
        <v>103</v>
      </c>
      <c r="D561" s="203" t="str">
        <f t="shared" si="75"/>
        <v>ED4-PE</v>
      </c>
      <c r="E561" s="203" t="str">
        <f>[9]Sheet73!B12</f>
        <v>PE 457</v>
      </c>
      <c r="F561" s="203"/>
      <c r="G561" s="203" t="str">
        <f>[9]Sheet73!E12</f>
        <v>INTEGRATED FIELD DESIGN</v>
      </c>
    </row>
    <row r="562" spans="1:7" s="3" customFormat="1" x14ac:dyDescent="0.35">
      <c r="A562" s="257" t="str">
        <f t="shared" si="70"/>
        <v>PE 459,ED4-PE</v>
      </c>
      <c r="B562" s="307" t="str">
        <f>[9]Sheet73!G13</f>
        <v>Sarkodie Kwame</v>
      </c>
      <c r="C562" s="203">
        <v>103</v>
      </c>
      <c r="D562" s="203" t="str">
        <f t="shared" si="75"/>
        <v>ED4-PE</v>
      </c>
      <c r="E562" s="203" t="str">
        <f>[9]Sheet73!B13</f>
        <v>PE 459</v>
      </c>
      <c r="F562" s="203"/>
      <c r="G562" s="203" t="str">
        <f>[9]Sheet73!E13</f>
        <v>NATURAL GAS ENGINEERING I</v>
      </c>
    </row>
    <row r="563" spans="1:7" s="3" customFormat="1" x14ac:dyDescent="0.35">
      <c r="A563" s="257" t="str">
        <f t="shared" si="70"/>
        <v>PE 465,ED4-PE</v>
      </c>
      <c r="B563" s="307" t="str">
        <f>[9]Sheet73!G14</f>
        <v>Sarkodie Kwame</v>
      </c>
      <c r="C563" s="203">
        <v>103</v>
      </c>
      <c r="D563" s="203" t="str">
        <f t="shared" si="75"/>
        <v>ED4-PE</v>
      </c>
      <c r="E563" s="203" t="str">
        <f>[9]Sheet73!B14</f>
        <v>PE 465</v>
      </c>
      <c r="F563" s="203"/>
      <c r="G563" s="203" t="str">
        <f>[9]Sheet73!E14</f>
        <v>INSTRUMENTATION AND CONTROL</v>
      </c>
    </row>
    <row r="564" spans="1:7" s="3" customFormat="1" x14ac:dyDescent="0.35">
      <c r="A564" s="257" t="str">
        <f t="shared" si="70"/>
        <v>PE 471,ED4-PE</v>
      </c>
      <c r="B564" s="307" t="str">
        <f>[9]Sheet73!G15</f>
        <v>Adjei Stephen</v>
      </c>
      <c r="C564" s="203">
        <v>103</v>
      </c>
      <c r="D564" s="203" t="str">
        <f t="shared" si="75"/>
        <v>ED4-PE</v>
      </c>
      <c r="E564" s="203" t="str">
        <f>[9]Sheet73!B15</f>
        <v>PE 471</v>
      </c>
      <c r="F564" s="203"/>
      <c r="G564" s="203" t="str">
        <f>[9]Sheet73!E15</f>
        <v>FIELD TRIP AND INDUSTRIAL ATTACHMENT</v>
      </c>
    </row>
    <row r="565" spans="1:7" s="3" customFormat="1" x14ac:dyDescent="0.35">
      <c r="A565" s="257" t="str">
        <f t="shared" si="70"/>
        <v>PE 473,ED4-PE</v>
      </c>
      <c r="B565" s="307" t="str">
        <f>[9]Sheet73!G16</f>
        <v>Quaye Jonathan Atuquaye</v>
      </c>
      <c r="C565" s="203">
        <v>93</v>
      </c>
      <c r="D565" s="203" t="str">
        <f t="shared" si="75"/>
        <v>ED4-PE</v>
      </c>
      <c r="E565" s="203" t="str">
        <f>[9]Sheet73!B16</f>
        <v>PE 473</v>
      </c>
      <c r="F565" s="203"/>
      <c r="G565" s="203" t="str">
        <f>[9]Sheet73!E16</f>
        <v>SAFETY AND RELIABILITY ENGINEERING</v>
      </c>
    </row>
    <row r="566" spans="1:7" s="3" customFormat="1" x14ac:dyDescent="0.35">
      <c r="A566" s="257" t="str">
        <f t="shared" si="70"/>
        <v>CE 155,ED1-TEL</v>
      </c>
      <c r="B566" s="312" t="str">
        <f>[9]Sheet73!G21</f>
        <v>Buamah Richard Akwasi</v>
      </c>
      <c r="C566" s="260">
        <v>129</v>
      </c>
      <c r="D566" s="260" t="s">
        <v>183</v>
      </c>
      <c r="E566" s="260" t="str">
        <f>[9]Sheet73!B21</f>
        <v>CE 155</v>
      </c>
      <c r="F566" s="260"/>
      <c r="G566" s="260" t="str">
        <f>[9]Sheet73!E21</f>
        <v>ENVIRONMENTAL STUDIES</v>
      </c>
    </row>
    <row r="567" spans="1:7" s="3" customFormat="1" x14ac:dyDescent="0.35">
      <c r="A567" s="257" t="str">
        <f t="shared" si="70"/>
        <v>EE 151,ED1-TEL</v>
      </c>
      <c r="B567" s="312" t="str">
        <f>[9]Sheet73!G22</f>
        <v>Abdul-Rahman Ahmed</v>
      </c>
      <c r="C567" s="260">
        <v>129</v>
      </c>
      <c r="D567" s="260" t="str">
        <f t="shared" ref="D567:D572" si="76">D566</f>
        <v>ED1-TEL</v>
      </c>
      <c r="E567" s="260" t="str">
        <f>[9]Sheet73!B22</f>
        <v>EE 151</v>
      </c>
      <c r="F567" s="260"/>
      <c r="G567" s="260" t="str">
        <f>[9]Sheet73!E22</f>
        <v>APPLIED ELECTRICITY</v>
      </c>
    </row>
    <row r="568" spans="1:7" s="3" customFormat="1" x14ac:dyDescent="0.35">
      <c r="A568" s="257" t="str">
        <f t="shared" si="70"/>
        <v>EE 153,ED1-TEL</v>
      </c>
      <c r="B568" s="312" t="str">
        <f>[9]Sheet73!G23</f>
        <v>Oteng Gyasi Kwame</v>
      </c>
      <c r="C568" s="260">
        <v>129</v>
      </c>
      <c r="D568" s="260" t="str">
        <f t="shared" si="76"/>
        <v>ED1-TEL</v>
      </c>
      <c r="E568" s="260" t="str">
        <f>[9]Sheet73!B23</f>
        <v>EE 153</v>
      </c>
      <c r="F568" s="260"/>
      <c r="G568" s="260" t="str">
        <f>[9]Sheet73!E23</f>
        <v>ENGINEERING TECHNOLOGY</v>
      </c>
    </row>
    <row r="569" spans="1:7" s="3" customFormat="1" x14ac:dyDescent="0.35">
      <c r="A569" s="257" t="str">
        <f t="shared" si="70"/>
        <v>ENGL 157,ED1-TEL</v>
      </c>
      <c r="B569" s="312" t="str">
        <f>[9]Sheet73!G24</f>
        <v>Alhassan Yakubu</v>
      </c>
      <c r="C569" s="260">
        <v>129</v>
      </c>
      <c r="D569" s="260" t="str">
        <f t="shared" si="76"/>
        <v>ED1-TEL</v>
      </c>
      <c r="E569" s="260" t="str">
        <f>[9]Sheet73!B24</f>
        <v>ENGL 157</v>
      </c>
      <c r="F569" s="260"/>
      <c r="G569" s="260" t="str">
        <f>[9]Sheet73!E24</f>
        <v>COMMUNICATION SKILLS I</v>
      </c>
    </row>
    <row r="570" spans="1:7" s="3" customFormat="1" x14ac:dyDescent="0.35">
      <c r="A570" s="257" t="str">
        <f t="shared" si="70"/>
        <v>ME 159,ED1-TEL</v>
      </c>
      <c r="B570" s="312" t="str">
        <f>$B$437</f>
        <v>Sunnu Albert Kojo</v>
      </c>
      <c r="C570" s="260">
        <v>129</v>
      </c>
      <c r="D570" s="260" t="str">
        <f t="shared" si="76"/>
        <v>ED1-TEL</v>
      </c>
      <c r="E570" s="260" t="str">
        <f>[9]Sheet73!B25</f>
        <v>ME 159</v>
      </c>
      <c r="F570" s="260"/>
      <c r="G570" s="260" t="str">
        <f>[9]Sheet73!E25</f>
        <v>TECHNICAL DRAWING</v>
      </c>
    </row>
    <row r="571" spans="1:7" s="3" customFormat="1" x14ac:dyDescent="0.35">
      <c r="A571" s="257" t="str">
        <f t="shared" si="70"/>
        <v>ME 161,ED1-TEL</v>
      </c>
      <c r="B571" s="312" t="str">
        <f>[9]Sheet73!G26</f>
        <v>Oppong Tawiah Peter</v>
      </c>
      <c r="C571" s="260">
        <v>129</v>
      </c>
      <c r="D571" s="260" t="str">
        <f t="shared" si="76"/>
        <v>ED1-TEL</v>
      </c>
      <c r="E571" s="260" t="str">
        <f>[9]Sheet73!B26</f>
        <v>ME 161</v>
      </c>
      <c r="F571" s="260"/>
      <c r="G571" s="260" t="str">
        <f>[9]Sheet73!E26</f>
        <v>BASIC MECHANICS</v>
      </c>
    </row>
    <row r="572" spans="1:7" s="3" customFormat="1" x14ac:dyDescent="0.35">
      <c r="A572" s="257" t="str">
        <f t="shared" si="70"/>
        <v>MATH 151,ED1-TEL</v>
      </c>
      <c r="B572" s="312" t="str">
        <f>[9]Sheet73!G27</f>
        <v>Adu-Ansah Lawton</v>
      </c>
      <c r="C572" s="260">
        <v>129</v>
      </c>
      <c r="D572" s="260" t="str">
        <f t="shared" si="76"/>
        <v>ED1-TEL</v>
      </c>
      <c r="E572" s="260" t="str">
        <f>[9]Sheet73!B27</f>
        <v>MATH 151</v>
      </c>
      <c r="F572" s="260"/>
      <c r="G572" s="260" t="str">
        <f>[9]Sheet73!E27</f>
        <v>ALGEBRA</v>
      </c>
    </row>
    <row r="573" spans="1:7" s="3" customFormat="1" x14ac:dyDescent="0.35">
      <c r="A573" s="257" t="str">
        <f t="shared" si="70"/>
        <v>ACF 255,ED2-TEL</v>
      </c>
      <c r="B573" s="312" t="str">
        <f>[9]Sheet74!G8</f>
        <v>Yeboah Edward</v>
      </c>
      <c r="C573" s="260">
        <v>35</v>
      </c>
      <c r="D573" s="260" t="s">
        <v>32</v>
      </c>
      <c r="E573" s="260" t="str">
        <f>[9]Sheet74!B8</f>
        <v>ACF 255</v>
      </c>
      <c r="F573" s="260"/>
      <c r="G573" s="260" t="str">
        <f>[9]Sheet74!E8</f>
        <v>FINANCIAL ACCOUNTING I</v>
      </c>
    </row>
    <row r="574" spans="1:7" s="3" customFormat="1" x14ac:dyDescent="0.35">
      <c r="A574" s="257" t="str">
        <f t="shared" si="70"/>
        <v>CENG 291,ED2-TEL</v>
      </c>
      <c r="B574" s="312" t="str">
        <f>[9]Sheet74!G9</f>
        <v>Agyemang Justice Owusu</v>
      </c>
      <c r="C574" s="260">
        <v>179</v>
      </c>
      <c r="D574" s="260" t="str">
        <f t="shared" ref="D574:D582" si="77">D573</f>
        <v>ED2-TEL</v>
      </c>
      <c r="E574" s="260" t="str">
        <f>[9]Sheet74!B9</f>
        <v>CENG 291</v>
      </c>
      <c r="F574" s="260"/>
      <c r="G574" s="260" t="str">
        <f>[9]Sheet74!E9</f>
        <v>ENGINEERING IN SOCIETY</v>
      </c>
    </row>
    <row r="575" spans="1:7" s="3" customFormat="1" x14ac:dyDescent="0.35">
      <c r="A575" s="257" t="str">
        <f t="shared" si="70"/>
        <v>ECON 151,ED2-TEL</v>
      </c>
      <c r="B575" s="312" t="str">
        <f>[9]Sheet74!G10</f>
        <v>Takyi Paul Owusu</v>
      </c>
      <c r="C575" s="260">
        <v>30</v>
      </c>
      <c r="D575" s="260" t="str">
        <f t="shared" si="77"/>
        <v>ED2-TEL</v>
      </c>
      <c r="E575" s="260" t="str">
        <f>[9]Sheet74!B10</f>
        <v>ECON 151</v>
      </c>
      <c r="F575" s="260"/>
      <c r="G575" s="260" t="str">
        <f>[9]Sheet74!E10</f>
        <v>INTRODUCTORY ECONOMICS I</v>
      </c>
    </row>
    <row r="576" spans="1:7" s="3" customFormat="1" x14ac:dyDescent="0.35">
      <c r="A576" s="257" t="str">
        <f t="shared" si="70"/>
        <v>EE 287,ED2-TEL</v>
      </c>
      <c r="B576" s="312" t="str">
        <f>[9]Sheet74!G11</f>
        <v>Gadze James Dzisi</v>
      </c>
      <c r="C576" s="260">
        <v>179</v>
      </c>
      <c r="D576" s="260" t="str">
        <f t="shared" si="77"/>
        <v>ED2-TEL</v>
      </c>
      <c r="E576" s="260" t="str">
        <f>[9]Sheet74!B11</f>
        <v>EE 287</v>
      </c>
      <c r="F576" s="260"/>
      <c r="G576" s="260" t="str">
        <f>[9]Sheet74!E11</f>
        <v>CIRCUIT THEORY</v>
      </c>
    </row>
    <row r="577" spans="1:7" s="3" customFormat="1" x14ac:dyDescent="0.35">
      <c r="A577" s="257" t="str">
        <f t="shared" si="70"/>
        <v>MATH 251,ED2-TEL</v>
      </c>
      <c r="B577" s="312" t="str">
        <f>[9]Sheet74!G12</f>
        <v>Wireko Fredrick Asenso</v>
      </c>
      <c r="C577" s="260">
        <v>179</v>
      </c>
      <c r="D577" s="260" t="str">
        <f t="shared" si="77"/>
        <v>ED2-TEL</v>
      </c>
      <c r="E577" s="260" t="str">
        <f>[9]Sheet74!B12</f>
        <v>MATH 251</v>
      </c>
      <c r="F577" s="260"/>
      <c r="G577" s="260" t="str">
        <f>[9]Sheet74!E12</f>
        <v>DIFFERENTIAL EQUATIONS</v>
      </c>
    </row>
    <row r="578" spans="1:7" s="3" customFormat="1" x14ac:dyDescent="0.35">
      <c r="A578" s="257" t="str">
        <f t="shared" si="70"/>
        <v>TE 251,ED2-TEL</v>
      </c>
      <c r="B578" s="312" t="str">
        <f>[9]Sheet74!G13</f>
        <v>Affum Emmanuel Ampoma</v>
      </c>
      <c r="C578" s="260">
        <v>179</v>
      </c>
      <c r="D578" s="260" t="str">
        <f t="shared" si="77"/>
        <v>ED2-TEL</v>
      </c>
      <c r="E578" s="260" t="str">
        <f>[9]Sheet74!B13</f>
        <v>TE 251</v>
      </c>
      <c r="F578" s="260"/>
      <c r="G578" s="260" t="str">
        <f>[9]Sheet74!E13</f>
        <v>ANALOG COMMUNICATION SYSTEMS</v>
      </c>
    </row>
    <row r="579" spans="1:7" s="3" customFormat="1" x14ac:dyDescent="0.35">
      <c r="A579" s="257" t="str">
        <f t="shared" si="70"/>
        <v>TE 253,ED2-TEL</v>
      </c>
      <c r="B579" s="312" t="str">
        <f>[9]Sheet74!G14</f>
        <v>Obour Agyekum Kwame Opuni-Boachie</v>
      </c>
      <c r="C579" s="260">
        <v>179</v>
      </c>
      <c r="D579" s="260" t="str">
        <f t="shared" si="77"/>
        <v>ED2-TEL</v>
      </c>
      <c r="E579" s="260" t="str">
        <f>[9]Sheet74!B14</f>
        <v>TE 253</v>
      </c>
      <c r="F579" s="260"/>
      <c r="G579" s="260" t="str">
        <f>[9]Sheet74!E14</f>
        <v>DIGITAL SYSTEMS</v>
      </c>
    </row>
    <row r="580" spans="1:7" s="3" customFormat="1" x14ac:dyDescent="0.35">
      <c r="A580" s="257" t="str">
        <f t="shared" si="70"/>
        <v>TE 255,ED2-TEL</v>
      </c>
      <c r="B580" s="312" t="str">
        <f>[9]Sheet74!G15</f>
        <v>Agyemang Justice Owusu</v>
      </c>
      <c r="C580" s="260">
        <v>179</v>
      </c>
      <c r="D580" s="260" t="str">
        <f t="shared" si="77"/>
        <v>ED2-TEL</v>
      </c>
      <c r="E580" s="260" t="str">
        <f>[9]Sheet74!B15</f>
        <v>TE 255</v>
      </c>
      <c r="F580" s="260"/>
      <c r="G580" s="260" t="str">
        <f>[9]Sheet74!E15</f>
        <v>INTRODUCTION TO PROGRAMMING II</v>
      </c>
    </row>
    <row r="581" spans="1:7" s="3" customFormat="1" x14ac:dyDescent="0.35">
      <c r="A581" s="257" t="str">
        <f t="shared" si="70"/>
        <v>TE 291,ED2-TEL</v>
      </c>
      <c r="B581" s="312" t="str">
        <f>[9]Sheet74!G16</f>
        <v>Affum Emmanuel Ampoma</v>
      </c>
      <c r="C581" s="260">
        <v>179</v>
      </c>
      <c r="D581" s="260" t="str">
        <f t="shared" si="77"/>
        <v>ED2-TEL</v>
      </c>
      <c r="E581" s="260" t="str">
        <f>[9]Sheet74!B16</f>
        <v>TE 291</v>
      </c>
      <c r="F581" s="260"/>
      <c r="G581" s="260" t="str">
        <f>[9]Sheet74!E16</f>
        <v>ANALOG COMMUNICATION LAB</v>
      </c>
    </row>
    <row r="582" spans="1:7" x14ac:dyDescent="0.35">
      <c r="A582" s="257" t="str">
        <f t="shared" si="70"/>
        <v>FC 181,ED2-TEL</v>
      </c>
      <c r="B582" s="312" t="str">
        <f>[9]Sheet74!G17</f>
        <v>Ocloo Alexander</v>
      </c>
      <c r="C582" s="260">
        <v>104</v>
      </c>
      <c r="D582" s="260" t="str">
        <f t="shared" si="77"/>
        <v>ED2-TEL</v>
      </c>
      <c r="E582" s="260" t="str">
        <f>[9]Sheet74!B17</f>
        <v>FC 181</v>
      </c>
      <c r="F582" s="260"/>
      <c r="G582" s="260" t="str">
        <f>[9]Sheet74!E17</f>
        <v>FRENCH FOR COMMUNICATION PURPOSES I</v>
      </c>
    </row>
    <row r="583" spans="1:7" x14ac:dyDescent="0.35">
      <c r="A583" s="257" t="str">
        <f t="shared" si="70"/>
        <v>EE 371,ED3-TEL</v>
      </c>
      <c r="B583" s="312" t="str">
        <f>[9]Sheet75!G8</f>
        <v>Acheampong Francisca Adoma</v>
      </c>
      <c r="C583" s="260">
        <v>147</v>
      </c>
      <c r="D583" s="260" t="s">
        <v>18</v>
      </c>
      <c r="E583" s="260" t="str">
        <f>[9]Sheet75!B8</f>
        <v>EE 371</v>
      </c>
      <c r="F583" s="260"/>
      <c r="G583" s="260" t="str">
        <f>[9]Sheet75!E8</f>
        <v>MICROELECTRONIC CIRCUITS</v>
      </c>
    </row>
    <row r="584" spans="1:7" x14ac:dyDescent="0.35">
      <c r="A584" s="257" t="str">
        <f t="shared" si="70"/>
        <v>MATH 351,ED3-TEL</v>
      </c>
      <c r="B584" s="312" t="str">
        <f>[9]Sheet75!G9</f>
        <v>Awashie Gaston Edem</v>
      </c>
      <c r="C584" s="260">
        <v>147</v>
      </c>
      <c r="D584" s="260" t="str">
        <f t="shared" ref="D584:D588" si="78">D583</f>
        <v>ED3-TEL</v>
      </c>
      <c r="E584" s="260" t="str">
        <f>[9]Sheet75!B9</f>
        <v>MATH 351</v>
      </c>
      <c r="F584" s="260"/>
      <c r="G584" s="260" t="str">
        <f>[9]Sheet75!E9</f>
        <v>NUMERICAL ANALYSIS</v>
      </c>
    </row>
    <row r="585" spans="1:7" x14ac:dyDescent="0.35">
      <c r="A585" s="257" t="str">
        <f t="shared" si="70"/>
        <v>TE 351,ED3-TEL</v>
      </c>
      <c r="B585" s="312" t="str">
        <f>[9]Sheet75!G10</f>
        <v>Obour Agyekum Kwame Opuni-Boachie</v>
      </c>
      <c r="C585" s="260">
        <v>147</v>
      </c>
      <c r="D585" s="260" t="str">
        <f t="shared" si="78"/>
        <v>ED3-TEL</v>
      </c>
      <c r="E585" s="260" t="str">
        <f>[9]Sheet75!B10</f>
        <v>TE 351</v>
      </c>
      <c r="F585" s="260"/>
      <c r="G585" s="260" t="str">
        <f>[9]Sheet75!E10</f>
        <v>INFORMATION THEORY AND CODING</v>
      </c>
    </row>
    <row r="586" spans="1:7" x14ac:dyDescent="0.35">
      <c r="A586" s="257" t="str">
        <f t="shared" ref="A586:A599" si="79">_xlfn.CONCAT(E586,",",D586)</f>
        <v>TE 353,ED3-TEL</v>
      </c>
      <c r="B586" s="312" t="str">
        <f>[9]Sheet75!G11</f>
        <v>Obour Agyekum Kwame Opuni-Boachie</v>
      </c>
      <c r="C586" s="260">
        <v>147</v>
      </c>
      <c r="D586" s="260" t="str">
        <f t="shared" si="78"/>
        <v>ED3-TEL</v>
      </c>
      <c r="E586" s="260" t="str">
        <f>[9]Sheet75!B11</f>
        <v>TE 353</v>
      </c>
      <c r="F586" s="260"/>
      <c r="G586" s="260" t="str">
        <f>[9]Sheet75!E11</f>
        <v>RANDOM VARIABLES AND STOCHASTIC PROCESSES</v>
      </c>
    </row>
    <row r="587" spans="1:7" x14ac:dyDescent="0.35">
      <c r="A587" s="257" t="str">
        <f t="shared" si="79"/>
        <v>TE 355,ED3-TEL</v>
      </c>
      <c r="B587" s="312" t="str">
        <f>[9]Sheet75!G12</f>
        <v>Agyekum Kwame Agyeman-Prempeh</v>
      </c>
      <c r="C587" s="260">
        <v>147</v>
      </c>
      <c r="D587" s="260" t="str">
        <f t="shared" si="78"/>
        <v>ED3-TEL</v>
      </c>
      <c r="E587" s="260" t="str">
        <f>[9]Sheet75!B12</f>
        <v>TE 355</v>
      </c>
      <c r="F587" s="260"/>
      <c r="G587" s="260" t="str">
        <f>[9]Sheet75!E12</f>
        <v>SIGNALS AND SYSTEMS</v>
      </c>
    </row>
    <row r="588" spans="1:7" x14ac:dyDescent="0.35">
      <c r="A588" s="257" t="str">
        <f t="shared" si="79"/>
        <v>TE 357,ED3-TEL</v>
      </c>
      <c r="B588" s="312" t="str">
        <f>[9]Sheet75!G13</f>
        <v>Gadze James Dzisi</v>
      </c>
      <c r="C588" s="260">
        <v>147</v>
      </c>
      <c r="D588" s="260" t="str">
        <f t="shared" si="78"/>
        <v>ED3-TEL</v>
      </c>
      <c r="E588" s="260" t="str">
        <f>[9]Sheet75!B13</f>
        <v>TE 357</v>
      </c>
      <c r="F588" s="260"/>
      <c r="G588" s="260" t="str">
        <f>[9]Sheet75!E13</f>
        <v>OPTICAL COMMUNICATION</v>
      </c>
    </row>
    <row r="589" spans="1:7" x14ac:dyDescent="0.35">
      <c r="A589" s="257" t="str">
        <f t="shared" si="79"/>
        <v>TE 391,ED3-TEL</v>
      </c>
      <c r="B589" s="312" t="str">
        <f>[9]Sheet75!G14</f>
        <v>Acheampong Francisca Adoma</v>
      </c>
      <c r="C589" s="260">
        <v>147</v>
      </c>
      <c r="D589" s="260" t="str">
        <f>D588</f>
        <v>ED3-TEL</v>
      </c>
      <c r="E589" s="260" t="str">
        <f>[9]Sheet75!B14</f>
        <v>TE 391</v>
      </c>
      <c r="F589" s="260"/>
      <c r="G589" s="260" t="str">
        <f>[9]Sheet75!E14</f>
        <v>OPTICAL COMMUNICATION LAB</v>
      </c>
    </row>
    <row r="590" spans="1:7" x14ac:dyDescent="0.35">
      <c r="A590" s="257" t="str">
        <f t="shared" si="79"/>
        <v>TE 451,ED4-TEL</v>
      </c>
      <c r="B590" s="312" t="str">
        <f>[9]Sheet76!G9</f>
        <v>Agyemang Justice Owusu</v>
      </c>
      <c r="C590" s="260">
        <v>142</v>
      </c>
      <c r="D590" s="260" t="s">
        <v>52</v>
      </c>
      <c r="E590" s="260" t="str">
        <f>[9]Sheet76!B9</f>
        <v>TE 451</v>
      </c>
      <c r="F590" s="260"/>
      <c r="G590" s="260" t="str">
        <f>[9]Sheet76!E9</f>
        <v>FUNDAMENTALS OF NETWORK SECURITY</v>
      </c>
    </row>
    <row r="591" spans="1:7" x14ac:dyDescent="0.35">
      <c r="A591" s="257" t="str">
        <f t="shared" si="79"/>
        <v>TE 457,ED4-TEL</v>
      </c>
      <c r="B591" s="312" t="str">
        <f>[9]Sheet76!G10</f>
        <v>Kponyo Jerry John</v>
      </c>
      <c r="C591" s="260">
        <v>142</v>
      </c>
      <c r="D591" s="260" t="str">
        <f t="shared" ref="D591:D597" si="80">D590</f>
        <v>ED4-TEL</v>
      </c>
      <c r="E591" s="260" t="str">
        <f>[9]Sheet76!B10</f>
        <v>TE 457</v>
      </c>
      <c r="F591" s="260"/>
      <c r="G591" s="260" t="str">
        <f>[9]Sheet76!E10</f>
        <v>EMERGING TRENDS IN COMMUNICATION</v>
      </c>
    </row>
    <row r="592" spans="1:7" x14ac:dyDescent="0.35">
      <c r="A592" s="257" t="str">
        <f t="shared" si="79"/>
        <v>TE 455,ED4-TEL</v>
      </c>
      <c r="B592" s="312" t="str">
        <f>[9]Sheet76!G11</f>
        <v>Abdul-Rahman Ahmed</v>
      </c>
      <c r="C592" s="260">
        <v>142</v>
      </c>
      <c r="D592" s="260" t="str">
        <f>D591</f>
        <v>ED4-TEL</v>
      </c>
      <c r="E592" s="260" t="str">
        <f>[9]Sheet76!B11</f>
        <v>TE 455</v>
      </c>
      <c r="F592" s="260"/>
      <c r="G592" s="260" t="str">
        <f>[9]Sheet76!E11</f>
        <v>MICROWAVE ENGINEERING</v>
      </c>
    </row>
    <row r="593" spans="1:7" x14ac:dyDescent="0.35">
      <c r="A593" s="257" t="str">
        <f t="shared" si="79"/>
        <v>TE 453,ED4-TEL</v>
      </c>
      <c r="B593" s="312" t="str">
        <f>[9]Sheet76!G12</f>
        <v>Agyekum Kwame Agyeman-Prempeh</v>
      </c>
      <c r="C593" s="260">
        <v>142</v>
      </c>
      <c r="D593" s="260" t="str">
        <f t="shared" si="80"/>
        <v>ED4-TEL</v>
      </c>
      <c r="E593" s="260" t="str">
        <f>[9]Sheet76!B12</f>
        <v>TE 453</v>
      </c>
      <c r="F593" s="260"/>
      <c r="G593" s="260" t="str">
        <f>[9]Sheet76!E12</f>
        <v>MOBILE AND WIRELESS COMMUNICATIONS</v>
      </c>
    </row>
    <row r="594" spans="1:7" x14ac:dyDescent="0.35">
      <c r="A594" s="257" t="str">
        <f t="shared" si="79"/>
        <v>TE 459,ED4-TEL</v>
      </c>
      <c r="B594" s="312" t="str">
        <f>[9]Sheet76!G13</f>
        <v>Opare Kwasi Adu-Boahen</v>
      </c>
      <c r="C594" s="260">
        <v>142</v>
      </c>
      <c r="D594" s="260" t="str">
        <f t="shared" si="80"/>
        <v>ED4-TEL</v>
      </c>
      <c r="E594" s="260" t="str">
        <f>[9]Sheet76!B13</f>
        <v>TE 459</v>
      </c>
      <c r="F594" s="260"/>
      <c r="G594" s="260" t="str">
        <f>[9]Sheet76!E13</f>
        <v>INDUSTRIAL PLACEMENT</v>
      </c>
    </row>
    <row r="595" spans="1:7" x14ac:dyDescent="0.35">
      <c r="A595" s="257" t="str">
        <f t="shared" si="79"/>
        <v>TE 497,ED4-TEL</v>
      </c>
      <c r="B595" s="312"/>
      <c r="C595" s="260">
        <v>142</v>
      </c>
      <c r="D595" s="260" t="str">
        <f t="shared" si="80"/>
        <v>ED4-TEL</v>
      </c>
      <c r="E595" s="260" t="str">
        <f>[9]Sheet76!B14</f>
        <v>TE 497</v>
      </c>
      <c r="F595" s="260"/>
      <c r="G595" s="260" t="str">
        <f>[9]Sheet76!E14</f>
        <v>PROJECT I</v>
      </c>
    </row>
    <row r="596" spans="1:7" x14ac:dyDescent="0.35">
      <c r="A596" s="257" t="str">
        <f t="shared" si="79"/>
        <v>TE 463,ED4-TEL</v>
      </c>
      <c r="B596" s="312" t="str">
        <f>[9]Sheet76!G15</f>
        <v>Obeng Kwakye Kingsford Sarkodie</v>
      </c>
      <c r="C596" s="260">
        <v>142</v>
      </c>
      <c r="D596" s="260" t="str">
        <f t="shared" si="80"/>
        <v>ED4-TEL</v>
      </c>
      <c r="E596" s="260" t="str">
        <f>[9]Sheet76!B15</f>
        <v>TE 463</v>
      </c>
      <c r="F596" s="260"/>
      <c r="G596" s="260" t="str">
        <f>[9]Sheet76!E15</f>
        <v>AVIATION COMMUNICATION</v>
      </c>
    </row>
    <row r="597" spans="1:7" x14ac:dyDescent="0.35">
      <c r="A597" s="257" t="str">
        <f t="shared" si="79"/>
        <v>TE 465,ED4-TEL</v>
      </c>
      <c r="B597" s="312" t="str">
        <f>[9]Sheet76!G16</f>
        <v>Affum Emmanuel Ampoma</v>
      </c>
      <c r="C597" s="260">
        <v>142</v>
      </c>
      <c r="D597" s="260" t="str">
        <f t="shared" si="80"/>
        <v>ED4-TEL</v>
      </c>
      <c r="E597" s="260" t="s">
        <v>1367</v>
      </c>
      <c r="F597" s="260"/>
      <c r="G597" s="260" t="str">
        <f>[9]Sheet76!E16</f>
        <v>DIGITAL INTEGRATED CIRCUITS</v>
      </c>
    </row>
    <row r="598" spans="1:7" x14ac:dyDescent="0.35">
      <c r="A598" s="257" t="str">
        <f t="shared" si="79"/>
        <v>,</v>
      </c>
    </row>
    <row r="599" spans="1:7" x14ac:dyDescent="0.35">
      <c r="A599" s="257" t="str">
        <f t="shared" si="79"/>
        <v>,</v>
      </c>
    </row>
  </sheetData>
  <conditionalFormatting sqref="H1:H1048576">
    <cfRule type="containsText" dxfId="73" priority="1" operator="containsText" text="0">
      <formula>NOT(ISERROR(SEARCH("0",H1)))</formula>
    </cfRule>
  </conditionalFormatting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A002E-3406-4C74-B2BF-F3A34ABA1A05}">
  <sheetPr>
    <pageSetUpPr fitToPage="1"/>
  </sheetPr>
  <dimension ref="A1:F32"/>
  <sheetViews>
    <sheetView zoomScaleNormal="100" workbookViewId="0">
      <selection activeCell="E14" sqref="A1:F32"/>
    </sheetView>
  </sheetViews>
  <sheetFormatPr defaultColWidth="8.81640625" defaultRowHeight="14" x14ac:dyDescent="0.3"/>
  <cols>
    <col min="1" max="1" width="20.54296875" style="25" customWidth="1"/>
    <col min="2" max="2" width="15" style="25" bestFit="1" customWidth="1"/>
    <col min="3" max="5" width="15" style="25" customWidth="1"/>
    <col min="6" max="6" width="9.26953125" style="25" customWidth="1"/>
    <col min="7" max="8" width="8.81640625" style="25"/>
    <col min="9" max="9" width="3.81640625" style="25" bestFit="1" customWidth="1"/>
    <col min="10" max="10" width="4.453125" style="25" customWidth="1"/>
    <col min="11" max="15" width="3.81640625" style="25" bestFit="1" customWidth="1"/>
    <col min="16" max="22" width="3.26953125" style="25" bestFit="1" customWidth="1"/>
    <col min="23" max="29" width="4" style="25" bestFit="1" customWidth="1"/>
    <col min="30" max="36" width="3.54296875" style="25" bestFit="1" customWidth="1"/>
    <col min="37" max="37" width="3.1796875" style="25" bestFit="1" customWidth="1"/>
    <col min="38" max="38" width="6.54296875" style="25" customWidth="1"/>
    <col min="39" max="39" width="5" style="25" customWidth="1"/>
    <col min="40" max="40" width="6" style="25" customWidth="1"/>
    <col min="41" max="41" width="5.81640625" style="25" customWidth="1"/>
    <col min="42" max="42" width="6.7265625" style="25" customWidth="1"/>
    <col min="43" max="16384" width="8.81640625" style="25"/>
  </cols>
  <sheetData>
    <row r="1" spans="1:6" x14ac:dyDescent="0.3">
      <c r="A1" s="386" t="s">
        <v>463</v>
      </c>
      <c r="B1" s="386"/>
      <c r="C1" s="271"/>
      <c r="D1" s="271"/>
      <c r="E1" s="271"/>
      <c r="F1" s="271"/>
    </row>
    <row r="2" spans="1:6" x14ac:dyDescent="0.3">
      <c r="A2" s="386" t="s">
        <v>464</v>
      </c>
      <c r="B2" s="386"/>
      <c r="C2" s="271"/>
      <c r="D2" s="271"/>
      <c r="E2" s="271"/>
      <c r="F2" s="271"/>
    </row>
    <row r="3" spans="1:6" ht="14.5" thickBot="1" x14ac:dyDescent="0.35">
      <c r="A3" s="28" t="s">
        <v>465</v>
      </c>
      <c r="B3" s="28" t="s">
        <v>1404</v>
      </c>
      <c r="C3" s="298"/>
      <c r="D3" s="298"/>
      <c r="E3" s="298" t="s">
        <v>1405</v>
      </c>
      <c r="F3" s="298"/>
    </row>
    <row r="4" spans="1:6" ht="15.5" x14ac:dyDescent="0.35">
      <c r="A4" s="294" t="s">
        <v>35</v>
      </c>
      <c r="B4" s="293">
        <v>60</v>
      </c>
      <c r="C4" s="395" t="s">
        <v>1403</v>
      </c>
      <c r="D4" s="399" t="s">
        <v>1402</v>
      </c>
      <c r="E4" s="292">
        <v>1</v>
      </c>
      <c r="F4" s="273"/>
    </row>
    <row r="5" spans="1:6" ht="15.5" x14ac:dyDescent="0.35">
      <c r="A5" s="294" t="s">
        <v>156</v>
      </c>
      <c r="B5" s="293">
        <v>48</v>
      </c>
      <c r="C5" s="396"/>
      <c r="D5" s="400"/>
      <c r="E5" s="292">
        <v>1</v>
      </c>
      <c r="F5" s="273"/>
    </row>
    <row r="6" spans="1:6" ht="15.5" x14ac:dyDescent="0.35">
      <c r="A6" s="294" t="s">
        <v>37</v>
      </c>
      <c r="B6" s="293">
        <v>48</v>
      </c>
      <c r="C6" s="396"/>
      <c r="D6" s="400"/>
      <c r="E6" s="292">
        <v>1</v>
      </c>
      <c r="F6" s="273"/>
    </row>
    <row r="7" spans="1:6" ht="15.5" x14ac:dyDescent="0.35">
      <c r="A7" s="294" t="s">
        <v>466</v>
      </c>
      <c r="B7" s="293">
        <v>100</v>
      </c>
      <c r="C7" s="397"/>
      <c r="D7" s="400"/>
      <c r="E7" s="297">
        <v>2</v>
      </c>
      <c r="F7" s="296"/>
    </row>
    <row r="8" spans="1:6" ht="15.5" x14ac:dyDescent="0.35">
      <c r="A8" s="295">
        <v>206</v>
      </c>
      <c r="B8" s="293">
        <v>48</v>
      </c>
      <c r="C8" s="398" t="s">
        <v>1401</v>
      </c>
      <c r="D8" s="400"/>
      <c r="E8" s="292">
        <v>1</v>
      </c>
      <c r="F8" s="273"/>
    </row>
    <row r="9" spans="1:6" ht="15.5" x14ac:dyDescent="0.35">
      <c r="A9" s="295">
        <v>303</v>
      </c>
      <c r="B9" s="293">
        <v>60</v>
      </c>
      <c r="C9" s="398"/>
      <c r="D9" s="400"/>
      <c r="E9" s="292">
        <v>1</v>
      </c>
      <c r="F9" s="273"/>
    </row>
    <row r="10" spans="1:6" ht="15.5" x14ac:dyDescent="0.35">
      <c r="A10" s="295">
        <v>304</v>
      </c>
      <c r="B10" s="293">
        <v>50</v>
      </c>
      <c r="C10" s="398"/>
      <c r="D10" s="400"/>
      <c r="E10" s="292">
        <v>1</v>
      </c>
      <c r="F10" s="273"/>
    </row>
    <row r="11" spans="1:6" ht="15.5" x14ac:dyDescent="0.35">
      <c r="A11" s="294" t="s">
        <v>61</v>
      </c>
      <c r="B11" s="293">
        <v>50</v>
      </c>
      <c r="C11" s="398" t="s">
        <v>1400</v>
      </c>
      <c r="D11" s="400"/>
      <c r="E11" s="292">
        <v>1</v>
      </c>
      <c r="F11" s="273"/>
    </row>
    <row r="12" spans="1:6" ht="15.5" x14ac:dyDescent="0.35">
      <c r="A12" s="294" t="s">
        <v>467</v>
      </c>
      <c r="B12" s="293">
        <v>48</v>
      </c>
      <c r="C12" s="398"/>
      <c r="D12" s="400"/>
      <c r="E12" s="292">
        <v>1</v>
      </c>
      <c r="F12" s="296">
        <f>SUM(B4:B12)</f>
        <v>512</v>
      </c>
    </row>
    <row r="13" spans="1:6" ht="15.5" x14ac:dyDescent="0.35">
      <c r="A13" s="289" t="s">
        <v>468</v>
      </c>
      <c r="B13" s="288">
        <v>90</v>
      </c>
      <c r="C13" s="403" t="s">
        <v>1399</v>
      </c>
      <c r="D13" s="401" t="s">
        <v>1398</v>
      </c>
      <c r="E13" s="291">
        <v>2</v>
      </c>
      <c r="F13" s="290"/>
    </row>
    <row r="14" spans="1:6" ht="15.5" x14ac:dyDescent="0.35">
      <c r="A14" s="289" t="s">
        <v>469</v>
      </c>
      <c r="B14" s="288">
        <v>90</v>
      </c>
      <c r="C14" s="403"/>
      <c r="D14" s="402"/>
      <c r="E14" s="291">
        <v>2</v>
      </c>
      <c r="F14" s="290"/>
    </row>
    <row r="15" spans="1:6" ht="15.5" x14ac:dyDescent="0.35">
      <c r="A15" s="289" t="s">
        <v>42</v>
      </c>
      <c r="B15" s="288">
        <v>90</v>
      </c>
      <c r="C15" s="403"/>
      <c r="D15" s="402"/>
      <c r="E15" s="291">
        <v>2</v>
      </c>
      <c r="F15" s="290"/>
    </row>
    <row r="16" spans="1:6" ht="15.5" x14ac:dyDescent="0.35">
      <c r="A16" s="289" t="s">
        <v>639</v>
      </c>
      <c r="B16" s="288"/>
      <c r="C16" s="403"/>
      <c r="D16" s="402"/>
      <c r="E16" s="291"/>
      <c r="F16" s="290"/>
    </row>
    <row r="17" spans="1:6" ht="15.5" x14ac:dyDescent="0.35">
      <c r="A17" s="289" t="s">
        <v>470</v>
      </c>
      <c r="B17" s="288">
        <v>60</v>
      </c>
      <c r="C17" s="403"/>
      <c r="D17" s="402"/>
      <c r="E17" s="291">
        <v>2</v>
      </c>
      <c r="F17" s="290"/>
    </row>
    <row r="18" spans="1:6" ht="15.5" x14ac:dyDescent="0.35">
      <c r="A18" s="289" t="s">
        <v>471</v>
      </c>
      <c r="B18" s="288">
        <v>90</v>
      </c>
      <c r="C18" s="403" t="s">
        <v>1397</v>
      </c>
      <c r="D18" s="402"/>
      <c r="E18" s="291">
        <v>2</v>
      </c>
      <c r="F18" s="290"/>
    </row>
    <row r="19" spans="1:6" ht="15.5" x14ac:dyDescent="0.35">
      <c r="A19" s="289" t="s">
        <v>472</v>
      </c>
      <c r="B19" s="288">
        <v>90</v>
      </c>
      <c r="C19" s="403"/>
      <c r="D19" s="402"/>
      <c r="E19" s="291">
        <v>2</v>
      </c>
      <c r="F19" s="290"/>
    </row>
    <row r="20" spans="1:6" ht="15.5" x14ac:dyDescent="0.35">
      <c r="A20" s="289" t="s">
        <v>108</v>
      </c>
      <c r="B20" s="288">
        <v>50</v>
      </c>
      <c r="C20" s="403"/>
      <c r="D20" s="402"/>
      <c r="E20" s="291">
        <v>1</v>
      </c>
      <c r="F20" s="290"/>
    </row>
    <row r="21" spans="1:6" ht="15.5" x14ac:dyDescent="0.35">
      <c r="A21" s="289" t="s">
        <v>473</v>
      </c>
      <c r="B21" s="288">
        <v>60</v>
      </c>
      <c r="C21" s="403"/>
      <c r="D21" s="402"/>
      <c r="E21" s="287">
        <v>1</v>
      </c>
      <c r="F21" s="286">
        <f>SUM(B13:B21)</f>
        <v>620</v>
      </c>
    </row>
    <row r="22" spans="1:6" ht="15.5" x14ac:dyDescent="0.35">
      <c r="A22" s="283" t="s">
        <v>474</v>
      </c>
      <c r="B22" s="282">
        <v>50</v>
      </c>
      <c r="C22" s="387" t="s">
        <v>1396</v>
      </c>
      <c r="D22" s="390" t="s">
        <v>1395</v>
      </c>
      <c r="E22" s="285">
        <v>1</v>
      </c>
      <c r="F22" s="284"/>
    </row>
    <row r="23" spans="1:6" ht="15.5" x14ac:dyDescent="0.35">
      <c r="A23" s="283" t="s">
        <v>475</v>
      </c>
      <c r="B23" s="282">
        <v>50</v>
      </c>
      <c r="C23" s="387"/>
      <c r="D23" s="391"/>
      <c r="E23" s="285">
        <v>1</v>
      </c>
      <c r="F23" s="284"/>
    </row>
    <row r="24" spans="1:6" ht="15.5" x14ac:dyDescent="0.35">
      <c r="A24" s="283" t="s">
        <v>476</v>
      </c>
      <c r="B24" s="282">
        <v>60</v>
      </c>
      <c r="C24" s="387"/>
      <c r="D24" s="391"/>
      <c r="E24" s="285">
        <v>1</v>
      </c>
      <c r="F24" s="284"/>
    </row>
    <row r="25" spans="1:6" ht="15.5" x14ac:dyDescent="0.35">
      <c r="A25" s="283" t="s">
        <v>477</v>
      </c>
      <c r="B25" s="282">
        <v>60</v>
      </c>
      <c r="C25" s="387" t="s">
        <v>1394</v>
      </c>
      <c r="D25" s="391"/>
      <c r="E25" s="285">
        <v>1</v>
      </c>
      <c r="F25" s="284"/>
    </row>
    <row r="26" spans="1:6" ht="15.5" x14ac:dyDescent="0.35">
      <c r="A26" s="283" t="s">
        <v>144</v>
      </c>
      <c r="B26" s="282">
        <v>90</v>
      </c>
      <c r="C26" s="387"/>
      <c r="D26" s="391"/>
      <c r="E26" s="281">
        <v>2</v>
      </c>
      <c r="F26" s="280">
        <f>SUM(B22:B26)</f>
        <v>310</v>
      </c>
    </row>
    <row r="27" spans="1:6" ht="15.5" x14ac:dyDescent="0.35">
      <c r="A27" s="275" t="s">
        <v>479</v>
      </c>
      <c r="B27" s="278">
        <v>170</v>
      </c>
      <c r="C27" s="279" t="s">
        <v>1393</v>
      </c>
      <c r="D27" s="392" t="s">
        <v>1392</v>
      </c>
      <c r="E27" s="277">
        <v>3</v>
      </c>
      <c r="F27" s="276"/>
    </row>
    <row r="28" spans="1:6" ht="15.5" x14ac:dyDescent="0.35">
      <c r="A28" s="275" t="s">
        <v>505</v>
      </c>
      <c r="B28" s="278">
        <v>170</v>
      </c>
      <c r="C28" s="279" t="s">
        <v>1391</v>
      </c>
      <c r="D28" s="393"/>
      <c r="E28" s="277">
        <v>3</v>
      </c>
      <c r="F28" s="276"/>
    </row>
    <row r="29" spans="1:6" ht="15.5" x14ac:dyDescent="0.35">
      <c r="A29" s="275" t="s">
        <v>105</v>
      </c>
      <c r="B29" s="278">
        <v>110</v>
      </c>
      <c r="C29" s="388" t="s">
        <v>1390</v>
      </c>
      <c r="D29" s="393"/>
      <c r="E29" s="277">
        <v>2</v>
      </c>
      <c r="F29" s="276"/>
    </row>
    <row r="30" spans="1:6" ht="16" thickBot="1" x14ac:dyDescent="0.4">
      <c r="A30" s="275" t="s">
        <v>478</v>
      </c>
      <c r="B30" s="299">
        <v>60</v>
      </c>
      <c r="C30" s="389"/>
      <c r="D30" s="394"/>
      <c r="E30" s="300">
        <v>1</v>
      </c>
      <c r="F30" s="274">
        <f>SUM(B27:B30)</f>
        <v>510</v>
      </c>
    </row>
    <row r="31" spans="1:6" x14ac:dyDescent="0.3">
      <c r="B31" s="273"/>
      <c r="E31" s="25">
        <v>1</v>
      </c>
    </row>
    <row r="32" spans="1:6" ht="15" x14ac:dyDescent="0.3">
      <c r="A32" s="27" t="s">
        <v>834</v>
      </c>
      <c r="B32" s="26">
        <f>SUM(B4:B30)</f>
        <v>1952</v>
      </c>
      <c r="C32" s="272"/>
      <c r="D32" s="272"/>
      <c r="E32" s="272">
        <f>SUM(E4:E30)</f>
        <v>39</v>
      </c>
      <c r="F32" s="271"/>
    </row>
  </sheetData>
  <mergeCells count="14">
    <mergeCell ref="A1:B1"/>
    <mergeCell ref="A2:B2"/>
    <mergeCell ref="C25:C26"/>
    <mergeCell ref="C29:C30"/>
    <mergeCell ref="D22:D26"/>
    <mergeCell ref="D27:D30"/>
    <mergeCell ref="C4:C7"/>
    <mergeCell ref="C11:C12"/>
    <mergeCell ref="C8:C10"/>
    <mergeCell ref="D4:D12"/>
    <mergeCell ref="D13:D21"/>
    <mergeCell ref="C13:C17"/>
    <mergeCell ref="C18:C21"/>
    <mergeCell ref="C22:C24"/>
  </mergeCells>
  <pageMargins left="0.7" right="0.7" top="0.75" bottom="0.75" header="0.3" footer="0.3"/>
  <pageSetup paperSize="9" scale="97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0C889-1DA7-4692-A278-7FE9D0667FFF}">
  <sheetPr>
    <pageSetUpPr fitToPage="1"/>
  </sheetPr>
  <dimension ref="A1:BF75"/>
  <sheetViews>
    <sheetView view="pageBreakPreview" zoomScale="55" zoomScaleNormal="70" zoomScaleSheetLayoutView="55" workbookViewId="0">
      <selection activeCell="F5" sqref="F5"/>
    </sheetView>
  </sheetViews>
  <sheetFormatPr defaultColWidth="11.26953125" defaultRowHeight="14" x14ac:dyDescent="0.3"/>
  <cols>
    <col min="1" max="1" width="29.7265625" style="25" customWidth="1"/>
    <col min="2" max="2" width="9.26953125" style="25" customWidth="1"/>
    <col min="3" max="3" width="6.453125" style="25" customWidth="1"/>
    <col min="4" max="4" width="12.1796875" style="25" customWidth="1"/>
    <col min="5" max="5" width="19.54296875" style="25" customWidth="1"/>
    <col min="6" max="6" width="24.26953125" style="30" customWidth="1"/>
    <col min="7" max="7" width="29.7265625" style="25" customWidth="1"/>
    <col min="8" max="8" width="24" style="25" customWidth="1"/>
    <col min="9" max="9" width="29" style="25" customWidth="1"/>
    <col min="10" max="10" width="15.7265625" style="25" customWidth="1"/>
    <col min="11" max="11" width="3.7265625" style="25" customWidth="1"/>
    <col min="12" max="12" width="45.1796875" style="25" customWidth="1"/>
    <col min="13" max="13" width="74.453125" style="25" customWidth="1"/>
    <col min="14" max="14" width="47.7265625" style="25" customWidth="1"/>
    <col min="15" max="15" width="17.7265625" style="25" customWidth="1"/>
    <col min="16" max="16" width="14.54296875" style="25" customWidth="1"/>
    <col min="17" max="17" width="5.453125" style="25" customWidth="1"/>
    <col min="18" max="42" width="3.7265625" style="25" customWidth="1"/>
    <col min="43" max="43" width="11.26953125" style="25"/>
    <col min="44" max="44" width="4.81640625" style="25" customWidth="1"/>
    <col min="45" max="45" width="4.1796875" style="25" customWidth="1"/>
    <col min="46" max="46" width="3.7265625" style="25" customWidth="1"/>
    <col min="47" max="47" width="4.54296875" style="25" customWidth="1"/>
    <col min="48" max="48" width="3.7265625" style="25" customWidth="1"/>
    <col min="49" max="49" width="4.1796875" style="25" customWidth="1"/>
    <col min="50" max="50" width="3.7265625" style="25" customWidth="1"/>
    <col min="51" max="51" width="4.54296875" style="25" customWidth="1"/>
    <col min="52" max="52" width="3.7265625" style="25" customWidth="1"/>
    <col min="53" max="53" width="4.81640625" style="25" customWidth="1"/>
    <col min="54" max="54" width="4.1796875" style="25" customWidth="1"/>
    <col min="55" max="55" width="3.7265625" style="25" customWidth="1"/>
    <col min="56" max="16384" width="11.26953125" style="25"/>
  </cols>
  <sheetData>
    <row r="1" spans="1:56" ht="35.15" customHeight="1" thickBot="1" x14ac:dyDescent="0.5">
      <c r="A1" s="108" t="s">
        <v>463</v>
      </c>
      <c r="B1" s="108"/>
      <c r="C1" s="85"/>
      <c r="D1" s="85"/>
      <c r="E1" s="79"/>
      <c r="F1" s="107"/>
      <c r="G1" s="79"/>
      <c r="H1" s="79"/>
      <c r="I1" s="79"/>
      <c r="J1" s="79"/>
      <c r="K1" s="79"/>
    </row>
    <row r="2" spans="1:56" ht="35.15" customHeight="1" thickBot="1" x14ac:dyDescent="0.5">
      <c r="A2" s="108" t="s">
        <v>464</v>
      </c>
      <c r="B2" s="108"/>
      <c r="C2" s="85"/>
      <c r="D2" s="85"/>
      <c r="E2" s="79"/>
      <c r="F2" s="107"/>
      <c r="G2" s="79"/>
      <c r="H2" s="79"/>
      <c r="I2" s="412"/>
      <c r="J2" s="412"/>
      <c r="K2" s="412"/>
      <c r="L2" s="413" t="s">
        <v>463</v>
      </c>
      <c r="M2" s="414"/>
      <c r="N2" s="102"/>
      <c r="O2" s="102"/>
      <c r="P2" s="10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 s="404"/>
      <c r="AO2" s="404"/>
      <c r="AP2" s="404"/>
      <c r="AQ2"/>
      <c r="AR2"/>
      <c r="AS2"/>
      <c r="AT2"/>
      <c r="AU2"/>
      <c r="AV2"/>
      <c r="AW2"/>
      <c r="AX2"/>
      <c r="AY2"/>
      <c r="AZ2"/>
      <c r="BA2"/>
      <c r="BB2"/>
      <c r="BC2"/>
      <c r="BD2"/>
    </row>
    <row r="3" spans="1:56" ht="35.15" customHeight="1" thickBot="1" x14ac:dyDescent="0.45">
      <c r="A3" s="26"/>
      <c r="B3" s="405" t="s">
        <v>526</v>
      </c>
      <c r="C3" s="405"/>
      <c r="D3" s="405"/>
      <c r="E3" s="106" t="s">
        <v>525</v>
      </c>
      <c r="F3" s="105" t="s">
        <v>1846</v>
      </c>
      <c r="G3" s="104" t="s">
        <v>524</v>
      </c>
      <c r="H3" s="104" t="s">
        <v>523</v>
      </c>
      <c r="I3" s="406" t="s">
        <v>522</v>
      </c>
      <c r="J3" s="408" t="s">
        <v>521</v>
      </c>
      <c r="K3" s="103"/>
      <c r="L3" s="410" t="s">
        <v>464</v>
      </c>
      <c r="M3" s="411"/>
      <c r="N3" s="102"/>
      <c r="O3" s="102"/>
      <c r="P3" s="102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  <c r="BB3"/>
      <c r="BC3"/>
      <c r="BD3"/>
    </row>
    <row r="4" spans="1:56" ht="35.15" customHeight="1" x14ac:dyDescent="0.5">
      <c r="A4" s="27" t="s">
        <v>465</v>
      </c>
      <c r="B4" s="27" t="s">
        <v>520</v>
      </c>
      <c r="C4" s="27" t="s">
        <v>35</v>
      </c>
      <c r="D4" s="27" t="s">
        <v>519</v>
      </c>
      <c r="E4" s="27" t="s">
        <v>518</v>
      </c>
      <c r="F4" s="101" t="s">
        <v>517</v>
      </c>
      <c r="G4" s="27" t="s">
        <v>516</v>
      </c>
      <c r="H4" s="27" t="s">
        <v>515</v>
      </c>
      <c r="I4" s="407"/>
      <c r="J4" s="409"/>
      <c r="K4" s="87"/>
      <c r="L4" s="100" t="s">
        <v>465</v>
      </c>
      <c r="M4" s="99" t="s">
        <v>514</v>
      </c>
      <c r="N4" s="99" t="s">
        <v>513</v>
      </c>
      <c r="O4" s="99" t="s">
        <v>512</v>
      </c>
      <c r="P4" s="99" t="s">
        <v>511</v>
      </c>
      <c r="Q4" s="98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 s="79"/>
      <c r="AR4"/>
      <c r="AS4"/>
      <c r="AT4"/>
      <c r="AU4"/>
      <c r="AV4"/>
      <c r="AW4"/>
      <c r="AX4"/>
      <c r="AY4"/>
      <c r="AZ4"/>
      <c r="BA4"/>
      <c r="BB4"/>
      <c r="BC4"/>
      <c r="BD4"/>
    </row>
    <row r="5" spans="1:56" ht="35.15" customHeight="1" x14ac:dyDescent="0.55000000000000004">
      <c r="A5" s="55" t="s">
        <v>35</v>
      </c>
      <c r="B5" s="55">
        <v>1</v>
      </c>
      <c r="C5" s="88">
        <v>1</v>
      </c>
      <c r="D5" s="88">
        <v>1</v>
      </c>
      <c r="E5" s="84">
        <f>SUM(B5:D5)</f>
        <v>3</v>
      </c>
      <c r="F5" s="84">
        <f>E5*6</f>
        <v>18</v>
      </c>
      <c r="G5" s="72">
        <f t="shared" ref="G5:G29" si="0">F5/16</f>
        <v>1.125</v>
      </c>
      <c r="H5" s="55"/>
      <c r="I5" s="70">
        <f t="shared" ref="I5:I29" si="1">E5*J5</f>
        <v>90</v>
      </c>
      <c r="J5" s="70">
        <v>30</v>
      </c>
      <c r="K5" s="87"/>
      <c r="L5" s="83" t="s">
        <v>35</v>
      </c>
      <c r="M5" s="97"/>
      <c r="N5" s="97"/>
      <c r="O5" s="97"/>
      <c r="P5" s="81" t="s">
        <v>506</v>
      </c>
      <c r="Q5" s="65"/>
      <c r="R5" s="65"/>
      <c r="S5" s="65"/>
      <c r="T5" s="65"/>
      <c r="U5" s="65"/>
      <c r="V5" s="65"/>
      <c r="W5" s="65"/>
      <c r="X5" s="65"/>
      <c r="Y5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 s="79"/>
      <c r="AR5"/>
      <c r="AS5"/>
      <c r="AT5"/>
      <c r="AU5"/>
      <c r="AV5"/>
      <c r="AW5"/>
      <c r="AX5"/>
      <c r="AY5"/>
      <c r="AZ5"/>
      <c r="BA5"/>
      <c r="BB5"/>
      <c r="BC5"/>
      <c r="BD5"/>
    </row>
    <row r="6" spans="1:56" ht="35.15" customHeight="1" x14ac:dyDescent="0.55000000000000004">
      <c r="A6" s="55" t="s">
        <v>510</v>
      </c>
      <c r="B6" s="55">
        <v>1</v>
      </c>
      <c r="C6" s="88">
        <v>1</v>
      </c>
      <c r="D6" s="88">
        <v>1</v>
      </c>
      <c r="E6" s="84">
        <f t="shared" ref="E6:E29" si="2">SUM(C6:D6)</f>
        <v>2</v>
      </c>
      <c r="F6" s="84">
        <f t="shared" ref="F6:F29" si="3">E6*6</f>
        <v>12</v>
      </c>
      <c r="G6" s="72">
        <f t="shared" si="0"/>
        <v>0.75</v>
      </c>
      <c r="H6" s="55"/>
      <c r="I6" s="70">
        <f t="shared" si="1"/>
        <v>60</v>
      </c>
      <c r="J6" s="70">
        <v>30</v>
      </c>
      <c r="K6" s="87"/>
      <c r="L6" s="83" t="s">
        <v>156</v>
      </c>
      <c r="M6" s="82"/>
      <c r="N6" s="82"/>
      <c r="O6" s="82"/>
      <c r="P6" s="81" t="s">
        <v>509</v>
      </c>
      <c r="Q6" s="65"/>
      <c r="R6" s="65"/>
      <c r="S6" s="65"/>
      <c r="T6" s="65"/>
      <c r="U6" s="65"/>
      <c r="V6" s="65"/>
      <c r="W6" s="65"/>
      <c r="X6" s="65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 s="79"/>
      <c r="AR6"/>
      <c r="AS6"/>
      <c r="AT6"/>
      <c r="AU6"/>
      <c r="AV6"/>
      <c r="AW6"/>
      <c r="AX6"/>
      <c r="AY6"/>
      <c r="AZ6"/>
      <c r="BA6"/>
      <c r="BB6"/>
      <c r="BC6"/>
      <c r="BD6"/>
    </row>
    <row r="7" spans="1:56" ht="35.15" customHeight="1" x14ac:dyDescent="0.55000000000000004">
      <c r="A7" s="55" t="s">
        <v>508</v>
      </c>
      <c r="B7" s="55">
        <v>1</v>
      </c>
      <c r="C7" s="88">
        <v>1</v>
      </c>
      <c r="D7" s="88">
        <v>1</v>
      </c>
      <c r="E7" s="84">
        <f t="shared" si="2"/>
        <v>2</v>
      </c>
      <c r="F7" s="84">
        <f t="shared" si="3"/>
        <v>12</v>
      </c>
      <c r="G7" s="72">
        <f t="shared" si="0"/>
        <v>0.75</v>
      </c>
      <c r="H7" s="55"/>
      <c r="I7" s="70">
        <f t="shared" si="1"/>
        <v>60</v>
      </c>
      <c r="J7" s="70">
        <v>30</v>
      </c>
      <c r="K7" s="87"/>
      <c r="L7" s="83" t="s">
        <v>37</v>
      </c>
      <c r="M7" s="82"/>
      <c r="N7" s="82"/>
      <c r="O7" s="82"/>
      <c r="P7" s="81" t="s">
        <v>506</v>
      </c>
      <c r="Q7" s="65"/>
      <c r="R7" s="65"/>
      <c r="S7" s="65"/>
      <c r="T7" s="65"/>
      <c r="U7" s="65"/>
      <c r="V7" s="65"/>
      <c r="W7" s="65"/>
      <c r="X7" s="65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 s="96"/>
      <c r="AR7"/>
      <c r="AS7"/>
      <c r="AT7"/>
      <c r="AU7"/>
      <c r="AV7"/>
      <c r="AW7"/>
      <c r="AX7"/>
      <c r="AY7"/>
      <c r="AZ7"/>
      <c r="BA7"/>
      <c r="BB7"/>
      <c r="BC7"/>
      <c r="BD7"/>
    </row>
    <row r="8" spans="1:56" ht="35.15" customHeight="1" x14ac:dyDescent="0.55000000000000004">
      <c r="A8" s="95">
        <v>206</v>
      </c>
      <c r="B8" s="55">
        <v>1</v>
      </c>
      <c r="C8" s="88">
        <v>1</v>
      </c>
      <c r="D8" s="88">
        <v>1</v>
      </c>
      <c r="E8" s="84">
        <f t="shared" si="2"/>
        <v>2</v>
      </c>
      <c r="F8" s="84">
        <f t="shared" si="3"/>
        <v>12</v>
      </c>
      <c r="G8" s="72">
        <f t="shared" si="0"/>
        <v>0.75</v>
      </c>
      <c r="H8" s="55"/>
      <c r="I8" s="70">
        <f t="shared" si="1"/>
        <v>52</v>
      </c>
      <c r="J8" s="70">
        <v>26</v>
      </c>
      <c r="K8" s="87"/>
      <c r="L8" s="94">
        <v>206</v>
      </c>
      <c r="M8" s="82"/>
      <c r="N8" s="82"/>
      <c r="O8" s="82"/>
      <c r="P8" s="81" t="s">
        <v>506</v>
      </c>
      <c r="Q8" s="65"/>
      <c r="R8" s="65"/>
      <c r="S8" s="65"/>
      <c r="T8" s="65"/>
      <c r="U8" s="65"/>
      <c r="V8" s="65"/>
      <c r="W8" s="65"/>
      <c r="X8" s="65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 s="96"/>
      <c r="AR8"/>
      <c r="AS8"/>
      <c r="AT8"/>
      <c r="AU8"/>
      <c r="AV8"/>
      <c r="AW8"/>
      <c r="AX8"/>
      <c r="AY8"/>
      <c r="AZ8"/>
      <c r="BA8"/>
      <c r="BB8"/>
      <c r="BC8"/>
      <c r="BD8"/>
    </row>
    <row r="9" spans="1:56" ht="35.15" customHeight="1" x14ac:dyDescent="0.55000000000000004">
      <c r="A9" s="95">
        <v>303</v>
      </c>
      <c r="B9" s="55">
        <v>1</v>
      </c>
      <c r="C9" s="88">
        <v>1</v>
      </c>
      <c r="D9" s="88">
        <v>1</v>
      </c>
      <c r="E9" s="84">
        <f t="shared" si="2"/>
        <v>2</v>
      </c>
      <c r="F9" s="84">
        <f t="shared" si="3"/>
        <v>12</v>
      </c>
      <c r="G9" s="72">
        <f t="shared" si="0"/>
        <v>0.75</v>
      </c>
      <c r="H9" s="55"/>
      <c r="I9" s="70">
        <f t="shared" si="1"/>
        <v>60</v>
      </c>
      <c r="J9" s="70">
        <v>30</v>
      </c>
      <c r="K9" s="87"/>
      <c r="L9" s="94">
        <v>303</v>
      </c>
      <c r="M9" s="82"/>
      <c r="N9" s="82"/>
      <c r="O9" s="82"/>
      <c r="P9" s="81" t="s">
        <v>506</v>
      </c>
      <c r="Q9" s="65"/>
      <c r="R9" s="65"/>
      <c r="S9" s="65"/>
      <c r="T9" s="65"/>
      <c r="U9" s="65"/>
      <c r="V9" s="65"/>
      <c r="W9" s="65"/>
      <c r="X9" s="65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 s="96"/>
      <c r="AR9"/>
      <c r="AS9"/>
      <c r="AT9"/>
      <c r="AU9"/>
      <c r="AV9"/>
      <c r="AW9"/>
      <c r="AX9"/>
      <c r="AY9"/>
      <c r="AZ9"/>
      <c r="BA9"/>
      <c r="BB9"/>
      <c r="BC9"/>
      <c r="BD9"/>
    </row>
    <row r="10" spans="1:56" ht="35.15" customHeight="1" x14ac:dyDescent="0.55000000000000004">
      <c r="A10" s="95">
        <v>304</v>
      </c>
      <c r="B10" s="55">
        <v>1</v>
      </c>
      <c r="C10" s="88">
        <v>1</v>
      </c>
      <c r="D10" s="88">
        <v>1</v>
      </c>
      <c r="E10" s="84">
        <f t="shared" si="2"/>
        <v>2</v>
      </c>
      <c r="F10" s="84">
        <f t="shared" si="3"/>
        <v>12</v>
      </c>
      <c r="G10" s="72">
        <f t="shared" si="0"/>
        <v>0.75</v>
      </c>
      <c r="H10" s="55"/>
      <c r="I10" s="70">
        <f t="shared" si="1"/>
        <v>52</v>
      </c>
      <c r="J10" s="70">
        <v>26</v>
      </c>
      <c r="K10" s="87"/>
      <c r="L10" s="94">
        <v>304</v>
      </c>
      <c r="M10" s="82"/>
      <c r="N10" s="82"/>
      <c r="O10" s="82"/>
      <c r="P10" s="81" t="s">
        <v>506</v>
      </c>
      <c r="Q10" s="65"/>
      <c r="R10" s="65"/>
      <c r="S10" s="65"/>
      <c r="T10" s="65"/>
      <c r="U10" s="65"/>
      <c r="V10" s="65"/>
      <c r="W10" s="65"/>
      <c r="X10" s="65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 s="79"/>
      <c r="AR10"/>
      <c r="AS10"/>
      <c r="AT10"/>
      <c r="AU10"/>
      <c r="AV10"/>
      <c r="AW10"/>
      <c r="AX10"/>
      <c r="AY10"/>
      <c r="AZ10"/>
      <c r="BA10"/>
      <c r="BB10"/>
      <c r="BC10"/>
      <c r="BD10"/>
    </row>
    <row r="11" spans="1:56" ht="35.15" customHeight="1" x14ac:dyDescent="0.55000000000000004">
      <c r="A11" s="89" t="s">
        <v>477</v>
      </c>
      <c r="B11" s="89">
        <v>1</v>
      </c>
      <c r="C11" s="88">
        <v>1</v>
      </c>
      <c r="D11" s="88">
        <v>1</v>
      </c>
      <c r="E11" s="84">
        <f t="shared" si="2"/>
        <v>2</v>
      </c>
      <c r="F11" s="84">
        <f t="shared" si="3"/>
        <v>12</v>
      </c>
      <c r="G11" s="72">
        <f t="shared" si="0"/>
        <v>0.75</v>
      </c>
      <c r="H11" s="55"/>
      <c r="I11" s="70">
        <f t="shared" si="1"/>
        <v>56</v>
      </c>
      <c r="J11" s="70">
        <v>28</v>
      </c>
      <c r="K11" s="87"/>
      <c r="L11" s="86" t="s">
        <v>477</v>
      </c>
      <c r="M11" s="82"/>
      <c r="N11" s="82"/>
      <c r="O11" s="82"/>
      <c r="P11" s="81" t="s">
        <v>506</v>
      </c>
      <c r="Q11" s="65"/>
      <c r="R11" s="65"/>
      <c r="S11" s="65"/>
      <c r="T11" s="65"/>
      <c r="U11" s="65"/>
      <c r="V11" s="65"/>
      <c r="W11" s="65"/>
      <c r="X11" s="65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 s="79"/>
      <c r="AR11"/>
      <c r="AS11"/>
      <c r="AT11"/>
      <c r="AU11"/>
      <c r="AV11"/>
      <c r="AW11"/>
      <c r="AX11"/>
      <c r="AY11"/>
      <c r="AZ11"/>
      <c r="BA11"/>
      <c r="BB11"/>
      <c r="BC11"/>
      <c r="BD11"/>
    </row>
    <row r="12" spans="1:56" ht="35.15" customHeight="1" x14ac:dyDescent="0.55000000000000004">
      <c r="A12" s="93" t="s">
        <v>144</v>
      </c>
      <c r="B12" s="93">
        <v>1</v>
      </c>
      <c r="C12" s="88">
        <v>2</v>
      </c>
      <c r="D12" s="88">
        <v>1</v>
      </c>
      <c r="E12" s="84">
        <f t="shared" si="2"/>
        <v>3</v>
      </c>
      <c r="F12" s="84">
        <f t="shared" si="3"/>
        <v>18</v>
      </c>
      <c r="G12" s="72">
        <f t="shared" si="0"/>
        <v>1.125</v>
      </c>
      <c r="H12" s="55"/>
      <c r="I12" s="70">
        <f t="shared" si="1"/>
        <v>90</v>
      </c>
      <c r="J12" s="70">
        <v>30</v>
      </c>
      <c r="K12" s="87"/>
      <c r="L12" s="92" t="s">
        <v>144</v>
      </c>
      <c r="M12" s="82"/>
      <c r="N12" s="82"/>
      <c r="O12" s="82"/>
      <c r="P12" s="81" t="s">
        <v>506</v>
      </c>
      <c r="Q12" s="65"/>
      <c r="R12" s="65"/>
      <c r="S12" s="65"/>
      <c r="T12" s="65"/>
      <c r="U12" s="65"/>
      <c r="V12" s="65"/>
      <c r="W12" s="65"/>
      <c r="X12" s="65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 s="79"/>
      <c r="AR12"/>
      <c r="AS12"/>
      <c r="AT12"/>
      <c r="AU12"/>
      <c r="AV12"/>
      <c r="AW12"/>
      <c r="AX12"/>
      <c r="AY12"/>
      <c r="AZ12"/>
      <c r="BA12"/>
      <c r="BB12"/>
      <c r="BC12"/>
      <c r="BD12"/>
    </row>
    <row r="13" spans="1:56" ht="35.15" customHeight="1" x14ac:dyDescent="0.55000000000000004">
      <c r="A13" s="89" t="s">
        <v>476</v>
      </c>
      <c r="B13" s="89">
        <v>1</v>
      </c>
      <c r="C13" s="88">
        <v>1</v>
      </c>
      <c r="D13" s="88">
        <v>1</v>
      </c>
      <c r="E13" s="84">
        <f t="shared" si="2"/>
        <v>2</v>
      </c>
      <c r="F13" s="84">
        <f t="shared" si="3"/>
        <v>12</v>
      </c>
      <c r="G13" s="72">
        <f t="shared" si="0"/>
        <v>0.75</v>
      </c>
      <c r="H13" s="55"/>
      <c r="I13" s="70">
        <f t="shared" si="1"/>
        <v>56</v>
      </c>
      <c r="J13" s="70">
        <v>28</v>
      </c>
      <c r="K13" s="87"/>
      <c r="L13" s="86" t="s">
        <v>476</v>
      </c>
      <c r="M13" s="82"/>
      <c r="N13" s="82"/>
      <c r="O13" s="82"/>
      <c r="P13" s="81" t="s">
        <v>506</v>
      </c>
      <c r="Q13" s="65"/>
      <c r="R13" s="65"/>
      <c r="S13" s="65"/>
      <c r="T13" s="65"/>
      <c r="U13" s="65"/>
      <c r="V13" s="65"/>
      <c r="W13" s="65"/>
      <c r="X13" s="65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 s="79"/>
      <c r="AR13"/>
      <c r="AS13"/>
      <c r="AT13"/>
      <c r="AU13"/>
      <c r="AV13"/>
      <c r="AW13"/>
      <c r="AX13"/>
      <c r="AY13"/>
      <c r="AZ13"/>
      <c r="BA13"/>
      <c r="BB13"/>
      <c r="BC13"/>
      <c r="BD13"/>
    </row>
    <row r="14" spans="1:56" ht="35.15" customHeight="1" x14ac:dyDescent="0.55000000000000004">
      <c r="A14" s="55" t="s">
        <v>466</v>
      </c>
      <c r="B14" s="55">
        <v>1</v>
      </c>
      <c r="C14" s="88">
        <v>2</v>
      </c>
      <c r="D14" s="88">
        <v>1</v>
      </c>
      <c r="E14" s="84">
        <f t="shared" si="2"/>
        <v>3</v>
      </c>
      <c r="F14" s="84">
        <f t="shared" si="3"/>
        <v>18</v>
      </c>
      <c r="G14" s="72">
        <f t="shared" si="0"/>
        <v>1.125</v>
      </c>
      <c r="H14" s="55"/>
      <c r="I14" s="70">
        <f t="shared" si="1"/>
        <v>90</v>
      </c>
      <c r="J14" s="70">
        <v>30</v>
      </c>
      <c r="K14" s="87"/>
      <c r="L14" s="83" t="s">
        <v>466</v>
      </c>
      <c r="M14" s="82"/>
      <c r="N14" s="82"/>
      <c r="O14" s="82"/>
      <c r="P14" s="81" t="s">
        <v>506</v>
      </c>
      <c r="Q14" s="65"/>
      <c r="R14" s="65"/>
      <c r="S14" s="65"/>
      <c r="T14" s="65"/>
      <c r="U14" s="65"/>
      <c r="V14" s="65"/>
      <c r="W14" s="65"/>
      <c r="X14" s="65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 s="79"/>
      <c r="AR14"/>
      <c r="AS14"/>
      <c r="AT14"/>
      <c r="AU14"/>
      <c r="AV14"/>
      <c r="AW14"/>
      <c r="AX14"/>
      <c r="AY14"/>
      <c r="AZ14"/>
      <c r="BA14"/>
      <c r="BB14"/>
      <c r="BC14"/>
      <c r="BD14"/>
    </row>
    <row r="15" spans="1:56" ht="35.15" customHeight="1" x14ac:dyDescent="0.55000000000000004">
      <c r="A15" s="91" t="s">
        <v>468</v>
      </c>
      <c r="B15" s="91">
        <v>1</v>
      </c>
      <c r="C15" s="88">
        <v>2</v>
      </c>
      <c r="D15" s="88">
        <v>1</v>
      </c>
      <c r="E15" s="84">
        <f t="shared" si="2"/>
        <v>3</v>
      </c>
      <c r="F15" s="84">
        <f t="shared" si="3"/>
        <v>18</v>
      </c>
      <c r="G15" s="72">
        <f t="shared" si="0"/>
        <v>1.125</v>
      </c>
      <c r="H15" s="55"/>
      <c r="I15" s="70">
        <f t="shared" si="1"/>
        <v>90</v>
      </c>
      <c r="J15" s="70">
        <v>30</v>
      </c>
      <c r="K15" s="87"/>
      <c r="L15" s="90" t="s">
        <v>468</v>
      </c>
      <c r="M15" s="82"/>
      <c r="N15" s="82"/>
      <c r="O15" s="82"/>
      <c r="P15" s="81" t="s">
        <v>506</v>
      </c>
      <c r="Q15" s="65"/>
      <c r="R15" s="65"/>
      <c r="S15" s="65"/>
      <c r="T15" s="65"/>
      <c r="U15" s="65"/>
      <c r="V15" s="65"/>
      <c r="W15" s="65"/>
      <c r="X15" s="6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 s="79"/>
      <c r="AR15"/>
      <c r="AS15"/>
      <c r="AT15"/>
      <c r="AU15"/>
      <c r="AV15"/>
      <c r="AW15"/>
      <c r="AX15"/>
      <c r="AY15"/>
      <c r="AZ15"/>
      <c r="BA15"/>
      <c r="BB15"/>
      <c r="BC15"/>
      <c r="BD15"/>
    </row>
    <row r="16" spans="1:56" ht="35.15" customHeight="1" x14ac:dyDescent="0.55000000000000004">
      <c r="A16" s="91" t="s">
        <v>469</v>
      </c>
      <c r="B16" s="91">
        <v>1</v>
      </c>
      <c r="C16" s="88">
        <v>2</v>
      </c>
      <c r="D16" s="88">
        <v>1</v>
      </c>
      <c r="E16" s="84">
        <f t="shared" si="2"/>
        <v>3</v>
      </c>
      <c r="F16" s="84">
        <f t="shared" si="3"/>
        <v>18</v>
      </c>
      <c r="G16" s="72">
        <f t="shared" si="0"/>
        <v>1.125</v>
      </c>
      <c r="H16" s="55"/>
      <c r="I16" s="70">
        <f t="shared" si="1"/>
        <v>90</v>
      </c>
      <c r="J16" s="70">
        <v>30</v>
      </c>
      <c r="K16" s="87"/>
      <c r="L16" s="90" t="s">
        <v>469</v>
      </c>
      <c r="M16" s="82"/>
      <c r="N16" s="82"/>
      <c r="O16" s="82"/>
      <c r="P16" s="81" t="s">
        <v>506</v>
      </c>
      <c r="Q16" s="65"/>
      <c r="R16" s="65"/>
      <c r="S16" s="65"/>
      <c r="T16" s="65"/>
      <c r="U16" s="65"/>
      <c r="V16" s="65"/>
      <c r="W16" s="65"/>
      <c r="X16" s="65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 s="79"/>
      <c r="AR16"/>
      <c r="AS16"/>
      <c r="AT16"/>
      <c r="AU16"/>
      <c r="AV16"/>
      <c r="AW16"/>
      <c r="AX16"/>
      <c r="AY16"/>
      <c r="AZ16"/>
      <c r="BA16"/>
      <c r="BB16"/>
      <c r="BC16"/>
      <c r="BD16"/>
    </row>
    <row r="17" spans="1:58" ht="35.15" customHeight="1" x14ac:dyDescent="0.55000000000000004">
      <c r="A17" s="91" t="s">
        <v>42</v>
      </c>
      <c r="B17" s="91">
        <v>1</v>
      </c>
      <c r="C17" s="88">
        <v>2</v>
      </c>
      <c r="D17" s="88">
        <v>1</v>
      </c>
      <c r="E17" s="84">
        <f t="shared" si="2"/>
        <v>3</v>
      </c>
      <c r="F17" s="84">
        <f t="shared" si="3"/>
        <v>18</v>
      </c>
      <c r="G17" s="72">
        <f t="shared" si="0"/>
        <v>1.125</v>
      </c>
      <c r="H17" s="55"/>
      <c r="I17" s="70">
        <f t="shared" si="1"/>
        <v>90</v>
      </c>
      <c r="J17" s="70">
        <v>30</v>
      </c>
      <c r="K17" s="87"/>
      <c r="L17" s="90" t="s">
        <v>42</v>
      </c>
      <c r="M17" s="82"/>
      <c r="N17" s="82"/>
      <c r="O17" s="82"/>
      <c r="P17" s="81" t="s">
        <v>506</v>
      </c>
      <c r="Q17" s="65"/>
      <c r="R17" s="65"/>
      <c r="S17" s="65"/>
      <c r="T17" s="65"/>
      <c r="U17" s="65"/>
      <c r="V17" s="65"/>
      <c r="W17" s="65"/>
      <c r="X17" s="65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 s="79"/>
      <c r="AR17"/>
      <c r="AS17"/>
      <c r="AT17"/>
      <c r="AU17"/>
      <c r="AV17"/>
      <c r="AW17"/>
      <c r="AX17"/>
      <c r="AY17"/>
      <c r="AZ17"/>
      <c r="BA17"/>
      <c r="BB17"/>
      <c r="BC17"/>
      <c r="BD17"/>
    </row>
    <row r="18" spans="1:58" ht="35.15" customHeight="1" x14ac:dyDescent="0.55000000000000004">
      <c r="A18" s="91" t="s">
        <v>470</v>
      </c>
      <c r="B18" s="91">
        <v>1</v>
      </c>
      <c r="C18" s="88">
        <v>2</v>
      </c>
      <c r="D18" s="88">
        <v>1</v>
      </c>
      <c r="E18" s="84">
        <f t="shared" si="2"/>
        <v>3</v>
      </c>
      <c r="F18" s="84">
        <f t="shared" si="3"/>
        <v>18</v>
      </c>
      <c r="G18" s="72">
        <f t="shared" si="0"/>
        <v>1.125</v>
      </c>
      <c r="H18" s="55"/>
      <c r="I18" s="70">
        <f t="shared" si="1"/>
        <v>90</v>
      </c>
      <c r="J18" s="70">
        <v>30</v>
      </c>
      <c r="K18" s="87"/>
      <c r="L18" s="90" t="s">
        <v>470</v>
      </c>
      <c r="M18" s="82"/>
      <c r="N18" s="82"/>
      <c r="O18" s="82"/>
      <c r="P18" s="81" t="s">
        <v>506</v>
      </c>
      <c r="Q18" s="65"/>
      <c r="R18" s="65"/>
      <c r="S18" s="65"/>
      <c r="T18" s="65"/>
      <c r="U18" s="65"/>
      <c r="V18" s="65"/>
      <c r="W18" s="65"/>
      <c r="X18" s="65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 s="79"/>
      <c r="AR18"/>
      <c r="AS18"/>
      <c r="AT18"/>
      <c r="AU18"/>
      <c r="AV18"/>
      <c r="AW18"/>
      <c r="AX18"/>
      <c r="AY18"/>
      <c r="AZ18"/>
      <c r="BA18"/>
      <c r="BB18"/>
      <c r="BC18"/>
      <c r="BD18"/>
    </row>
    <row r="19" spans="1:58" ht="35.15" customHeight="1" x14ac:dyDescent="0.55000000000000004">
      <c r="A19" s="91" t="s">
        <v>471</v>
      </c>
      <c r="B19" s="91">
        <v>1</v>
      </c>
      <c r="C19" s="88">
        <v>2</v>
      </c>
      <c r="D19" s="88">
        <v>1</v>
      </c>
      <c r="E19" s="84">
        <f t="shared" si="2"/>
        <v>3</v>
      </c>
      <c r="F19" s="84">
        <f t="shared" si="3"/>
        <v>18</v>
      </c>
      <c r="G19" s="72">
        <f t="shared" si="0"/>
        <v>1.125</v>
      </c>
      <c r="H19" s="55"/>
      <c r="I19" s="70">
        <f t="shared" si="1"/>
        <v>90</v>
      </c>
      <c r="J19" s="70">
        <v>30</v>
      </c>
      <c r="K19" s="87"/>
      <c r="L19" s="90" t="s">
        <v>471</v>
      </c>
      <c r="M19" s="82"/>
      <c r="N19" s="82"/>
      <c r="O19" s="82"/>
      <c r="P19" s="81" t="s">
        <v>506</v>
      </c>
      <c r="Q19" s="65"/>
      <c r="R19" s="65"/>
      <c r="S19" s="65"/>
      <c r="T19" s="65"/>
      <c r="U19" s="65"/>
      <c r="V19" s="65"/>
      <c r="W19" s="65"/>
      <c r="X19" s="65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 s="79"/>
      <c r="AR19"/>
      <c r="AS19"/>
      <c r="AT19"/>
      <c r="AU19"/>
      <c r="AV19"/>
      <c r="AW19"/>
      <c r="AX19"/>
      <c r="AY19"/>
      <c r="AZ19"/>
      <c r="BA19"/>
      <c r="BB19"/>
      <c r="BC19"/>
      <c r="BD19"/>
    </row>
    <row r="20" spans="1:58" ht="35.15" customHeight="1" x14ac:dyDescent="0.55000000000000004">
      <c r="A20" s="91" t="s">
        <v>472</v>
      </c>
      <c r="B20" s="91">
        <v>1</v>
      </c>
      <c r="C20" s="88">
        <v>2</v>
      </c>
      <c r="D20" s="88">
        <v>1</v>
      </c>
      <c r="E20" s="84">
        <f t="shared" si="2"/>
        <v>3</v>
      </c>
      <c r="F20" s="84">
        <f t="shared" si="3"/>
        <v>18</v>
      </c>
      <c r="G20" s="72">
        <f t="shared" si="0"/>
        <v>1.125</v>
      </c>
      <c r="H20" s="55"/>
      <c r="I20" s="70">
        <f t="shared" si="1"/>
        <v>90</v>
      </c>
      <c r="J20" s="70">
        <v>30</v>
      </c>
      <c r="K20" s="87"/>
      <c r="L20" s="90" t="s">
        <v>472</v>
      </c>
      <c r="M20" s="82"/>
      <c r="N20" s="82"/>
      <c r="O20" s="82"/>
      <c r="P20" s="81" t="s">
        <v>506</v>
      </c>
      <c r="Q20" s="65"/>
      <c r="R20" s="65"/>
      <c r="S20" s="65"/>
      <c r="T20" s="65"/>
      <c r="U20" s="65"/>
      <c r="V20" s="65"/>
      <c r="W20" s="65"/>
      <c r="X20" s="65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 s="79"/>
      <c r="AR20"/>
      <c r="AS20"/>
      <c r="AT20"/>
      <c r="AU20"/>
      <c r="AV20"/>
      <c r="AW20"/>
      <c r="AX20"/>
      <c r="AY20"/>
      <c r="AZ20"/>
      <c r="BA20"/>
      <c r="BB20"/>
      <c r="BC20"/>
      <c r="BD20"/>
    </row>
    <row r="21" spans="1:58" ht="35.15" customHeight="1" x14ac:dyDescent="0.55000000000000004">
      <c r="A21" s="91" t="s">
        <v>108</v>
      </c>
      <c r="B21" s="91">
        <v>1</v>
      </c>
      <c r="C21" s="88">
        <v>1</v>
      </c>
      <c r="D21" s="88">
        <v>1</v>
      </c>
      <c r="E21" s="84">
        <f t="shared" si="2"/>
        <v>2</v>
      </c>
      <c r="F21" s="84">
        <f t="shared" si="3"/>
        <v>12</v>
      </c>
      <c r="G21" s="72">
        <f t="shared" si="0"/>
        <v>0.75</v>
      </c>
      <c r="H21" s="55"/>
      <c r="I21" s="70">
        <f t="shared" si="1"/>
        <v>60</v>
      </c>
      <c r="J21" s="70">
        <v>30</v>
      </c>
      <c r="K21" s="87"/>
      <c r="L21" s="90" t="s">
        <v>108</v>
      </c>
      <c r="M21" s="82"/>
      <c r="N21" s="82"/>
      <c r="O21" s="82"/>
      <c r="P21" s="81" t="s">
        <v>506</v>
      </c>
      <c r="Q21" s="65"/>
      <c r="R21" s="65"/>
      <c r="S21" s="65"/>
      <c r="T21" s="65"/>
      <c r="U21" s="65"/>
      <c r="V21" s="65"/>
      <c r="W21" s="65"/>
      <c r="X21" s="65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 s="79"/>
      <c r="AR21"/>
      <c r="AS21"/>
      <c r="AT21"/>
      <c r="AU21"/>
      <c r="AV21"/>
      <c r="AW21"/>
      <c r="AX21"/>
      <c r="AY21"/>
      <c r="AZ21"/>
      <c r="BA21"/>
      <c r="BB21"/>
      <c r="BC21"/>
      <c r="BD21"/>
    </row>
    <row r="22" spans="1:58" ht="35.15" customHeight="1" x14ac:dyDescent="0.55000000000000004">
      <c r="A22" s="91" t="s">
        <v>473</v>
      </c>
      <c r="B22" s="91">
        <v>1</v>
      </c>
      <c r="C22" s="88">
        <v>1</v>
      </c>
      <c r="D22" s="88">
        <v>1</v>
      </c>
      <c r="E22" s="84">
        <f t="shared" si="2"/>
        <v>2</v>
      </c>
      <c r="F22" s="84">
        <f t="shared" si="3"/>
        <v>12</v>
      </c>
      <c r="G22" s="72">
        <f t="shared" si="0"/>
        <v>0.75</v>
      </c>
      <c r="H22" s="55"/>
      <c r="I22" s="70">
        <f t="shared" si="1"/>
        <v>60</v>
      </c>
      <c r="J22" s="70">
        <v>30</v>
      </c>
      <c r="K22" s="87"/>
      <c r="L22" s="90" t="s">
        <v>473</v>
      </c>
      <c r="M22" s="82"/>
      <c r="N22" s="82"/>
      <c r="O22" s="82"/>
      <c r="P22" s="81" t="s">
        <v>506</v>
      </c>
      <c r="Q22" s="65"/>
      <c r="R22" s="65"/>
      <c r="S22" s="65"/>
      <c r="T22" s="65"/>
      <c r="U22" s="65"/>
      <c r="V22" s="65"/>
      <c r="W22" s="65"/>
      <c r="X22" s="65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 s="79"/>
      <c r="AR22"/>
      <c r="AS22"/>
      <c r="AT22"/>
      <c r="AU22"/>
      <c r="AV22"/>
      <c r="AW22"/>
      <c r="AX22"/>
      <c r="AY22"/>
      <c r="AZ22"/>
      <c r="BA22"/>
      <c r="BB22"/>
      <c r="BC22"/>
      <c r="BD22"/>
    </row>
    <row r="23" spans="1:58" ht="35.15" customHeight="1" x14ac:dyDescent="0.55000000000000004">
      <c r="A23" s="89" t="s">
        <v>474</v>
      </c>
      <c r="B23" s="89">
        <v>1</v>
      </c>
      <c r="C23" s="88">
        <v>1</v>
      </c>
      <c r="D23" s="88">
        <v>1</v>
      </c>
      <c r="E23" s="84">
        <f t="shared" si="2"/>
        <v>2</v>
      </c>
      <c r="F23" s="84">
        <f t="shared" si="3"/>
        <v>12</v>
      </c>
      <c r="G23" s="72">
        <f t="shared" si="0"/>
        <v>0.75</v>
      </c>
      <c r="H23" s="55"/>
      <c r="I23" s="70">
        <f t="shared" si="1"/>
        <v>48</v>
      </c>
      <c r="J23" s="70">
        <v>24</v>
      </c>
      <c r="K23" s="87"/>
      <c r="L23" s="86" t="s">
        <v>474</v>
      </c>
      <c r="M23" s="82"/>
      <c r="N23" s="82"/>
      <c r="O23" s="82"/>
      <c r="P23" s="81" t="s">
        <v>506</v>
      </c>
      <c r="Q23" s="65"/>
      <c r="R23" s="65"/>
      <c r="S23" s="65"/>
      <c r="T23" s="65"/>
      <c r="U23" s="65"/>
      <c r="V23" s="65"/>
      <c r="W23" s="65"/>
      <c r="X23" s="65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 s="79"/>
      <c r="AR23"/>
      <c r="AS23"/>
      <c r="AT23"/>
      <c r="AU23"/>
      <c r="AV23"/>
      <c r="AW23"/>
      <c r="AX23"/>
      <c r="AY23"/>
      <c r="AZ23"/>
      <c r="BA23"/>
      <c r="BB23"/>
      <c r="BC23"/>
      <c r="BD23"/>
    </row>
    <row r="24" spans="1:58" ht="35.15" customHeight="1" x14ac:dyDescent="0.55000000000000004">
      <c r="A24" s="89" t="s">
        <v>475</v>
      </c>
      <c r="B24" s="89">
        <v>1</v>
      </c>
      <c r="C24" s="88">
        <v>1</v>
      </c>
      <c r="D24" s="88">
        <v>1</v>
      </c>
      <c r="E24" s="84">
        <f t="shared" si="2"/>
        <v>2</v>
      </c>
      <c r="F24" s="84">
        <f t="shared" si="3"/>
        <v>12</v>
      </c>
      <c r="G24" s="72">
        <f t="shared" si="0"/>
        <v>0.75</v>
      </c>
      <c r="H24" s="55"/>
      <c r="I24" s="70">
        <f t="shared" si="1"/>
        <v>48</v>
      </c>
      <c r="J24" s="70">
        <v>24</v>
      </c>
      <c r="K24" s="87"/>
      <c r="L24" s="86" t="s">
        <v>475</v>
      </c>
      <c r="M24" s="82"/>
      <c r="N24" s="82"/>
      <c r="O24" s="82"/>
      <c r="P24" s="81" t="s">
        <v>506</v>
      </c>
      <c r="Q24" s="65"/>
      <c r="R24" s="65"/>
      <c r="S24" s="65"/>
      <c r="T24" s="65"/>
      <c r="U24" s="65"/>
      <c r="V24" s="65"/>
      <c r="W24" s="65"/>
      <c r="X24" s="65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 s="79"/>
      <c r="AR24"/>
      <c r="AS24"/>
      <c r="AT24"/>
      <c r="AU24"/>
      <c r="AV24"/>
      <c r="AW24"/>
      <c r="AX24"/>
      <c r="AY24"/>
      <c r="AZ24"/>
      <c r="BA24"/>
      <c r="BB24"/>
      <c r="BC24"/>
      <c r="BD24"/>
    </row>
    <row r="25" spans="1:58" ht="30" customHeight="1" x14ac:dyDescent="0.55000000000000004">
      <c r="A25" s="321" t="s">
        <v>480</v>
      </c>
      <c r="B25" s="321">
        <v>1</v>
      </c>
      <c r="C25" s="322">
        <v>2</v>
      </c>
      <c r="D25" s="322">
        <v>2</v>
      </c>
      <c r="E25" s="323">
        <f t="shared" si="2"/>
        <v>4</v>
      </c>
      <c r="F25" s="84">
        <f t="shared" si="3"/>
        <v>24</v>
      </c>
      <c r="G25" s="324">
        <f t="shared" si="0"/>
        <v>1.5</v>
      </c>
      <c r="H25" s="325"/>
      <c r="I25" s="326">
        <f t="shared" si="1"/>
        <v>120</v>
      </c>
      <c r="J25" s="326">
        <v>30</v>
      </c>
      <c r="K25" s="327"/>
      <c r="L25" s="83" t="s">
        <v>480</v>
      </c>
      <c r="M25" s="82"/>
      <c r="N25" s="82"/>
      <c r="O25" s="82"/>
      <c r="P25" s="81" t="s">
        <v>507</v>
      </c>
      <c r="Q25" s="65"/>
      <c r="R25" s="80"/>
      <c r="S25" s="65"/>
      <c r="T25" s="65"/>
      <c r="U25" s="65"/>
      <c r="V25" s="65"/>
      <c r="W25" s="65"/>
      <c r="X25" s="6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 s="79"/>
      <c r="AT25"/>
      <c r="AU25"/>
      <c r="AV25"/>
      <c r="AW25"/>
      <c r="AX25"/>
      <c r="AY25"/>
      <c r="AZ25"/>
      <c r="BA25"/>
      <c r="BB25"/>
      <c r="BC25"/>
      <c r="BD25"/>
      <c r="BE25"/>
      <c r="BF25"/>
    </row>
    <row r="26" spans="1:58" ht="30" customHeight="1" x14ac:dyDescent="0.55000000000000004">
      <c r="A26" s="85" t="s">
        <v>105</v>
      </c>
      <c r="B26" s="85">
        <v>1</v>
      </c>
      <c r="C26" s="82">
        <v>2</v>
      </c>
      <c r="D26" s="82">
        <v>2</v>
      </c>
      <c r="E26" s="84">
        <f t="shared" si="2"/>
        <v>4</v>
      </c>
      <c r="F26" s="84">
        <f t="shared" si="3"/>
        <v>24</v>
      </c>
      <c r="G26" s="72">
        <f t="shared" si="0"/>
        <v>1.5</v>
      </c>
      <c r="H26" s="55"/>
      <c r="I26" s="70">
        <f t="shared" si="1"/>
        <v>120</v>
      </c>
      <c r="J26" s="70">
        <v>30</v>
      </c>
      <c r="K26" s="11"/>
      <c r="L26" s="83" t="s">
        <v>105</v>
      </c>
      <c r="M26" s="82"/>
      <c r="N26" s="82"/>
      <c r="O26" s="82"/>
      <c r="P26" s="81" t="s">
        <v>507</v>
      </c>
      <c r="Q26" s="65"/>
      <c r="R26" s="80"/>
      <c r="S26" s="65"/>
      <c r="T26" s="65"/>
      <c r="U26" s="65"/>
      <c r="V26" s="65"/>
      <c r="W26" s="65"/>
      <c r="X26" s="65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 s="79"/>
      <c r="AT26"/>
      <c r="AU26"/>
      <c r="AV26"/>
      <c r="AW26"/>
      <c r="AX26"/>
      <c r="AY26"/>
      <c r="AZ26"/>
      <c r="BA26"/>
      <c r="BB26"/>
      <c r="BC26"/>
      <c r="BD26"/>
      <c r="BE26"/>
      <c r="BF26"/>
    </row>
    <row r="27" spans="1:58" ht="30" customHeight="1" x14ac:dyDescent="0.55000000000000004">
      <c r="A27" s="85" t="s">
        <v>478</v>
      </c>
      <c r="B27" s="85">
        <v>1</v>
      </c>
      <c r="C27" s="82">
        <v>1</v>
      </c>
      <c r="D27" s="82">
        <v>1</v>
      </c>
      <c r="E27" s="84">
        <f t="shared" si="2"/>
        <v>2</v>
      </c>
      <c r="F27" s="84">
        <f t="shared" si="3"/>
        <v>12</v>
      </c>
      <c r="G27" s="72">
        <f t="shared" si="0"/>
        <v>0.75</v>
      </c>
      <c r="H27" s="55"/>
      <c r="I27" s="70">
        <f t="shared" si="1"/>
        <v>60</v>
      </c>
      <c r="J27" s="70">
        <v>30</v>
      </c>
      <c r="K27" s="11"/>
      <c r="L27" s="83" t="s">
        <v>478</v>
      </c>
      <c r="M27" s="82"/>
      <c r="N27" s="82"/>
      <c r="O27" s="82"/>
      <c r="P27" s="81" t="s">
        <v>506</v>
      </c>
      <c r="Q27" s="65"/>
      <c r="R27" s="80"/>
      <c r="S27" s="65"/>
      <c r="T27" s="65"/>
      <c r="U27" s="65"/>
      <c r="V27" s="65"/>
      <c r="W27" s="65"/>
      <c r="X27" s="65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 s="31"/>
      <c r="AT27"/>
      <c r="AU27"/>
      <c r="AV27"/>
      <c r="AW27"/>
      <c r="AX27"/>
      <c r="AY27"/>
      <c r="AZ27"/>
      <c r="BA27"/>
      <c r="BB27"/>
      <c r="BC27"/>
      <c r="BD27"/>
      <c r="BE27"/>
      <c r="BF27"/>
    </row>
    <row r="28" spans="1:58" ht="30" customHeight="1" x14ac:dyDescent="0.55000000000000004">
      <c r="A28" s="85" t="s">
        <v>479</v>
      </c>
      <c r="B28" s="85">
        <v>2</v>
      </c>
      <c r="C28" s="82">
        <v>3</v>
      </c>
      <c r="D28" s="82">
        <v>2</v>
      </c>
      <c r="E28" s="84">
        <f t="shared" si="2"/>
        <v>5</v>
      </c>
      <c r="F28" s="84">
        <f t="shared" si="3"/>
        <v>30</v>
      </c>
      <c r="G28" s="72">
        <f t="shared" si="0"/>
        <v>1.875</v>
      </c>
      <c r="H28" s="55"/>
      <c r="I28" s="70">
        <f t="shared" si="1"/>
        <v>150</v>
      </c>
      <c r="J28" s="70">
        <v>30</v>
      </c>
      <c r="K28" s="11"/>
      <c r="L28" s="83" t="s">
        <v>479</v>
      </c>
      <c r="M28" s="82"/>
      <c r="N28" s="82"/>
      <c r="O28" s="82"/>
      <c r="P28" s="81" t="s">
        <v>504</v>
      </c>
      <c r="Q28" s="65"/>
      <c r="R28" s="80"/>
      <c r="S28" s="65"/>
      <c r="T28" s="65"/>
      <c r="U28" s="65"/>
      <c r="V28" s="65"/>
      <c r="W28" s="65"/>
      <c r="X28" s="65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 s="79"/>
      <c r="AT28"/>
      <c r="AU28"/>
      <c r="AV28"/>
      <c r="AW28"/>
      <c r="AX28"/>
      <c r="AY28"/>
      <c r="AZ28"/>
      <c r="BA28"/>
      <c r="BB28"/>
      <c r="BC28"/>
      <c r="BD28"/>
      <c r="BE28"/>
      <c r="BF28"/>
    </row>
    <row r="29" spans="1:58" ht="30" customHeight="1" x14ac:dyDescent="0.55000000000000004">
      <c r="A29" s="85" t="s">
        <v>505</v>
      </c>
      <c r="B29" s="85">
        <v>2</v>
      </c>
      <c r="C29" s="82">
        <v>3</v>
      </c>
      <c r="D29" s="82">
        <v>2</v>
      </c>
      <c r="E29" s="84">
        <f t="shared" si="2"/>
        <v>5</v>
      </c>
      <c r="F29" s="84">
        <f t="shared" si="3"/>
        <v>30</v>
      </c>
      <c r="G29" s="72">
        <f t="shared" si="0"/>
        <v>1.875</v>
      </c>
      <c r="H29" s="55"/>
      <c r="I29" s="70">
        <f t="shared" si="1"/>
        <v>150</v>
      </c>
      <c r="J29" s="70">
        <v>30</v>
      </c>
      <c r="K29" s="11"/>
      <c r="L29" s="83" t="s">
        <v>505</v>
      </c>
      <c r="M29" s="82"/>
      <c r="N29" s="82"/>
      <c r="O29" s="82"/>
      <c r="P29" s="81" t="s">
        <v>504</v>
      </c>
      <c r="Q29" s="65"/>
      <c r="R29" s="80"/>
      <c r="S29" s="65"/>
      <c r="T29" s="65"/>
      <c r="U29" s="65"/>
      <c r="V29" s="65"/>
      <c r="W29" s="65"/>
      <c r="X29" s="65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 s="79"/>
      <c r="AT29"/>
      <c r="AU29"/>
      <c r="AV29"/>
      <c r="AW29"/>
      <c r="AX29"/>
      <c r="AY29"/>
      <c r="AZ29"/>
      <c r="BA29"/>
      <c r="BB29"/>
      <c r="BC29"/>
      <c r="BD29"/>
      <c r="BE29"/>
      <c r="BF29"/>
    </row>
    <row r="30" spans="1:58" s="64" customFormat="1" ht="35.15" customHeight="1" x14ac:dyDescent="0.55000000000000004">
      <c r="A30" s="75" t="s">
        <v>149</v>
      </c>
      <c r="B30" s="75"/>
      <c r="C30" s="74"/>
      <c r="D30" s="74"/>
      <c r="E30" s="74">
        <v>3</v>
      </c>
      <c r="F30" s="73">
        <v>80</v>
      </c>
      <c r="G30" s="72">
        <v>4</v>
      </c>
      <c r="H30" s="78" t="s">
        <v>492</v>
      </c>
      <c r="I30" s="70">
        <v>80</v>
      </c>
      <c r="J30" s="69">
        <v>1</v>
      </c>
      <c r="K30" s="68"/>
      <c r="L30" s="67" t="s">
        <v>149</v>
      </c>
      <c r="M30" s="58"/>
      <c r="N30" s="57"/>
      <c r="O30" s="57"/>
      <c r="P30" s="66" t="s">
        <v>492</v>
      </c>
      <c r="Q30" s="65"/>
      <c r="R30" s="65"/>
      <c r="S30" s="65"/>
      <c r="T30" s="65"/>
      <c r="U30" s="65"/>
      <c r="V30" s="65"/>
      <c r="W30" s="65"/>
      <c r="X30" s="6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16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</row>
    <row r="31" spans="1:58" s="64" customFormat="1" ht="35.15" customHeight="1" x14ac:dyDescent="0.55000000000000004">
      <c r="A31" s="75" t="s">
        <v>503</v>
      </c>
      <c r="B31" s="75"/>
      <c r="C31" s="74"/>
      <c r="D31" s="74"/>
      <c r="E31" s="74">
        <v>18</v>
      </c>
      <c r="F31" s="73">
        <v>126</v>
      </c>
      <c r="G31" s="72">
        <v>6</v>
      </c>
      <c r="H31" s="71" t="s">
        <v>499</v>
      </c>
      <c r="I31" s="70">
        <f t="shared" ref="I31:I38" si="4">6*F31</f>
        <v>756</v>
      </c>
      <c r="J31" s="69">
        <v>32</v>
      </c>
      <c r="K31" s="68"/>
      <c r="L31" s="67" t="s">
        <v>503</v>
      </c>
      <c r="M31" s="58"/>
      <c r="N31" s="57"/>
      <c r="O31" s="57"/>
      <c r="P31" s="66" t="s">
        <v>499</v>
      </c>
      <c r="Q31" s="65"/>
      <c r="R31" s="65"/>
      <c r="S31" s="65"/>
      <c r="T31" s="65"/>
      <c r="U31" s="65"/>
      <c r="V31" s="65"/>
      <c r="W31" s="65"/>
      <c r="X31" s="6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16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</row>
    <row r="32" spans="1:58" s="64" customFormat="1" ht="35.15" customHeight="1" x14ac:dyDescent="0.55000000000000004">
      <c r="A32" s="75" t="s">
        <v>502</v>
      </c>
      <c r="B32" s="75"/>
      <c r="C32" s="74"/>
      <c r="D32" s="74"/>
      <c r="E32" s="74">
        <v>9</v>
      </c>
      <c r="F32" s="73">
        <v>64</v>
      </c>
      <c r="G32" s="72">
        <v>2</v>
      </c>
      <c r="H32" s="55" t="s">
        <v>494</v>
      </c>
      <c r="I32" s="70">
        <f t="shared" si="4"/>
        <v>384</v>
      </c>
      <c r="J32" s="69">
        <v>32</v>
      </c>
      <c r="K32" s="68"/>
      <c r="L32" s="67" t="s">
        <v>502</v>
      </c>
      <c r="M32" s="58"/>
      <c r="N32" s="57"/>
      <c r="O32" s="57"/>
      <c r="P32" s="66" t="s">
        <v>494</v>
      </c>
      <c r="Q32" s="65"/>
      <c r="R32" s="65"/>
      <c r="S32" s="65"/>
      <c r="T32" s="65"/>
      <c r="U32" s="65"/>
      <c r="V32" s="65"/>
      <c r="W32" s="65"/>
      <c r="X32" s="6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16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</row>
    <row r="33" spans="1:56" s="64" customFormat="1" ht="35.15" customHeight="1" x14ac:dyDescent="0.55000000000000004">
      <c r="A33" s="75" t="s">
        <v>500</v>
      </c>
      <c r="B33" s="75"/>
      <c r="C33" s="74"/>
      <c r="D33" s="74"/>
      <c r="E33" s="74">
        <v>17</v>
      </c>
      <c r="F33" s="73">
        <v>112</v>
      </c>
      <c r="G33" s="72">
        <v>6</v>
      </c>
      <c r="H33" s="71" t="s">
        <v>501</v>
      </c>
      <c r="I33" s="70">
        <f t="shared" si="4"/>
        <v>672</v>
      </c>
      <c r="J33" s="69">
        <v>32</v>
      </c>
      <c r="K33" s="68"/>
      <c r="L33" s="67" t="s">
        <v>500</v>
      </c>
      <c r="M33" s="58"/>
      <c r="N33" s="57"/>
      <c r="O33" s="57"/>
      <c r="P33" s="66" t="s">
        <v>499</v>
      </c>
      <c r="Q33" s="65"/>
      <c r="R33" s="65"/>
      <c r="S33" s="65"/>
      <c r="T33" s="65"/>
      <c r="U33" s="65"/>
      <c r="V33" s="65"/>
      <c r="W33" s="65"/>
      <c r="X33" s="6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16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</row>
    <row r="34" spans="1:56" s="64" customFormat="1" ht="35.15" customHeight="1" x14ac:dyDescent="0.55000000000000004">
      <c r="A34" s="75" t="s">
        <v>498</v>
      </c>
      <c r="B34" s="75"/>
      <c r="C34" s="74"/>
      <c r="D34" s="74"/>
      <c r="E34" s="74">
        <v>6</v>
      </c>
      <c r="F34" s="73">
        <v>32</v>
      </c>
      <c r="G34" s="72">
        <v>6</v>
      </c>
      <c r="H34" s="71" t="s">
        <v>497</v>
      </c>
      <c r="I34" s="70">
        <f t="shared" si="4"/>
        <v>192</v>
      </c>
      <c r="J34" s="69">
        <v>32</v>
      </c>
      <c r="K34" s="68"/>
      <c r="L34" s="77" t="s">
        <v>498</v>
      </c>
      <c r="M34" s="58"/>
      <c r="N34" s="57"/>
      <c r="O34" s="57"/>
      <c r="P34" s="66" t="s">
        <v>497</v>
      </c>
      <c r="Q34" s="65"/>
      <c r="R34" s="65"/>
      <c r="S34" s="65"/>
      <c r="T34" s="65"/>
      <c r="U34" s="65"/>
      <c r="V34" s="65"/>
      <c r="W34" s="65"/>
      <c r="X34" s="6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16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</row>
    <row r="35" spans="1:56" s="64" customFormat="1" ht="35.15" customHeight="1" x14ac:dyDescent="0.55000000000000004">
      <c r="A35" s="75" t="s">
        <v>496</v>
      </c>
      <c r="B35" s="75"/>
      <c r="C35" s="74"/>
      <c r="D35" s="74"/>
      <c r="E35" s="74">
        <v>9</v>
      </c>
      <c r="F35" s="73">
        <v>64</v>
      </c>
      <c r="G35" s="72">
        <v>4</v>
      </c>
      <c r="H35" s="71" t="s">
        <v>494</v>
      </c>
      <c r="I35" s="70">
        <f t="shared" si="4"/>
        <v>384</v>
      </c>
      <c r="J35" s="69">
        <v>32</v>
      </c>
      <c r="K35" s="68"/>
      <c r="L35" s="67" t="s">
        <v>496</v>
      </c>
      <c r="M35" s="58"/>
      <c r="N35" s="57"/>
      <c r="O35" s="57"/>
      <c r="P35" s="66" t="s">
        <v>494</v>
      </c>
      <c r="Q35" s="65"/>
      <c r="R35" s="65"/>
      <c r="S35" s="65"/>
      <c r="T35" s="65"/>
      <c r="U35" s="65"/>
      <c r="V35" s="65"/>
      <c r="W35" s="65"/>
      <c r="X35" s="6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16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</row>
    <row r="36" spans="1:56" s="64" customFormat="1" ht="35.15" customHeight="1" x14ac:dyDescent="0.55000000000000004">
      <c r="A36" s="76" t="s">
        <v>495</v>
      </c>
      <c r="B36" s="76"/>
      <c r="C36" s="74"/>
      <c r="D36" s="74"/>
      <c r="E36" s="74">
        <v>9</v>
      </c>
      <c r="F36" s="73">
        <v>64</v>
      </c>
      <c r="G36" s="72">
        <v>2</v>
      </c>
      <c r="H36" s="71" t="s">
        <v>494</v>
      </c>
      <c r="I36" s="70">
        <f t="shared" si="4"/>
        <v>384</v>
      </c>
      <c r="J36" s="69">
        <v>32</v>
      </c>
      <c r="K36" s="68"/>
      <c r="L36" s="67" t="s">
        <v>495</v>
      </c>
      <c r="M36" s="58"/>
      <c r="N36" s="57"/>
      <c r="O36" s="57"/>
      <c r="P36" s="66" t="s">
        <v>494</v>
      </c>
      <c r="Q36" s="65"/>
      <c r="R36" s="65"/>
      <c r="S36" s="65"/>
      <c r="T36" s="65"/>
      <c r="U36" s="65"/>
      <c r="V36" s="65"/>
      <c r="W36" s="65"/>
      <c r="X36" s="6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16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</row>
    <row r="37" spans="1:56" s="64" customFormat="1" ht="35.15" customHeight="1" x14ac:dyDescent="0.55000000000000004">
      <c r="A37" s="75" t="s">
        <v>493</v>
      </c>
      <c r="B37" s="75"/>
      <c r="C37" s="74"/>
      <c r="D37" s="74"/>
      <c r="E37" s="74">
        <v>23</v>
      </c>
      <c r="F37" s="73">
        <v>161</v>
      </c>
      <c r="G37" s="72">
        <f>F37/16</f>
        <v>10.0625</v>
      </c>
      <c r="H37" s="71" t="s">
        <v>492</v>
      </c>
      <c r="I37" s="70">
        <f t="shared" si="4"/>
        <v>966</v>
      </c>
      <c r="J37" s="69">
        <v>32</v>
      </c>
      <c r="K37" s="68"/>
      <c r="L37" s="67" t="s">
        <v>493</v>
      </c>
      <c r="M37" s="58"/>
      <c r="N37" s="57"/>
      <c r="O37" s="57"/>
      <c r="P37" s="66" t="s">
        <v>492</v>
      </c>
      <c r="Q37" s="65"/>
      <c r="R37" s="65"/>
      <c r="S37" s="65"/>
      <c r="T37" s="65"/>
      <c r="U37" s="65"/>
      <c r="V37" s="65"/>
      <c r="W37" s="65"/>
      <c r="X37" s="6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16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</row>
    <row r="38" spans="1:56" s="64" customFormat="1" ht="35.15" customHeight="1" x14ac:dyDescent="0.55000000000000004">
      <c r="A38" s="75" t="s">
        <v>490</v>
      </c>
      <c r="B38" s="75"/>
      <c r="C38" s="74"/>
      <c r="D38" s="74"/>
      <c r="E38" s="74">
        <v>2</v>
      </c>
      <c r="F38" s="73">
        <v>8</v>
      </c>
      <c r="G38" s="72">
        <f>F38/16</f>
        <v>0.5</v>
      </c>
      <c r="H38" s="71" t="s">
        <v>491</v>
      </c>
      <c r="I38" s="70">
        <f t="shared" si="4"/>
        <v>48</v>
      </c>
      <c r="J38" s="69">
        <v>32</v>
      </c>
      <c r="K38" s="68"/>
      <c r="L38" s="67" t="s">
        <v>490</v>
      </c>
      <c r="M38" s="58"/>
      <c r="N38" s="57"/>
      <c r="O38" s="57"/>
      <c r="P38" s="66" t="s">
        <v>489</v>
      </c>
      <c r="Q38" s="65"/>
      <c r="R38" s="65"/>
      <c r="S38" s="65"/>
      <c r="T38" s="65"/>
      <c r="U38" s="65"/>
      <c r="V38" s="65"/>
      <c r="W38" s="65"/>
      <c r="X38" s="6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16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</row>
    <row r="39" spans="1:56" ht="35.15" customHeight="1" x14ac:dyDescent="0.55000000000000004">
      <c r="A39" s="63"/>
      <c r="B39" s="63"/>
      <c r="C39" s="63"/>
      <c r="D39" s="63"/>
      <c r="E39" s="62">
        <v>0</v>
      </c>
      <c r="F39" s="61"/>
      <c r="G39" s="60"/>
      <c r="H39" s="51"/>
      <c r="I39" s="50"/>
      <c r="J39" s="50"/>
      <c r="K39" s="33"/>
      <c r="L39" s="59"/>
      <c r="M39" s="58"/>
      <c r="N39" s="57"/>
      <c r="O39" s="57"/>
      <c r="P39" s="57"/>
      <c r="Q39" s="56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 s="31"/>
      <c r="AR39"/>
      <c r="AS39"/>
      <c r="AT39"/>
      <c r="AU39"/>
      <c r="AV39"/>
      <c r="AW39"/>
      <c r="AX39"/>
      <c r="AY39"/>
      <c r="AZ39"/>
      <c r="BA39"/>
      <c r="BB39"/>
      <c r="BC39"/>
      <c r="BD39"/>
    </row>
    <row r="40" spans="1:56" ht="35.15" customHeight="1" thickBot="1" x14ac:dyDescent="0.6">
      <c r="A40" s="39" t="s">
        <v>488</v>
      </c>
      <c r="B40" s="39"/>
      <c r="C40" s="55">
        <f>SUM(C5:C39)</f>
        <v>39</v>
      </c>
      <c r="D40" s="55">
        <f>SUM(D5:D39)</f>
        <v>29</v>
      </c>
      <c r="E40" s="54">
        <f>SUM(E5:E39)</f>
        <v>165</v>
      </c>
      <c r="F40" s="53">
        <f>SUM(F5:F39)</f>
        <v>1125</v>
      </c>
      <c r="G40" s="52">
        <f>SUM(G5:G38)</f>
        <v>66.4375</v>
      </c>
      <c r="H40" s="51"/>
      <c r="I40" s="50"/>
      <c r="J40" s="50"/>
      <c r="K40" s="33"/>
      <c r="L40" s="38"/>
      <c r="M40" s="49"/>
      <c r="N40" s="38"/>
      <c r="O40" s="38"/>
      <c r="P40" s="38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/>
      <c r="AO40"/>
      <c r="AP40"/>
      <c r="AQ40" s="31"/>
      <c r="AR40"/>
      <c r="AS40"/>
      <c r="AT40"/>
      <c r="AU40"/>
      <c r="AV40"/>
      <c r="AW40"/>
      <c r="AX40"/>
      <c r="AY40"/>
      <c r="AZ40"/>
      <c r="BA40"/>
      <c r="BB40"/>
      <c r="BC40"/>
      <c r="BD40"/>
    </row>
    <row r="41" spans="1:56" ht="35.15" customHeight="1" thickBot="1" x14ac:dyDescent="0.55000000000000004">
      <c r="A41" s="48" t="s">
        <v>487</v>
      </c>
      <c r="B41" s="48"/>
      <c r="C41" s="47"/>
      <c r="D41" s="47"/>
      <c r="E41" s="46"/>
      <c r="F41" s="415" t="s">
        <v>486</v>
      </c>
      <c r="G41" s="416"/>
      <c r="H41" s="421" t="s">
        <v>485</v>
      </c>
      <c r="I41" s="45"/>
      <c r="J41" s="44"/>
      <c r="K41" s="33"/>
      <c r="L41" s="39" t="s">
        <v>484</v>
      </c>
      <c r="M41" s="38"/>
      <c r="N41" s="38"/>
      <c r="O41" s="38"/>
      <c r="P41" s="38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 s="31"/>
      <c r="AR41"/>
      <c r="AS41"/>
      <c r="AT41"/>
      <c r="AU41"/>
      <c r="AV41"/>
      <c r="AW41"/>
      <c r="AX41"/>
      <c r="AY41"/>
      <c r="AZ41"/>
      <c r="BA41"/>
      <c r="BB41"/>
      <c r="BC41"/>
      <c r="BD41"/>
    </row>
    <row r="42" spans="1:56" ht="35.15" customHeight="1" thickBot="1" x14ac:dyDescent="0.5">
      <c r="A42" s="43"/>
      <c r="B42" s="42"/>
      <c r="C42" s="424"/>
      <c r="D42" s="424"/>
      <c r="E42" s="425"/>
      <c r="F42" s="417"/>
      <c r="G42" s="418"/>
      <c r="H42" s="422"/>
      <c r="I42" s="41"/>
      <c r="J42" s="40"/>
      <c r="K42" s="33"/>
      <c r="L42" s="39" t="s">
        <v>483</v>
      </c>
      <c r="M42" s="38"/>
      <c r="N42" s="38"/>
      <c r="O42" s="38"/>
      <c r="P42" s="38"/>
      <c r="Q42" s="426"/>
      <c r="R42"/>
      <c r="S42"/>
      <c r="T42"/>
      <c r="U42"/>
      <c r="V42"/>
      <c r="W42"/>
      <c r="X42"/>
      <c r="Y42"/>
      <c r="Z42"/>
      <c r="AA42"/>
      <c r="AB42"/>
      <c r="AC42"/>
      <c r="AD42"/>
      <c r="AE42"/>
      <c r="AF42"/>
      <c r="AG42"/>
      <c r="AH42"/>
      <c r="AI42"/>
      <c r="AJ42"/>
      <c r="AK42"/>
      <c r="AL42"/>
      <c r="AM42"/>
      <c r="AN42"/>
      <c r="AO42"/>
      <c r="AP42"/>
      <c r="AQ42" s="31"/>
      <c r="AR42"/>
      <c r="AS42"/>
      <c r="AT42"/>
      <c r="AU42"/>
      <c r="AV42"/>
      <c r="AW42"/>
      <c r="AX42"/>
      <c r="AY42"/>
      <c r="AZ42"/>
      <c r="BA42"/>
      <c r="BB42"/>
      <c r="BC42"/>
      <c r="BD42"/>
    </row>
    <row r="43" spans="1:56" ht="35.15" customHeight="1" thickBot="1" x14ac:dyDescent="0.5">
      <c r="A43" s="37"/>
      <c r="B43" s="36"/>
      <c r="C43" s="427"/>
      <c r="D43" s="427"/>
      <c r="E43" s="428"/>
      <c r="F43" s="419"/>
      <c r="G43" s="420"/>
      <c r="H43" s="423"/>
      <c r="I43" s="35"/>
      <c r="J43" s="34"/>
      <c r="K43" s="33"/>
      <c r="L43" s="32" t="s">
        <v>482</v>
      </c>
      <c r="M43" s="28"/>
      <c r="N43" s="28"/>
      <c r="O43" s="28"/>
      <c r="P43" s="28"/>
      <c r="Q43" s="426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 s="31"/>
      <c r="AR43"/>
      <c r="AS43"/>
      <c r="AT43"/>
      <c r="AU43"/>
      <c r="AV43"/>
      <c r="AW43"/>
      <c r="AX43"/>
      <c r="AY43"/>
      <c r="AZ43"/>
      <c r="BA43"/>
      <c r="BB43"/>
      <c r="BC43"/>
      <c r="BD43"/>
    </row>
    <row r="44" spans="1:56" ht="35.15" customHeight="1" x14ac:dyDescent="0.45">
      <c r="I44"/>
      <c r="J44"/>
      <c r="K44"/>
      <c r="L44" s="32" t="s">
        <v>481</v>
      </c>
      <c r="M44" s="28"/>
      <c r="N44" s="28"/>
      <c r="O44" s="28"/>
      <c r="P44" s="28"/>
      <c r="Q44" s="426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 s="31"/>
      <c r="AR44"/>
      <c r="AS44"/>
      <c r="AT44"/>
      <c r="AU44"/>
      <c r="AV44"/>
      <c r="AW44"/>
      <c r="AX44"/>
      <c r="AY44"/>
      <c r="AZ44"/>
      <c r="BA44"/>
      <c r="BB44"/>
      <c r="BC44"/>
      <c r="BD44"/>
    </row>
    <row r="45" spans="1:56" ht="35.15" customHeight="1" x14ac:dyDescent="0.35"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 s="31"/>
      <c r="AR45"/>
      <c r="AS45"/>
      <c r="AT45"/>
      <c r="AU45"/>
      <c r="AV45"/>
      <c r="AW45"/>
      <c r="AX45"/>
      <c r="AY45"/>
      <c r="AZ45"/>
      <c r="BA45"/>
      <c r="BB45"/>
      <c r="BC45"/>
      <c r="BD45"/>
    </row>
    <row r="46" spans="1:56" ht="16" customHeight="1" x14ac:dyDescent="0.35"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 s="31"/>
      <c r="AR46"/>
      <c r="AS46"/>
      <c r="AT46"/>
      <c r="AU46"/>
      <c r="AV46"/>
      <c r="AW46"/>
      <c r="AX46"/>
      <c r="AY46"/>
      <c r="AZ46"/>
      <c r="BA46"/>
      <c r="BB46"/>
      <c r="BC46"/>
      <c r="BD46"/>
    </row>
    <row r="47" spans="1:56" ht="14.5" x14ac:dyDescent="0.35"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 s="31"/>
      <c r="AR47"/>
      <c r="AS47"/>
      <c r="AT47"/>
      <c r="AU47"/>
      <c r="AV47"/>
      <c r="AW47"/>
      <c r="AX47"/>
      <c r="AY47"/>
      <c r="AZ47"/>
      <c r="BA47"/>
      <c r="BB47"/>
      <c r="BC47"/>
      <c r="BD47"/>
    </row>
    <row r="48" spans="1:56" ht="14.5" x14ac:dyDescent="0.35"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 s="31"/>
      <c r="AR48"/>
      <c r="AS48"/>
      <c r="AT48"/>
      <c r="AU48"/>
      <c r="AV48"/>
      <c r="AW48"/>
      <c r="AX48"/>
      <c r="AY48"/>
      <c r="AZ48"/>
      <c r="BA48"/>
      <c r="BB48"/>
      <c r="BC48"/>
      <c r="BD48"/>
    </row>
    <row r="49" spans="9:56" ht="14.5" x14ac:dyDescent="0.35"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 s="31"/>
      <c r="AR49"/>
      <c r="AS49"/>
      <c r="AT49"/>
      <c r="AU49"/>
      <c r="AV49"/>
      <c r="AW49"/>
      <c r="AX49"/>
      <c r="AY49"/>
      <c r="AZ49"/>
      <c r="BA49"/>
      <c r="BB49"/>
      <c r="BC49"/>
      <c r="BD49"/>
    </row>
    <row r="50" spans="9:56" ht="14.5" x14ac:dyDescent="0.35"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 s="31"/>
      <c r="AR50"/>
      <c r="AS50"/>
      <c r="AT50"/>
      <c r="AU50"/>
      <c r="AV50"/>
      <c r="AW50"/>
      <c r="AX50"/>
      <c r="AY50"/>
      <c r="AZ50"/>
      <c r="BA50"/>
      <c r="BB50"/>
      <c r="BC50"/>
      <c r="BD50"/>
    </row>
    <row r="51" spans="9:56" ht="14.5" x14ac:dyDescent="0.35"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 s="31"/>
      <c r="AR51"/>
      <c r="AS51"/>
      <c r="AT51"/>
      <c r="AU51"/>
      <c r="AV51"/>
      <c r="AW51"/>
      <c r="AX51"/>
      <c r="AY51"/>
      <c r="AZ51"/>
      <c r="BA51"/>
      <c r="BB51"/>
      <c r="BC51"/>
      <c r="BD51"/>
    </row>
    <row r="52" spans="9:56" ht="14.5" x14ac:dyDescent="0.35"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 s="31"/>
      <c r="AR52"/>
      <c r="AS52"/>
      <c r="AT52"/>
      <c r="AU52"/>
      <c r="AV52"/>
      <c r="AW52"/>
      <c r="AX52"/>
      <c r="AY52"/>
      <c r="AZ52"/>
      <c r="BA52"/>
      <c r="BB52"/>
      <c r="BC52"/>
      <c r="BD52"/>
    </row>
    <row r="53" spans="9:56" ht="14.5" x14ac:dyDescent="0.35"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 s="31"/>
      <c r="AR53"/>
      <c r="AS53"/>
      <c r="AT53"/>
      <c r="AU53"/>
      <c r="AV53"/>
      <c r="AW53"/>
      <c r="AX53"/>
      <c r="AY53"/>
      <c r="AZ53"/>
      <c r="BA53"/>
      <c r="BB53"/>
      <c r="BC53"/>
      <c r="BD53"/>
    </row>
    <row r="54" spans="9:56" ht="14.5" x14ac:dyDescent="0.35"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 s="31"/>
      <c r="AR54"/>
      <c r="AS54"/>
      <c r="AT54"/>
      <c r="AU54"/>
      <c r="AV54"/>
      <c r="AW54"/>
      <c r="AX54"/>
      <c r="AY54"/>
      <c r="AZ54"/>
      <c r="BA54"/>
      <c r="BB54"/>
      <c r="BC54"/>
      <c r="BD54"/>
    </row>
    <row r="55" spans="9:56" ht="14.5" x14ac:dyDescent="0.35"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 s="31"/>
      <c r="AR55"/>
      <c r="AS55"/>
      <c r="AT55"/>
      <c r="AU55"/>
      <c r="AV55"/>
      <c r="AW55"/>
      <c r="AX55"/>
      <c r="AY55"/>
      <c r="AZ55"/>
      <c r="BA55"/>
      <c r="BB55"/>
      <c r="BC55"/>
      <c r="BD55"/>
    </row>
    <row r="56" spans="9:56" ht="14.5" x14ac:dyDescent="0.35"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 s="31"/>
      <c r="AR56"/>
      <c r="AS56"/>
      <c r="AT56"/>
      <c r="AU56"/>
      <c r="AV56"/>
      <c r="AW56"/>
      <c r="AX56"/>
      <c r="AY56"/>
      <c r="AZ56"/>
      <c r="BA56"/>
      <c r="BB56"/>
      <c r="BC56"/>
      <c r="BD56"/>
    </row>
    <row r="57" spans="9:56" ht="14.5" x14ac:dyDescent="0.35"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 s="31"/>
      <c r="AR57"/>
      <c r="AS57"/>
      <c r="AT57"/>
      <c r="AU57"/>
      <c r="AV57"/>
      <c r="AW57"/>
      <c r="AX57"/>
      <c r="AY57"/>
      <c r="AZ57"/>
      <c r="BA57"/>
      <c r="BB57"/>
      <c r="BC57"/>
      <c r="BD57"/>
    </row>
    <row r="58" spans="9:56" ht="14.5" x14ac:dyDescent="0.35"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 s="31"/>
      <c r="AR58"/>
      <c r="AS58"/>
      <c r="AT58"/>
      <c r="AU58"/>
      <c r="AV58"/>
      <c r="AW58"/>
      <c r="AX58"/>
      <c r="AY58"/>
      <c r="AZ58"/>
      <c r="BA58"/>
      <c r="BB58"/>
      <c r="BC58"/>
      <c r="BD58"/>
    </row>
    <row r="59" spans="9:56" ht="14.5" x14ac:dyDescent="0.35"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 s="31"/>
      <c r="AR59"/>
      <c r="AS59"/>
      <c r="AT59"/>
      <c r="AU59"/>
      <c r="AV59"/>
      <c r="AW59"/>
      <c r="AX59"/>
      <c r="AY59"/>
      <c r="AZ59"/>
      <c r="BA59"/>
      <c r="BB59"/>
      <c r="BC59"/>
      <c r="BD59"/>
    </row>
    <row r="60" spans="9:56" ht="14.5" x14ac:dyDescent="0.35"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 s="31"/>
      <c r="AR60"/>
      <c r="AS60"/>
      <c r="AT60"/>
      <c r="AU60"/>
      <c r="AV60"/>
      <c r="AW60"/>
      <c r="AX60"/>
      <c r="AY60"/>
      <c r="AZ60"/>
      <c r="BA60"/>
      <c r="BB60"/>
      <c r="BC60"/>
      <c r="BD60"/>
    </row>
    <row r="61" spans="9:56" ht="14.5" x14ac:dyDescent="0.35"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 s="31"/>
      <c r="AR61"/>
      <c r="AS61"/>
      <c r="AT61"/>
      <c r="AU61"/>
      <c r="AV61"/>
      <c r="AW61"/>
      <c r="AX61"/>
      <c r="AY61"/>
      <c r="AZ61"/>
      <c r="BA61"/>
      <c r="BB61"/>
      <c r="BC61"/>
      <c r="BD61"/>
    </row>
    <row r="62" spans="9:56" ht="14.5" x14ac:dyDescent="0.35"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 s="31"/>
      <c r="AR62"/>
      <c r="AS62"/>
      <c r="AT62"/>
      <c r="AU62"/>
      <c r="AV62"/>
      <c r="AW62"/>
      <c r="AX62"/>
      <c r="AY62"/>
      <c r="AZ62"/>
      <c r="BA62"/>
      <c r="BB62"/>
      <c r="BC62"/>
      <c r="BD62"/>
    </row>
    <row r="63" spans="9:56" ht="14.5" x14ac:dyDescent="0.35"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 s="31"/>
      <c r="AR63"/>
      <c r="AS63"/>
      <c r="AT63"/>
      <c r="AU63"/>
      <c r="AV63"/>
      <c r="AW63"/>
      <c r="AX63"/>
      <c r="AY63"/>
      <c r="AZ63"/>
      <c r="BA63"/>
      <c r="BB63"/>
      <c r="BC63"/>
      <c r="BD63"/>
    </row>
    <row r="64" spans="9:56" ht="14.5" x14ac:dyDescent="0.35"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 s="31"/>
      <c r="AR64"/>
      <c r="AS64"/>
      <c r="AT64"/>
      <c r="AU64"/>
      <c r="AV64"/>
      <c r="AW64"/>
      <c r="AX64"/>
      <c r="AY64"/>
      <c r="AZ64"/>
      <c r="BA64"/>
      <c r="BB64"/>
      <c r="BC64"/>
      <c r="BD64"/>
    </row>
    <row r="65" spans="9:56" ht="14.5" x14ac:dyDescent="0.35"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 s="31"/>
      <c r="AR65"/>
      <c r="AS65"/>
      <c r="AT65"/>
      <c r="AU65"/>
      <c r="AV65"/>
      <c r="AW65"/>
      <c r="AX65"/>
      <c r="AY65"/>
      <c r="AZ65"/>
      <c r="BA65"/>
      <c r="BB65"/>
      <c r="BC65"/>
      <c r="BD65"/>
    </row>
    <row r="66" spans="9:56" ht="14.5" x14ac:dyDescent="0.35"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 s="31"/>
      <c r="AR66"/>
      <c r="AS66"/>
      <c r="AT66"/>
      <c r="AU66"/>
      <c r="AV66"/>
      <c r="AW66"/>
      <c r="AX66"/>
      <c r="AY66"/>
      <c r="AZ66"/>
      <c r="BA66"/>
      <c r="BB66"/>
      <c r="BC66"/>
      <c r="BD66"/>
    </row>
    <row r="67" spans="9:56" ht="14.5" x14ac:dyDescent="0.35"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 s="31"/>
      <c r="AR67"/>
      <c r="AS67"/>
      <c r="AT67"/>
      <c r="AU67"/>
      <c r="AV67"/>
      <c r="AW67"/>
      <c r="AX67"/>
      <c r="AY67"/>
      <c r="AZ67"/>
      <c r="BA67"/>
      <c r="BB67"/>
      <c r="BC67"/>
      <c r="BD67"/>
    </row>
    <row r="68" spans="9:56" ht="14.5" x14ac:dyDescent="0.35"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 s="31"/>
      <c r="AR68"/>
      <c r="AS68"/>
      <c r="AT68"/>
      <c r="AU68"/>
      <c r="AV68"/>
      <c r="AW68"/>
      <c r="AX68"/>
      <c r="AY68"/>
      <c r="AZ68"/>
      <c r="BA68"/>
      <c r="BB68"/>
      <c r="BC68"/>
      <c r="BD68"/>
    </row>
    <row r="69" spans="9:56" ht="14.5" x14ac:dyDescent="0.35"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 s="31"/>
      <c r="AR69"/>
      <c r="AS69"/>
      <c r="AT69"/>
      <c r="AU69"/>
      <c r="AV69"/>
      <c r="AW69"/>
      <c r="AX69"/>
      <c r="AY69"/>
      <c r="AZ69"/>
      <c r="BA69"/>
      <c r="BB69"/>
      <c r="BC69"/>
      <c r="BD69"/>
    </row>
    <row r="70" spans="9:56" ht="14.5" x14ac:dyDescent="0.35"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 s="31"/>
      <c r="AR70"/>
      <c r="AS70"/>
      <c r="AT70"/>
      <c r="AU70"/>
      <c r="AV70"/>
      <c r="AW70"/>
      <c r="AX70"/>
      <c r="AY70"/>
      <c r="AZ70"/>
      <c r="BA70"/>
      <c r="BB70"/>
      <c r="BC70"/>
      <c r="BD70"/>
    </row>
    <row r="71" spans="9:56" ht="14.5" x14ac:dyDescent="0.35"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 s="31"/>
      <c r="AR71"/>
      <c r="AS71"/>
      <c r="AT71"/>
      <c r="AU71"/>
      <c r="AV71"/>
      <c r="AW71"/>
      <c r="AX71"/>
      <c r="AY71"/>
      <c r="AZ71"/>
      <c r="BA71"/>
      <c r="BB71"/>
      <c r="BC71"/>
      <c r="BD71"/>
    </row>
    <row r="72" spans="9:56" ht="14.5" x14ac:dyDescent="0.35"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 s="31"/>
      <c r="AR72"/>
      <c r="AS72"/>
      <c r="AT72"/>
      <c r="AU72"/>
      <c r="AV72"/>
      <c r="AW72"/>
      <c r="AX72"/>
      <c r="AY72"/>
      <c r="AZ72"/>
      <c r="BA72"/>
      <c r="BB72"/>
      <c r="BC72"/>
      <c r="BD72"/>
    </row>
    <row r="73" spans="9:56" ht="14.5" x14ac:dyDescent="0.35"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 s="31"/>
      <c r="AR73"/>
      <c r="AS73"/>
      <c r="AT73"/>
      <c r="AU73"/>
      <c r="AV73"/>
      <c r="AW73"/>
      <c r="AX73"/>
      <c r="AY73"/>
      <c r="AZ73"/>
      <c r="BA73"/>
      <c r="BB73"/>
      <c r="BC73"/>
      <c r="BD73"/>
    </row>
    <row r="74" spans="9:56" ht="14.5" x14ac:dyDescent="0.35"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 s="31"/>
      <c r="AR74"/>
      <c r="AS74"/>
      <c r="AT74"/>
      <c r="AU74"/>
      <c r="AV74"/>
      <c r="AW74"/>
      <c r="AX74"/>
      <c r="AY74"/>
      <c r="AZ74"/>
      <c r="BA74"/>
      <c r="BB74"/>
      <c r="BC74"/>
      <c r="BD74"/>
    </row>
    <row r="75" spans="9:56" ht="14.5" x14ac:dyDescent="0.35"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 s="31"/>
      <c r="AR75"/>
      <c r="AS75"/>
      <c r="AT75"/>
      <c r="AU75"/>
      <c r="AV75"/>
      <c r="AW75"/>
      <c r="AX75"/>
      <c r="AY75"/>
      <c r="AZ75"/>
      <c r="BA75"/>
      <c r="BB75"/>
      <c r="BC75"/>
      <c r="BD75"/>
    </row>
  </sheetData>
  <mergeCells count="12">
    <mergeCell ref="F41:G43"/>
    <mergeCell ref="H41:H43"/>
    <mergeCell ref="C42:E42"/>
    <mergeCell ref="Q42:Q44"/>
    <mergeCell ref="C43:E43"/>
    <mergeCell ref="AN2:AP2"/>
    <mergeCell ref="B3:D3"/>
    <mergeCell ref="I3:I4"/>
    <mergeCell ref="J3:J4"/>
    <mergeCell ref="L3:M3"/>
    <mergeCell ref="I2:K2"/>
    <mergeCell ref="L2:M2"/>
  </mergeCells>
  <conditionalFormatting sqref="R4:AP24 AR4:BC24 AR30:BC75 M45:AP75">
    <cfRule type="cellIs" dxfId="72" priority="3" operator="greaterThan">
      <formula>1</formula>
    </cfRule>
  </conditionalFormatting>
  <conditionalFormatting sqref="R30:AP44">
    <cfRule type="cellIs" dxfId="71" priority="2" operator="greaterThan">
      <formula>1</formula>
    </cfRule>
  </conditionalFormatting>
  <conditionalFormatting sqref="T25:AR30 AT25:BE30">
    <cfRule type="cellIs" dxfId="70" priority="1" operator="greaterThan">
      <formula>1</formula>
    </cfRule>
  </conditionalFormatting>
  <pageMargins left="0.7" right="0.7" top="0.75" bottom="0.75" header="0.3" footer="0.3"/>
  <pageSetup paperSize="9" scale="31" fitToWidth="0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EB3988-37D3-44AB-833A-4E60E2B3EE1F}">
  <sheetPr>
    <pageSetUpPr fitToPage="1"/>
  </sheetPr>
  <dimension ref="A2:H935"/>
  <sheetViews>
    <sheetView view="pageBreakPreview" topLeftCell="A707" zoomScale="90" zoomScaleNormal="100" zoomScaleSheetLayoutView="90" workbookViewId="0">
      <selection activeCell="B14" sqref="B14"/>
    </sheetView>
  </sheetViews>
  <sheetFormatPr defaultColWidth="10.26953125" defaultRowHeight="17.149999999999999" customHeight="1" x14ac:dyDescent="0.3"/>
  <cols>
    <col min="1" max="1" width="11.26953125" style="110" customWidth="1"/>
    <col min="2" max="2" width="97.81640625" style="110" customWidth="1"/>
    <col min="3" max="3" width="62.26953125" style="110" bestFit="1" customWidth="1"/>
    <col min="4" max="4" width="47.453125" style="110" customWidth="1"/>
    <col min="5" max="5" width="24.453125" style="111" bestFit="1" customWidth="1"/>
    <col min="6" max="6" width="30.81640625" style="110" customWidth="1"/>
    <col min="7" max="16384" width="10.26953125" style="110"/>
  </cols>
  <sheetData>
    <row r="2" spans="1:6" s="118" customFormat="1" ht="17.149999999999999" customHeight="1" x14ac:dyDescent="0.3">
      <c r="A2" s="119" t="s">
        <v>642</v>
      </c>
      <c r="B2" s="119" t="s">
        <v>526</v>
      </c>
      <c r="C2" s="119" t="s">
        <v>672</v>
      </c>
      <c r="D2" s="119" t="s">
        <v>671</v>
      </c>
      <c r="E2" s="124" t="s">
        <v>641</v>
      </c>
      <c r="F2" s="119" t="s">
        <v>640</v>
      </c>
    </row>
    <row r="3" spans="1:6" ht="17.149999999999999" customHeight="1" x14ac:dyDescent="0.3">
      <c r="A3" s="112" t="s">
        <v>35</v>
      </c>
      <c r="B3" s="113" t="str">
        <f>VLOOKUP(A3,[10]Schedule_Invigilators!$A$2:$B$27,2,FALSE)</f>
        <v>Prince Yaw Andoh</v>
      </c>
      <c r="C3" s="113" t="str">
        <f>VLOOKUP(A3,'[10]COMBINED_ATTD_INV (3)'!$A$351:$E$1175,2,FALSE)</f>
        <v>Mohammed Bakang//</v>
      </c>
      <c r="D3" s="121" t="s">
        <v>727</v>
      </c>
      <c r="E3" s="114" t="s">
        <v>815</v>
      </c>
      <c r="F3" s="113" t="s">
        <v>750</v>
      </c>
    </row>
    <row r="4" spans="1:6" ht="17.149999999999999" customHeight="1" x14ac:dyDescent="0.3">
      <c r="A4" s="112" t="s">
        <v>510</v>
      </c>
      <c r="B4" s="113" t="str">
        <f>VLOOKUP(A4,[10]Schedule_Invigilators!$A$2:$B$27,2,FALSE)</f>
        <v>Prosper Akaba</v>
      </c>
      <c r="C4" s="113" t="str">
        <f>VLOOKUP(A4,'[10]COMBINED_ATTD_INV (3)'!$A$351:$E$1175,2,FALSE)</f>
        <v>Derrick Owusu Mensah//</v>
      </c>
      <c r="D4" s="121" t="s">
        <v>831</v>
      </c>
      <c r="E4" s="114" t="s">
        <v>815</v>
      </c>
      <c r="F4" s="113" t="s">
        <v>750</v>
      </c>
    </row>
    <row r="5" spans="1:6" ht="17.149999999999999" customHeight="1" x14ac:dyDescent="0.3">
      <c r="A5" s="112" t="s">
        <v>508</v>
      </c>
      <c r="B5" s="113" t="str">
        <f>VLOOKUP(A5,[10]Schedule_Invigilators!$A$2:$B$27,2,FALSE)</f>
        <v>Casper Adenutsi</v>
      </c>
      <c r="C5" s="113" t="str">
        <f>VLOOKUP(A5,'[10]COMBINED_ATTD_INV (3)'!$A$351:$E$1175,2,FALSE)</f>
        <v>Mercy Nimako//</v>
      </c>
      <c r="D5" s="121" t="s">
        <v>830</v>
      </c>
      <c r="E5" s="114" t="s">
        <v>815</v>
      </c>
      <c r="F5" s="113" t="s">
        <v>750</v>
      </c>
    </row>
    <row r="6" spans="1:6" ht="17.149999999999999" customHeight="1" x14ac:dyDescent="0.3">
      <c r="A6" s="112" t="s">
        <v>466</v>
      </c>
      <c r="B6" s="113" t="str">
        <f>VLOOKUP(A6,[10]Schedule_Invigilators!$A$2:$B$27,2,FALSE)</f>
        <v>Kenneth Adomako Tutu / Joshua Ampofo</v>
      </c>
      <c r="C6" s="113" t="str">
        <f>VLOOKUP(A6,'[10]COMBINED_ATTD_INV (3)'!$A$351:$E$1175,2,FALSE)</f>
        <v>Issaka Ali Sambo/Paul Dery/</v>
      </c>
      <c r="D6" s="121" t="s">
        <v>724</v>
      </c>
      <c r="E6" s="114" t="s">
        <v>815</v>
      </c>
      <c r="F6" s="113" t="s">
        <v>750</v>
      </c>
    </row>
    <row r="7" spans="1:6" ht="17.149999999999999" customHeight="1" x14ac:dyDescent="0.3">
      <c r="A7" s="112">
        <v>206</v>
      </c>
      <c r="B7" s="113" t="str">
        <f>VLOOKUP(A7,[10]Schedule_Invigilators!$A$2:$B$27,2,FALSE)</f>
        <v>Emmanuel Appiah-Adjei</v>
      </c>
      <c r="C7" s="113" t="str">
        <f>VLOOKUP(A7,'[10]COMBINED_ATTD_INV (3)'!$A$351:$E$1175,2,FALSE)</f>
        <v>Edward Kpetege//</v>
      </c>
      <c r="D7" s="121" t="s">
        <v>829</v>
      </c>
      <c r="E7" s="114" t="s">
        <v>815</v>
      </c>
      <c r="F7" s="113" t="s">
        <v>750</v>
      </c>
    </row>
    <row r="8" spans="1:6" ht="17.149999999999999" customHeight="1" x14ac:dyDescent="0.3">
      <c r="A8" s="112">
        <v>303</v>
      </c>
      <c r="B8" s="113" t="str">
        <f>VLOOKUP(A8,[10]Schedule_Invigilators!$A$2:$B$27,2,FALSE)</f>
        <v>Jonathan Atuquaye Quaye / Eliel Keelson</v>
      </c>
      <c r="C8" s="113" t="str">
        <f>VLOOKUP(A8,'[10]COMBINED_ATTD_INV (3)'!$A$351:$E$1175,2,FALSE)</f>
        <v>Benjamin Opoku Atuahene//</v>
      </c>
      <c r="D8" s="121" t="s">
        <v>828</v>
      </c>
      <c r="E8" s="114" t="s">
        <v>815</v>
      </c>
      <c r="F8" s="113" t="s">
        <v>750</v>
      </c>
    </row>
    <row r="9" spans="1:6" ht="17.149999999999999" customHeight="1" x14ac:dyDescent="0.3">
      <c r="A9" s="112">
        <v>304</v>
      </c>
      <c r="B9" s="113" t="str">
        <f>VLOOKUP(A9,[10]Schedule_Invigilators!$A$2:$B$27,2,FALSE)</f>
        <v>Bernard Konadu Amoah</v>
      </c>
      <c r="C9" s="113" t="str">
        <f>VLOOKUP(A9,'[10]COMBINED_ATTD_INV (3)'!$A$351:$E$1175,2,FALSE)</f>
        <v>Eric Soku//</v>
      </c>
      <c r="D9" s="121" t="s">
        <v>721</v>
      </c>
      <c r="E9" s="114" t="s">
        <v>815</v>
      </c>
      <c r="F9" s="113" t="s">
        <v>750</v>
      </c>
    </row>
    <row r="10" spans="1:6" ht="17.149999999999999" customHeight="1" x14ac:dyDescent="0.3">
      <c r="A10" s="112" t="s">
        <v>61</v>
      </c>
      <c r="B10" s="113" t="str">
        <f>VLOOKUP(A10,[10]Schedule_Invigilators!$A$2:$B$27,2,FALSE)</f>
        <v>James Dzisi Gadze</v>
      </c>
      <c r="C10" s="113" t="str">
        <f>VLOOKUP(A10,'[10]COMBINED_ATTD_INV (3)'!$A$351:$E$1175,2,FALSE)</f>
        <v>Marian Bemma//</v>
      </c>
      <c r="D10" s="121" t="s">
        <v>720</v>
      </c>
      <c r="E10" s="114" t="s">
        <v>815</v>
      </c>
      <c r="F10" s="113" t="s">
        <v>750</v>
      </c>
    </row>
    <row r="11" spans="1:6" ht="17.149999999999999" customHeight="1" x14ac:dyDescent="0.3">
      <c r="A11" s="112" t="s">
        <v>467</v>
      </c>
      <c r="B11" s="113" t="str">
        <f>VLOOKUP(A11,[10]Schedule_Invigilators!$A$2:$B$27,2,FALSE)</f>
        <v>Samuel Boahen</v>
      </c>
      <c r="C11" s="113" t="str">
        <f>VLOOKUP(A11,'[10]COMBINED_ATTD_INV (3)'!$A$351:$E$1175,2,FALSE)</f>
        <v>Derrick Amoateng//</v>
      </c>
      <c r="D11" s="127" t="s">
        <v>827</v>
      </c>
      <c r="E11" s="114" t="s">
        <v>815</v>
      </c>
      <c r="F11" s="113" t="s">
        <v>750</v>
      </c>
    </row>
    <row r="12" spans="1:6" ht="17.149999999999999" customHeight="1" x14ac:dyDescent="0.3">
      <c r="A12" s="112" t="s">
        <v>468</v>
      </c>
      <c r="B12" s="113" t="str">
        <f>VLOOKUP(A12,[10]Schedule_Invigilators!$A$2:$B$27,2,FALSE)</f>
        <v>Martinson Addo Nartey / Benjamin Afotey</v>
      </c>
      <c r="C12" s="113" t="str">
        <f>VLOOKUP(A12,'[10]COMBINED_ATTD_INV (3)'!$A$351:$E$1175,2,FALSE)</f>
        <v>John Ofosu//</v>
      </c>
      <c r="D12" s="121" t="s">
        <v>826</v>
      </c>
      <c r="E12" s="114" t="s">
        <v>815</v>
      </c>
      <c r="F12" s="113" t="s">
        <v>750</v>
      </c>
    </row>
    <row r="13" spans="1:6" ht="17.149999999999999" customHeight="1" x14ac:dyDescent="0.3">
      <c r="A13" s="112" t="s">
        <v>469</v>
      </c>
      <c r="B13" s="113" t="str">
        <f>VLOOKUP(A13,[10]Schedule_Invigilators!$A$2:$B$27,2,FALSE)</f>
        <v>Vincent Kofi Abaka Acquaah / Matthew Coffie Wilson</v>
      </c>
      <c r="C13" s="113" t="str">
        <f>VLOOKUP(A13,'[10]COMBINED_ATTD_INV (3)'!$A$351:$E$1175,2,FALSE)</f>
        <v>Owusu Stephen Akuoku/Evans Korletey/</v>
      </c>
      <c r="D13" s="121" t="s">
        <v>717</v>
      </c>
      <c r="E13" s="114" t="s">
        <v>815</v>
      </c>
      <c r="F13" s="113" t="s">
        <v>750</v>
      </c>
    </row>
    <row r="14" spans="1:6" ht="17.149999999999999" customHeight="1" x14ac:dyDescent="0.3">
      <c r="A14" s="112" t="s">
        <v>42</v>
      </c>
      <c r="B14" s="113" t="str">
        <f>VLOOKUP(A14,[10]Schedule_Invigilators!$A$2:$B$27,2,FALSE)</f>
        <v>Prince Odame / Martin Kesse</v>
      </c>
      <c r="C14" s="113" t="str">
        <f>VLOOKUP(A14,'[10]COMBINED_ATTD_INV (3)'!$A$351:$E$1175,2,FALSE)</f>
        <v>Kofi Bentum/Linda Berko/</v>
      </c>
      <c r="D14" s="121" t="s">
        <v>716</v>
      </c>
      <c r="E14" s="114" t="s">
        <v>815</v>
      </c>
      <c r="F14" s="113" t="s">
        <v>750</v>
      </c>
    </row>
    <row r="15" spans="1:6" ht="17.149999999999999" customHeight="1" x14ac:dyDescent="0.3">
      <c r="A15" s="112" t="s">
        <v>471</v>
      </c>
      <c r="B15" s="113" t="str">
        <f>VLOOKUP(A15,[10]Schedule_Invigilators!$A$2:$B$27,2,FALSE)</f>
        <v>Sefakor Dogbe / Y. A. Sokama-Neuyam</v>
      </c>
      <c r="C15" s="113" t="str">
        <f>VLOOKUP(A15,'[10]COMBINED_ATTD_INV (3)'!$A$351:$E$1175,2,FALSE)</f>
        <v>Joseph Benneth Kankam//</v>
      </c>
      <c r="D15" s="121" t="s">
        <v>795</v>
      </c>
      <c r="E15" s="114" t="s">
        <v>815</v>
      </c>
      <c r="F15" s="113" t="s">
        <v>750</v>
      </c>
    </row>
    <row r="16" spans="1:6" ht="17.149999999999999" customHeight="1" x14ac:dyDescent="0.3">
      <c r="A16" s="112" t="s">
        <v>472</v>
      </c>
      <c r="B16" s="113" t="str">
        <f>VLOOKUP(A16,[10]Schedule_Invigilators!$A$2:$B$27,2,FALSE)</f>
        <v>Godfred Boahen /  Nancy Anataba Kyorku Dzikunu-Bansah</v>
      </c>
      <c r="C16" s="113" t="str">
        <f>VLOOKUP(A16,'[10]COMBINED_ATTD_INV (3)'!$A$351:$E$1175,2,FALSE)</f>
        <v>Desmond Adu-Yeboah/Fatawu Yakubu/</v>
      </c>
      <c r="D16" s="121" t="s">
        <v>715</v>
      </c>
      <c r="E16" s="114" t="s">
        <v>815</v>
      </c>
      <c r="F16" s="113" t="s">
        <v>750</v>
      </c>
    </row>
    <row r="17" spans="1:8" ht="17.149999999999999" customHeight="1" x14ac:dyDescent="0.3">
      <c r="A17" s="112" t="s">
        <v>108</v>
      </c>
      <c r="B17" s="113" t="str">
        <f>VLOOKUP(A17,[10]Schedule_Invigilators!$A$2:$B$27,2,FALSE)</f>
        <v xml:space="preserve">Samuel Osah </v>
      </c>
      <c r="C17" s="113" t="str">
        <f>VLOOKUP(A17,'[10]COMBINED_ATTD_INV (3)'!$A$351:$E$1175,2,FALSE)</f>
        <v>Clement Appiah//</v>
      </c>
      <c r="D17" s="121" t="s">
        <v>825</v>
      </c>
      <c r="E17" s="114" t="s">
        <v>815</v>
      </c>
      <c r="F17" s="113" t="s">
        <v>750</v>
      </c>
    </row>
    <row r="18" spans="1:8" ht="17.149999999999999" customHeight="1" x14ac:dyDescent="0.3">
      <c r="A18" s="112" t="s">
        <v>473</v>
      </c>
      <c r="B18" s="113" t="str">
        <f>VLOOKUP(A18,[10]Schedule_Invigilators!$A$2:$B$27,2,FALSE)</f>
        <v>Evans Amponsah / Albert Kwame Kwaw</v>
      </c>
      <c r="C18" s="113" t="str">
        <f>VLOOKUP(A18,'[10]COMBINED_ATTD_INV (3)'!$A$351:$E$1175,2,FALSE)</f>
        <v>Godfred Appiah//</v>
      </c>
      <c r="D18" s="121" t="s">
        <v>713</v>
      </c>
      <c r="E18" s="114" t="s">
        <v>815</v>
      </c>
      <c r="F18" s="113" t="s">
        <v>750</v>
      </c>
    </row>
    <row r="19" spans="1:8" ht="17.149999999999999" customHeight="1" x14ac:dyDescent="0.3">
      <c r="A19" s="112" t="s">
        <v>474</v>
      </c>
      <c r="B19" s="113" t="str">
        <f>VLOOKUP(A19,[10]Schedule_Invigilators!$A$2:$B$27,2,FALSE)</f>
        <v>Blestmond Afrifa Brako</v>
      </c>
      <c r="C19" s="113" t="str">
        <f>VLOOKUP(A19,'[10]COMBINED_ATTD_INV (3)'!$A$351:$E$1175,2,FALSE)</f>
        <v>Ruth Adwubi Sarfo//</v>
      </c>
      <c r="D19" s="121" t="s">
        <v>824</v>
      </c>
      <c r="E19" s="114" t="s">
        <v>815</v>
      </c>
      <c r="F19" s="113" t="s">
        <v>750</v>
      </c>
    </row>
    <row r="20" spans="1:8" ht="17.149999999999999" customHeight="1" x14ac:dyDescent="0.3">
      <c r="A20" s="112" t="s">
        <v>475</v>
      </c>
      <c r="B20" s="113" t="str">
        <f>VLOOKUP(A20,[10]Schedule_Invigilators!$A$2:$B$27,2,FALSE)</f>
        <v>Andrew Selasi Agbemenu</v>
      </c>
      <c r="C20" s="113" t="str">
        <f>VLOOKUP(A20,'[10]COMBINED_ATTD_INV (3)'!$A$351:$E$1175,2,FALSE)</f>
        <v>Sandra Essel//</v>
      </c>
      <c r="D20" s="121" t="s">
        <v>711</v>
      </c>
      <c r="E20" s="114" t="s">
        <v>815</v>
      </c>
      <c r="F20" s="113" t="s">
        <v>750</v>
      </c>
    </row>
    <row r="21" spans="1:8" ht="17.149999999999999" customHeight="1" x14ac:dyDescent="0.3">
      <c r="A21" s="112" t="s">
        <v>476</v>
      </c>
      <c r="B21" s="113" t="str">
        <f>VLOOKUP(A21,[10]Schedule_Invigilators!$A$2:$B$27,2,FALSE)</f>
        <v>William Amponsah / Daniel Oduro Boatey Nuamah</v>
      </c>
      <c r="C21" s="113" t="str">
        <f>VLOOKUP(A21,'[10]COMBINED_ATTD_INV (3)'!$A$351:$E$1175,2,FALSE)</f>
        <v>Gifty Edem Senyaglo//</v>
      </c>
      <c r="D21" s="121" t="s">
        <v>710</v>
      </c>
      <c r="E21" s="114" t="s">
        <v>815</v>
      </c>
      <c r="F21" s="113" t="s">
        <v>750</v>
      </c>
    </row>
    <row r="22" spans="1:8" ht="17.149999999999999" customHeight="1" x14ac:dyDescent="0.3">
      <c r="A22" s="112" t="s">
        <v>477</v>
      </c>
      <c r="B22" s="113" t="str">
        <f>VLOOKUP(A22,[10]Schedule_Invigilators!$A$2:$B$27,2,FALSE)</f>
        <v>C. K. K. Sekyere / Peter Oppong Tawiah</v>
      </c>
      <c r="C22" s="113" t="str">
        <f>VLOOKUP(A22,'[10]COMBINED_ATTD_INV (3)'!$A$351:$E$1175,2,FALSE)</f>
        <v>Kwadwo Afful//</v>
      </c>
      <c r="D22" s="121" t="s">
        <v>823</v>
      </c>
      <c r="E22" s="114" t="s">
        <v>815</v>
      </c>
      <c r="F22" s="113" t="s">
        <v>750</v>
      </c>
      <c r="H22" s="110" t="s">
        <v>822</v>
      </c>
    </row>
    <row r="23" spans="1:8" ht="17.149999999999999" customHeight="1" x14ac:dyDescent="0.3">
      <c r="A23" s="112" t="s">
        <v>144</v>
      </c>
      <c r="B23" s="113" t="str">
        <f>VLOOKUP(A23,[10]Schedule_Invigilators!$A$2:$B$27,2,FALSE)</f>
        <v>Bright Akowuah / Felix Jojo Fianko Ayeh</v>
      </c>
      <c r="C23" s="113" t="str">
        <f>VLOOKUP(A23,'[10]COMBINED_ATTD_INV (3)'!$A$351:$E$1175,2,FALSE)</f>
        <v>Loretta Owusu Ansah/Adjatu Busali/</v>
      </c>
      <c r="D23" s="121" t="s">
        <v>707</v>
      </c>
      <c r="E23" s="114" t="s">
        <v>815</v>
      </c>
      <c r="F23" s="113" t="s">
        <v>750</v>
      </c>
    </row>
    <row r="24" spans="1:8" ht="17.149999999999999" customHeight="1" x14ac:dyDescent="0.3">
      <c r="A24" s="112" t="s">
        <v>637</v>
      </c>
      <c r="B24" s="113" t="str">
        <f>VLOOKUP(A24,[10]Schedule_Invigilators!$A$2:$B$27,2,FALSE)</f>
        <v>Benjamin Kommey / Dorothy Araba Yakoba Agyapong / Jonathan Arthur Quaye-Ballard / Jones Owusu Twumasi</v>
      </c>
      <c r="C24" s="113" t="str">
        <f>VLOOKUP(A24,'[10]COMBINED_ATTD_INV (3)'!$A$351:$E$1175,2,FALSE)</f>
        <v>Micheal Obbo/Bernard Annan/Abigail Akos Worlanyo</v>
      </c>
      <c r="D24" s="121" t="s">
        <v>706</v>
      </c>
      <c r="E24" s="114" t="s">
        <v>815</v>
      </c>
      <c r="F24" s="113" t="s">
        <v>750</v>
      </c>
    </row>
    <row r="25" spans="1:8" ht="17.149999999999999" customHeight="1" x14ac:dyDescent="0.3">
      <c r="A25" s="112" t="s">
        <v>636</v>
      </c>
      <c r="B25" s="113" t="str">
        <f>VLOOKUP(A25,[10]Schedule_Invigilators!$A$2:$B$27,2,FALSE)</f>
        <v>Anthony A. Agyemang / Eric Amoah Asante / Eric Kwame Anokye Asare</v>
      </c>
      <c r="C25" s="113" t="str">
        <f>VLOOKUP(A25,'[10]COMBINED_ATTD_INV (3)'!$A$351:$E$1175,2,FALSE)</f>
        <v>Clement Dadzie/Perseverance Dzikunu/Benjamin Nana Oduro Konadu</v>
      </c>
      <c r="D25" s="126" t="s">
        <v>819</v>
      </c>
      <c r="E25" s="114" t="s">
        <v>815</v>
      </c>
      <c r="F25" s="113" t="s">
        <v>750</v>
      </c>
    </row>
    <row r="26" spans="1:8" ht="17.149999999999999" customHeight="1" x14ac:dyDescent="0.3">
      <c r="A26" s="112" t="s">
        <v>635</v>
      </c>
      <c r="B26" s="113" t="str">
        <f>VLOOKUP(A26,[10]Schedule_Invigilators!$A$2:$B$27,2,FALSE)</f>
        <v>Kingsford Sarkodie Obeng Kwakye / Daniel Akwei Addo / David Oppong</v>
      </c>
      <c r="C26" s="113" t="str">
        <f>VLOOKUP(A26,'[10]COMBINED_ATTD_INV (3)'!$A$351:$E$1175,2,FALSE)</f>
        <v>Kingsley Kyei Baffour/Bright Andoh-Baidoo/</v>
      </c>
      <c r="D26" s="121" t="s">
        <v>765</v>
      </c>
      <c r="E26" s="114" t="s">
        <v>815</v>
      </c>
      <c r="F26" s="113" t="s">
        <v>750</v>
      </c>
    </row>
    <row r="27" spans="1:8" ht="17.149999999999999" customHeight="1" x14ac:dyDescent="0.3">
      <c r="A27" s="112" t="s">
        <v>634</v>
      </c>
      <c r="B27" s="113" t="str">
        <f>VLOOKUP(A27,[10]Schedule_Invigilators!$A$2:$B$27,2,FALSE)</f>
        <v>Kwame Agyemang Prempeh Agyekum / Eugene Appiah-Effah</v>
      </c>
      <c r="C27" s="113" t="str">
        <f>VLOOKUP(A27,'[10]COMBINED_ATTD_INV (3)'!$A$351:$E$1175,2,FALSE)</f>
        <v>Ernest Dapaah//</v>
      </c>
      <c r="D27" s="121" t="s">
        <v>704</v>
      </c>
      <c r="E27" s="114" t="s">
        <v>815</v>
      </c>
      <c r="F27" s="113"/>
    </row>
    <row r="28" spans="1:8" ht="17.149999999999999" customHeight="1" x14ac:dyDescent="0.3">
      <c r="A28" s="112"/>
      <c r="B28" s="113"/>
      <c r="C28" s="113"/>
      <c r="E28" s="114"/>
      <c r="F28" s="113"/>
    </row>
    <row r="29" spans="1:8" s="118" customFormat="1" ht="17.149999999999999" customHeight="1" x14ac:dyDescent="0.3">
      <c r="A29" s="119" t="s">
        <v>642</v>
      </c>
      <c r="B29" s="119" t="s">
        <v>526</v>
      </c>
      <c r="C29" s="119" t="s">
        <v>672</v>
      </c>
      <c r="D29" s="119" t="s">
        <v>671</v>
      </c>
      <c r="E29" s="124" t="s">
        <v>641</v>
      </c>
      <c r="F29" s="119" t="s">
        <v>640</v>
      </c>
    </row>
    <row r="30" spans="1:8" ht="17.149999999999999" customHeight="1" x14ac:dyDescent="0.3">
      <c r="A30" s="112" t="s">
        <v>35</v>
      </c>
      <c r="B30" s="113" t="str">
        <f>VLOOKUP(A30,[10]Schedule_Invigilators!$A$29:$B$803,2,FALSE)</f>
        <v>Albert Amatey Adjaottor</v>
      </c>
      <c r="C30" s="113" t="str">
        <f>VLOOKUP(A30,'[10]COMBINED_ATTD_INV (3)'!$A$379:$E$403,2,FALSE)</f>
        <v>Reuben Asare Bediako//</v>
      </c>
      <c r="D30" s="121" t="s">
        <v>744</v>
      </c>
      <c r="E30" s="114" t="s">
        <v>815</v>
      </c>
      <c r="F30" s="113" t="s">
        <v>745</v>
      </c>
    </row>
    <row r="31" spans="1:8" ht="17.149999999999999" customHeight="1" x14ac:dyDescent="0.3">
      <c r="A31" s="112" t="s">
        <v>510</v>
      </c>
      <c r="B31" s="113" t="str">
        <f>VLOOKUP(A31,[10]Schedule_Invigilators!$A$29:$B$803,2,FALSE)</f>
        <v>Andrew Cudzo Amenuvor</v>
      </c>
      <c r="C31" s="113" t="str">
        <f>VLOOKUP(A31,'[10]COMBINED_ATTD_INV (3)'!$A$379:$E$403,2,FALSE)</f>
        <v>George Ansong//</v>
      </c>
      <c r="D31" s="121" t="s">
        <v>743</v>
      </c>
      <c r="E31" s="114" t="s">
        <v>815</v>
      </c>
      <c r="F31" s="113" t="s">
        <v>745</v>
      </c>
    </row>
    <row r="32" spans="1:8" ht="17.149999999999999" customHeight="1" x14ac:dyDescent="0.3">
      <c r="A32" s="112" t="s">
        <v>508</v>
      </c>
      <c r="B32" s="113" t="str">
        <f>VLOOKUP(A32,[10]Schedule_Invigilators!$A$29:$B$803,2,FALSE)</f>
        <v>Evans Amponsah</v>
      </c>
      <c r="C32" s="113" t="str">
        <f>VLOOKUP(A32,'[10]COMBINED_ATTD_INV (3)'!$A$379:$E$403,2,FALSE)</f>
        <v>Derrick Owusu Mensah//</v>
      </c>
      <c r="D32" s="121" t="s">
        <v>742</v>
      </c>
      <c r="E32" s="114" t="s">
        <v>815</v>
      </c>
      <c r="F32" s="113" t="s">
        <v>745</v>
      </c>
    </row>
    <row r="33" spans="1:6" ht="17.149999999999999" customHeight="1" x14ac:dyDescent="0.3">
      <c r="A33" s="112" t="s">
        <v>466</v>
      </c>
      <c r="B33" s="113" t="str">
        <f>VLOOKUP(A33,[10]Schedule_Invigilators!$A$29:$B$803,2,FALSE)</f>
        <v>Charles Adrah / Emmanuel Ampoma Affum</v>
      </c>
      <c r="C33" s="113" t="str">
        <f>VLOOKUP(A33,'[10]COMBINED_ATTD_INV (3)'!$A$379:$E$403,2,FALSE)</f>
        <v>Sandra Essel/Paul Dery/</v>
      </c>
      <c r="D33" s="121" t="s">
        <v>821</v>
      </c>
      <c r="E33" s="114" t="s">
        <v>815</v>
      </c>
      <c r="F33" s="113" t="s">
        <v>745</v>
      </c>
    </row>
    <row r="34" spans="1:6" ht="17.149999999999999" customHeight="1" x14ac:dyDescent="0.3">
      <c r="A34" s="112">
        <v>206</v>
      </c>
      <c r="B34" s="113" t="str">
        <f>VLOOKUP(A34,[10]Schedule_Invigilators!$A$29:$B$803,2,FALSE)</f>
        <v>Augustus Ababio Donkor</v>
      </c>
      <c r="C34" s="113" t="str">
        <f>VLOOKUP(A34,'[10]COMBINED_ATTD_INV (3)'!$A$379:$E$403,2,FALSE)</f>
        <v>Edward Kpetege//</v>
      </c>
      <c r="D34" s="121" t="s">
        <v>740</v>
      </c>
      <c r="E34" s="114" t="s">
        <v>815</v>
      </c>
      <c r="F34" s="113" t="s">
        <v>745</v>
      </c>
    </row>
    <row r="35" spans="1:6" ht="17.149999999999999" customHeight="1" x14ac:dyDescent="0.3">
      <c r="A35" s="112">
        <v>303</v>
      </c>
      <c r="B35" s="113" t="str">
        <f>VLOOKUP(A35,[10]Schedule_Invigilators!$A$29:$B$803,2,FALSE)</f>
        <v>Nicholas Prah / Kwame Sarkodie</v>
      </c>
      <c r="C35" s="113" t="str">
        <f>VLOOKUP(A35,'[10]COMBINED_ATTD_INV (3)'!$A$379:$E$403,2,FALSE)</f>
        <v>Benjamin Opoku Atuahene//</v>
      </c>
      <c r="D35" s="121" t="s">
        <v>739</v>
      </c>
      <c r="E35" s="114" t="s">
        <v>815</v>
      </c>
      <c r="F35" s="113" t="s">
        <v>745</v>
      </c>
    </row>
    <row r="36" spans="1:6" ht="17.149999999999999" customHeight="1" x14ac:dyDescent="0.3">
      <c r="A36" s="112">
        <v>304</v>
      </c>
      <c r="B36" s="113" t="str">
        <f>VLOOKUP(A36,[10]Schedule_Invigilators!$A$29:$B$803,2,FALSE)</f>
        <v>Asiedu Nana Yaw</v>
      </c>
      <c r="C36" s="113" t="str">
        <f>VLOOKUP(A36,'[10]COMBINED_ATTD_INV (3)'!$A$379:$E$403,2,FALSE)</f>
        <v>Eric Soku//</v>
      </c>
      <c r="D36" s="121" t="s">
        <v>738</v>
      </c>
      <c r="E36" s="114" t="s">
        <v>815</v>
      </c>
      <c r="F36" s="113" t="s">
        <v>745</v>
      </c>
    </row>
    <row r="37" spans="1:6" ht="17.149999999999999" customHeight="1" x14ac:dyDescent="0.3">
      <c r="A37" s="112" t="s">
        <v>61</v>
      </c>
      <c r="B37" s="113" t="str">
        <f>VLOOKUP(A37,[10]Schedule_Invigilators!$A$29:$B$803,2,FALSE)</f>
        <v>Theresa-Samuelle Maame Atwemaa Adjaidoo</v>
      </c>
      <c r="C37" s="113" t="str">
        <f>VLOOKUP(A37,'[10]COMBINED_ATTD_INV (3)'!$A$379:$E$403,2,FALSE)</f>
        <v>Abigail Akos Worlanyo//</v>
      </c>
      <c r="D37" s="121" t="s">
        <v>708</v>
      </c>
      <c r="E37" s="114" t="s">
        <v>815</v>
      </c>
      <c r="F37" s="113" t="s">
        <v>745</v>
      </c>
    </row>
    <row r="38" spans="1:6" ht="17.149999999999999" customHeight="1" x14ac:dyDescent="0.3">
      <c r="A38" s="112" t="s">
        <v>468</v>
      </c>
      <c r="B38" s="113" t="str">
        <f>VLOOKUP(A38,[10]Schedule_Invigilators!$A$29:$B$803,2,FALSE)</f>
        <v>Benjamin Afotey / Jack Osei Banahene</v>
      </c>
      <c r="C38" s="113" t="str">
        <f>VLOOKUP(A38,'[10]COMBINED_ATTD_INV (3)'!$A$379:$E$403,2,FALSE)</f>
        <v>John Ofosu//</v>
      </c>
      <c r="D38" s="121" t="s">
        <v>736</v>
      </c>
      <c r="E38" s="114" t="s">
        <v>815</v>
      </c>
      <c r="F38" s="113" t="s">
        <v>745</v>
      </c>
    </row>
    <row r="39" spans="1:6" ht="17.149999999999999" customHeight="1" x14ac:dyDescent="0.3">
      <c r="A39" s="112" t="s">
        <v>469</v>
      </c>
      <c r="B39" s="113" t="str">
        <f>VLOOKUP(A39,[10]Schedule_Invigilators!$A$29:$B$803,2,FALSE)</f>
        <v>Samuel Erzuah / Yesuenyeagbe Fiagbe</v>
      </c>
      <c r="C39" s="113" t="str">
        <f>VLOOKUP(A39,'[10]COMBINED_ATTD_INV (3)'!$A$379:$E$403,2,FALSE)</f>
        <v>Owusu Stephen Akuoku/Michael Owusu/</v>
      </c>
      <c r="D39" s="121" t="s">
        <v>735</v>
      </c>
      <c r="E39" s="114" t="s">
        <v>815</v>
      </c>
      <c r="F39" s="113" t="s">
        <v>745</v>
      </c>
    </row>
    <row r="40" spans="1:6" ht="17.149999999999999" customHeight="1" x14ac:dyDescent="0.3">
      <c r="A40" s="112" t="s">
        <v>42</v>
      </c>
      <c r="B40" s="113" t="str">
        <f>VLOOKUP(A40,[10]Schedule_Invigilators!$A$29:$B$803,2,FALSE)</f>
        <v>Peter Oppong Tawiah/ Samuel Kwofie</v>
      </c>
      <c r="C40" s="113" t="str">
        <f>VLOOKUP(A40,'[10]COMBINED_ATTD_INV (3)'!$A$379:$E$403,2,FALSE)</f>
        <v>Rener Oppong/Fiifi Turkson/</v>
      </c>
      <c r="D40" s="121" t="s">
        <v>734</v>
      </c>
      <c r="E40" s="114" t="s">
        <v>815</v>
      </c>
      <c r="F40" s="113" t="s">
        <v>745</v>
      </c>
    </row>
    <row r="41" spans="1:6" ht="17.149999999999999" customHeight="1" x14ac:dyDescent="0.3">
      <c r="A41" s="112" t="s">
        <v>470</v>
      </c>
      <c r="B41" s="113" t="str">
        <f>VLOOKUP(A41,[10]Schedule_Invigilators!$A$29:$B$803,2,FALSE)</f>
        <v>Ayuba Bene Adam / Emmanuel Offei Akrofi</v>
      </c>
      <c r="C41" s="113" t="str">
        <f>VLOOKUP(A41,'[10]COMBINED_ATTD_INV (3)'!$A$379:$E$403,2,FALSE)</f>
        <v>Rebecca Yamoah//</v>
      </c>
      <c r="D41" s="121" t="s">
        <v>733</v>
      </c>
      <c r="E41" s="114" t="s">
        <v>815</v>
      </c>
      <c r="F41" s="113" t="s">
        <v>745</v>
      </c>
    </row>
    <row r="42" spans="1:6" ht="17.149999999999999" customHeight="1" x14ac:dyDescent="0.3">
      <c r="A42" s="112" t="s">
        <v>471</v>
      </c>
      <c r="B42" s="113" t="str">
        <f>VLOOKUP(A42,[10]Schedule_Invigilators!$A$29:$B$803,2,FALSE)</f>
        <v>Cosmas Yaw Asante / Bukari Ali</v>
      </c>
      <c r="C42" s="113" t="str">
        <f>VLOOKUP(A42,'[10]COMBINED_ATTD_INV (3)'!$A$379:$E$403,2,FALSE)</f>
        <v>Joseph Benneth Kankam//</v>
      </c>
      <c r="D42" s="121" t="s">
        <v>732</v>
      </c>
      <c r="E42" s="114" t="s">
        <v>815</v>
      </c>
      <c r="F42" s="113" t="s">
        <v>745</v>
      </c>
    </row>
    <row r="43" spans="1:6" ht="17.149999999999999" customHeight="1" x14ac:dyDescent="0.3">
      <c r="A43" s="112" t="s">
        <v>472</v>
      </c>
      <c r="B43" s="113" t="str">
        <f>VLOOKUP(A43,[10]Schedule_Invigilators!$A$29:$B$803,2,FALSE)</f>
        <v>Felix Jojo Fianko Ayeh / Martina Francisca Baidoo</v>
      </c>
      <c r="C43" s="113" t="str">
        <f>VLOOKUP(A43,'[10]COMBINED_ATTD_INV (3)'!$A$379:$E$403,2,FALSE)</f>
        <v>Evans Korletey/Fatawu Yakubu/</v>
      </c>
      <c r="D43" s="121" t="s">
        <v>731</v>
      </c>
      <c r="E43" s="114" t="s">
        <v>815</v>
      </c>
      <c r="F43" s="113" t="s">
        <v>745</v>
      </c>
    </row>
    <row r="44" spans="1:6" ht="17.149999999999999" customHeight="1" x14ac:dyDescent="0.3">
      <c r="A44" s="112" t="s">
        <v>108</v>
      </c>
      <c r="B44" s="113" t="str">
        <f>VLOOKUP(A44,[10]Schedule_Invigilators!$A$29:$B$803,2,FALSE)</f>
        <v>S. H. M. Aikins</v>
      </c>
      <c r="C44" s="113" t="str">
        <f>VLOOKUP(A44,'[10]COMBINED_ATTD_INV (3)'!$A$379:$E$403,2,FALSE)</f>
        <v>Clement Appiah//</v>
      </c>
      <c r="D44" s="121" t="s">
        <v>730</v>
      </c>
      <c r="E44" s="114" t="s">
        <v>815</v>
      </c>
      <c r="F44" s="113" t="s">
        <v>745</v>
      </c>
    </row>
    <row r="45" spans="1:6" ht="17.149999999999999" customHeight="1" x14ac:dyDescent="0.3">
      <c r="A45" s="112" t="s">
        <v>473</v>
      </c>
      <c r="B45" s="113" t="str">
        <f>VLOOKUP(A45,[10]Schedule_Invigilators!$A$29:$B$803,2,FALSE)</f>
        <v>Forkuo Eric Kwabena / Bennetta Koomson</v>
      </c>
      <c r="C45" s="113" t="str">
        <f>VLOOKUP(A45,'[10]COMBINED_ATTD_INV (3)'!$A$379:$E$403,2,FALSE)</f>
        <v>Theresa Sarpong Peprah//</v>
      </c>
      <c r="D45" s="121" t="s">
        <v>700</v>
      </c>
      <c r="E45" s="114" t="s">
        <v>815</v>
      </c>
      <c r="F45" s="113" t="s">
        <v>745</v>
      </c>
    </row>
    <row r="46" spans="1:6" ht="17.149999999999999" customHeight="1" x14ac:dyDescent="0.3">
      <c r="A46" s="112" t="s">
        <v>474</v>
      </c>
      <c r="B46" s="113" t="str">
        <f>VLOOKUP(A46,[10]Schedule_Invigilators!$A$29:$B$803,2,FALSE)</f>
        <v>Gordon Foli</v>
      </c>
      <c r="C46" s="113" t="str">
        <f>VLOOKUP(A46,'[10]COMBINED_ATTD_INV (3)'!$A$379:$E$403,2,FALSE)</f>
        <v>Ruth Adwubi Sarfo//</v>
      </c>
      <c r="D46" s="121" t="s">
        <v>699</v>
      </c>
      <c r="E46" s="114" t="s">
        <v>815</v>
      </c>
      <c r="F46" s="113" t="s">
        <v>745</v>
      </c>
    </row>
    <row r="47" spans="1:6" ht="17.149999999999999" customHeight="1" x14ac:dyDescent="0.3">
      <c r="A47" s="112" t="s">
        <v>475</v>
      </c>
      <c r="B47" s="113" t="str">
        <f>VLOOKUP(A47,[10]Schedule_Invigilators!$A$29:$B$803,2,FALSE)</f>
        <v>Andrew Selasi Agbemenu</v>
      </c>
      <c r="C47" s="113" t="str">
        <f>VLOOKUP(A47,'[10]COMBINED_ATTD_INV (3)'!$A$379:$E$403,2,FALSE)</f>
        <v>Clement Dadzie//</v>
      </c>
      <c r="D47" s="121" t="s">
        <v>698</v>
      </c>
      <c r="E47" s="114" t="s">
        <v>815</v>
      </c>
      <c r="F47" s="113" t="s">
        <v>745</v>
      </c>
    </row>
    <row r="48" spans="1:6" ht="17.149999999999999" customHeight="1" x14ac:dyDescent="0.3">
      <c r="A48" s="112" t="s">
        <v>476</v>
      </c>
      <c r="B48" s="113" t="str">
        <f>VLOOKUP(A48,[10]Schedule_Invigilators!$A$29:$B$803,2,FALSE)</f>
        <v>William Amponsah / Francisca Adoma Acheampong</v>
      </c>
      <c r="C48" s="113" t="str">
        <f>VLOOKUP(A48,'[10]COMBINED_ATTD_INV (3)'!$A$379:$E$403,2,FALSE)</f>
        <v>Kwame Kwarteng Sarpong//</v>
      </c>
      <c r="D48" s="121" t="s">
        <v>729</v>
      </c>
      <c r="E48" s="114" t="s">
        <v>815</v>
      </c>
      <c r="F48" s="113" t="s">
        <v>745</v>
      </c>
    </row>
    <row r="49" spans="1:6" ht="17.149999999999999" customHeight="1" x14ac:dyDescent="0.3">
      <c r="A49" s="112" t="s">
        <v>477</v>
      </c>
      <c r="B49" s="113" t="str">
        <f>VLOOKUP(A49,[10]Schedule_Invigilators!$A$29:$B$803,2,FALSE)</f>
        <v xml:space="preserve"> Nancy Anataba Kyorku Dzikunu-Bansah/ Ebenezer Mensah</v>
      </c>
      <c r="C49" s="113" t="str">
        <f>VLOOKUP(A49,'[10]COMBINED_ATTD_INV (3)'!$A$379:$E$403,2,FALSE)</f>
        <v>Kwadwo Afful//</v>
      </c>
      <c r="D49" s="121" t="s">
        <v>696</v>
      </c>
      <c r="E49" s="114" t="s">
        <v>815</v>
      </c>
      <c r="F49" s="113" t="s">
        <v>745</v>
      </c>
    </row>
    <row r="50" spans="1:6" ht="17.149999999999999" customHeight="1" x14ac:dyDescent="0.3">
      <c r="A50" s="112" t="s">
        <v>144</v>
      </c>
      <c r="B50" s="113" t="str">
        <f>VLOOKUP(A50,[10]Schedule_Invigilators!$A$29:$B$803,2,FALSE)</f>
        <v>Bright Akowuah / Mary Mensah</v>
      </c>
      <c r="C50" s="113" t="str">
        <f>VLOOKUP(A50,'[10]COMBINED_ATTD_INV (3)'!$A$379:$E$403,2,FALSE)</f>
        <v>Loretta Owusu Ansah/Adjatu Busali/</v>
      </c>
      <c r="D50" s="121" t="s">
        <v>695</v>
      </c>
      <c r="E50" s="114" t="s">
        <v>815</v>
      </c>
      <c r="F50" s="113" t="s">
        <v>745</v>
      </c>
    </row>
    <row r="51" spans="1:6" ht="17.149999999999999" customHeight="1" x14ac:dyDescent="0.3">
      <c r="A51" s="112" t="s">
        <v>637</v>
      </c>
      <c r="B51" s="113" t="str">
        <f>VLOOKUP(A51,[10]Schedule_Invigilators!$A$29:$B$803,2,FALSE)</f>
        <v xml:space="preserve"> Gabriel Takyi / Charles Gyamfi / Kofi Owura Amoabeng / Simon Kafui Yawo Gawu</v>
      </c>
      <c r="C51" s="113" t="str">
        <f>VLOOKUP(A51,'[10]COMBINED_ATTD_INV (3)'!$A$379:$E$403,2,FALSE)</f>
        <v>Micheal Obbo/Bernard Annan/Robert Kofi Kyere</v>
      </c>
      <c r="D51" s="121" t="s">
        <v>693</v>
      </c>
      <c r="E51" s="114" t="s">
        <v>815</v>
      </c>
      <c r="F51" s="113" t="s">
        <v>745</v>
      </c>
    </row>
    <row r="52" spans="1:6" ht="17.149999999999999" customHeight="1" x14ac:dyDescent="0.3">
      <c r="A52" s="112" t="s">
        <v>636</v>
      </c>
      <c r="B52" s="113" t="str">
        <f>VLOOKUP(A52,[10]Schedule_Invigilators!$A$29:$B$803,2,FALSE)</f>
        <v>Alfred Alan Duker / F. K. A. Nyarko / Geophrey Kwame Anornu</v>
      </c>
      <c r="C52" s="113" t="str">
        <f>VLOOKUP(A52,'[10]COMBINED_ATTD_INV (3)'!$A$379:$E$403,2,FALSE)</f>
        <v>Rener Oppong/Perseverance Dzikunu/Adom Ebenezer</v>
      </c>
      <c r="D52" s="121" t="s">
        <v>692</v>
      </c>
      <c r="E52" s="114" t="s">
        <v>815</v>
      </c>
      <c r="F52" s="113" t="s">
        <v>745</v>
      </c>
    </row>
    <row r="53" spans="1:6" ht="17.149999999999999" customHeight="1" x14ac:dyDescent="0.3">
      <c r="A53" s="112" t="s">
        <v>635</v>
      </c>
      <c r="B53" s="113" t="str">
        <f>VLOOKUP(A53,[10]Schedule_Invigilators!$A$29:$B$803,2,FALSE)</f>
        <v>Kingsford Sarkodie Obeng Kwakye / Emmanuel Kwesi Arthur / Godfrey Chiri Amedjoe</v>
      </c>
      <c r="C53" s="113" t="str">
        <f>VLOOKUP(A53,'[10]COMBINED_ATTD_INV (3)'!$A$379:$E$403,2,FALSE)</f>
        <v>Kingsley Kyei Baffour/Bright Andoh-Baidoo/</v>
      </c>
      <c r="D53" s="121" t="s">
        <v>691</v>
      </c>
      <c r="E53" s="114" t="s">
        <v>815</v>
      </c>
      <c r="F53" s="113" t="s">
        <v>745</v>
      </c>
    </row>
    <row r="54" spans="1:6" ht="17.149999999999999" customHeight="1" x14ac:dyDescent="0.3">
      <c r="A54" s="112" t="s">
        <v>634</v>
      </c>
      <c r="B54" s="113" t="str">
        <f>VLOOKUP(A54,[10]Schedule_Invigilators!$A$29:$B$803,2,FALSE)</f>
        <v>Francis Boafo Effah / Yaw Adubofour Tuffour</v>
      </c>
      <c r="C54" s="113" t="str">
        <f>VLOOKUP(A54,'[10]COMBINED_ATTD_INV (3)'!$A$379:$E$403,2,FALSE)</f>
        <v>Ernest Dapaah//</v>
      </c>
      <c r="D54" s="121" t="s">
        <v>690</v>
      </c>
      <c r="E54" s="114" t="s">
        <v>815</v>
      </c>
      <c r="F54" s="113"/>
    </row>
    <row r="55" spans="1:6" ht="17.149999999999999" customHeight="1" x14ac:dyDescent="0.3">
      <c r="A55" s="112"/>
      <c r="B55" s="113"/>
      <c r="C55" s="113"/>
      <c r="D55" s="113"/>
      <c r="E55" s="114"/>
      <c r="F55" s="113"/>
    </row>
    <row r="56" spans="1:6" s="118" customFormat="1" ht="17.149999999999999" customHeight="1" x14ac:dyDescent="0.3">
      <c r="A56" s="119" t="s">
        <v>642</v>
      </c>
      <c r="B56" s="119" t="s">
        <v>526</v>
      </c>
      <c r="C56" s="119" t="s">
        <v>672</v>
      </c>
      <c r="D56" s="119" t="s">
        <v>671</v>
      </c>
      <c r="E56" s="124" t="s">
        <v>641</v>
      </c>
      <c r="F56" s="119" t="s">
        <v>640</v>
      </c>
    </row>
    <row r="57" spans="1:6" ht="17.149999999999999" customHeight="1" x14ac:dyDescent="0.3">
      <c r="A57" s="112" t="s">
        <v>35</v>
      </c>
      <c r="B57" s="113" t="str">
        <f>VLOOKUP(A57,[10]Schedule_Invigilators!$A$55:$B$803,2,FALSE)</f>
        <v>Martinson Addo Nartey</v>
      </c>
      <c r="C57" s="113" t="str">
        <f>VLOOKUP(A57,'[10]COMBINED_ATTD_INV (3)'!$A$406:$E$431,2,FALSE)</f>
        <v>Theresa Sarpong Peprah//</v>
      </c>
      <c r="D57" s="121" t="s">
        <v>689</v>
      </c>
      <c r="E57" s="114" t="s">
        <v>815</v>
      </c>
      <c r="F57" s="113" t="s">
        <v>728</v>
      </c>
    </row>
    <row r="58" spans="1:6" ht="17.149999999999999" customHeight="1" x14ac:dyDescent="0.3">
      <c r="A58" s="112" t="s">
        <v>510</v>
      </c>
      <c r="B58" s="113" t="str">
        <f>VLOOKUP(A58,[10]Schedule_Invigilators!$A$55:$B$803,2,FALSE)</f>
        <v>Ayuba Bene Adam</v>
      </c>
      <c r="C58" s="113" t="str">
        <f>VLOOKUP(A58,'[10]COMBINED_ATTD_INV (3)'!$A$406:$E$431,2,FALSE)</f>
        <v>George Ansong//</v>
      </c>
      <c r="D58" s="121" t="s">
        <v>749</v>
      </c>
      <c r="E58" s="114" t="s">
        <v>815</v>
      </c>
      <c r="F58" s="113" t="s">
        <v>728</v>
      </c>
    </row>
    <row r="59" spans="1:6" ht="17.149999999999999" customHeight="1" x14ac:dyDescent="0.3">
      <c r="A59" s="112" t="s">
        <v>508</v>
      </c>
      <c r="B59" s="113" t="str">
        <f>VLOOKUP(A59,[10]Schedule_Invigilators!$A$55:$B$803,2,FALSE)</f>
        <v>Faisal Wahib Adam</v>
      </c>
      <c r="C59" s="113" t="str">
        <f>VLOOKUP(A59,'[10]COMBINED_ATTD_INV (3)'!$A$406:$E$431,2,FALSE)</f>
        <v>Derrick Owusu Mensah//</v>
      </c>
      <c r="D59" s="121" t="s">
        <v>688</v>
      </c>
      <c r="E59" s="114" t="s">
        <v>815</v>
      </c>
      <c r="F59" s="113" t="s">
        <v>728</v>
      </c>
    </row>
    <row r="60" spans="1:6" ht="17.149999999999999" customHeight="1" x14ac:dyDescent="0.3">
      <c r="A60" s="112" t="s">
        <v>466</v>
      </c>
      <c r="B60" s="113" t="str">
        <f>VLOOKUP(A60,[10]Schedule_Invigilators!$A$55:$B$803,2,FALSE)</f>
        <v xml:space="preserve">Theresa-Samuelle Maame Atwemaa Adjaidoo / Prince Ebenezer Adjei </v>
      </c>
      <c r="C60" s="113" t="str">
        <f>VLOOKUP(A60,'[10]COMBINED_ATTD_INV (3)'!$A$406:$E$431,2,FALSE)</f>
        <v>Victoria Agyenim-Boateng/Michael Owusu/</v>
      </c>
      <c r="D60" s="121" t="s">
        <v>687</v>
      </c>
      <c r="E60" s="114" t="s">
        <v>815</v>
      </c>
      <c r="F60" s="113" t="s">
        <v>728</v>
      </c>
    </row>
    <row r="61" spans="1:6" ht="17.149999999999999" customHeight="1" x14ac:dyDescent="0.3">
      <c r="A61" s="112">
        <v>206</v>
      </c>
      <c r="B61" s="113" t="str">
        <f>VLOOKUP(A61,[10]Schedule_Invigilators!$A$55:$B$803,2,FALSE)</f>
        <v>Sefakor Dogbe</v>
      </c>
      <c r="C61" s="113" t="str">
        <f>VLOOKUP(A61,'[10]COMBINED_ATTD_INV (3)'!$A$406:$E$431,2,FALSE)</f>
        <v>Edward Kpetege//</v>
      </c>
      <c r="D61" s="121" t="s">
        <v>686</v>
      </c>
      <c r="E61" s="114" t="s">
        <v>815</v>
      </c>
      <c r="F61" s="113" t="s">
        <v>728</v>
      </c>
    </row>
    <row r="62" spans="1:6" ht="17.149999999999999" customHeight="1" x14ac:dyDescent="0.3">
      <c r="A62" s="112">
        <v>303</v>
      </c>
      <c r="B62" s="113" t="str">
        <f>VLOOKUP(A62,[10]Schedule_Invigilators!$A$55:$B$803,2,FALSE)</f>
        <v>Jack Osei Banahene / Jude Bonsu</v>
      </c>
      <c r="C62" s="113" t="str">
        <f>VLOOKUP(A62,'[10]COMBINED_ATTD_INV (3)'!$A$406:$E$431,2,FALSE)</f>
        <v>Linda Berko//</v>
      </c>
      <c r="D62" s="121" t="s">
        <v>685</v>
      </c>
      <c r="E62" s="114" t="s">
        <v>815</v>
      </c>
      <c r="F62" s="113" t="s">
        <v>728</v>
      </c>
    </row>
    <row r="63" spans="1:6" ht="17.149999999999999" customHeight="1" x14ac:dyDescent="0.3">
      <c r="A63" s="112">
        <v>304</v>
      </c>
      <c r="B63" s="113" t="str">
        <f>VLOOKUP(A63,[10]Schedule_Invigilators!$A$55:$B$803,2,FALSE)</f>
        <v>Kofi Owura Amoabeng</v>
      </c>
      <c r="C63" s="113" t="str">
        <f>VLOOKUP(A63,'[10]COMBINED_ATTD_INV (3)'!$A$406:$E$431,2,FALSE)</f>
        <v>Eric Soku//</v>
      </c>
      <c r="D63" s="121" t="s">
        <v>684</v>
      </c>
      <c r="E63" s="114" t="s">
        <v>815</v>
      </c>
      <c r="F63" s="113" t="s">
        <v>728</v>
      </c>
    </row>
    <row r="64" spans="1:6" ht="17.149999999999999" customHeight="1" x14ac:dyDescent="0.3">
      <c r="A64" s="112" t="s">
        <v>61</v>
      </c>
      <c r="B64" s="113" t="str">
        <f>VLOOKUP(A64,[10]Schedule_Invigilators!$A$55:$B$803,2,FALSE)</f>
        <v>Eric Amoah Asante</v>
      </c>
      <c r="C64" s="113" t="str">
        <f>VLOOKUP(A64,'[10]COMBINED_ATTD_INV (3)'!$A$406:$E$431,2,FALSE)</f>
        <v>Salamatu Salifu//</v>
      </c>
      <c r="D64" s="121" t="s">
        <v>683</v>
      </c>
      <c r="E64" s="114" t="s">
        <v>815</v>
      </c>
      <c r="F64" s="113" t="s">
        <v>728</v>
      </c>
    </row>
    <row r="65" spans="1:6" ht="17.149999999999999" customHeight="1" x14ac:dyDescent="0.3">
      <c r="A65" s="112" t="s">
        <v>467</v>
      </c>
      <c r="B65" s="113" t="str">
        <f>VLOOKUP(A65,[10]Schedule_Invigilators!$A$55:$B$803,2,FALSE)</f>
        <v>Samuel Osah</v>
      </c>
      <c r="C65" s="113" t="str">
        <f>VLOOKUP(A65,'[10]COMBINED_ATTD_INV (3)'!$A$406:$E$431,2,FALSE)</f>
        <v>Derrick Amoateng//</v>
      </c>
      <c r="D65" s="121" t="s">
        <v>682</v>
      </c>
      <c r="E65" s="114" t="s">
        <v>815</v>
      </c>
      <c r="F65" s="113" t="s">
        <v>728</v>
      </c>
    </row>
    <row r="66" spans="1:6" ht="17.149999999999999" customHeight="1" x14ac:dyDescent="0.3">
      <c r="A66" s="112" t="s">
        <v>468</v>
      </c>
      <c r="B66" s="113" t="str">
        <f>VLOOKUP(A66,[10]Schedule_Invigilators!$A$55:$B$803,2,FALSE)</f>
        <v>Isaac Dadzie / John Wise Divine Ayer</v>
      </c>
      <c r="C66" s="113" t="str">
        <f>VLOOKUP(A66,'[10]COMBINED_ATTD_INV (3)'!$A$406:$E$431,2,FALSE)</f>
        <v>John Ofosu//</v>
      </c>
      <c r="D66" s="121" t="s">
        <v>681</v>
      </c>
      <c r="E66" s="114" t="s">
        <v>815</v>
      </c>
      <c r="F66" s="113" t="s">
        <v>728</v>
      </c>
    </row>
    <row r="67" spans="1:6" ht="17.149999999999999" customHeight="1" x14ac:dyDescent="0.3">
      <c r="A67" s="112" t="s">
        <v>469</v>
      </c>
      <c r="B67" s="113" t="str">
        <f>VLOOKUP(A67,[10]Schedule_Invigilators!$A$55:$B$803,2,FALSE)</f>
        <v>Benjamin Afotey / Francis Kofi Forson</v>
      </c>
      <c r="C67" s="113" t="str">
        <f>VLOOKUP(A67,'[10]COMBINED_ATTD_INV (3)'!$A$406:$E$431,2,FALSE)</f>
        <v>Rener Oppong/Samuel Osei-Asibey Bonsu/</v>
      </c>
      <c r="D67" s="121" t="s">
        <v>680</v>
      </c>
      <c r="E67" s="114" t="s">
        <v>815</v>
      </c>
      <c r="F67" s="113" t="s">
        <v>728</v>
      </c>
    </row>
    <row r="68" spans="1:6" ht="17.149999999999999" customHeight="1" x14ac:dyDescent="0.3">
      <c r="A68" s="112" t="s">
        <v>42</v>
      </c>
      <c r="B68" s="113" t="str">
        <f>VLOOKUP(A68,[10]Schedule_Invigilators!$A$55:$B$803,2,FALSE)</f>
        <v>M. Appiah Brempong / Anthony Arko-Adjei</v>
      </c>
      <c r="C68" s="113" t="str">
        <f>VLOOKUP(A68,'[10]COMBINED_ATTD_INV (3)'!$A$406:$E$431,2,FALSE)</f>
        <v>Kofi Bentum/Gifty Edem Senyaglo/</v>
      </c>
      <c r="D68" s="121" t="s">
        <v>679</v>
      </c>
      <c r="E68" s="114" t="s">
        <v>815</v>
      </c>
      <c r="F68" s="113" t="s">
        <v>728</v>
      </c>
    </row>
    <row r="69" spans="1:6" ht="17.149999999999999" customHeight="1" x14ac:dyDescent="0.3">
      <c r="A69" s="112" t="s">
        <v>470</v>
      </c>
      <c r="B69" s="113" t="str">
        <f>VLOOKUP(A69,[10]Schedule_Invigilators!$A$55:$B$803,2,FALSE)</f>
        <v>Nancy Anataba Kyorku Dzikunu-Bansah  /   Samuel Boahen</v>
      </c>
      <c r="C69" s="113" t="str">
        <f>VLOOKUP(A69,'[10]COMBINED_ATTD_INV (3)'!$A$406:$E$431,2,FALSE)</f>
        <v>Rebecca Yamoah//</v>
      </c>
      <c r="D69" s="121" t="s">
        <v>677</v>
      </c>
      <c r="E69" s="114" t="s">
        <v>815</v>
      </c>
      <c r="F69" s="113" t="s">
        <v>728</v>
      </c>
    </row>
    <row r="70" spans="1:6" ht="17.149999999999999" customHeight="1" x14ac:dyDescent="0.3">
      <c r="A70" s="112" t="s">
        <v>471</v>
      </c>
      <c r="B70" s="113" t="str">
        <f>VLOOKUP(A70,[10]Schedule_Invigilators!$A$55:$B$803,2,FALSE)</f>
        <v>Eric Kwame Anokye Asare / Daniel Oduro Boatey Nuamah</v>
      </c>
      <c r="C70" s="113" t="str">
        <f>VLOOKUP(A70,'[10]COMBINED_ATTD_INV (3)'!$A$406:$E$431,2,FALSE)</f>
        <v>Joseph Benneth Kankam//</v>
      </c>
      <c r="D70" s="121" t="s">
        <v>676</v>
      </c>
      <c r="E70" s="114" t="s">
        <v>815</v>
      </c>
      <c r="F70" s="113" t="s">
        <v>728</v>
      </c>
    </row>
    <row r="71" spans="1:6" ht="17.149999999999999" customHeight="1" x14ac:dyDescent="0.3">
      <c r="A71" s="112" t="s">
        <v>472</v>
      </c>
      <c r="B71" s="113" t="str">
        <f>VLOOKUP(A71,[10]Schedule_Invigilators!$A$55:$B$803,2,FALSE)</f>
        <v>Albert Kwame Kwaw / Daniel Akwei Addo</v>
      </c>
      <c r="C71" s="113" t="str">
        <f>VLOOKUP(A71,'[10]COMBINED_ATTD_INV (3)'!$A$406:$E$431,2,FALSE)</f>
        <v>Bernard Audinada Ampofo/Fatawu Yakubu/</v>
      </c>
      <c r="D71" s="121" t="s">
        <v>675</v>
      </c>
      <c r="E71" s="114" t="s">
        <v>815</v>
      </c>
      <c r="F71" s="113" t="s">
        <v>728</v>
      </c>
    </row>
    <row r="72" spans="1:6" ht="17.149999999999999" customHeight="1" x14ac:dyDescent="0.3">
      <c r="A72" s="112" t="s">
        <v>108</v>
      </c>
      <c r="B72" s="113" t="str">
        <f>VLOOKUP(A72,[10]Schedule_Invigilators!$A$55:$B$803,2,FALSE)</f>
        <v>Jones Owusu Twumasi</v>
      </c>
      <c r="C72" s="113" t="str">
        <f>VLOOKUP(A72,'[10]COMBINED_ATTD_INV (3)'!$A$406:$E$431,2,FALSE)</f>
        <v>Clement Appiah//</v>
      </c>
      <c r="D72" s="121" t="s">
        <v>674</v>
      </c>
      <c r="E72" s="114" t="s">
        <v>815</v>
      </c>
      <c r="F72" s="113" t="s">
        <v>728</v>
      </c>
    </row>
    <row r="73" spans="1:6" ht="17.149999999999999" customHeight="1" x14ac:dyDescent="0.3">
      <c r="A73" s="112" t="s">
        <v>473</v>
      </c>
      <c r="B73" s="113" t="str">
        <f>VLOOKUP(A73,[10]Schedule_Invigilators!$A$55:$B$803,2,FALSE)</f>
        <v>Stephen Adjei / Godfred Boahen</v>
      </c>
      <c r="C73" s="113" t="str">
        <f>VLOOKUP(A73,'[10]COMBINED_ATTD_INV (3)'!$A$406:$E$431,2,FALSE)</f>
        <v>Godfred Appiah//</v>
      </c>
      <c r="D73" s="121" t="s">
        <v>670</v>
      </c>
      <c r="E73" s="114" t="s">
        <v>815</v>
      </c>
      <c r="F73" s="113" t="s">
        <v>728</v>
      </c>
    </row>
    <row r="74" spans="1:6" ht="17.149999999999999" customHeight="1" x14ac:dyDescent="0.3">
      <c r="A74" s="112" t="s">
        <v>474</v>
      </c>
      <c r="B74" s="113" t="str">
        <f>VLOOKUP(A74,[10]Schedule_Invigilators!$A$55:$B$803,2,FALSE)</f>
        <v>Godfrey Chiri Amedjoe</v>
      </c>
      <c r="C74" s="113" t="str">
        <f>VLOOKUP(A74,'[10]COMBINED_ATTD_INV (3)'!$A$406:$E$431,2,FALSE)</f>
        <v>Abigail Akos Worlanyo//</v>
      </c>
      <c r="D74" s="121" t="s">
        <v>669</v>
      </c>
      <c r="E74" s="114" t="s">
        <v>815</v>
      </c>
      <c r="F74" s="113" t="s">
        <v>728</v>
      </c>
    </row>
    <row r="75" spans="1:6" ht="17.149999999999999" customHeight="1" x14ac:dyDescent="0.3">
      <c r="A75" s="112" t="s">
        <v>475</v>
      </c>
      <c r="B75" s="113" t="str">
        <f>VLOOKUP(A75,[10]Schedule_Invigilators!$A$55:$B$803,2,FALSE)</f>
        <v>Andrew Selasi Agbemenu</v>
      </c>
      <c r="C75" s="113" t="str">
        <f>VLOOKUP(A75,'[10]COMBINED_ATTD_INV (3)'!$A$406:$E$431,2,FALSE)</f>
        <v>Sandra Essel//</v>
      </c>
      <c r="D75" s="121" t="s">
        <v>668</v>
      </c>
      <c r="E75" s="114" t="s">
        <v>815</v>
      </c>
      <c r="F75" s="113" t="s">
        <v>728</v>
      </c>
    </row>
    <row r="76" spans="1:6" ht="17.149999999999999" customHeight="1" x14ac:dyDescent="0.3">
      <c r="A76" s="112" t="s">
        <v>476</v>
      </c>
      <c r="B76" s="113" t="str">
        <f>VLOOKUP(A76,[10]Schedule_Invigilators!$A$55:$B$803,2,FALSE)</f>
        <v>William Amponsah / Gordon Foli</v>
      </c>
      <c r="C76" s="113" t="str">
        <f>VLOOKUP(A76,'[10]COMBINED_ATTD_INV (3)'!$A$406:$E$431,2,FALSE)</f>
        <v>Kwame Kwarteng Sarpong//</v>
      </c>
      <c r="D76" s="121" t="s">
        <v>748</v>
      </c>
      <c r="E76" s="114" t="s">
        <v>815</v>
      </c>
      <c r="F76" s="113" t="s">
        <v>728</v>
      </c>
    </row>
    <row r="77" spans="1:6" ht="17.149999999999999" customHeight="1" x14ac:dyDescent="0.3">
      <c r="A77" s="112" t="s">
        <v>477</v>
      </c>
      <c r="B77" s="113" t="str">
        <f>VLOOKUP(A77,[10]Schedule_Invigilators!$A$55:$B$803,2,FALSE)</f>
        <v>Efiba Vidda Senkyire Kwarteng / Albert Asare</v>
      </c>
      <c r="C77" s="113" t="str">
        <f>VLOOKUP(A77,'[10]COMBINED_ATTD_INV (3)'!$A$406:$E$431,2,FALSE)</f>
        <v>Benjamin Nana Oduro Konadu//</v>
      </c>
      <c r="D77" s="121" t="s">
        <v>666</v>
      </c>
      <c r="E77" s="114" t="s">
        <v>815</v>
      </c>
      <c r="F77" s="113" t="s">
        <v>728</v>
      </c>
    </row>
    <row r="78" spans="1:6" ht="17.149999999999999" customHeight="1" x14ac:dyDescent="0.3">
      <c r="A78" s="112" t="s">
        <v>144</v>
      </c>
      <c r="B78" s="113" t="str">
        <f>VLOOKUP(A78,[10]Schedule_Invigilators!$A$55:$B$803,2,FALSE)</f>
        <v>Bright Akowuah / Emmanuel Kwesi Arthur</v>
      </c>
      <c r="C78" s="113" t="str">
        <f>VLOOKUP(A78,'[10]COMBINED_ATTD_INV (3)'!$A$406:$E$431,2,FALSE)</f>
        <v>Loretta Owusu Ansah/Desmond Adu-Yeboah/</v>
      </c>
      <c r="D78" s="121" t="s">
        <v>665</v>
      </c>
      <c r="E78" s="114" t="s">
        <v>815</v>
      </c>
      <c r="F78" s="113" t="s">
        <v>728</v>
      </c>
    </row>
    <row r="79" spans="1:6" ht="17.149999999999999" customHeight="1" x14ac:dyDescent="0.3">
      <c r="A79" s="112" t="s">
        <v>637</v>
      </c>
      <c r="B79" s="113" t="str">
        <f>VLOOKUP(A79,[10]Schedule_Invigilators!$A$55:$B$803,2,FALSE)</f>
        <v>F. K. A. Nyarko / Benjamin Kommey / Jonathan Atuquaye Quaye / James Okae</v>
      </c>
      <c r="C79" s="113" t="str">
        <f>VLOOKUP(A79,'[10]COMBINED_ATTD_INV (3)'!$A$406:$E$431,2,FALSE)</f>
        <v>Micheal Obbo/Getrude Opoku/Clement Dadzie</v>
      </c>
      <c r="D79" s="121" t="s">
        <v>663</v>
      </c>
      <c r="E79" s="114" t="s">
        <v>815</v>
      </c>
      <c r="F79" s="113" t="s">
        <v>728</v>
      </c>
    </row>
    <row r="80" spans="1:6" ht="16.5" customHeight="1" x14ac:dyDescent="0.3">
      <c r="A80" s="112" t="s">
        <v>636</v>
      </c>
      <c r="B80" s="113" t="str">
        <f>VLOOKUP(A80,[10]Schedule_Invigilators!$A$55:$B$803,2,FALSE)</f>
        <v>Joseph Aveyire / Emmanuel Obuobi Kwame Addo / Akwasi Afrifa Acheampong</v>
      </c>
      <c r="C80" s="113" t="str">
        <f>VLOOKUP(A80,'[10]COMBINED_ATTD_INV (3)'!$A$406:$E$431,2,FALSE)</f>
        <v>Peter Agetinga/Perseverance Dzikunu/Adom Ebenezer</v>
      </c>
      <c r="D80" s="121" t="s">
        <v>767</v>
      </c>
      <c r="E80" s="114" t="s">
        <v>815</v>
      </c>
      <c r="F80" s="113" t="s">
        <v>728</v>
      </c>
    </row>
    <row r="81" spans="1:6" ht="16.5" customHeight="1" x14ac:dyDescent="0.3">
      <c r="A81" s="112" t="s">
        <v>635</v>
      </c>
      <c r="B81" s="113" t="str">
        <f>VLOOKUP(A81,[10]Schedule_Invigilators!$A$55:$B$803,2,FALSE)</f>
        <v>Kingsford Sarkodie Obeng Kwakye / Mary Mensah / Francisca Adoma Acheampong</v>
      </c>
      <c r="C81" s="113" t="str">
        <f>VLOOKUP(A81,'[10]COMBINED_ATTD_INV (3)'!$A$406:$E$431,2,FALSE)</f>
        <v>Kingsley Kyei Baffour/Bright Andoh-Baidoo/</v>
      </c>
      <c r="D81" s="121" t="s">
        <v>766</v>
      </c>
      <c r="E81" s="114" t="s">
        <v>815</v>
      </c>
      <c r="F81" s="113" t="s">
        <v>728</v>
      </c>
    </row>
    <row r="82" spans="1:6" ht="16.5" customHeight="1" x14ac:dyDescent="0.3">
      <c r="A82" s="112" t="s">
        <v>634</v>
      </c>
      <c r="B82" s="113" t="str">
        <f>VLOOKUP(A82,[10]Schedule_Invigilators!$A$55:$B$803,2,FALSE)</f>
        <v>Henry Nunoo-Mensah / Andrew Cudzo Amenuvor</v>
      </c>
      <c r="C82" s="113" t="str">
        <f>VLOOKUP(A82,'[10]COMBINED_ATTD_INV (3)'!$A$406:$E$431,2,FALSE)</f>
        <v>Ernest Dapaah//</v>
      </c>
      <c r="D82" s="121" t="s">
        <v>661</v>
      </c>
      <c r="E82" s="114" t="s">
        <v>815</v>
      </c>
      <c r="F82" s="113" t="s">
        <v>728</v>
      </c>
    </row>
    <row r="83" spans="1:6" ht="17.149999999999999" customHeight="1" x14ac:dyDescent="0.3">
      <c r="A83" s="112"/>
      <c r="B83" s="113"/>
      <c r="C83" s="113"/>
      <c r="D83" s="113"/>
      <c r="E83" s="114"/>
      <c r="F83" s="113"/>
    </row>
    <row r="84" spans="1:6" s="118" customFormat="1" ht="17.149999999999999" customHeight="1" x14ac:dyDescent="0.3">
      <c r="A84" s="119" t="s">
        <v>642</v>
      </c>
      <c r="B84" s="119" t="s">
        <v>526</v>
      </c>
      <c r="C84" s="119" t="s">
        <v>672</v>
      </c>
      <c r="D84" s="119" t="s">
        <v>671</v>
      </c>
      <c r="E84" s="124" t="s">
        <v>641</v>
      </c>
      <c r="F84" s="119" t="s">
        <v>640</v>
      </c>
    </row>
    <row r="85" spans="1:6" ht="17.149999999999999" customHeight="1" x14ac:dyDescent="0.3">
      <c r="A85" s="112" t="s">
        <v>35</v>
      </c>
      <c r="B85" s="113" t="str">
        <f>VLOOKUP(A85,[10]Schedule_Invigilators!$A$82:$B$803,2,FALSE)</f>
        <v>Kwame Agyemang Prempeh Agyekum</v>
      </c>
      <c r="C85" s="113" t="str">
        <f>VLOOKUP(A85,'[10]COMBINED_ATTD_INV (3)'!$A$434:$E$458,2,FALSE)</f>
        <v>Reuben Asare Bediako//</v>
      </c>
      <c r="D85" s="121" t="s">
        <v>660</v>
      </c>
      <c r="E85" s="114" t="s">
        <v>815</v>
      </c>
      <c r="F85" s="113" t="s">
        <v>701</v>
      </c>
    </row>
    <row r="86" spans="1:6" ht="17.149999999999999" customHeight="1" x14ac:dyDescent="0.3">
      <c r="A86" s="112" t="s">
        <v>510</v>
      </c>
      <c r="B86" s="113" t="str">
        <f>VLOOKUP(A86,[10]Schedule_Invigilators!$A$82:$B$803,2,FALSE)</f>
        <v>Anthony Arko-Adjei</v>
      </c>
      <c r="C86" s="113" t="str">
        <f>VLOOKUP(A86,'[10]COMBINED_ATTD_INV (3)'!$A$434:$E$458,2,FALSE)</f>
        <v>George Ansong//</v>
      </c>
      <c r="D86" s="121" t="s">
        <v>763</v>
      </c>
      <c r="E86" s="114" t="s">
        <v>815</v>
      </c>
      <c r="F86" s="113" t="s">
        <v>701</v>
      </c>
    </row>
    <row r="87" spans="1:6" ht="17.149999999999999" customHeight="1" x14ac:dyDescent="0.3">
      <c r="A87" s="112" t="s">
        <v>508</v>
      </c>
      <c r="B87" s="113" t="str">
        <f>VLOOKUP(A87,[10]Schedule_Invigilators!$A$82:$B$803,2,FALSE)</f>
        <v>Bennetta Koomson</v>
      </c>
      <c r="C87" s="113" t="str">
        <f>VLOOKUP(A87,'[10]COMBINED_ATTD_INV (3)'!$A$434:$E$458,2,FALSE)</f>
        <v>Victoria Agyenim-Boateng//</v>
      </c>
      <c r="D87" s="121" t="s">
        <v>659</v>
      </c>
      <c r="E87" s="114" t="s">
        <v>815</v>
      </c>
      <c r="F87" s="113" t="s">
        <v>701</v>
      </c>
    </row>
    <row r="88" spans="1:6" ht="17.149999999999999" customHeight="1" x14ac:dyDescent="0.3">
      <c r="A88" s="112" t="s">
        <v>466</v>
      </c>
      <c r="B88" s="113" t="str">
        <f>VLOOKUP(A88,[10]Schedule_Invigilators!$A$82:$B$803,2,FALSE)</f>
        <v>Prince Odame / Emmanuel Ampoma Affum</v>
      </c>
      <c r="C88" s="113" t="str">
        <f>VLOOKUP(A88,'[10]COMBINED_ATTD_INV (3)'!$A$434:$E$458,2,FALSE)</f>
        <v>Issaka Ali Sambo/Paul Dery/</v>
      </c>
      <c r="D88" s="121" t="s">
        <v>658</v>
      </c>
      <c r="E88" s="114" t="s">
        <v>815</v>
      </c>
      <c r="F88" s="113" t="s">
        <v>701</v>
      </c>
    </row>
    <row r="89" spans="1:6" ht="17.149999999999999" customHeight="1" x14ac:dyDescent="0.3">
      <c r="A89" s="112">
        <v>206</v>
      </c>
      <c r="B89" s="113" t="str">
        <f>VLOOKUP(A89,[10]Schedule_Invigilators!$A$82:$B$803,2,FALSE)</f>
        <v>Akwasi Afrifa Acheampong</v>
      </c>
      <c r="C89" s="113" t="str">
        <f>VLOOKUP(A89,'[10]COMBINED_ATTD_INV (3)'!$A$434:$E$458,2,FALSE)</f>
        <v>Peter Agetinga//</v>
      </c>
      <c r="D89" s="121" t="s">
        <v>657</v>
      </c>
      <c r="E89" s="114" t="s">
        <v>815</v>
      </c>
      <c r="F89" s="113" t="s">
        <v>701</v>
      </c>
    </row>
    <row r="90" spans="1:6" ht="17.149999999999999" customHeight="1" x14ac:dyDescent="0.3">
      <c r="A90" s="112">
        <v>303</v>
      </c>
      <c r="B90" s="113" t="str">
        <f>VLOOKUP(A90,[10]Schedule_Invigilators!$A$82:$B$803,2,FALSE)</f>
        <v>Martin Kesse / Prince Ebenezer Adjei</v>
      </c>
      <c r="C90" s="113" t="str">
        <f>VLOOKUP(A90,'[10]COMBINED_ATTD_INV (3)'!$A$434:$E$458,2,FALSE)</f>
        <v>Benjamin Opoku Atuahene//</v>
      </c>
      <c r="D90" s="121" t="s">
        <v>656</v>
      </c>
      <c r="E90" s="114" t="s">
        <v>815</v>
      </c>
      <c r="F90" s="113" t="s">
        <v>701</v>
      </c>
    </row>
    <row r="91" spans="1:6" ht="17.149999999999999" customHeight="1" x14ac:dyDescent="0.3">
      <c r="A91" s="112">
        <v>304</v>
      </c>
      <c r="B91" s="113" t="str">
        <f>VLOOKUP(A91,[10]Schedule_Invigilators!$A$82:$B$803,2,FALSE)</f>
        <v>James Okae</v>
      </c>
      <c r="C91" s="113" t="str">
        <f>VLOOKUP(A91,'[10]COMBINED_ATTD_INV (3)'!$A$434:$E$458,2,FALSE)</f>
        <v>Eric Soku//</v>
      </c>
      <c r="D91" s="121" t="s">
        <v>655</v>
      </c>
      <c r="E91" s="114" t="s">
        <v>815</v>
      </c>
      <c r="F91" s="113" t="s">
        <v>701</v>
      </c>
    </row>
    <row r="92" spans="1:6" ht="17.149999999999999" customHeight="1" x14ac:dyDescent="0.3">
      <c r="A92" s="112" t="s">
        <v>61</v>
      </c>
      <c r="B92" s="113" t="str">
        <f>VLOOKUP(A92,[10]Schedule_Invigilators!$A$82:$B$803,2,FALSE)</f>
        <v>Geophrey Kwame Anornu</v>
      </c>
      <c r="C92" s="113" t="str">
        <f>VLOOKUP(A92,'[10]COMBINED_ATTD_INV (3)'!$A$434:$E$458,2,FALSE)</f>
        <v>Marian Bemma//</v>
      </c>
      <c r="D92" s="121" t="s">
        <v>654</v>
      </c>
      <c r="E92" s="114" t="s">
        <v>815</v>
      </c>
      <c r="F92" s="113" t="s">
        <v>701</v>
      </c>
    </row>
    <row r="93" spans="1:6" ht="17.149999999999999" customHeight="1" x14ac:dyDescent="0.3">
      <c r="A93" s="112" t="s">
        <v>467</v>
      </c>
      <c r="B93" s="113" t="str">
        <f>VLOOKUP(A93,[10]Schedule_Invigilators!$A$82:$B$803,2,FALSE)</f>
        <v>Blestmond Afrifa Brako</v>
      </c>
      <c r="C93" s="113" t="str">
        <f>VLOOKUP(A93,'[10]COMBINED_ATTD_INV (3)'!$A$434:$E$458,2,FALSE)</f>
        <v>Derrick Amoateng//</v>
      </c>
      <c r="D93" s="121" t="s">
        <v>820</v>
      </c>
      <c r="E93" s="114" t="s">
        <v>815</v>
      </c>
      <c r="F93" s="113" t="s">
        <v>701</v>
      </c>
    </row>
    <row r="94" spans="1:6" ht="17.149999999999999" customHeight="1" x14ac:dyDescent="0.3">
      <c r="A94" s="112" t="s">
        <v>468</v>
      </c>
      <c r="B94" s="113" t="str">
        <f>VLOOKUP(A94,[10]Schedule_Invigilators!$A$82:$B$803,2,FALSE)</f>
        <v>Samuel Erzuah /Francis Kofi Forson</v>
      </c>
      <c r="C94" s="113" t="str">
        <f>VLOOKUP(A94,'[10]COMBINED_ATTD_INV (3)'!$A$434:$E$458,2,FALSE)</f>
        <v>John Ofosu//</v>
      </c>
      <c r="D94" s="121" t="s">
        <v>652</v>
      </c>
      <c r="E94" s="114" t="s">
        <v>815</v>
      </c>
      <c r="F94" s="113" t="s">
        <v>701</v>
      </c>
    </row>
    <row r="95" spans="1:6" ht="17.149999999999999" customHeight="1" x14ac:dyDescent="0.3">
      <c r="A95" s="112" t="s">
        <v>469</v>
      </c>
      <c r="B95" s="113" t="str">
        <f>VLOOKUP(A95,[10]Schedule_Invigilators!$A$82:$B$803,2,FALSE)</f>
        <v>Efiba Vidda Senkyire Kwarteng / Ebenezer Mensah</v>
      </c>
      <c r="C95" s="113" t="str">
        <f>VLOOKUP(A95,'[10]COMBINED_ATTD_INV (3)'!$A$434:$E$458,2,FALSE)</f>
        <v>Gifty Edem Senyaglo/Mohammed Bakang/</v>
      </c>
      <c r="D95" s="121" t="s">
        <v>651</v>
      </c>
      <c r="E95" s="114" t="s">
        <v>815</v>
      </c>
      <c r="F95" s="113" t="s">
        <v>701</v>
      </c>
    </row>
    <row r="96" spans="1:6" ht="17.149999999999999" customHeight="1" x14ac:dyDescent="0.3">
      <c r="A96" s="112" t="s">
        <v>42</v>
      </c>
      <c r="B96" s="113" t="str">
        <f>VLOOKUP(A96,[10]Schedule_Invigilators!$A$82:$B$803,2,FALSE)</f>
        <v xml:space="preserve">Felix Jojo Fianko Ayeh  /   Prosper Akaba  </v>
      </c>
      <c r="C96" s="113" t="str">
        <f>VLOOKUP(A96,'[10]COMBINED_ATTD_INV (3)'!$A$434:$E$458,2,FALSE)</f>
        <v>Michael Owusu/Fiifi Turkson/</v>
      </c>
      <c r="D96" s="121" t="s">
        <v>762</v>
      </c>
      <c r="E96" s="114" t="s">
        <v>815</v>
      </c>
      <c r="F96" s="113" t="s">
        <v>701</v>
      </c>
    </row>
    <row r="97" spans="1:6" ht="17.149999999999999" customHeight="1" x14ac:dyDescent="0.3">
      <c r="A97" s="112" t="s">
        <v>470</v>
      </c>
      <c r="B97" s="113" t="str">
        <f>VLOOKUP(A97,[10]Schedule_Invigilators!$A$82:$B$803,2,FALSE)</f>
        <v>Nicholas Prah / James Dzisi Gadze</v>
      </c>
      <c r="C97" s="113" t="str">
        <f>VLOOKUP(A97,'[10]COMBINED_ATTD_INV (3)'!$A$434:$E$458,2,FALSE)</f>
        <v>Salamatu Salifu//</v>
      </c>
      <c r="D97" s="121" t="s">
        <v>761</v>
      </c>
      <c r="E97" s="114" t="s">
        <v>815</v>
      </c>
      <c r="F97" s="113" t="s">
        <v>701</v>
      </c>
    </row>
    <row r="98" spans="1:6" ht="17.149999999999999" customHeight="1" x14ac:dyDescent="0.3">
      <c r="A98" s="112" t="s">
        <v>471</v>
      </c>
      <c r="B98" s="113" t="str">
        <f>VLOOKUP(A98,[10]Schedule_Invigilators!$A$82:$B$803,2,FALSE)</f>
        <v>K. O.-B Obour Agyekum / Martina Francisca Baidoo</v>
      </c>
      <c r="C98" s="113" t="str">
        <f>VLOOKUP(A98,'[10]COMBINED_ATTD_INV (3)'!$A$434:$E$458,2,FALSE)</f>
        <v>Joseph Benneth Kankam//</v>
      </c>
      <c r="D98" s="121" t="s">
        <v>647</v>
      </c>
      <c r="E98" s="114" t="s">
        <v>815</v>
      </c>
      <c r="F98" s="113" t="s">
        <v>701</v>
      </c>
    </row>
    <row r="99" spans="1:6" ht="17.149999999999999" customHeight="1" x14ac:dyDescent="0.3">
      <c r="A99" s="112" t="s">
        <v>472</v>
      </c>
      <c r="B99" s="113" t="str">
        <f>VLOOKUP(A99,[10]Schedule_Invigilators!$A$82:$B$803,2,FALSE)</f>
        <v>M. Appiah Brempong / Alfred Alan Duker</v>
      </c>
      <c r="C99" s="113" t="str">
        <f>VLOOKUP(A99,'[10]COMBINED_ATTD_INV (3)'!$A$434:$E$458,2,FALSE)</f>
        <v>Desmond Adu-Yeboah/Benjamin Nana Oduro Konadu/</v>
      </c>
      <c r="D99" s="121" t="s">
        <v>646</v>
      </c>
      <c r="E99" s="114" t="s">
        <v>815</v>
      </c>
      <c r="F99" s="113" t="s">
        <v>701</v>
      </c>
    </row>
    <row r="100" spans="1:6" ht="17.149999999999999" customHeight="1" x14ac:dyDescent="0.3">
      <c r="A100" s="112" t="s">
        <v>108</v>
      </c>
      <c r="B100" s="113" t="str">
        <f>VLOOKUP(A100,[10]Schedule_Invigilators!$A$82:$B$803,2,FALSE)</f>
        <v>Cosmas Yaw Asante</v>
      </c>
      <c r="C100" s="113" t="str">
        <f>VLOOKUP(A100,'[10]COMBINED_ATTD_INV (3)'!$A$434:$E$458,2,FALSE)</f>
        <v>Getrude Opoku//</v>
      </c>
      <c r="D100" s="121" t="s">
        <v>645</v>
      </c>
      <c r="E100" s="114" t="s">
        <v>815</v>
      </c>
      <c r="F100" s="113" t="s">
        <v>701</v>
      </c>
    </row>
    <row r="101" spans="1:6" ht="17.149999999999999" customHeight="1" x14ac:dyDescent="0.3">
      <c r="A101" s="112" t="s">
        <v>473</v>
      </c>
      <c r="B101" s="113" t="str">
        <f>VLOOKUP(A101,[10]Schedule_Invigilators!$A$82:$B$803,2,FALSE)</f>
        <v>Daniel Akwei Addo / Albert Kwame Kwaw</v>
      </c>
      <c r="C101" s="113" t="e">
        <f>VLOOKUP(A101,'[10]COMBINED_ATTD_INV (3)'!$A$434:$E$458,2,FALSE)</f>
        <v>#N/A</v>
      </c>
      <c r="D101" s="121" t="s">
        <v>760</v>
      </c>
      <c r="E101" s="114" t="s">
        <v>815</v>
      </c>
      <c r="F101" s="113" t="s">
        <v>701</v>
      </c>
    </row>
    <row r="102" spans="1:6" ht="17.149999999999999" customHeight="1" x14ac:dyDescent="0.3">
      <c r="A102" s="112" t="s">
        <v>474</v>
      </c>
      <c r="B102" s="113" t="str">
        <f>VLOOKUP(A102,[10]Schedule_Invigilators!$A$82:$B$803,2,FALSE)</f>
        <v>Gordon Foli</v>
      </c>
      <c r="C102" s="113" t="str">
        <f>VLOOKUP(A102,'[10]COMBINED_ATTD_INV (3)'!$A$434:$E$458,2,FALSE)</f>
        <v>Ruth Adwubi Sarfo//</v>
      </c>
      <c r="D102" s="121" t="s">
        <v>759</v>
      </c>
      <c r="E102" s="114" t="s">
        <v>815</v>
      </c>
      <c r="F102" s="113" t="s">
        <v>701</v>
      </c>
    </row>
    <row r="103" spans="1:6" ht="17.149999999999999" customHeight="1" x14ac:dyDescent="0.3">
      <c r="A103" s="112" t="s">
        <v>475</v>
      </c>
      <c r="B103" s="113" t="str">
        <f>VLOOKUP(A103,[10]Schedule_Invigilators!$A$82:$B$803,2,FALSE)</f>
        <v>Andrew Selasi Agbemenu</v>
      </c>
      <c r="C103" s="113" t="str">
        <f>VLOOKUP(A103,'[10]COMBINED_ATTD_INV (3)'!$A$434:$E$458,2,FALSE)</f>
        <v>Sandra Essel//</v>
      </c>
      <c r="D103" s="121" t="s">
        <v>758</v>
      </c>
      <c r="E103" s="114" t="s">
        <v>815</v>
      </c>
      <c r="F103" s="113" t="s">
        <v>701</v>
      </c>
    </row>
    <row r="104" spans="1:6" ht="17.149999999999999" customHeight="1" x14ac:dyDescent="0.3">
      <c r="A104" s="112" t="s">
        <v>476</v>
      </c>
      <c r="B104" s="113" t="str">
        <f>VLOOKUP(A104,[10]Schedule_Invigilators!$A$82:$B$803,2,FALSE)</f>
        <v>William Amponsah / Godfrey Chiri Amedjoe</v>
      </c>
      <c r="C104" s="113" t="str">
        <f>VLOOKUP(A104,'[10]COMBINED_ATTD_INV (3)'!$A$434:$E$458,2,FALSE)</f>
        <v>Kwame Kwarteng Sarpong//</v>
      </c>
      <c r="D104" s="121" t="s">
        <v>757</v>
      </c>
      <c r="E104" s="114" t="s">
        <v>815</v>
      </c>
      <c r="F104" s="113" t="s">
        <v>701</v>
      </c>
    </row>
    <row r="105" spans="1:6" ht="17.149999999999999" customHeight="1" x14ac:dyDescent="0.3">
      <c r="A105" s="112" t="s">
        <v>477</v>
      </c>
      <c r="B105" s="113" t="str">
        <f>VLOOKUP(A105,[10]Schedule_Invigilators!$A$82:$B$803,2,FALSE)</f>
        <v>Charles Adrah/ Matthew Coffie Wilson</v>
      </c>
      <c r="C105" s="113" t="str">
        <f>VLOOKUP(A105,'[10]COMBINED_ATTD_INV (3)'!$A$434:$E$458,2,FALSE)</f>
        <v>Loretta Owusu Ansah//</v>
      </c>
      <c r="D105" s="121" t="s">
        <v>756</v>
      </c>
      <c r="E105" s="114" t="s">
        <v>815</v>
      </c>
      <c r="F105" s="113" t="s">
        <v>701</v>
      </c>
    </row>
    <row r="106" spans="1:6" ht="17.149999999999999" customHeight="1" x14ac:dyDescent="0.3">
      <c r="A106" s="112" t="s">
        <v>144</v>
      </c>
      <c r="B106" s="113" t="str">
        <f>VLOOKUP(A106,[10]Schedule_Invigilators!$A$82:$B$803,2,FALSE)</f>
        <v>Bright Akowuah / Francisca Adoma Acheampong</v>
      </c>
      <c r="C106" s="113" t="str">
        <f>VLOOKUP(A106,'[10]COMBINED_ATTD_INV (3)'!$A$434:$E$458,2,FALSE)</f>
        <v>Rebecca Yamoah/Adjatu Busali/</v>
      </c>
      <c r="D106" s="121" t="s">
        <v>653</v>
      </c>
      <c r="E106" s="114" t="s">
        <v>815</v>
      </c>
      <c r="F106" s="113" t="s">
        <v>701</v>
      </c>
    </row>
    <row r="107" spans="1:6" ht="17.149999999999999" customHeight="1" x14ac:dyDescent="0.3">
      <c r="A107" s="112" t="s">
        <v>637</v>
      </c>
      <c r="B107" s="113" t="str">
        <f>VLOOKUP(A107,[10]Schedule_Invigilators!$A$82:$B$803,2,FALSE)</f>
        <v>Eliel Keelson / Vincent Kofi Abaka Acquaah / Eugene Appiah-Effah / Forkuo Eric Kwabena</v>
      </c>
      <c r="C107" s="113" t="str">
        <f>VLOOKUP(A107,'[10]COMBINED_ATTD_INV (3)'!$A$434:$E$458,2,FALSE)</f>
        <v>Micheal Obbo/Bernard Annan/Clement Dadzie</v>
      </c>
      <c r="D107" s="121" t="s">
        <v>798</v>
      </c>
      <c r="E107" s="114" t="s">
        <v>815</v>
      </c>
      <c r="F107" s="113" t="s">
        <v>701</v>
      </c>
    </row>
    <row r="108" spans="1:6" ht="17.149999999999999" customHeight="1" x14ac:dyDescent="0.3">
      <c r="A108" s="112" t="s">
        <v>636</v>
      </c>
      <c r="B108" s="113" t="str">
        <f>VLOOKUP(A108,[10]Schedule_Invigilators!$A$82:$B$803,2,FALSE)</f>
        <v>Henry Nunoo-Mensah / David Oppong / Anthony A. Agyemang</v>
      </c>
      <c r="C108" s="113" t="str">
        <f>VLOOKUP(A108,'[10]COMBINED_ATTD_INV (3)'!$A$434:$E$458,2,FALSE)</f>
        <v>Rener Oppong/Theresa Sarpong Peprah/Adom Ebenezer</v>
      </c>
      <c r="D108" s="121" t="s">
        <v>819</v>
      </c>
      <c r="E108" s="114" t="s">
        <v>815</v>
      </c>
      <c r="F108" s="113" t="s">
        <v>701</v>
      </c>
    </row>
    <row r="109" spans="1:6" ht="17.149999999999999" customHeight="1" x14ac:dyDescent="0.3">
      <c r="A109" s="112" t="s">
        <v>635</v>
      </c>
      <c r="B109" s="113" t="str">
        <f>VLOOKUP(A109,[10]Schedule_Invigilators!$A$82:$B$803,2,FALSE)</f>
        <v>Kingsford Sarkodie Obeng Kwakye / Casper Adenutsi / S. H. M. Aikins</v>
      </c>
      <c r="C109" s="113" t="str">
        <f>VLOOKUP(A109,'[10]COMBINED_ATTD_INV (3)'!$A$434:$E$458,2,FALSE)</f>
        <v>Kingsley Kyei Baffour/Linda Berko/</v>
      </c>
      <c r="D109" s="121" t="s">
        <v>752</v>
      </c>
      <c r="E109" s="114" t="s">
        <v>815</v>
      </c>
      <c r="F109" s="113" t="s">
        <v>701</v>
      </c>
    </row>
    <row r="110" spans="1:6" ht="17.149999999999999" customHeight="1" x14ac:dyDescent="0.3">
      <c r="A110" s="112" t="s">
        <v>634</v>
      </c>
      <c r="B110" s="113" t="str">
        <f>VLOOKUP(A110,[10]Schedule_Invigilators!$A$82:$B$803,2,FALSE)</f>
        <v>C. K. K. Sekyere / Augustus Ababio Donkor</v>
      </c>
      <c r="C110" s="113" t="str">
        <f>VLOOKUP(A110,'[10]COMBINED_ATTD_INV (3)'!$A$434:$E$458,2,FALSE)</f>
        <v>Ernest Dapaah//</v>
      </c>
      <c r="D110" s="121" t="s">
        <v>751</v>
      </c>
      <c r="E110" s="114" t="s">
        <v>815</v>
      </c>
      <c r="F110" s="113" t="s">
        <v>701</v>
      </c>
    </row>
    <row r="111" spans="1:6" ht="17.149999999999999" customHeight="1" x14ac:dyDescent="0.3">
      <c r="A111" s="112"/>
      <c r="B111" s="113"/>
      <c r="C111" s="113"/>
      <c r="D111" s="113"/>
      <c r="E111" s="114"/>
      <c r="F111" s="113"/>
    </row>
    <row r="112" spans="1:6" s="118" customFormat="1" ht="17.149999999999999" customHeight="1" x14ac:dyDescent="0.3">
      <c r="A112" s="119" t="s">
        <v>642</v>
      </c>
      <c r="B112" s="119" t="s">
        <v>526</v>
      </c>
      <c r="C112" s="119" t="s">
        <v>672</v>
      </c>
      <c r="D112" s="119" t="s">
        <v>671</v>
      </c>
      <c r="E112" s="124" t="s">
        <v>641</v>
      </c>
      <c r="F112" s="119" t="s">
        <v>640</v>
      </c>
    </row>
    <row r="113" spans="1:6" ht="17.149999999999999" customHeight="1" x14ac:dyDescent="0.3">
      <c r="A113" s="112" t="s">
        <v>35</v>
      </c>
      <c r="B113" s="113" t="str">
        <f>VLOOKUP(A113,[10]Schedule_Invigilators!$A$108:$B$803,2,FALSE)</f>
        <v>Y. A. Sokama-Neuyam</v>
      </c>
      <c r="C113" s="113" t="str">
        <f>VLOOKUP(A113,'[10]COMBINED_ATTD_INV (3)'!$A$461:$E$485,2,FALSE)</f>
        <v>Reuben Asare Bediako//</v>
      </c>
      <c r="D113" s="121" t="s">
        <v>744</v>
      </c>
      <c r="E113" s="114" t="s">
        <v>815</v>
      </c>
      <c r="F113" s="113" t="s">
        <v>673</v>
      </c>
    </row>
    <row r="114" spans="1:6" ht="17.149999999999999" customHeight="1" x14ac:dyDescent="0.3">
      <c r="A114" s="112" t="s">
        <v>510</v>
      </c>
      <c r="B114" s="113" t="str">
        <f>VLOOKUP(A114,[10]Schedule_Invigilators!$A$108:$B$803,2,FALSE)</f>
        <v>Jonathan Arthur Quaye-Ballard</v>
      </c>
      <c r="C114" s="113" t="str">
        <f>VLOOKUP(A114,'[10]COMBINED_ATTD_INV (3)'!$A$461:$E$485,2,FALSE)</f>
        <v>Desmond Adu-Yeboah//</v>
      </c>
      <c r="D114" s="121" t="s">
        <v>743</v>
      </c>
      <c r="E114" s="114" t="s">
        <v>815</v>
      </c>
      <c r="F114" s="113" t="s">
        <v>673</v>
      </c>
    </row>
    <row r="115" spans="1:6" ht="17.149999999999999" customHeight="1" x14ac:dyDescent="0.3">
      <c r="A115" s="112" t="s">
        <v>508</v>
      </c>
      <c r="B115" s="113" t="str">
        <f>VLOOKUP(A115,[10]Schedule_Invigilators!$A$108:$B$803,2,FALSE)</f>
        <v>David Oppong</v>
      </c>
      <c r="C115" s="113" t="str">
        <f>VLOOKUP(A115,'[10]COMBINED_ATTD_INV (3)'!$A$461:$E$485,2,FALSE)</f>
        <v>Derrick Owusu Mensah//</v>
      </c>
      <c r="D115" s="121" t="s">
        <v>742</v>
      </c>
      <c r="E115" s="114" t="s">
        <v>815</v>
      </c>
      <c r="F115" s="113" t="s">
        <v>673</v>
      </c>
    </row>
    <row r="116" spans="1:6" ht="17.149999999999999" customHeight="1" x14ac:dyDescent="0.3">
      <c r="A116" s="112" t="s">
        <v>466</v>
      </c>
      <c r="B116" s="113" t="str">
        <f>VLOOKUP(A116,[10]Schedule_Invigilators!$A$108:$B$803,2,FALSE)</f>
        <v>Samuel Kwofie / Faisal Wahib Adam</v>
      </c>
      <c r="C116" s="113" t="str">
        <f>VLOOKUP(A116,'[10]COMBINED_ATTD_INV (3)'!$A$461:$E$485,2,FALSE)</f>
        <v>Issaka Ali Sambo/Paul Dery/</v>
      </c>
      <c r="D116" s="121" t="s">
        <v>741</v>
      </c>
      <c r="E116" s="114" t="s">
        <v>815</v>
      </c>
      <c r="F116" s="113" t="s">
        <v>673</v>
      </c>
    </row>
    <row r="117" spans="1:6" ht="17.149999999999999" customHeight="1" x14ac:dyDescent="0.3">
      <c r="A117" s="112">
        <v>206</v>
      </c>
      <c r="B117" s="113" t="str">
        <f>VLOOKUP(A117,[10]Schedule_Invigilators!$A$108:$B$803,2,FALSE)</f>
        <v>Emmanuel Appiah-Adjei</v>
      </c>
      <c r="C117" s="113" t="str">
        <f>VLOOKUP(A117,'[10]COMBINED_ATTD_INV (3)'!$A$461:$E$485,2,FALSE)</f>
        <v>Edward Kpetege//</v>
      </c>
      <c r="D117" s="121" t="s">
        <v>740</v>
      </c>
      <c r="E117" s="114" t="s">
        <v>815</v>
      </c>
      <c r="F117" s="113" t="s">
        <v>673</v>
      </c>
    </row>
    <row r="118" spans="1:6" ht="17.149999999999999" customHeight="1" x14ac:dyDescent="0.3">
      <c r="A118" s="112">
        <v>303</v>
      </c>
      <c r="B118" s="113" t="str">
        <f>VLOOKUP(A118,[10]Schedule_Invigilators!$A$108:$B$803,2,FALSE)</f>
        <v>Prince Yaw Andoh / Stephen Adjei</v>
      </c>
      <c r="C118" s="113" t="str">
        <f>VLOOKUP(A118,'[10]COMBINED_ATTD_INV (3)'!$A$461:$E$485,2,FALSE)</f>
        <v>Benjamin Opoku Atuahene//</v>
      </c>
      <c r="D118" s="121" t="s">
        <v>739</v>
      </c>
      <c r="E118" s="114" t="s">
        <v>815</v>
      </c>
      <c r="F118" s="113" t="s">
        <v>673</v>
      </c>
    </row>
    <row r="119" spans="1:6" ht="17.149999999999999" customHeight="1" x14ac:dyDescent="0.3">
      <c r="A119" s="112" t="s">
        <v>61</v>
      </c>
      <c r="B119" s="113" t="str">
        <f>VLOOKUP(A119,[10]Schedule_Invigilators!$A$108:$B$803,2,FALSE)</f>
        <v>Godfred Boahen</v>
      </c>
      <c r="C119" s="113" t="str">
        <f>VLOOKUP(A119,'[10]COMBINED_ATTD_INV (3)'!$A$461:$E$485,2,FALSE)</f>
        <v>Marian Bemma//</v>
      </c>
      <c r="D119" s="121" t="s">
        <v>708</v>
      </c>
      <c r="E119" s="114" t="s">
        <v>815</v>
      </c>
      <c r="F119" s="113" t="s">
        <v>673</v>
      </c>
    </row>
    <row r="120" spans="1:6" ht="17.149999999999999" customHeight="1" x14ac:dyDescent="0.3">
      <c r="A120" s="112" t="s">
        <v>467</v>
      </c>
      <c r="B120" s="113" t="str">
        <f>VLOOKUP(A120,[10]Schedule_Invigilators!$A$108:$B$803,2,FALSE)</f>
        <v>Kofi Owura Amoabeng</v>
      </c>
      <c r="C120" s="113" t="str">
        <f>VLOOKUP(A120,'[10]COMBINED_ATTD_INV (3)'!$A$461:$E$485,2,FALSE)</f>
        <v>Derrick Amoateng//</v>
      </c>
      <c r="D120" s="121" t="s">
        <v>678</v>
      </c>
      <c r="E120" s="114" t="s">
        <v>815</v>
      </c>
      <c r="F120" s="113" t="s">
        <v>673</v>
      </c>
    </row>
    <row r="121" spans="1:6" ht="17.149999999999999" customHeight="1" x14ac:dyDescent="0.3">
      <c r="A121" s="112" t="s">
        <v>468</v>
      </c>
      <c r="B121" s="113" t="str">
        <f>VLOOKUP(A121,[10]Schedule_Invigilators!$A$108:$B$803,2,FALSE)</f>
        <v>Bukari Ali / Albert Amatey Adjaottor</v>
      </c>
      <c r="C121" s="113" t="str">
        <f>VLOOKUP(A121,'[10]COMBINED_ATTD_INV (3)'!$A$461:$E$485,2,FALSE)</f>
        <v>John Ofosu//</v>
      </c>
      <c r="D121" s="121" t="s">
        <v>736</v>
      </c>
      <c r="E121" s="114" t="s">
        <v>815</v>
      </c>
      <c r="F121" s="113" t="s">
        <v>673</v>
      </c>
    </row>
    <row r="122" spans="1:6" ht="17.149999999999999" customHeight="1" x14ac:dyDescent="0.3">
      <c r="A122" s="112" t="s">
        <v>469</v>
      </c>
      <c r="B122" s="113" t="str">
        <f>VLOOKUP(A122,[10]Schedule_Invigilators!$A$108:$B$803,2,FALSE)</f>
        <v>Evans Amponsah / Gabriel Takyi</v>
      </c>
      <c r="C122" s="113" t="str">
        <f>VLOOKUP(A122,'[10]COMBINED_ATTD_INV (3)'!$A$461:$E$485,2,FALSE)</f>
        <v>Owusu Stephen Akuoku/Samuel Osei-Asibey Bonsu/</v>
      </c>
      <c r="D122" s="121" t="s">
        <v>735</v>
      </c>
      <c r="E122" s="114" t="s">
        <v>815</v>
      </c>
      <c r="F122" s="113" t="s">
        <v>673</v>
      </c>
    </row>
    <row r="123" spans="1:6" ht="17.149999999999999" customHeight="1" x14ac:dyDescent="0.3">
      <c r="A123" s="112" t="s">
        <v>42</v>
      </c>
      <c r="B123" s="113" t="str">
        <f>VLOOKUP(A123,[10]Schedule_Invigilators!$A$108:$B$803,2,FALSE)</f>
        <v>Benjamin Afotey / John Wise Divine Ayer</v>
      </c>
      <c r="C123" s="113" t="str">
        <f>VLOOKUP(A123,'[10]COMBINED_ATTD_INV (3)'!$A$461:$E$485,2,FALSE)</f>
        <v>Kofi Bentum/Fiifi Turkson/</v>
      </c>
      <c r="D123" s="121" t="s">
        <v>734</v>
      </c>
      <c r="E123" s="114" t="s">
        <v>815</v>
      </c>
      <c r="F123" s="113" t="s">
        <v>673</v>
      </c>
    </row>
    <row r="124" spans="1:6" ht="17.149999999999999" customHeight="1" x14ac:dyDescent="0.3">
      <c r="A124" s="112" t="s">
        <v>470</v>
      </c>
      <c r="B124" s="113" t="str">
        <f>VLOOKUP(A124,[10]Schedule_Invigilators!$A$108:$B$803,2,FALSE)</f>
        <v>Daniel Kwegyir / Peter Oppong Tawiah</v>
      </c>
      <c r="C124" s="113" t="str">
        <f>VLOOKUP(A124,'[10]COMBINED_ATTD_INV (3)'!$A$461:$E$485,2,FALSE)</f>
        <v>Richmond Awotwe//</v>
      </c>
      <c r="D124" s="121" t="s">
        <v>818</v>
      </c>
      <c r="E124" s="114" t="s">
        <v>815</v>
      </c>
      <c r="F124" s="113" t="s">
        <v>673</v>
      </c>
    </row>
    <row r="125" spans="1:6" ht="17.149999999999999" customHeight="1" x14ac:dyDescent="0.3">
      <c r="A125" s="112" t="s">
        <v>471</v>
      </c>
      <c r="B125" s="113" t="str">
        <f>VLOOKUP(A125,[10]Schedule_Invigilators!$A$108:$B$803,2,FALSE)</f>
        <v>Eric Kwame Anokye Asare / F. K. A. Nyarko</v>
      </c>
      <c r="C125" s="113" t="str">
        <f>VLOOKUP(A125,'[10]COMBINED_ATTD_INV (3)'!$A$461:$E$485,2,FALSE)</f>
        <v>Joseph Benneth Kankam//</v>
      </c>
      <c r="D125" s="121" t="s">
        <v>732</v>
      </c>
      <c r="E125" s="114" t="s">
        <v>815</v>
      </c>
      <c r="F125" s="113" t="s">
        <v>673</v>
      </c>
    </row>
    <row r="126" spans="1:6" ht="17.149999999999999" customHeight="1" x14ac:dyDescent="0.3">
      <c r="A126" s="112" t="s">
        <v>472</v>
      </c>
      <c r="B126" s="113" t="str">
        <f>VLOOKUP(A126,[10]Schedule_Invigilators!$A$108:$B$803,2,FALSE)</f>
        <v>James Okae / Francis Boafo Effah</v>
      </c>
      <c r="C126" s="113" t="str">
        <f>VLOOKUP(A126,'[10]COMBINED_ATTD_INV (3)'!$A$461:$E$485,2,FALSE)</f>
        <v>Bernard Audinada Ampofo/Fatawu Yakubu/</v>
      </c>
      <c r="D126" s="121" t="s">
        <v>731</v>
      </c>
      <c r="E126" s="114" t="s">
        <v>815</v>
      </c>
      <c r="F126" s="113" t="s">
        <v>673</v>
      </c>
    </row>
    <row r="127" spans="1:6" ht="17.149999999999999" customHeight="1" x14ac:dyDescent="0.3">
      <c r="A127" s="112" t="s">
        <v>108</v>
      </c>
      <c r="B127" s="113" t="str">
        <f>VLOOKUP(A127,[10]Schedule_Invigilators!$A$108:$B$803,2,FALSE)</f>
        <v>Daniel Oduro Boatey Nuamah</v>
      </c>
      <c r="C127" s="113" t="str">
        <f>VLOOKUP(A127,'[10]COMBINED_ATTD_INV (3)'!$A$461:$E$485,2,FALSE)</f>
        <v>Clement Appiah//</v>
      </c>
      <c r="D127" s="121" t="s">
        <v>730</v>
      </c>
      <c r="E127" s="114" t="s">
        <v>815</v>
      </c>
      <c r="F127" s="113" t="s">
        <v>673</v>
      </c>
    </row>
    <row r="128" spans="1:6" ht="17.149999999999999" customHeight="1" x14ac:dyDescent="0.3">
      <c r="A128" s="112" t="s">
        <v>473</v>
      </c>
      <c r="B128" s="113" t="str">
        <f>VLOOKUP(A128,[10]Schedule_Invigilators!$A$108:$B$803,2,FALSE)</f>
        <v>Daniel Akwei Addo / Albert Kwame Kwaw</v>
      </c>
      <c r="C128" s="113" t="str">
        <f>VLOOKUP(A128,'[10]COMBINED_ATTD_INV (3)'!$A$461:$E$485,2,FALSE)</f>
        <v>Godfred Appiah//</v>
      </c>
      <c r="D128" s="121" t="s">
        <v>700</v>
      </c>
      <c r="E128" s="114" t="s">
        <v>815</v>
      </c>
      <c r="F128" s="113" t="s">
        <v>673</v>
      </c>
    </row>
    <row r="129" spans="1:6" ht="17.149999999999999" customHeight="1" x14ac:dyDescent="0.3">
      <c r="A129" s="112" t="s">
        <v>474</v>
      </c>
      <c r="B129" s="113" t="str">
        <f>VLOOKUP(A129,[10]Schedule_Invigilators!$A$108:$B$803,2,FALSE)</f>
        <v>Kenneth Adomako Tutu</v>
      </c>
      <c r="C129" s="113" t="str">
        <f>VLOOKUP(A129,'[10]COMBINED_ATTD_INV (3)'!$A$461:$E$485,2,FALSE)</f>
        <v>Ruth Adwubi Sarfo//</v>
      </c>
      <c r="D129" s="121" t="s">
        <v>699</v>
      </c>
      <c r="E129" s="114" t="s">
        <v>815</v>
      </c>
      <c r="F129" s="113" t="s">
        <v>673</v>
      </c>
    </row>
    <row r="130" spans="1:6" ht="17.149999999999999" customHeight="1" x14ac:dyDescent="0.3">
      <c r="A130" s="112" t="s">
        <v>475</v>
      </c>
      <c r="B130" s="113" t="str">
        <f>VLOOKUP(A130,[10]Schedule_Invigilators!$A$108:$B$803,2,FALSE)</f>
        <v>Bernard Konadu Amoah</v>
      </c>
      <c r="C130" s="113" t="str">
        <f>VLOOKUP(A130,'[10]COMBINED_ATTD_INV (3)'!$A$461:$E$485,2,FALSE)</f>
        <v>Abigail Akos Worlanyo//</v>
      </c>
      <c r="D130" s="121" t="s">
        <v>698</v>
      </c>
      <c r="E130" s="114" t="s">
        <v>815</v>
      </c>
      <c r="F130" s="113" t="s">
        <v>673</v>
      </c>
    </row>
    <row r="131" spans="1:6" ht="17.149999999999999" customHeight="1" x14ac:dyDescent="0.3">
      <c r="A131" s="112" t="s">
        <v>476</v>
      </c>
      <c r="B131" s="113" t="str">
        <f>VLOOKUP(A131,[10]Schedule_Invigilators!$A$108:$B$803,2,FALSE)</f>
        <v>William Amponsah / Jude Bonsu</v>
      </c>
      <c r="C131" s="113" t="str">
        <f>VLOOKUP(A131,'[10]COMBINED_ATTD_INV (3)'!$A$461:$E$485,2,FALSE)</f>
        <v>Kwame Kwarteng Sarpong//</v>
      </c>
      <c r="D131" s="121" t="s">
        <v>729</v>
      </c>
      <c r="E131" s="114" t="s">
        <v>815</v>
      </c>
      <c r="F131" s="113" t="s">
        <v>673</v>
      </c>
    </row>
    <row r="132" spans="1:6" ht="17.149999999999999" customHeight="1" x14ac:dyDescent="0.3">
      <c r="A132" s="112" t="s">
        <v>477</v>
      </c>
      <c r="B132" s="113" t="str">
        <f>VLOOKUP(A132,[10]Schedule_Invigilators!$A$108:$B$803,2,FALSE)</f>
        <v>Emmanuel Obuobi Kwame Addo / Prosper Akaba</v>
      </c>
      <c r="C132" s="113" t="str">
        <f>VLOOKUP(A132,'[10]COMBINED_ATTD_INV (3)'!$A$461:$E$485,2,FALSE)</f>
        <v>Kwadwo Afful//</v>
      </c>
      <c r="D132" s="121" t="s">
        <v>696</v>
      </c>
      <c r="E132" s="114" t="s">
        <v>815</v>
      </c>
      <c r="F132" s="113" t="s">
        <v>673</v>
      </c>
    </row>
    <row r="133" spans="1:6" ht="17.149999999999999" customHeight="1" x14ac:dyDescent="0.3">
      <c r="A133" s="112" t="s">
        <v>144</v>
      </c>
      <c r="B133" s="113" t="str">
        <f>VLOOKUP(A133,[10]Schedule_Invigilators!$A$108:$B$803,2,FALSE)</f>
        <v>Bright Akowuah / Charles Gyamfi</v>
      </c>
      <c r="C133" s="113" t="str">
        <f>VLOOKUP(A133,'[10]COMBINED_ATTD_INV (3)'!$A$461:$E$485,2,FALSE)</f>
        <v>Mercy Nimako/Adjatu Busali/</v>
      </c>
      <c r="D133" s="121" t="s">
        <v>695</v>
      </c>
      <c r="E133" s="114" t="s">
        <v>815</v>
      </c>
      <c r="F133" s="113" t="s">
        <v>673</v>
      </c>
    </row>
    <row r="134" spans="1:6" ht="17.149999999999999" hidden="1" customHeight="1" x14ac:dyDescent="0.3">
      <c r="A134" s="112" t="s">
        <v>638</v>
      </c>
      <c r="B134" s="113" t="e">
        <f>VLOOKUP(A134,[10]Schedule_Invigilators!$A$108:$B$803,2,FALSE)</f>
        <v>#N/A</v>
      </c>
      <c r="C134" s="113" t="e">
        <f>VLOOKUP(A134,'[10]COMBINED_ATTD_INV (3)'!$A$461:$E$485,2,FALSE)</f>
        <v>#N/A</v>
      </c>
      <c r="D134" s="121" t="s">
        <v>694</v>
      </c>
      <c r="E134" s="114" t="s">
        <v>815</v>
      </c>
      <c r="F134" s="113" t="s">
        <v>673</v>
      </c>
    </row>
    <row r="135" spans="1:6" ht="16.5" customHeight="1" x14ac:dyDescent="0.3">
      <c r="A135" s="112" t="s">
        <v>637</v>
      </c>
      <c r="B135" s="113" t="str">
        <f>VLOOKUP(A135,[10]Schedule_Invigilators!$A$108:$B$803,2,FALSE)</f>
        <v>Joseph Aveyire / Benjamin Kommey / Andrew Cudzo Amenuvor / Jonathan Atuquaye Quaye</v>
      </c>
      <c r="C135" s="113" t="str">
        <f>VLOOKUP(A135,'[10]COMBINED_ATTD_INV (3)'!$A$461:$E$485,2,FALSE)</f>
        <v>Micheal Obbo/Bernard Annan/Robert Kofi Kyere</v>
      </c>
      <c r="D135" s="121" t="s">
        <v>693</v>
      </c>
      <c r="E135" s="114" t="s">
        <v>815</v>
      </c>
      <c r="F135" s="113" t="s">
        <v>673</v>
      </c>
    </row>
    <row r="136" spans="1:6" ht="16.5" customHeight="1" x14ac:dyDescent="0.3">
      <c r="A136" s="112" t="s">
        <v>636</v>
      </c>
      <c r="B136" s="113" t="str">
        <f>VLOOKUP(A136,[10]Schedule_Invigilators!$A$108:$B$803,2,FALSE)</f>
        <v>Yesuenyeagbe Fiagbe / Dorothy Araba Yakoba Agyapong / Isaac Dadzie</v>
      </c>
      <c r="C136" s="113" t="str">
        <f>VLOOKUP(A136,'[10]COMBINED_ATTD_INV (3)'!$A$461:$E$485,2,FALSE)</f>
        <v>Theresa Sarpong Peprah/Perseverance Dzikunu/Sandra Essel</v>
      </c>
      <c r="D136" s="121" t="s">
        <v>692</v>
      </c>
      <c r="E136" s="114" t="s">
        <v>815</v>
      </c>
      <c r="F136" s="113" t="s">
        <v>673</v>
      </c>
    </row>
    <row r="137" spans="1:6" ht="16.5" customHeight="1" x14ac:dyDescent="0.3">
      <c r="A137" s="112" t="s">
        <v>635</v>
      </c>
      <c r="B137" s="113" t="str">
        <f>VLOOKUP(A137,[10]Schedule_Invigilators!$A$108:$B$803,2,FALSE)</f>
        <v>Kingsford Sarkodie Obeng Kwakye / Albert Asare / Nancy Anataba Kyorku Dzikunu-Bansah</v>
      </c>
      <c r="C137" s="113" t="str">
        <f>VLOOKUP(A137,'[10]COMBINED_ATTD_INV (3)'!$A$461:$E$485,2,FALSE)</f>
        <v>Kingsley Kyei Baffour/Clement Dadzie/</v>
      </c>
      <c r="D137" s="121" t="s">
        <v>691</v>
      </c>
      <c r="E137" s="114" t="s">
        <v>815</v>
      </c>
      <c r="F137" s="113" t="s">
        <v>673</v>
      </c>
    </row>
    <row r="138" spans="1:6" ht="17.149999999999999" customHeight="1" x14ac:dyDescent="0.3">
      <c r="A138" s="112" t="s">
        <v>634</v>
      </c>
      <c r="B138" s="113" t="str">
        <f>VLOOKUP(A138,[10]Schedule_Invigilators!$A$108:$B$803,2,FALSE)</f>
        <v>Kwame Sarkodie / Emmanuel Offei Akrofi</v>
      </c>
      <c r="C138" s="113" t="str">
        <f>VLOOKUP(A138,'[10]COMBINED_ATTD_INV (3)'!$A$461:$E$485,2,FALSE)</f>
        <v>Ernest Dapaah//</v>
      </c>
      <c r="D138" s="121" t="s">
        <v>690</v>
      </c>
      <c r="E138" s="114" t="s">
        <v>815</v>
      </c>
      <c r="F138" s="113" t="s">
        <v>673</v>
      </c>
    </row>
    <row r="139" spans="1:6" ht="17.149999999999999" customHeight="1" x14ac:dyDescent="0.3">
      <c r="A139" s="112"/>
      <c r="B139" s="113"/>
      <c r="C139" s="113"/>
      <c r="D139" s="113"/>
      <c r="E139" s="114"/>
      <c r="F139" s="113"/>
    </row>
    <row r="140" spans="1:6" s="118" customFormat="1" ht="17.149999999999999" customHeight="1" x14ac:dyDescent="0.3">
      <c r="A140" s="119" t="s">
        <v>642</v>
      </c>
      <c r="B140" s="119" t="s">
        <v>526</v>
      </c>
      <c r="C140" s="119" t="s">
        <v>672</v>
      </c>
      <c r="D140" s="119" t="s">
        <v>671</v>
      </c>
      <c r="E140" s="124" t="s">
        <v>641</v>
      </c>
      <c r="F140" s="119" t="s">
        <v>640</v>
      </c>
    </row>
    <row r="141" spans="1:6" ht="17.149999999999999" customHeight="1" x14ac:dyDescent="0.3">
      <c r="A141" s="112" t="s">
        <v>35</v>
      </c>
      <c r="B141" s="113" t="str">
        <f>VLOOKUP(A141,[10]Schedule_Invigilators!$A$134:$B$803,2,FALSE)</f>
        <v>Bernard Konadu Amoah</v>
      </c>
      <c r="C141" s="113" t="str">
        <f>VLOOKUP(A141,'[10]COMBINED_ATTD_INV (3)'!$A$488:$E$511,2,FALSE)</f>
        <v>Reuben Asare Bediako//</v>
      </c>
      <c r="D141" s="121" t="s">
        <v>689</v>
      </c>
      <c r="E141" s="114" t="s">
        <v>815</v>
      </c>
      <c r="F141" s="113" t="s">
        <v>643</v>
      </c>
    </row>
    <row r="142" spans="1:6" ht="17.149999999999999" customHeight="1" x14ac:dyDescent="0.3">
      <c r="A142" s="112" t="s">
        <v>510</v>
      </c>
      <c r="B142" s="113" t="str">
        <f>VLOOKUP(A142,[10]Schedule_Invigilators!$A$134:$B$803,2,FALSE)</f>
        <v>Anthony Arko-Adjei</v>
      </c>
      <c r="C142" s="113" t="str">
        <f>VLOOKUP(A142,'[10]COMBINED_ATTD_INV (3)'!$A$488:$E$511,2,FALSE)</f>
        <v>George Ansong//</v>
      </c>
      <c r="D142" s="121" t="s">
        <v>749</v>
      </c>
      <c r="E142" s="114" t="s">
        <v>815</v>
      </c>
      <c r="F142" s="113" t="s">
        <v>643</v>
      </c>
    </row>
    <row r="143" spans="1:6" ht="17.149999999999999" customHeight="1" x14ac:dyDescent="0.3">
      <c r="A143" s="112" t="s">
        <v>508</v>
      </c>
      <c r="B143" s="113" t="str">
        <f>VLOOKUP(A143,[10]Schedule_Invigilators!$A$134:$B$803,2,FALSE)</f>
        <v>Anthony A. Agyemang</v>
      </c>
      <c r="C143" s="113" t="str">
        <f>VLOOKUP(A143,'[10]COMBINED_ATTD_INV (3)'!$A$488:$E$511,2,FALSE)</f>
        <v>Gifty Edem Senyaglo//</v>
      </c>
      <c r="D143" s="121" t="s">
        <v>688</v>
      </c>
      <c r="E143" s="114" t="s">
        <v>815</v>
      </c>
      <c r="F143" s="113" t="s">
        <v>643</v>
      </c>
    </row>
    <row r="144" spans="1:6" ht="17.149999999999999" customHeight="1" x14ac:dyDescent="0.3">
      <c r="A144" s="112" t="s">
        <v>466</v>
      </c>
      <c r="B144" s="113" t="str">
        <f>VLOOKUP(A144,[10]Schedule_Invigilators!$A$134:$B$803,2,FALSE)</f>
        <v>Blestmond Afrifa Brako / Prince Odame</v>
      </c>
      <c r="C144" s="113" t="str">
        <f>VLOOKUP(A144,'[10]COMBINED_ATTD_INV (3)'!$A$488:$E$511,2,FALSE)</f>
        <v>Issaka Ali Sambo/Paul Dery/</v>
      </c>
      <c r="D144" s="121" t="s">
        <v>687</v>
      </c>
      <c r="E144" s="114" t="s">
        <v>815</v>
      </c>
      <c r="F144" s="113" t="s">
        <v>643</v>
      </c>
    </row>
    <row r="145" spans="1:6" ht="17.149999999999999" customHeight="1" x14ac:dyDescent="0.3">
      <c r="A145" s="112">
        <v>206</v>
      </c>
      <c r="B145" s="113" t="str">
        <f>VLOOKUP(A145,[10]Schedule_Invigilators!$A$134:$B$803,2,FALSE)</f>
        <v>Martina Francisca Baidoo</v>
      </c>
      <c r="C145" s="113" t="str">
        <f>VLOOKUP(A145,'[10]COMBINED_ATTD_INV (3)'!$A$488:$E$511,2,FALSE)</f>
        <v>Edward Kpetege//</v>
      </c>
      <c r="D145" s="121" t="s">
        <v>686</v>
      </c>
      <c r="E145" s="114" t="s">
        <v>815</v>
      </c>
      <c r="F145" s="113" t="s">
        <v>643</v>
      </c>
    </row>
    <row r="146" spans="1:6" ht="17.149999999999999" customHeight="1" x14ac:dyDescent="0.3">
      <c r="A146" s="112">
        <v>303</v>
      </c>
      <c r="B146" s="113" t="str">
        <f>VLOOKUP(A146,[10]Schedule_Invigilators!$A$134:$B$803,2,FALSE)</f>
        <v>Eugene Appiah-Effah /  Jones Owusu Twumasi</v>
      </c>
      <c r="C146" s="113" t="str">
        <f>VLOOKUP(A146,'[10]COMBINED_ATTD_INV (3)'!$A$488:$E$511,2,FALSE)</f>
        <v>Benjamin Opoku Atuahene//</v>
      </c>
      <c r="D146" s="121" t="s">
        <v>817</v>
      </c>
      <c r="E146" s="114" t="s">
        <v>815</v>
      </c>
      <c r="F146" s="113" t="s">
        <v>643</v>
      </c>
    </row>
    <row r="147" spans="1:6" ht="17.149999999999999" customHeight="1" x14ac:dyDescent="0.3">
      <c r="A147" s="112">
        <v>304</v>
      </c>
      <c r="B147" s="113" t="str">
        <f>VLOOKUP(A147,[10]Schedule_Invigilators!$A$134:$B$803,2,FALSE)</f>
        <v>Charles Adrah</v>
      </c>
      <c r="C147" s="113" t="str">
        <f>VLOOKUP(A147,'[10]COMBINED_ATTD_INV (3)'!$A$488:$E$511,2,FALSE)</f>
        <v>Eric Soku//</v>
      </c>
      <c r="D147" s="121" t="s">
        <v>684</v>
      </c>
      <c r="E147" s="114" t="s">
        <v>815</v>
      </c>
      <c r="F147" s="113" t="s">
        <v>643</v>
      </c>
    </row>
    <row r="148" spans="1:6" ht="17.149999999999999" customHeight="1" x14ac:dyDescent="0.3">
      <c r="A148" s="112" t="s">
        <v>61</v>
      </c>
      <c r="B148" s="113" t="str">
        <f>VLOOKUP(A148,[10]Schedule_Invigilators!$A$134:$B$803,2,FALSE)</f>
        <v>Akwasi Afrifa Acheampong</v>
      </c>
      <c r="C148" s="113" t="str">
        <f>VLOOKUP(A148,'[10]COMBINED_ATTD_INV (3)'!$A$488:$E$511,2,FALSE)</f>
        <v>Marian Bemma//</v>
      </c>
      <c r="D148" s="121" t="s">
        <v>683</v>
      </c>
      <c r="E148" s="114" t="s">
        <v>815</v>
      </c>
      <c r="F148" s="113" t="s">
        <v>643</v>
      </c>
    </row>
    <row r="149" spans="1:6" ht="17.149999999999999" customHeight="1" x14ac:dyDescent="0.3">
      <c r="A149" s="112" t="s">
        <v>467</v>
      </c>
      <c r="B149" s="113" t="str">
        <f>VLOOKUP(A149,[10]Schedule_Invigilators!$A$134:$B$803,2,FALSE)</f>
        <v>Augustus Ababio Donkor</v>
      </c>
      <c r="C149" s="113" t="str">
        <f>VLOOKUP(A149,'[10]COMBINED_ATTD_INV (3)'!$A$488:$E$511,2,FALSE)</f>
        <v>Benjamin Nana Oduro Konadu//</v>
      </c>
      <c r="D149" s="121" t="s">
        <v>682</v>
      </c>
      <c r="E149" s="114" t="s">
        <v>815</v>
      </c>
      <c r="F149" s="113" t="s">
        <v>643</v>
      </c>
    </row>
    <row r="150" spans="1:6" ht="17.149999999999999" customHeight="1" x14ac:dyDescent="0.3">
      <c r="A150" s="112" t="s">
        <v>468</v>
      </c>
      <c r="B150" s="113" t="str">
        <f>VLOOKUP(A150,[10]Schedule_Invigilators!$A$134:$B$803,2,FALSE)</f>
        <v>Benjamin Afotey / Samuel Osah</v>
      </c>
      <c r="C150" s="113" t="str">
        <f>VLOOKUP(A150,'[10]COMBINED_ATTD_INV (3)'!$A$488:$E$511,2,FALSE)</f>
        <v>John Ofosu//</v>
      </c>
      <c r="D150" s="121" t="s">
        <v>681</v>
      </c>
      <c r="E150" s="114" t="s">
        <v>815</v>
      </c>
      <c r="F150" s="113" t="s">
        <v>643</v>
      </c>
    </row>
    <row r="151" spans="1:6" ht="17.149999999999999" customHeight="1" x14ac:dyDescent="0.3">
      <c r="A151" s="112" t="s">
        <v>469</v>
      </c>
      <c r="B151" s="113" t="str">
        <f>VLOOKUP(A151,[10]Schedule_Invigilators!$A$134:$B$803,2,FALSE)</f>
        <v>Jack Osei Banahene / Kwame Sarkodie</v>
      </c>
      <c r="C151" s="113" t="str">
        <f>VLOOKUP(A151,'[10]COMBINED_ATTD_INV (3)'!$A$488:$E$511,2,FALSE)</f>
        <v>Owusu Stephen Akuoku/Samuel Osei-Asibey Bonsu/</v>
      </c>
      <c r="D151" s="121" t="s">
        <v>680</v>
      </c>
      <c r="E151" s="114" t="s">
        <v>815</v>
      </c>
      <c r="F151" s="113" t="s">
        <v>643</v>
      </c>
    </row>
    <row r="152" spans="1:6" ht="17.149999999999999" customHeight="1" x14ac:dyDescent="0.3">
      <c r="A152" s="112" t="s">
        <v>42</v>
      </c>
      <c r="B152" s="113" t="str">
        <f>VLOOKUP(A152,[10]Schedule_Invigilators!$A$134:$B$803,2,FALSE)</f>
        <v>Peter Oppong Tawiah / Theresa-Samuelle Maame Atwemaa Adjaidoo</v>
      </c>
      <c r="C152" s="113" t="str">
        <f>VLOOKUP(A152,'[10]COMBINED_ATTD_INV (3)'!$A$488:$E$511,2,FALSE)</f>
        <v>Kofi Bentum/Fiifi Turkson/</v>
      </c>
      <c r="D152" s="121" t="s">
        <v>679</v>
      </c>
      <c r="E152" s="114" t="s">
        <v>815</v>
      </c>
      <c r="F152" s="113" t="s">
        <v>643</v>
      </c>
    </row>
    <row r="153" spans="1:6" ht="17.149999999999999" customHeight="1" x14ac:dyDescent="0.3">
      <c r="A153" s="112" t="s">
        <v>470</v>
      </c>
      <c r="B153" s="113" t="str">
        <f>VLOOKUP(A153,[10]Schedule_Invigilators!$A$134:$B$803,2,FALSE)</f>
        <v xml:space="preserve">Samuel Erzuah / Evans Amponsah </v>
      </c>
      <c r="C153" s="113" t="str">
        <f>VLOOKUP(A153,'[10]COMBINED_ATTD_INV (3)'!$A$488:$E$511,2,FALSE)</f>
        <v>Richmond Awotwe//</v>
      </c>
      <c r="D153" s="121" t="s">
        <v>677</v>
      </c>
      <c r="E153" s="114" t="s">
        <v>815</v>
      </c>
      <c r="F153" s="113" t="s">
        <v>643</v>
      </c>
    </row>
    <row r="154" spans="1:6" ht="17.149999999999999" customHeight="1" x14ac:dyDescent="0.3">
      <c r="A154" s="112" t="s">
        <v>471</v>
      </c>
      <c r="B154" s="113" t="str">
        <f>VLOOKUP(A154,[10]Schedule_Invigilators!$A$134:$B$803,2,FALSE)</f>
        <v>James Dzisi Gadze / Martinson Addo Nartey</v>
      </c>
      <c r="C154" s="113" t="str">
        <f>VLOOKUP(A154,'[10]COMBINED_ATTD_INV (3)'!$A$488:$E$511,2,FALSE)</f>
        <v>Mercy Nimako//</v>
      </c>
      <c r="D154" s="121" t="s">
        <v>676</v>
      </c>
      <c r="E154" s="114" t="s">
        <v>815</v>
      </c>
      <c r="F154" s="113" t="s">
        <v>643</v>
      </c>
    </row>
    <row r="155" spans="1:6" ht="17.149999999999999" customHeight="1" x14ac:dyDescent="0.3">
      <c r="A155" s="112" t="s">
        <v>472</v>
      </c>
      <c r="B155" s="113" t="str">
        <f>VLOOKUP(A155,[10]Schedule_Invigilators!$A$134:$B$803,2,FALSE)</f>
        <v>Emmanuel Ampoma Affum / Charles Gyamfi</v>
      </c>
      <c r="C155" s="113" t="str">
        <f>VLOOKUP(A155,'[10]COMBINED_ATTD_INV (3)'!$A$488:$E$511,2,FALSE)</f>
        <v>Bernard Audinada Ampofo/Fatawu Yakubu/</v>
      </c>
      <c r="D155" s="121" t="s">
        <v>675</v>
      </c>
      <c r="E155" s="114" t="s">
        <v>815</v>
      </c>
      <c r="F155" s="113" t="s">
        <v>643</v>
      </c>
    </row>
    <row r="156" spans="1:6" ht="17.149999999999999" customHeight="1" x14ac:dyDescent="0.3">
      <c r="A156" s="112" t="s">
        <v>108</v>
      </c>
      <c r="B156" s="113" t="str">
        <f>VLOOKUP(A156,[10]Schedule_Invigilators!$A$134:$B$803,2,FALSE)</f>
        <v xml:space="preserve">Efiba Vidda Senkyire Kwarteng </v>
      </c>
      <c r="C156" s="113" t="str">
        <f>VLOOKUP(A156,'[10]COMBINED_ATTD_INV (3)'!$A$488:$E$511,2,FALSE)</f>
        <v>Clement Appiah//</v>
      </c>
      <c r="D156" s="121" t="s">
        <v>674</v>
      </c>
      <c r="E156" s="114" t="s">
        <v>815</v>
      </c>
      <c r="F156" s="113" t="s">
        <v>643</v>
      </c>
    </row>
    <row r="157" spans="1:6" ht="17.149999999999999" customHeight="1" x14ac:dyDescent="0.3">
      <c r="A157" s="112" t="s">
        <v>473</v>
      </c>
      <c r="B157" s="113" t="str">
        <f>VLOOKUP(A157,[10]Schedule_Invigilators!$A$134:$B$803,2,FALSE)</f>
        <v>Kenneth Adomako Tutu / Efiba Vidda Senkyire Kwarteng</v>
      </c>
      <c r="C157" s="113" t="str">
        <f>VLOOKUP(A157,'[10]COMBINED_ATTD_INV (3)'!$A$488:$E$511,2,FALSE)</f>
        <v>Godfred Appiah//</v>
      </c>
      <c r="D157" s="121" t="s">
        <v>670</v>
      </c>
      <c r="E157" s="114" t="s">
        <v>815</v>
      </c>
      <c r="F157" s="113" t="s">
        <v>643</v>
      </c>
    </row>
    <row r="158" spans="1:6" ht="17.149999999999999" customHeight="1" x14ac:dyDescent="0.3">
      <c r="A158" s="112" t="s">
        <v>475</v>
      </c>
      <c r="B158" s="113" t="str">
        <f>VLOOKUP(A158,[10]Schedule_Invigilators!$A$134:$B$803,2,FALSE)</f>
        <v xml:space="preserve">Sefakor Dogbe  </v>
      </c>
      <c r="C158" s="113" t="str">
        <f>VLOOKUP(A158,'[10]COMBINED_ATTD_INV (3)'!$A$488:$E$511,2,FALSE)</f>
        <v>Rebecca Yamoah//</v>
      </c>
      <c r="D158" s="121" t="s">
        <v>668</v>
      </c>
      <c r="E158" s="114" t="s">
        <v>815</v>
      </c>
      <c r="F158" s="113" t="s">
        <v>643</v>
      </c>
    </row>
    <row r="159" spans="1:6" ht="17.149999999999999" customHeight="1" x14ac:dyDescent="0.3">
      <c r="A159" s="112" t="s">
        <v>476</v>
      </c>
      <c r="B159" s="113" t="str">
        <f>VLOOKUP(A159,[10]Schedule_Invigilators!$A$134:$B$803,2,FALSE)</f>
        <v>William Amponsah / Eric Amoah Asante</v>
      </c>
      <c r="C159" s="113" t="str">
        <f>VLOOKUP(A159,'[10]COMBINED_ATTD_INV (3)'!$A$488:$E$511,2,FALSE)</f>
        <v>Salamatu Salifu//</v>
      </c>
      <c r="D159" s="121" t="s">
        <v>748</v>
      </c>
      <c r="E159" s="114" t="s">
        <v>815</v>
      </c>
      <c r="F159" s="113" t="s">
        <v>643</v>
      </c>
    </row>
    <row r="160" spans="1:6" ht="17.149999999999999" customHeight="1" x14ac:dyDescent="0.3">
      <c r="A160" s="112" t="s">
        <v>477</v>
      </c>
      <c r="B160" s="113" t="str">
        <f>VLOOKUP(A160,[10]Schedule_Invigilators!$A$134:$B$803,2,FALSE)</f>
        <v xml:space="preserve">C. K. K. Sekyere  / Matthew Coffie Wilson  </v>
      </c>
      <c r="C160" s="113" t="str">
        <f>VLOOKUP(A160,'[10]COMBINED_ATTD_INV (3)'!$A$488:$E$511,2,FALSE)</f>
        <v>Loretta Owusu Ansah//</v>
      </c>
      <c r="D160" s="121" t="s">
        <v>666</v>
      </c>
      <c r="E160" s="114" t="s">
        <v>815</v>
      </c>
      <c r="F160" s="113" t="s">
        <v>643</v>
      </c>
    </row>
    <row r="161" spans="1:6" ht="17.149999999999999" customHeight="1" x14ac:dyDescent="0.3">
      <c r="A161" s="112" t="s">
        <v>144</v>
      </c>
      <c r="B161" s="113" t="str">
        <f>VLOOKUP(A161,[10]Schedule_Invigilators!$A$134:$B$803,2,FALSE)</f>
        <v>Bright Akowuah / Henry Nunoo-Mensah</v>
      </c>
      <c r="C161" s="113" t="str">
        <f>VLOOKUP(A161,'[10]COMBINED_ATTD_INV (3)'!$A$488:$E$511,2,FALSE)</f>
        <v>Mohammed Bakang/Adjatu Busali/</v>
      </c>
      <c r="D161" s="121" t="s">
        <v>665</v>
      </c>
      <c r="E161" s="114" t="s">
        <v>815</v>
      </c>
      <c r="F161" s="113" t="s">
        <v>643</v>
      </c>
    </row>
    <row r="162" spans="1:6" ht="17.149999999999999" hidden="1" customHeight="1" x14ac:dyDescent="0.3">
      <c r="A162" s="112" t="s">
        <v>638</v>
      </c>
      <c r="B162" s="113" t="e">
        <f>VLOOKUP(A162,[10]Schedule_Invigilators!$A$134:$B$803,2,FALSE)</f>
        <v>#N/A</v>
      </c>
      <c r="C162" s="113" t="e">
        <f>VLOOKUP(A162,'[10]COMBINED_ATTD_INV (3)'!$A$488:$E$511,2,FALSE)</f>
        <v>#N/A</v>
      </c>
      <c r="D162" s="121" t="s">
        <v>664</v>
      </c>
      <c r="E162" s="114" t="s">
        <v>815</v>
      </c>
      <c r="F162" s="113" t="s">
        <v>643</v>
      </c>
    </row>
    <row r="163" spans="1:6" ht="17.149999999999999" customHeight="1" x14ac:dyDescent="0.3">
      <c r="A163" s="112" t="s">
        <v>637</v>
      </c>
      <c r="B163" s="113" t="str">
        <f>VLOOKUP(A163,[10]Schedule_Invigilators!$A$134:$B$803,2,FALSE)</f>
        <v>Daniel Kwegyir / Kwame Agyemang Prempeh Agyekum / Samuel Boahen/ Nancy Anataba Kyorku Dzikunu-Bansah</v>
      </c>
      <c r="C163" s="113" t="str">
        <f>VLOOKUP(A163,'[10]COMBINED_ATTD_INV (3)'!$A$488:$E$511,2,FALSE)</f>
        <v>Sandra Essel/Bernard Annan/Robert Kofi Kyere</v>
      </c>
      <c r="D163" s="121" t="s">
        <v>816</v>
      </c>
      <c r="E163" s="114" t="s">
        <v>815</v>
      </c>
      <c r="F163" s="113" t="s">
        <v>643</v>
      </c>
    </row>
    <row r="164" spans="1:6" ht="17.149999999999999" customHeight="1" x14ac:dyDescent="0.3">
      <c r="A164" s="112" t="s">
        <v>635</v>
      </c>
      <c r="B164" s="113" t="str">
        <f>VLOOKUP(A164,[10]Schedule_Invigilators!$A$134:$B$803,2,FALSE)</f>
        <v xml:space="preserve">Kingsford Sarkodie Obeng Kwakye / K. O.-B Obour Agyekum / Nicholas Prah </v>
      </c>
      <c r="C164" s="113" t="str">
        <f>VLOOKUP(A164,'[10]COMBINED_ATTD_INV (3)'!$A$488:$E$511,2,FALSE)</f>
        <v>Kingsley Kyei Baffour/Bright Andoh-Baidoo/</v>
      </c>
      <c r="D164" s="121" t="s">
        <v>766</v>
      </c>
      <c r="E164" s="114" t="s">
        <v>815</v>
      </c>
      <c r="F164" s="113" t="s">
        <v>643</v>
      </c>
    </row>
    <row r="165" spans="1:6" ht="17.149999999999999" customHeight="1" x14ac:dyDescent="0.3">
      <c r="A165" s="112" t="s">
        <v>634</v>
      </c>
      <c r="B165" s="113" t="str">
        <f>VLOOKUP(A165,[10]Schedule_Invigilators!$A$134:$B$803,2,FALSE)</f>
        <v>Casper Adenutsi / Eliel Keelson</v>
      </c>
      <c r="C165" s="113" t="str">
        <f>VLOOKUP(A165,'[10]COMBINED_ATTD_INV (3)'!$A$488:$E$511,2,FALSE)</f>
        <v>Abigail Akos Worlanyo//</v>
      </c>
      <c r="D165" s="121" t="s">
        <v>661</v>
      </c>
      <c r="E165" s="114" t="s">
        <v>815</v>
      </c>
      <c r="F165" s="113" t="s">
        <v>643</v>
      </c>
    </row>
    <row r="166" spans="1:6" ht="17.149999999999999" customHeight="1" x14ac:dyDescent="0.3">
      <c r="A166" s="112"/>
      <c r="B166" s="113"/>
      <c r="C166" s="113"/>
      <c r="D166" s="113"/>
      <c r="E166" s="114"/>
      <c r="F166" s="113"/>
    </row>
    <row r="167" spans="1:6" s="118" customFormat="1" ht="17.149999999999999" customHeight="1" x14ac:dyDescent="0.3">
      <c r="A167" s="119" t="s">
        <v>642</v>
      </c>
      <c r="B167" s="119" t="s">
        <v>526</v>
      </c>
      <c r="C167" s="119" t="s">
        <v>672</v>
      </c>
      <c r="D167" s="119" t="s">
        <v>671</v>
      </c>
      <c r="E167" s="124" t="s">
        <v>641</v>
      </c>
      <c r="F167" s="119" t="s">
        <v>640</v>
      </c>
    </row>
    <row r="168" spans="1:6" ht="17.149999999999999" customHeight="1" x14ac:dyDescent="0.3">
      <c r="A168" s="112" t="s">
        <v>35</v>
      </c>
      <c r="B168" s="113" t="str">
        <f>VLOOKUP(A168,[10]Schedule_Invigilators!$A$159:$B$803,2,FALSE)</f>
        <v>Theresa-Samuelle Maame Atwemaa Adjaidoo</v>
      </c>
      <c r="C168" s="113" t="str">
        <f>VLOOKUP(A168,'[10]COMBINED_ATTD_INV (3)'!$A$514:$E$537,2,FALSE)</f>
        <v>Mohammed Bakang//</v>
      </c>
      <c r="D168" s="121" t="s">
        <v>660</v>
      </c>
      <c r="E168" s="114" t="s">
        <v>814</v>
      </c>
      <c r="F168" s="113" t="s">
        <v>750</v>
      </c>
    </row>
    <row r="169" spans="1:6" ht="17.149999999999999" customHeight="1" x14ac:dyDescent="0.3">
      <c r="A169" s="112" t="s">
        <v>510</v>
      </c>
      <c r="B169" s="113" t="str">
        <f>VLOOKUP(A169,[10]Schedule_Invigilators!$A$159:$B$803,2,FALSE)</f>
        <v>Jack Osei Banahene</v>
      </c>
      <c r="C169" s="113" t="str">
        <f>VLOOKUP(A169,'[10]COMBINED_ATTD_INV (3)'!$A$514:$E$537,2,FALSE)</f>
        <v>Mercy Nimako//</v>
      </c>
      <c r="D169" s="121" t="s">
        <v>763</v>
      </c>
      <c r="E169" s="114" t="s">
        <v>814</v>
      </c>
      <c r="F169" s="113" t="s">
        <v>750</v>
      </c>
    </row>
    <row r="170" spans="1:6" ht="17.149999999999999" customHeight="1" x14ac:dyDescent="0.3">
      <c r="A170" s="112" t="s">
        <v>508</v>
      </c>
      <c r="B170" s="113" t="str">
        <f>VLOOKUP(A170,[10]Schedule_Invigilators!$A$159:$B$803,2,FALSE)</f>
        <v>Henry Nunoo-Mensah</v>
      </c>
      <c r="C170" s="113" t="str">
        <f>VLOOKUP(A170,'[10]COMBINED_ATTD_INV (3)'!$A$514:$E$537,2,FALSE)</f>
        <v>Derrick Owusu Mensah//</v>
      </c>
      <c r="D170" s="121" t="s">
        <v>659</v>
      </c>
      <c r="E170" s="114" t="s">
        <v>814</v>
      </c>
      <c r="F170" s="113" t="s">
        <v>750</v>
      </c>
    </row>
    <row r="171" spans="1:6" ht="17.149999999999999" customHeight="1" x14ac:dyDescent="0.3">
      <c r="A171" s="112" t="s">
        <v>466</v>
      </c>
      <c r="B171" s="113" t="str">
        <f>VLOOKUP(A171,[10]Schedule_Invigilators!$A$159:$B$803,2,FALSE)</f>
        <v>James Dzisi Gadze / Eric Amoah Asante</v>
      </c>
      <c r="C171" s="113" t="str">
        <f>VLOOKUP(A171,'[10]COMBINED_ATTD_INV (3)'!$A$514:$E$537,2,FALSE)</f>
        <v>Issaka Ali Sambo/Paul Dery/</v>
      </c>
      <c r="D171" s="121" t="s">
        <v>658</v>
      </c>
      <c r="E171" s="114" t="s">
        <v>814</v>
      </c>
      <c r="F171" s="113" t="s">
        <v>750</v>
      </c>
    </row>
    <row r="172" spans="1:6" ht="17.149999999999999" customHeight="1" x14ac:dyDescent="0.3">
      <c r="A172" s="112">
        <v>206</v>
      </c>
      <c r="B172" s="113" t="str">
        <f>VLOOKUP(A172,[10]Schedule_Invigilators!$A$159:$B$803,2,FALSE)</f>
        <v>Kofi Owura Amoabeng</v>
      </c>
      <c r="C172" s="113" t="str">
        <f>VLOOKUP(A172,'[10]COMBINED_ATTD_INV (3)'!$A$514:$E$537,2,FALSE)</f>
        <v>Edward Kpetege//</v>
      </c>
      <c r="D172" s="121" t="s">
        <v>657</v>
      </c>
      <c r="E172" s="114" t="s">
        <v>814</v>
      </c>
      <c r="F172" s="113" t="s">
        <v>750</v>
      </c>
    </row>
    <row r="173" spans="1:6" ht="17.149999999999999" customHeight="1" x14ac:dyDescent="0.3">
      <c r="A173" s="112">
        <v>303</v>
      </c>
      <c r="B173" s="113" t="str">
        <f>VLOOKUP(A173,[10]Schedule_Invigilators!$A$159:$B$803,2,FALSE)</f>
        <v>Prosper Akaba / Godfred Boahen</v>
      </c>
      <c r="C173" s="113" t="str">
        <f>VLOOKUP(A173,'[10]COMBINED_ATTD_INV (3)'!$A$514:$E$537,2,FALSE)</f>
        <v>Benjamin Opoku Atuahene//</v>
      </c>
      <c r="D173" s="121" t="s">
        <v>656</v>
      </c>
      <c r="E173" s="114" t="s">
        <v>814</v>
      </c>
      <c r="F173" s="113" t="s">
        <v>750</v>
      </c>
    </row>
    <row r="174" spans="1:6" ht="17.149999999999999" customHeight="1" x14ac:dyDescent="0.3">
      <c r="A174" s="112">
        <v>304</v>
      </c>
      <c r="B174" s="113" t="str">
        <f>VLOOKUP(A174,[10]Schedule_Invigilators!$A$159:$B$803,2,FALSE)</f>
        <v>Yesuenyeagbe Fiagbe</v>
      </c>
      <c r="C174" s="113" t="str">
        <f>VLOOKUP(A174,'[10]COMBINED_ATTD_INV (3)'!$A$514:$E$537,2,FALSE)</f>
        <v>Eric Soku//</v>
      </c>
      <c r="D174" s="121" t="s">
        <v>655</v>
      </c>
      <c r="E174" s="114" t="s">
        <v>814</v>
      </c>
      <c r="F174" s="113" t="s">
        <v>750</v>
      </c>
    </row>
    <row r="175" spans="1:6" ht="17.149999999999999" customHeight="1" x14ac:dyDescent="0.3">
      <c r="A175" s="112" t="s">
        <v>61</v>
      </c>
      <c r="B175" s="113" t="str">
        <f>VLOOKUP(A175,[10]Schedule_Invigilators!$A$159:$B$803,2,FALSE)</f>
        <v>Efiba Vidda Senkyire Kwarteng</v>
      </c>
      <c r="C175" s="113" t="str">
        <f>VLOOKUP(A175,'[10]COMBINED_ATTD_INV (3)'!$A$514:$E$537,2,FALSE)</f>
        <v>Marian Bemma//</v>
      </c>
      <c r="D175" s="121" t="s">
        <v>654</v>
      </c>
      <c r="E175" s="114" t="s">
        <v>814</v>
      </c>
      <c r="F175" s="113" t="s">
        <v>750</v>
      </c>
    </row>
    <row r="176" spans="1:6" ht="17.149999999999999" customHeight="1" x14ac:dyDescent="0.3">
      <c r="A176" s="112" t="s">
        <v>467</v>
      </c>
      <c r="B176" s="113" t="str">
        <f>VLOOKUP(A176,[10]Schedule_Invigilators!$A$159:$B$803,2,FALSE)</f>
        <v>Samuel Osah</v>
      </c>
      <c r="C176" s="113" t="str">
        <f>VLOOKUP(A176,'[10]COMBINED_ATTD_INV (3)'!$A$514:$E$537,2,FALSE)</f>
        <v>Derrick Amoateng//</v>
      </c>
      <c r="D176" s="121" t="s">
        <v>653</v>
      </c>
      <c r="E176" s="114" t="s">
        <v>814</v>
      </c>
      <c r="F176" s="113" t="s">
        <v>750</v>
      </c>
    </row>
    <row r="177" spans="1:6" ht="17.149999999999999" customHeight="1" x14ac:dyDescent="0.3">
      <c r="A177" s="112" t="s">
        <v>468</v>
      </c>
      <c r="B177" s="113" t="str">
        <f>VLOOKUP(A177,[10]Schedule_Invigilators!$A$159:$B$803,2,FALSE)</f>
        <v>Felix Jojo Fianko Ayeh / C. K. K. Sekyere</v>
      </c>
      <c r="C177" s="113" t="str">
        <f>VLOOKUP(A177,'[10]COMBINED_ATTD_INV (3)'!$A$514:$E$537,2,FALSE)</f>
        <v>John Ofosu//</v>
      </c>
      <c r="D177" s="121" t="s">
        <v>652</v>
      </c>
      <c r="E177" s="114" t="s">
        <v>814</v>
      </c>
      <c r="F177" s="113" t="s">
        <v>750</v>
      </c>
    </row>
    <row r="178" spans="1:6" ht="17.149999999999999" customHeight="1" x14ac:dyDescent="0.3">
      <c r="A178" s="112" t="s">
        <v>469</v>
      </c>
      <c r="B178" s="113" t="str">
        <f>VLOOKUP(A178,[10]Schedule_Invigilators!$A$159:$B$803,2,FALSE)</f>
        <v>Benjamin Afotey / Matthew Coffie Wilson</v>
      </c>
      <c r="C178" s="113" t="str">
        <f>VLOOKUP(A178,'[10]COMBINED_ATTD_INV (3)'!$A$514:$E$537,2,FALSE)</f>
        <v>Michael Owusu/Samuel Osei-Asibey Bonsu/</v>
      </c>
      <c r="D178" s="121" t="s">
        <v>651</v>
      </c>
      <c r="E178" s="114" t="s">
        <v>814</v>
      </c>
      <c r="F178" s="113" t="s">
        <v>750</v>
      </c>
    </row>
    <row r="179" spans="1:6" ht="17.149999999999999" customHeight="1" x14ac:dyDescent="0.3">
      <c r="A179" s="112" t="s">
        <v>42</v>
      </c>
      <c r="B179" s="113" t="str">
        <f>VLOOKUP(A179,[10]Schedule_Invigilators!$A$159:$B$803,2,FALSE)</f>
        <v>Jude Bonsu / Charles Adrah</v>
      </c>
      <c r="C179" s="113" t="str">
        <f>VLOOKUP(A179,'[10]COMBINED_ATTD_INV (3)'!$A$514:$E$537,2,FALSE)</f>
        <v>Evans Korletey/Linda Berko/</v>
      </c>
      <c r="D179" s="121" t="s">
        <v>762</v>
      </c>
      <c r="E179" s="114" t="s">
        <v>814</v>
      </c>
      <c r="F179" s="113" t="s">
        <v>750</v>
      </c>
    </row>
    <row r="180" spans="1:6" ht="17.149999999999999" customHeight="1" x14ac:dyDescent="0.3">
      <c r="A180" s="112" t="s">
        <v>470</v>
      </c>
      <c r="B180" s="113" t="str">
        <f>VLOOKUP(A180,[10]Schedule_Invigilators!$A$159:$B$803,2,FALSE)</f>
        <v>Dorothy Araba Yakoba Agyapong / M. Appiah Brempong</v>
      </c>
      <c r="C180" s="113" t="str">
        <f>VLOOKUP(A180,'[10]COMBINED_ATTD_INV (3)'!$A$514:$E$537,2,FALSE)</f>
        <v>Richmond Awotwe//</v>
      </c>
      <c r="D180" s="121" t="s">
        <v>761</v>
      </c>
      <c r="E180" s="114" t="s">
        <v>814</v>
      </c>
      <c r="F180" s="113" t="s">
        <v>750</v>
      </c>
    </row>
    <row r="181" spans="1:6" ht="17.149999999999999" customHeight="1" x14ac:dyDescent="0.3">
      <c r="A181" s="112" t="s">
        <v>471</v>
      </c>
      <c r="B181" s="113" t="str">
        <f>VLOOKUP(A181,[10]Schedule_Invigilators!$A$159:$B$803,2,FALSE)</f>
        <v>Daniel Akwei Addo / Albert Kwame Kwaw</v>
      </c>
      <c r="C181" s="113" t="str">
        <f>VLOOKUP(A181,'[10]COMBINED_ATTD_INV (3)'!$A$514:$E$537,2,FALSE)</f>
        <v>Joseph Benneth Kankam//</v>
      </c>
      <c r="D181" s="121" t="s">
        <v>647</v>
      </c>
      <c r="E181" s="114" t="s">
        <v>814</v>
      </c>
      <c r="F181" s="113" t="s">
        <v>750</v>
      </c>
    </row>
    <row r="182" spans="1:6" ht="17.149999999999999" customHeight="1" x14ac:dyDescent="0.3">
      <c r="A182" s="112" t="s">
        <v>472</v>
      </c>
      <c r="B182" s="113" t="str">
        <f>VLOOKUP(A182,[10]Schedule_Invigilators!$A$159:$B$803,2,FALSE)</f>
        <v>Daniel Oduro Boatey Nuamah / Faisal Wahib Adam</v>
      </c>
      <c r="C182" s="113" t="str">
        <f>VLOOKUP(A182,'[10]COMBINED_ATTD_INV (3)'!$A$514:$E$537,2,FALSE)</f>
        <v>Desmond Adu-Yeboah/Fatawu Yakubu/</v>
      </c>
      <c r="D182" s="121" t="s">
        <v>646</v>
      </c>
      <c r="E182" s="114" t="s">
        <v>814</v>
      </c>
      <c r="F182" s="113" t="s">
        <v>750</v>
      </c>
    </row>
    <row r="183" spans="1:6" ht="17.149999999999999" customHeight="1" x14ac:dyDescent="0.3">
      <c r="A183" s="112" t="s">
        <v>108</v>
      </c>
      <c r="B183" s="113" t="str">
        <f>VLOOKUP(A183,[10]Schedule_Invigilators!$A$159:$B$803,2,FALSE)</f>
        <v>Samuel Boahen</v>
      </c>
      <c r="C183" s="113" t="str">
        <f>VLOOKUP(A183,'[10]COMBINED_ATTD_INV (3)'!$A$514:$E$537,2,FALSE)</f>
        <v>Clement Appiah//</v>
      </c>
      <c r="D183" s="121" t="s">
        <v>645</v>
      </c>
      <c r="E183" s="114" t="s">
        <v>814</v>
      </c>
      <c r="F183" s="113" t="s">
        <v>750</v>
      </c>
    </row>
    <row r="184" spans="1:6" ht="17.149999999999999" customHeight="1" x14ac:dyDescent="0.3">
      <c r="A184" s="112" t="s">
        <v>474</v>
      </c>
      <c r="B184" s="113" t="str">
        <f>VLOOKUP(A184,[10]Schedule_Invigilators!$A$159:$B$803,2,FALSE)</f>
        <v>Bennetta Koomson</v>
      </c>
      <c r="C184" s="113" t="str">
        <f>VLOOKUP(A184,'[10]COMBINED_ATTD_INV (3)'!$A$514:$E$537,2,FALSE)</f>
        <v>Ruth Adwubi Sarfo//</v>
      </c>
      <c r="D184" s="121" t="s">
        <v>759</v>
      </c>
      <c r="E184" s="114" t="s">
        <v>814</v>
      </c>
      <c r="F184" s="113" t="s">
        <v>750</v>
      </c>
    </row>
    <row r="185" spans="1:6" ht="17.149999999999999" customHeight="1" x14ac:dyDescent="0.3">
      <c r="A185" s="112" t="s">
        <v>475</v>
      </c>
      <c r="B185" s="113" t="str">
        <f>VLOOKUP(A185,[10]Schedule_Invigilators!$A$159:$B$803,2,FALSE)</f>
        <v>Andrew Selasi Agbemenu</v>
      </c>
      <c r="C185" s="113" t="str">
        <f>VLOOKUP(A185,'[10]COMBINED_ATTD_INV (3)'!$A$514:$E$537,2,FALSE)</f>
        <v>Sandra Essel//</v>
      </c>
      <c r="D185" s="121" t="s">
        <v>758</v>
      </c>
      <c r="E185" s="114" t="s">
        <v>814</v>
      </c>
      <c r="F185" s="113" t="s">
        <v>750</v>
      </c>
    </row>
    <row r="186" spans="1:6" ht="17.149999999999999" customHeight="1" x14ac:dyDescent="0.3">
      <c r="A186" s="112" t="s">
        <v>476</v>
      </c>
      <c r="B186" s="113" t="str">
        <f>VLOOKUP(A186,[10]Schedule_Invigilators!$A$159:$B$803,2,FALSE)</f>
        <v>William Amponsah / Martin Kesse</v>
      </c>
      <c r="C186" s="113" t="str">
        <f>VLOOKUP(A186,'[10]COMBINED_ATTD_INV (3)'!$A$514:$E$537,2,FALSE)</f>
        <v>Gifty Edem Senyaglo//</v>
      </c>
      <c r="D186" s="121" t="s">
        <v>757</v>
      </c>
      <c r="E186" s="114" t="s">
        <v>814</v>
      </c>
      <c r="F186" s="113" t="s">
        <v>750</v>
      </c>
    </row>
    <row r="187" spans="1:6" ht="17.149999999999999" customHeight="1" x14ac:dyDescent="0.3">
      <c r="A187" s="112" t="s">
        <v>477</v>
      </c>
      <c r="B187" s="113" t="str">
        <f>VLOOKUP(A187,[10]Schedule_Invigilators!$A$159:$B$803,2,FALSE)</f>
        <v>David Oppong / Vincent Kofi Abaka Acquaah</v>
      </c>
      <c r="C187" s="113" t="str">
        <f>VLOOKUP(A187,'[10]COMBINED_ATTD_INV (3)'!$A$514:$E$537,2,FALSE)</f>
        <v>Kwadwo Afful//</v>
      </c>
      <c r="D187" s="121" t="s">
        <v>756</v>
      </c>
      <c r="E187" s="114" t="s">
        <v>814</v>
      </c>
      <c r="F187" s="113" t="s">
        <v>750</v>
      </c>
    </row>
    <row r="188" spans="1:6" ht="17.149999999999999" hidden="1" customHeight="1" x14ac:dyDescent="0.3">
      <c r="A188" s="112" t="s">
        <v>638</v>
      </c>
      <c r="B188" s="113" t="e">
        <f>VLOOKUP(A188,[10]Schedule_Invigilators!$A$159:$B$803,2,FALSE)</f>
        <v>#N/A</v>
      </c>
      <c r="C188" s="113" t="e">
        <f>VLOOKUP(A188,'[10]COMBINED_ATTD_INV (3)'!$A$514:$E$537,2,FALSE)</f>
        <v>#N/A</v>
      </c>
      <c r="D188" s="121" t="s">
        <v>754</v>
      </c>
      <c r="E188" s="114" t="s">
        <v>814</v>
      </c>
      <c r="F188" s="113" t="s">
        <v>750</v>
      </c>
    </row>
    <row r="189" spans="1:6" ht="17.149999999999999" customHeight="1" x14ac:dyDescent="0.3">
      <c r="A189" s="112" t="s">
        <v>637</v>
      </c>
      <c r="B189" s="113" t="str">
        <f>VLOOKUP(A189,[10]Schedule_Invigilators!$A$159:$B$803,2,FALSE)</f>
        <v>Benjamin Kommey / Andrew Cudzo Amenuvor / Joshua Ampofo / Stephen Adjei</v>
      </c>
      <c r="C189" s="113" t="str">
        <f>VLOOKUP(A189,'[10]COMBINED_ATTD_INV (3)'!$A$514:$E$537,2,FALSE)</f>
        <v>Micheal Obbo/Bernard Annan/Robert Kofi Kyere</v>
      </c>
      <c r="D189" s="121" t="s">
        <v>753</v>
      </c>
      <c r="E189" s="114" t="s">
        <v>814</v>
      </c>
      <c r="F189" s="113" t="s">
        <v>750</v>
      </c>
    </row>
    <row r="190" spans="1:6" ht="16.5" customHeight="1" x14ac:dyDescent="0.3">
      <c r="A190" s="112" t="s">
        <v>636</v>
      </c>
      <c r="B190" s="113" t="str">
        <f>VLOOKUP(A190,[10]Schedule_Invigilators!$A$159:$B$803,2,FALSE)</f>
        <v>Peter Oppong Tawiah / Eric Kwame Anokye Asare / Sefakor Dogbe</v>
      </c>
      <c r="C190" s="113" t="str">
        <f>VLOOKUP(A190,'[10]COMBINED_ATTD_INV (3)'!$A$514:$E$537,2,FALSE)</f>
        <v>Clement Dadzie/Perseverance Dzikunu/Benjamin Nana Oduro Konadu</v>
      </c>
      <c r="D190" s="121" t="s">
        <v>765</v>
      </c>
      <c r="E190" s="114" t="s">
        <v>814</v>
      </c>
      <c r="F190" s="113" t="s">
        <v>750</v>
      </c>
    </row>
    <row r="191" spans="1:6" ht="16.5" customHeight="1" x14ac:dyDescent="0.3">
      <c r="A191" s="112" t="s">
        <v>635</v>
      </c>
      <c r="B191" s="113" t="str">
        <f>VLOOKUP(A191,[10]Schedule_Invigilators!$A$159:$B$803,2,FALSE)</f>
        <v>Kingsford Sarkodie Obeng Kwakye / Prince Ebenezer Adjei / Ayuba Bene Adam</v>
      </c>
      <c r="C191" s="113" t="str">
        <f>VLOOKUP(A191,'[10]COMBINED_ATTD_INV (3)'!$A$514:$E$537,2,FALSE)</f>
        <v>Kingsley Kyei Baffour/Bright Andoh-Baidoo/</v>
      </c>
      <c r="D191" s="121" t="s">
        <v>752</v>
      </c>
      <c r="E191" s="114" t="s">
        <v>814</v>
      </c>
      <c r="F191" s="113" t="s">
        <v>750</v>
      </c>
    </row>
    <row r="192" spans="1:6" ht="17.149999999999999" customHeight="1" x14ac:dyDescent="0.3">
      <c r="A192" s="112" t="s">
        <v>634</v>
      </c>
      <c r="B192" s="113" t="str">
        <f>VLOOKUP(A192,[10]Schedule_Invigilators!$A$159:$B$803,2,FALSE)</f>
        <v>F. K. A. Nyarko / Jonathan Atuquaye Quaye</v>
      </c>
      <c r="C192" s="113" t="str">
        <f>VLOOKUP(A192,'[10]COMBINED_ATTD_INV (3)'!$A$514:$E$537,2,FALSE)</f>
        <v>Ernest Dapaah//</v>
      </c>
      <c r="D192" s="121" t="s">
        <v>751</v>
      </c>
      <c r="E192" s="114" t="s">
        <v>814</v>
      </c>
      <c r="F192" s="113" t="s">
        <v>750</v>
      </c>
    </row>
    <row r="193" spans="1:6" ht="17.149999999999999" customHeight="1" x14ac:dyDescent="0.3">
      <c r="A193" s="112"/>
      <c r="B193" s="113"/>
      <c r="C193" s="113"/>
      <c r="D193" s="113"/>
      <c r="E193" s="114"/>
      <c r="F193" s="113"/>
    </row>
    <row r="194" spans="1:6" s="118" customFormat="1" ht="17.149999999999999" customHeight="1" x14ac:dyDescent="0.3">
      <c r="A194" s="119" t="s">
        <v>642</v>
      </c>
      <c r="B194" s="119" t="s">
        <v>526</v>
      </c>
      <c r="C194" s="119" t="s">
        <v>672</v>
      </c>
      <c r="D194" s="119" t="s">
        <v>671</v>
      </c>
      <c r="E194" s="124" t="s">
        <v>641</v>
      </c>
      <c r="F194" s="119" t="s">
        <v>640</v>
      </c>
    </row>
    <row r="195" spans="1:6" ht="17.149999999999999" customHeight="1" x14ac:dyDescent="0.3">
      <c r="A195" s="112" t="s">
        <v>35</v>
      </c>
      <c r="B195" s="113" t="str">
        <f>VLOOKUP(A195,[10]Schedule_Invigilators!$A$184:$B$803,2,FALSE)</f>
        <v>Ayuba Bene Adam</v>
      </c>
      <c r="C195" s="113" t="str">
        <f>VLOOKUP(A195,'[10]COMBINED_ATTD_INV (3)'!$A$541:$E$566,2,FALSE)</f>
        <v>Reuben Asare Bediako//</v>
      </c>
      <c r="D195" s="121" t="s">
        <v>727</v>
      </c>
      <c r="E195" s="114" t="s">
        <v>814</v>
      </c>
      <c r="F195" s="113" t="s">
        <v>745</v>
      </c>
    </row>
    <row r="196" spans="1:6" ht="17.149999999999999" customHeight="1" x14ac:dyDescent="0.3">
      <c r="A196" s="112" t="s">
        <v>510</v>
      </c>
      <c r="B196" s="113" t="str">
        <f>VLOOKUP(A196,[10]Schedule_Invigilators!$A$184:$B$803,2,FALSE)</f>
        <v>Charles Gyamfi</v>
      </c>
      <c r="C196" s="113" t="str">
        <f>VLOOKUP(A196,'[10]COMBINED_ATTD_INV (3)'!$A$541:$E$566,2,FALSE)</f>
        <v>George Ansong//</v>
      </c>
      <c r="D196" s="121" t="s">
        <v>726</v>
      </c>
      <c r="E196" s="114" t="s">
        <v>814</v>
      </c>
      <c r="F196" s="113" t="s">
        <v>745</v>
      </c>
    </row>
    <row r="197" spans="1:6" ht="17.149999999999999" customHeight="1" x14ac:dyDescent="0.3">
      <c r="A197" s="112" t="s">
        <v>508</v>
      </c>
      <c r="B197" s="113" t="str">
        <f>VLOOKUP(A197,[10]Schedule_Invigilators!$A$184:$B$803,2,FALSE)</f>
        <v>Kenneth Adomako Tutu</v>
      </c>
      <c r="C197" s="113" t="str">
        <f>VLOOKUP(A197,'[10]COMBINED_ATTD_INV (3)'!$A$541:$E$566,2,FALSE)</f>
        <v>Derrick Owusu Mensah//</v>
      </c>
      <c r="D197" s="121" t="s">
        <v>725</v>
      </c>
      <c r="E197" s="114" t="s">
        <v>814</v>
      </c>
      <c r="F197" s="113" t="s">
        <v>745</v>
      </c>
    </row>
    <row r="198" spans="1:6" ht="17.149999999999999" customHeight="1" x14ac:dyDescent="0.3">
      <c r="A198" s="112" t="s">
        <v>466</v>
      </c>
      <c r="B198" s="113" t="str">
        <f>VLOOKUP(A198,[10]Schedule_Invigilators!$A$184:$B$803,2,FALSE)</f>
        <v>Emmanuel Ampoma Affum / Daniel Kwegyir</v>
      </c>
      <c r="C198" s="113" t="str">
        <f>VLOOKUP(A198,'[10]COMBINED_ATTD_INV (3)'!$A$541:$E$566,2,FALSE)</f>
        <v>Sandra Essel/Paul Dery/</v>
      </c>
      <c r="D198" s="121" t="s">
        <v>724</v>
      </c>
      <c r="E198" s="114" t="s">
        <v>814</v>
      </c>
      <c r="F198" s="113" t="s">
        <v>745</v>
      </c>
    </row>
    <row r="199" spans="1:6" ht="17.149999999999999" customHeight="1" x14ac:dyDescent="0.3">
      <c r="A199" s="112">
        <v>206</v>
      </c>
      <c r="B199" s="113" t="str">
        <f>VLOOKUP(A199,[10]Schedule_Invigilators!$A$184:$B$803,2,FALSE)</f>
        <v>Dorothy Araba Yakoba Agyapong</v>
      </c>
      <c r="C199" s="113" t="str">
        <f>VLOOKUP(A199,'[10]COMBINED_ATTD_INV (3)'!$A$541:$E$566,2,FALSE)</f>
        <v>Edward Kpetege//</v>
      </c>
      <c r="D199" s="121" t="s">
        <v>723</v>
      </c>
      <c r="E199" s="114" t="s">
        <v>814</v>
      </c>
      <c r="F199" s="113" t="s">
        <v>745</v>
      </c>
    </row>
    <row r="200" spans="1:6" ht="17.149999999999999" customHeight="1" x14ac:dyDescent="0.3">
      <c r="A200" s="112">
        <v>303</v>
      </c>
      <c r="B200" s="113" t="str">
        <f>VLOOKUP(A200,[10]Schedule_Invigilators!$A$184:$B$803,2,FALSE)</f>
        <v>Eric Kwame Anokye Asare / Anthony A. Agyemang</v>
      </c>
      <c r="C200" s="113" t="str">
        <f>VLOOKUP(A200,'[10]COMBINED_ATTD_INV (3)'!$A$541:$E$566,2,FALSE)</f>
        <v>Benjamin Opoku Atuahene//</v>
      </c>
      <c r="D200" s="121" t="s">
        <v>722</v>
      </c>
      <c r="E200" s="114" t="s">
        <v>814</v>
      </c>
      <c r="F200" s="113" t="s">
        <v>745</v>
      </c>
    </row>
    <row r="201" spans="1:6" ht="17.149999999999999" customHeight="1" x14ac:dyDescent="0.3">
      <c r="A201" s="112">
        <v>304</v>
      </c>
      <c r="B201" s="113" t="str">
        <f>VLOOKUP(A201,[10]Schedule_Invigilators!$A$184:$B$803,2,FALSE)</f>
        <v>Isaac Dadzie</v>
      </c>
      <c r="C201" s="113" t="str">
        <f>VLOOKUP(A201,'[10]COMBINED_ATTD_INV (3)'!$A$541:$E$566,2,FALSE)</f>
        <v>Eric Soku//</v>
      </c>
      <c r="D201" s="121" t="s">
        <v>721</v>
      </c>
      <c r="E201" s="114" t="s">
        <v>814</v>
      </c>
      <c r="F201" s="113" t="s">
        <v>745</v>
      </c>
    </row>
    <row r="202" spans="1:6" ht="17.149999999999999" customHeight="1" x14ac:dyDescent="0.3">
      <c r="A202" s="112" t="s">
        <v>61</v>
      </c>
      <c r="B202" s="113" t="str">
        <f>VLOOKUP(A202,[10]Schedule_Invigilators!$A$184:$B$803,2,FALSE)</f>
        <v>Evans Amponsah</v>
      </c>
      <c r="C202" s="113" t="str">
        <f>VLOOKUP(A202,'[10]COMBINED_ATTD_INV (3)'!$A$541:$E$566,2,FALSE)</f>
        <v>Marian Bemma//</v>
      </c>
      <c r="D202" s="121" t="s">
        <v>720</v>
      </c>
      <c r="E202" s="114" t="s">
        <v>814</v>
      </c>
      <c r="F202" s="113" t="s">
        <v>745</v>
      </c>
    </row>
    <row r="203" spans="1:6" ht="17.149999999999999" customHeight="1" x14ac:dyDescent="0.3">
      <c r="A203" s="112" t="s">
        <v>467</v>
      </c>
      <c r="B203" s="113" t="str">
        <f>VLOOKUP(A203,[10]Schedule_Invigilators!$A$184:$B$803,2,FALSE)</f>
        <v>Akwasi Afrifa Acheampong</v>
      </c>
      <c r="C203" s="113" t="str">
        <f>VLOOKUP(A203,'[10]COMBINED_ATTD_INV (3)'!$A$541:$E$566,2,FALSE)</f>
        <v>Derrick Amoateng//</v>
      </c>
      <c r="D203" s="121" t="s">
        <v>719</v>
      </c>
      <c r="E203" s="114" t="s">
        <v>814</v>
      </c>
      <c r="F203" s="113" t="s">
        <v>745</v>
      </c>
    </row>
    <row r="204" spans="1:6" ht="17.149999999999999" customHeight="1" x14ac:dyDescent="0.3">
      <c r="A204" s="112" t="s">
        <v>468</v>
      </c>
      <c r="B204" s="113" t="str">
        <f>VLOOKUP(A204,[10]Schedule_Invigilators!$A$184:$B$803,2,FALSE)</f>
        <v>Casper Adenutsi / S. H. M. Aikins</v>
      </c>
      <c r="C204" s="113" t="str">
        <f>VLOOKUP(A204,'[10]COMBINED_ATTD_INV (3)'!$A$541:$E$566,2,FALSE)</f>
        <v>John Ofosu//</v>
      </c>
      <c r="D204" s="121" t="s">
        <v>718</v>
      </c>
      <c r="E204" s="114" t="s">
        <v>814</v>
      </c>
      <c r="F204" s="113" t="s">
        <v>745</v>
      </c>
    </row>
    <row r="205" spans="1:6" ht="17.149999999999999" customHeight="1" x14ac:dyDescent="0.3">
      <c r="A205" s="112" t="s">
        <v>469</v>
      </c>
      <c r="B205" s="113" t="str">
        <f>VLOOKUP(A205,[10]Schedule_Invigilators!$A$184:$B$803,2,FALSE)</f>
        <v>Emmanuel Obuobi Kwame Addo / Albert Amatey Adjaottor</v>
      </c>
      <c r="C205" s="113" t="str">
        <f>VLOOKUP(A205,'[10]COMBINED_ATTD_INV (3)'!$A$541:$E$566,2,FALSE)</f>
        <v>Owusu Stephen Akuoku/Michael Owusu/</v>
      </c>
      <c r="D205" s="121" t="s">
        <v>717</v>
      </c>
      <c r="E205" s="114" t="s">
        <v>814</v>
      </c>
      <c r="F205" s="113" t="s">
        <v>745</v>
      </c>
    </row>
    <row r="206" spans="1:6" ht="17.149999999999999" customHeight="1" x14ac:dyDescent="0.3">
      <c r="A206" s="112" t="s">
        <v>42</v>
      </c>
      <c r="B206" s="113" t="str">
        <f>VLOOKUP(A206,[10]Schedule_Invigilators!$A$184:$B$803,2,FALSE)</f>
        <v>Benjamin Afotey / Cosmas Yaw Asante</v>
      </c>
      <c r="C206" s="113" t="str">
        <f>VLOOKUP(A206,'[10]COMBINED_ATTD_INV (3)'!$A$541:$E$566,2,FALSE)</f>
        <v>Rener Oppong/Evans Korletey/</v>
      </c>
      <c r="D206" s="121" t="s">
        <v>716</v>
      </c>
      <c r="E206" s="114" t="s">
        <v>814</v>
      </c>
      <c r="F206" s="113" t="s">
        <v>745</v>
      </c>
    </row>
    <row r="207" spans="1:6" ht="17.149999999999999" customHeight="1" x14ac:dyDescent="0.3">
      <c r="A207" s="112" t="s">
        <v>470</v>
      </c>
      <c r="B207" s="113" t="str">
        <f>VLOOKUP(A207,[10]Schedule_Invigilators!$A$184:$B$803,2,FALSE)</f>
        <v xml:space="preserve">Geophrey Kwame Anornu / Alfred Alan Duker </v>
      </c>
      <c r="C207" s="113" t="str">
        <f>VLOOKUP(A207,'[10]COMBINED_ATTD_INV (3)'!$A$541:$E$566,2,FALSE)</f>
        <v>Rebecca Yamoah//</v>
      </c>
      <c r="D207" s="121" t="s">
        <v>715</v>
      </c>
      <c r="E207" s="114" t="s">
        <v>814</v>
      </c>
      <c r="F207" s="113" t="s">
        <v>745</v>
      </c>
    </row>
    <row r="208" spans="1:6" ht="17.149999999999999" customHeight="1" x14ac:dyDescent="0.3">
      <c r="A208" s="112" t="s">
        <v>471</v>
      </c>
      <c r="B208" s="113" t="str">
        <f>VLOOKUP(A208,[10]Schedule_Invigilators!$A$184:$B$803,2,FALSE)</f>
        <v xml:space="preserve">Samuel Erzuah / Emmanuel Offei Akrofi </v>
      </c>
      <c r="C208" s="113" t="str">
        <f>VLOOKUP(A208,'[10]COMBINED_ATTD_INV (3)'!$A$541:$E$566,2,FALSE)</f>
        <v>Joseph Benneth Kankam//</v>
      </c>
      <c r="D208" s="121" t="s">
        <v>714</v>
      </c>
      <c r="E208" s="114" t="s">
        <v>814</v>
      </c>
      <c r="F208" s="113" t="s">
        <v>745</v>
      </c>
    </row>
    <row r="209" spans="1:6" ht="17.149999999999999" customHeight="1" x14ac:dyDescent="0.3">
      <c r="A209" s="112" t="s">
        <v>472</v>
      </c>
      <c r="B209" s="113" t="str">
        <f>VLOOKUP(A209,[10]Schedule_Invigilators!$A$184:$B$803,2,FALSE)</f>
        <v>James Okae / Benjamin Kommey</v>
      </c>
      <c r="C209" s="113" t="str">
        <f>VLOOKUP(A209,'[10]COMBINED_ATTD_INV (3)'!$A$541:$E$566,2,FALSE)</f>
        <v>Bernard Audinada Ampofo/Fatawu Yakubu/</v>
      </c>
      <c r="D209" s="121" t="s">
        <v>713</v>
      </c>
      <c r="E209" s="114" t="s">
        <v>814</v>
      </c>
      <c r="F209" s="113" t="s">
        <v>745</v>
      </c>
    </row>
    <row r="210" spans="1:6" ht="17.149999999999999" customHeight="1" x14ac:dyDescent="0.3">
      <c r="A210" s="112" t="s">
        <v>108</v>
      </c>
      <c r="B210" s="113" t="str">
        <f>VLOOKUP(A210,[10]Schedule_Invigilators!$A$184:$B$803,2,FALSE)</f>
        <v>Jonathan Atuquaye Quaye</v>
      </c>
      <c r="C210" s="113" t="str">
        <f>VLOOKUP(A210,'[10]COMBINED_ATTD_INV (3)'!$A$541:$E$566,2,FALSE)</f>
        <v>Clement Appiah//</v>
      </c>
      <c r="D210" s="121" t="s">
        <v>712</v>
      </c>
      <c r="E210" s="114" t="s">
        <v>814</v>
      </c>
      <c r="F210" s="113" t="s">
        <v>745</v>
      </c>
    </row>
    <row r="211" spans="1:6" ht="17.149999999999999" customHeight="1" x14ac:dyDescent="0.3">
      <c r="A211" s="112" t="s">
        <v>473</v>
      </c>
      <c r="B211" s="113" t="str">
        <f>VLOOKUP(A211,[10]Schedule_Invigilators!$A$184:$B$803,2,FALSE)</f>
        <v>F. K. A. Nyarko / Andrew Cudzo Amenuvor</v>
      </c>
      <c r="C211" s="113" t="str">
        <f>VLOOKUP(A211,'[10]COMBINED_ATTD_INV (3)'!$A$541:$E$566,2,FALSE)</f>
        <v>Theresa Sarpong Peprah//</v>
      </c>
      <c r="D211" s="121" t="s">
        <v>711</v>
      </c>
      <c r="E211" s="114" t="s">
        <v>814</v>
      </c>
      <c r="F211" s="113" t="s">
        <v>745</v>
      </c>
    </row>
    <row r="212" spans="1:6" ht="17.149999999999999" customHeight="1" x14ac:dyDescent="0.3">
      <c r="A212" s="112" t="s">
        <v>474</v>
      </c>
      <c r="B212" s="113" t="str">
        <f>VLOOKUP(A212,[10]Schedule_Invigilators!$A$184:$B$803,2,FALSE)</f>
        <v>Emmanuel Kwesi Arthur</v>
      </c>
      <c r="C212" s="113" t="str">
        <f>VLOOKUP(A212,'[10]COMBINED_ATTD_INV (3)'!$A$541:$E$566,2,FALSE)</f>
        <v>Ruth Adwubi Sarfo//</v>
      </c>
      <c r="D212" s="121" t="s">
        <v>710</v>
      </c>
      <c r="E212" s="114" t="s">
        <v>814</v>
      </c>
      <c r="F212" s="113" t="s">
        <v>745</v>
      </c>
    </row>
    <row r="213" spans="1:6" ht="17.149999999999999" customHeight="1" x14ac:dyDescent="0.3">
      <c r="A213" s="112" t="s">
        <v>475</v>
      </c>
      <c r="B213" s="113" t="str">
        <f>VLOOKUP(A213,[10]Schedule_Invigilators!$A$184:$B$803,2,FALSE)</f>
        <v>Andrew Selasi Agbemenu</v>
      </c>
      <c r="C213" s="113" t="str">
        <f>VLOOKUP(A213,'[10]COMBINED_ATTD_INV (3)'!$A$541:$E$566,2,FALSE)</f>
        <v>Clement Dadzie//</v>
      </c>
      <c r="D213" s="121" t="s">
        <v>709</v>
      </c>
      <c r="E213" s="114" t="s">
        <v>814</v>
      </c>
      <c r="F213" s="113" t="s">
        <v>745</v>
      </c>
    </row>
    <row r="214" spans="1:6" ht="17.149999999999999" customHeight="1" x14ac:dyDescent="0.3">
      <c r="A214" s="112" t="s">
        <v>476</v>
      </c>
      <c r="B214" s="113" t="str">
        <f>VLOOKUP(A214,[10]Schedule_Invigilators!$A$184:$B$803,2,FALSE)</f>
        <v>William Amponsah / Mary Mensah</v>
      </c>
      <c r="C214" s="113" t="str">
        <f>VLOOKUP(A214,'[10]COMBINED_ATTD_INV (3)'!$A$541:$E$566,2,FALSE)</f>
        <v>Kwame Kwarteng Sarpong//</v>
      </c>
      <c r="D214" s="121" t="s">
        <v>742</v>
      </c>
      <c r="E214" s="114" t="s">
        <v>814</v>
      </c>
      <c r="F214" s="113" t="s">
        <v>745</v>
      </c>
    </row>
    <row r="215" spans="1:6" ht="17.149999999999999" customHeight="1" x14ac:dyDescent="0.3">
      <c r="A215" s="112" t="s">
        <v>477</v>
      </c>
      <c r="B215" s="113" t="str">
        <f>VLOOKUP(A215,[10]Schedule_Invigilators!$A$184:$B$803,2,FALSE)</f>
        <v>Ebenezer Mensah / Bukari Ali</v>
      </c>
      <c r="C215" s="113" t="str">
        <f>VLOOKUP(A215,'[10]COMBINED_ATTD_INV (3)'!$A$541:$E$566,2,FALSE)</f>
        <v>Abigail Akos Worlanyo//</v>
      </c>
      <c r="D215" s="121" t="s">
        <v>707</v>
      </c>
      <c r="E215" s="114" t="s">
        <v>814</v>
      </c>
      <c r="F215" s="113" t="s">
        <v>745</v>
      </c>
    </row>
    <row r="216" spans="1:6" ht="17.149999999999999" customHeight="1" x14ac:dyDescent="0.3">
      <c r="A216" s="112" t="s">
        <v>144</v>
      </c>
      <c r="B216" s="113" t="str">
        <f>VLOOKUP(A216,[10]Schedule_Invigilators!$A$184:$B$803,2,FALSE)</f>
        <v>Bright Akowuah / Godfrey Chiri Amedjoe</v>
      </c>
      <c r="C216" s="113" t="str">
        <f>VLOOKUP(A216,'[10]COMBINED_ATTD_INV (3)'!$A$541:$E$566,2,FALSE)</f>
        <v>Loretta Owusu Ansah/Adjatu Busali/</v>
      </c>
      <c r="D216" s="121" t="s">
        <v>706</v>
      </c>
      <c r="E216" s="114" t="s">
        <v>814</v>
      </c>
      <c r="F216" s="113" t="s">
        <v>745</v>
      </c>
    </row>
    <row r="217" spans="1:6" ht="17.149999999999999" customHeight="1" x14ac:dyDescent="0.3">
      <c r="A217" s="112" t="s">
        <v>637</v>
      </c>
      <c r="B217" s="113" t="str">
        <f>VLOOKUP(A217,[10]Schedule_Invigilators!$A$184:$B$803,2,FALSE)</f>
        <v>Yaw Adubofour Tuffour / Francis Kofi Forson / Jones Owusu Twumasi / Gordon Foli</v>
      </c>
      <c r="C217" s="113" t="str">
        <f>VLOOKUP(A217,'[10]COMBINED_ATTD_INV (3)'!$A$541:$E$566,2,FALSE)</f>
        <v>Micheal Obbo/Bernard Annan/Robert Kofi Kyere</v>
      </c>
      <c r="D217" s="121" t="s">
        <v>736</v>
      </c>
      <c r="E217" s="114" t="s">
        <v>814</v>
      </c>
      <c r="F217" s="113" t="s">
        <v>745</v>
      </c>
    </row>
    <row r="218" spans="1:6" ht="17.149999999999999" customHeight="1" x14ac:dyDescent="0.3">
      <c r="A218" s="112" t="s">
        <v>636</v>
      </c>
      <c r="B218" s="113" t="str">
        <f>VLOOKUP(A218,[10]Schedule_Invigilators!$A$184:$B$803,2,FALSE)</f>
        <v>John Wise Divine Ayer / Simon Kafui Yawo Gawu / Joseph Aveyire</v>
      </c>
      <c r="C218" s="113" t="str">
        <f>VLOOKUP(A218,'[10]COMBINED_ATTD_INV (3)'!$A$541:$E$566,2,FALSE)</f>
        <v>Rener Oppong/Perseverance Dzikunu/Adom Ebenezer</v>
      </c>
      <c r="D218" s="121" t="s">
        <v>704</v>
      </c>
      <c r="E218" s="114" t="s">
        <v>814</v>
      </c>
      <c r="F218" s="113" t="s">
        <v>745</v>
      </c>
    </row>
    <row r="219" spans="1:6" ht="17.149999999999999" customHeight="1" x14ac:dyDescent="0.3">
      <c r="A219" s="112" t="s">
        <v>635</v>
      </c>
      <c r="B219" s="113" t="str">
        <f>VLOOKUP(A219,[10]Schedule_Invigilators!$A$184:$B$803,2,FALSE)</f>
        <v>Kingsford Sarkodie Obeng Kwakye / Martinson Addo Nartey / Francisca Adoma Acheampong</v>
      </c>
      <c r="C219" s="113" t="str">
        <f>VLOOKUP(A219,'[10]COMBINED_ATTD_INV (3)'!$A$541:$E$566,2,FALSE)</f>
        <v>Kingsley Kyei Baffour/Bright Andoh-Baidoo/</v>
      </c>
      <c r="D219" s="121" t="s">
        <v>703</v>
      </c>
      <c r="E219" s="114" t="s">
        <v>814</v>
      </c>
      <c r="F219" s="113" t="s">
        <v>745</v>
      </c>
    </row>
    <row r="220" spans="1:6" ht="17.149999999999999" customHeight="1" x14ac:dyDescent="0.3">
      <c r="A220" s="112" t="s">
        <v>634</v>
      </c>
      <c r="B220" s="113" t="str">
        <f>VLOOKUP(A220,[10]Schedule_Invigilators!$A$184:$B$803,2,FALSE)</f>
        <v>Gabriel Takyi / Sefakor Dogbe</v>
      </c>
      <c r="C220" s="113" t="str">
        <f>VLOOKUP(A220,'[10]COMBINED_ATTD_INV (3)'!$A$541:$E$566,2,FALSE)</f>
        <v>Ernest Dapaah//</v>
      </c>
      <c r="D220" s="121" t="s">
        <v>702</v>
      </c>
      <c r="E220" s="114" t="s">
        <v>814</v>
      </c>
      <c r="F220" s="113" t="s">
        <v>745</v>
      </c>
    </row>
    <row r="221" spans="1:6" ht="17.149999999999999" customHeight="1" x14ac:dyDescent="0.3">
      <c r="A221" s="112"/>
      <c r="B221" s="113"/>
      <c r="C221" s="113"/>
      <c r="D221" s="113"/>
      <c r="E221" s="114"/>
      <c r="F221" s="113"/>
    </row>
    <row r="222" spans="1:6" s="118" customFormat="1" ht="17.149999999999999" customHeight="1" x14ac:dyDescent="0.3">
      <c r="A222" s="119" t="s">
        <v>642</v>
      </c>
      <c r="B222" s="119" t="s">
        <v>526</v>
      </c>
      <c r="C222" s="119" t="s">
        <v>672</v>
      </c>
      <c r="D222" s="119" t="s">
        <v>671</v>
      </c>
      <c r="E222" s="124" t="s">
        <v>641</v>
      </c>
      <c r="F222" s="119" t="s">
        <v>640</v>
      </c>
    </row>
    <row r="223" spans="1:6" ht="17.149999999999999" customHeight="1" x14ac:dyDescent="0.3">
      <c r="A223" s="112" t="s">
        <v>35</v>
      </c>
      <c r="B223" s="113" t="str">
        <f>VLOOKUP(A223,[10]Schedule_Invigilators!$A$211:$B$803,2,FALSE)</f>
        <v>Isaac Dadzie</v>
      </c>
      <c r="C223" s="113" t="str">
        <f>VLOOKUP(A223,'[10]COMBINED_ATTD_INV (3)'!$A$569:$E$594,2,FALSE)</f>
        <v>Theresa Sarpong Peprah//</v>
      </c>
      <c r="D223" s="121" t="s">
        <v>689</v>
      </c>
      <c r="E223" s="114" t="s">
        <v>814</v>
      </c>
      <c r="F223" s="113" t="s">
        <v>728</v>
      </c>
    </row>
    <row r="224" spans="1:6" ht="17.149999999999999" customHeight="1" x14ac:dyDescent="0.3">
      <c r="A224" s="112" t="s">
        <v>510</v>
      </c>
      <c r="B224" s="113" t="str">
        <f>VLOOKUP(A224,[10]Schedule_Invigilators!$A$211:$B$803,2,FALSE)</f>
        <v>Felix Jojo Fianko Ayeh</v>
      </c>
      <c r="C224" s="113" t="str">
        <f>VLOOKUP(A224,'[10]COMBINED_ATTD_INV (3)'!$A$569:$E$594,2,FALSE)</f>
        <v>George Ansong//</v>
      </c>
      <c r="D224" s="121" t="s">
        <v>749</v>
      </c>
      <c r="E224" s="114" t="s">
        <v>814</v>
      </c>
      <c r="F224" s="113" t="s">
        <v>728</v>
      </c>
    </row>
    <row r="225" spans="1:6" ht="17.149999999999999" customHeight="1" x14ac:dyDescent="0.3">
      <c r="A225" s="112" t="s">
        <v>508</v>
      </c>
      <c r="B225" s="113" t="str">
        <f>VLOOKUP(A225,[10]Schedule_Invigilators!$A$211:$B$803,2,FALSE)</f>
        <v>Bennetta Koomson</v>
      </c>
      <c r="C225" s="113" t="str">
        <f>VLOOKUP(A225,'[10]COMBINED_ATTD_INV (3)'!$A$569:$E$594,2,FALSE)</f>
        <v>Derrick Owusu Mensah//</v>
      </c>
      <c r="D225" s="121" t="s">
        <v>688</v>
      </c>
      <c r="E225" s="114" t="s">
        <v>814</v>
      </c>
      <c r="F225" s="113" t="s">
        <v>728</v>
      </c>
    </row>
    <row r="226" spans="1:6" ht="17.149999999999999" customHeight="1" x14ac:dyDescent="0.3">
      <c r="A226" s="112" t="s">
        <v>466</v>
      </c>
      <c r="B226" s="113" t="str">
        <f>VLOOKUP(A226,[10]Schedule_Invigilators!$A$211:$B$803,2,FALSE)</f>
        <v>Emmanuel Offei Akrofi / Jude Bonsu</v>
      </c>
      <c r="C226" s="113" t="str">
        <f>VLOOKUP(A226,'[10]COMBINED_ATTD_INV (3)'!$A$569:$E$594,2,FALSE)</f>
        <v>Victoria Agyenim-Boateng/Michael Owusu/</v>
      </c>
      <c r="D226" s="121" t="s">
        <v>687</v>
      </c>
      <c r="E226" s="114" t="s">
        <v>814</v>
      </c>
      <c r="F226" s="113" t="s">
        <v>728</v>
      </c>
    </row>
    <row r="227" spans="1:6" ht="17.149999999999999" customHeight="1" x14ac:dyDescent="0.3">
      <c r="A227" s="112">
        <v>206</v>
      </c>
      <c r="B227" s="113" t="str">
        <f>VLOOKUP(A227,[10]Schedule_Invigilators!$A$211:$B$803,2,FALSE)</f>
        <v>Eliel Keelson</v>
      </c>
      <c r="C227" s="113" t="str">
        <f>VLOOKUP(A227,'[10]COMBINED_ATTD_INV (3)'!$A$569:$E$594,2,FALSE)</f>
        <v>Edward Kpetege//</v>
      </c>
      <c r="D227" s="121" t="s">
        <v>686</v>
      </c>
      <c r="E227" s="114" t="s">
        <v>814</v>
      </c>
      <c r="F227" s="113" t="s">
        <v>728</v>
      </c>
    </row>
    <row r="228" spans="1:6" ht="17.149999999999999" customHeight="1" x14ac:dyDescent="0.3">
      <c r="A228" s="112">
        <v>303</v>
      </c>
      <c r="B228" s="113" t="str">
        <f>VLOOKUP(A228,[10]Schedule_Invigilators!$A$211:$B$803,2,FALSE)</f>
        <v>Martin Kesse / M. Appiah Brempong</v>
      </c>
      <c r="C228" s="113" t="str">
        <f>VLOOKUP(A228,'[10]COMBINED_ATTD_INV (3)'!$A$569:$E$594,2,FALSE)</f>
        <v>Linda Berko//</v>
      </c>
      <c r="D228" s="121" t="s">
        <v>685</v>
      </c>
      <c r="E228" s="114" t="s">
        <v>814</v>
      </c>
      <c r="F228" s="113" t="s">
        <v>728</v>
      </c>
    </row>
    <row r="229" spans="1:6" ht="17.149999999999999" customHeight="1" x14ac:dyDescent="0.3">
      <c r="A229" s="112">
        <v>304</v>
      </c>
      <c r="B229" s="113" t="str">
        <f>VLOOKUP(A229,[10]Schedule_Invigilators!$A$211:$B$803,2,FALSE)</f>
        <v>Prosper Akaba</v>
      </c>
      <c r="C229" s="113" t="str">
        <f>VLOOKUP(A229,'[10]COMBINED_ATTD_INV (3)'!$A$569:$E$594,2,FALSE)</f>
        <v>Eric Soku//</v>
      </c>
      <c r="D229" s="121" t="s">
        <v>684</v>
      </c>
      <c r="E229" s="114" t="s">
        <v>814</v>
      </c>
      <c r="F229" s="113" t="s">
        <v>728</v>
      </c>
    </row>
    <row r="230" spans="1:6" ht="17.149999999999999" customHeight="1" x14ac:dyDescent="0.3">
      <c r="A230" s="112" t="s">
        <v>61</v>
      </c>
      <c r="B230" s="113" t="str">
        <f>VLOOKUP(A230,[10]Schedule_Invigilators!$A$211:$B$803,2,FALSE)</f>
        <v>Prince Ebenezer Adjei</v>
      </c>
      <c r="C230" s="113" t="str">
        <f>VLOOKUP(A230,'[10]COMBINED_ATTD_INV (3)'!$A$569:$E$594,2,FALSE)</f>
        <v>Salamatu Salifu//</v>
      </c>
      <c r="D230" s="121" t="s">
        <v>683</v>
      </c>
      <c r="E230" s="114" t="s">
        <v>814</v>
      </c>
      <c r="F230" s="113" t="s">
        <v>728</v>
      </c>
    </row>
    <row r="231" spans="1:6" ht="17.149999999999999" customHeight="1" x14ac:dyDescent="0.3">
      <c r="A231" s="112" t="s">
        <v>467</v>
      </c>
      <c r="B231" s="113" t="str">
        <f>VLOOKUP(A231,[10]Schedule_Invigilators!$A$211:$B$803,2,FALSE)</f>
        <v>Vincent Kofi Abaka Acquaah</v>
      </c>
      <c r="C231" s="113" t="str">
        <f>VLOOKUP(A231,'[10]COMBINED_ATTD_INV (3)'!$A$569:$E$594,2,FALSE)</f>
        <v>Derrick Amoateng//</v>
      </c>
      <c r="D231" s="121" t="s">
        <v>682</v>
      </c>
      <c r="E231" s="114" t="s">
        <v>814</v>
      </c>
      <c r="F231" s="113" t="s">
        <v>728</v>
      </c>
    </row>
    <row r="232" spans="1:6" ht="17.149999999999999" customHeight="1" x14ac:dyDescent="0.3">
      <c r="A232" s="112" t="s">
        <v>468</v>
      </c>
      <c r="B232" s="113" t="str">
        <f>VLOOKUP(A232,[10]Schedule_Invigilators!$A$211:$B$803,2,FALSE)</f>
        <v>Cosmas Yaw Asante / Francis Kofi Forson</v>
      </c>
      <c r="C232" s="113" t="str">
        <f>VLOOKUP(A232,'[10]COMBINED_ATTD_INV (3)'!$A$569:$E$594,2,FALSE)</f>
        <v>John Ofosu//</v>
      </c>
      <c r="D232" s="121" t="s">
        <v>681</v>
      </c>
      <c r="E232" s="114" t="s">
        <v>814</v>
      </c>
      <c r="F232" s="113" t="s">
        <v>728</v>
      </c>
    </row>
    <row r="233" spans="1:6" ht="17.149999999999999" customHeight="1" x14ac:dyDescent="0.3">
      <c r="A233" s="112" t="s">
        <v>469</v>
      </c>
      <c r="B233" s="113" t="str">
        <f>VLOOKUP(A233,[10]Schedule_Invigilators!$A$211:$B$803,2,FALSE)</f>
        <v>C. K. K. Sekyere / Augustus Ababio Donkor</v>
      </c>
      <c r="C233" s="113" t="str">
        <f>VLOOKUP(A233,'[10]COMBINED_ATTD_INV (3)'!$A$569:$E$594,2,FALSE)</f>
        <v>Owusu Stephen Akuoku/Samuel Osei-Asibey Bonsu/</v>
      </c>
      <c r="D233" s="121" t="s">
        <v>680</v>
      </c>
      <c r="E233" s="114" t="s">
        <v>814</v>
      </c>
      <c r="F233" s="113" t="s">
        <v>728</v>
      </c>
    </row>
    <row r="234" spans="1:6" ht="17.149999999999999" customHeight="1" x14ac:dyDescent="0.3">
      <c r="A234" s="112" t="s">
        <v>42</v>
      </c>
      <c r="B234" s="113" t="str">
        <f>VLOOKUP(A234,[10]Schedule_Invigilators!$A$211:$B$803,2,FALSE)</f>
        <v>Daniel Kwegyir / Albert Amatey Adjaottor</v>
      </c>
      <c r="C234" s="113" t="str">
        <f>VLOOKUP(A234,'[10]COMBINED_ATTD_INV (3)'!$A$569:$E$594,2,FALSE)</f>
        <v>Kofi Bentum/Gifty Edem Senyaglo/</v>
      </c>
      <c r="D234" s="121" t="s">
        <v>679</v>
      </c>
      <c r="E234" s="114" t="s">
        <v>814</v>
      </c>
      <c r="F234" s="113" t="s">
        <v>728</v>
      </c>
    </row>
    <row r="235" spans="1:6" ht="17.149999999999999" customHeight="1" x14ac:dyDescent="0.3">
      <c r="A235" s="112" t="s">
        <v>470</v>
      </c>
      <c r="B235" s="113" t="str">
        <f>VLOOKUP(A235,[10]Schedule_Invigilators!$A$211:$B$803,2,FALSE)</f>
        <v>Benjamin Afotey / Alfred Alan Duker</v>
      </c>
      <c r="C235" s="113" t="str">
        <f>VLOOKUP(A235,'[10]COMBINED_ATTD_INV (3)'!$A$569:$E$594,2,FALSE)</f>
        <v>Richmond Awotwe//</v>
      </c>
      <c r="D235" s="121" t="s">
        <v>677</v>
      </c>
      <c r="E235" s="114" t="s">
        <v>814</v>
      </c>
      <c r="F235" s="113" t="s">
        <v>728</v>
      </c>
    </row>
    <row r="236" spans="1:6" ht="17.149999999999999" customHeight="1" x14ac:dyDescent="0.3">
      <c r="A236" s="112" t="s">
        <v>471</v>
      </c>
      <c r="B236" s="113" t="str">
        <f>VLOOKUP(A236,[10]Schedule_Invigilators!$A$211:$B$803,2,FALSE)</f>
        <v>John Wise Divine Ayer / Joseph Aveyire</v>
      </c>
      <c r="C236" s="113" t="str">
        <f>VLOOKUP(A236,'[10]COMBINED_ATTD_INV (3)'!$A$569:$E$594,2,FALSE)</f>
        <v>Joseph Benneth Kankam//</v>
      </c>
      <c r="D236" s="121" t="s">
        <v>676</v>
      </c>
      <c r="E236" s="114" t="s">
        <v>814</v>
      </c>
      <c r="F236" s="113" t="s">
        <v>728</v>
      </c>
    </row>
    <row r="237" spans="1:6" ht="17.149999999999999" customHeight="1" x14ac:dyDescent="0.3">
      <c r="A237" s="112" t="s">
        <v>472</v>
      </c>
      <c r="B237" s="113" t="str">
        <f>VLOOKUP(A237,[10]Schedule_Invigilators!$A$211:$B$803,2,FALSE)</f>
        <v>Albert Asare / S. H. M. Aikins</v>
      </c>
      <c r="C237" s="113" t="str">
        <f>VLOOKUP(A237,'[10]COMBINED_ATTD_INV (3)'!$A$569:$E$594,2,FALSE)</f>
        <v>Bernard Audinada Ampofo/Fatawu Yakubu/</v>
      </c>
      <c r="D237" s="121" t="s">
        <v>675</v>
      </c>
      <c r="E237" s="114" t="s">
        <v>814</v>
      </c>
      <c r="F237" s="113" t="s">
        <v>728</v>
      </c>
    </row>
    <row r="238" spans="1:6" ht="17.149999999999999" customHeight="1" x14ac:dyDescent="0.3">
      <c r="A238" s="112" t="s">
        <v>108</v>
      </c>
      <c r="B238" s="113" t="str">
        <f>VLOOKUP(A238,[10]Schedule_Invigilators!$A$211:$B$803,2,FALSE)</f>
        <v>Ebenezer Mensah</v>
      </c>
      <c r="C238" s="113" t="str">
        <f>VLOOKUP(A238,'[10]COMBINED_ATTD_INV (3)'!$A$569:$E$594,2,FALSE)</f>
        <v>Clement Appiah//</v>
      </c>
      <c r="D238" s="121" t="s">
        <v>674</v>
      </c>
      <c r="E238" s="114" t="s">
        <v>814</v>
      </c>
      <c r="F238" s="113" t="s">
        <v>728</v>
      </c>
    </row>
    <row r="239" spans="1:6" ht="17.149999999999999" customHeight="1" x14ac:dyDescent="0.3">
      <c r="A239" s="112" t="s">
        <v>473</v>
      </c>
      <c r="B239" s="113" t="str">
        <f>VLOOKUP(A239,[10]Schedule_Invigilators!$A$211:$B$803,2,FALSE)</f>
        <v>David Oppong / Peter Oppong Tawiah</v>
      </c>
      <c r="C239" s="113" t="str">
        <f>VLOOKUP(A239,'[10]COMBINED_ATTD_INV (3)'!$A$569:$E$594,2,FALSE)</f>
        <v>Godfred Appiah//</v>
      </c>
      <c r="D239" s="121" t="s">
        <v>670</v>
      </c>
      <c r="E239" s="114" t="s">
        <v>814</v>
      </c>
      <c r="F239" s="113" t="s">
        <v>728</v>
      </c>
    </row>
    <row r="240" spans="1:6" ht="17.149999999999999" customHeight="1" x14ac:dyDescent="0.3">
      <c r="A240" s="112" t="s">
        <v>474</v>
      </c>
      <c r="B240" s="113" t="str">
        <f>VLOOKUP(A240,[10]Schedule_Invigilators!$A$211:$B$803,2,FALSE)</f>
        <v>Emmanuel Kwesi Arthur</v>
      </c>
      <c r="C240" s="113" t="str">
        <f>VLOOKUP(A240,'[10]COMBINED_ATTD_INV (3)'!$A$569:$E$594,2,FALSE)</f>
        <v>Abigail Akos Worlanyo//</v>
      </c>
      <c r="D240" s="121" t="s">
        <v>669</v>
      </c>
      <c r="E240" s="114" t="s">
        <v>814</v>
      </c>
      <c r="F240" s="113" t="s">
        <v>728</v>
      </c>
    </row>
    <row r="241" spans="1:6" ht="17.149999999999999" customHeight="1" x14ac:dyDescent="0.3">
      <c r="A241" s="112" t="s">
        <v>475</v>
      </c>
      <c r="B241" s="113" t="str">
        <f>VLOOKUP(A241,[10]Schedule_Invigilators!$A$211:$B$803,2,FALSE)</f>
        <v>Andrew Selasi Agbemenu</v>
      </c>
      <c r="C241" s="113" t="str">
        <f>VLOOKUP(A241,'[10]COMBINED_ATTD_INV (3)'!$A$569:$E$594,2,FALSE)</f>
        <v>Sandra Essel//</v>
      </c>
      <c r="D241" s="121" t="s">
        <v>668</v>
      </c>
      <c r="E241" s="114" t="s">
        <v>814</v>
      </c>
      <c r="F241" s="113" t="s">
        <v>728</v>
      </c>
    </row>
    <row r="242" spans="1:6" ht="17.149999999999999" customHeight="1" x14ac:dyDescent="0.3">
      <c r="A242" s="112" t="s">
        <v>476</v>
      </c>
      <c r="B242" s="113" t="str">
        <f>VLOOKUP(A242,[10]Schedule_Invigilators!$A$211:$B$803,2,FALSE)</f>
        <v>William Amponsah / Mary Mensah</v>
      </c>
      <c r="C242" s="113" t="str">
        <f>VLOOKUP(A242,'[10]COMBINED_ATTD_INV (3)'!$A$569:$E$594,2,FALSE)</f>
        <v>Kwame Kwarteng Sarpong//</v>
      </c>
      <c r="D242" s="121" t="s">
        <v>748</v>
      </c>
      <c r="E242" s="114" t="s">
        <v>814</v>
      </c>
      <c r="F242" s="113" t="s">
        <v>728</v>
      </c>
    </row>
    <row r="243" spans="1:6" ht="17.149999999999999" customHeight="1" x14ac:dyDescent="0.3">
      <c r="A243" s="112" t="s">
        <v>477</v>
      </c>
      <c r="B243" s="113" t="str">
        <f>VLOOKUP(A243,[10]Schedule_Invigilators!$A$211:$B$803,2,FALSE)</f>
        <v>Yesuenyeagbe Fiagbe / Gabriel Takyi</v>
      </c>
      <c r="C243" s="113" t="str">
        <f>VLOOKUP(A243,'[10]COMBINED_ATTD_INV (3)'!$A$569:$E$594,2,FALSE)</f>
        <v>Benjamin Nana Oduro Konadu//</v>
      </c>
      <c r="D243" s="121" t="s">
        <v>666</v>
      </c>
      <c r="E243" s="114" t="s">
        <v>814</v>
      </c>
      <c r="F243" s="113" t="s">
        <v>728</v>
      </c>
    </row>
    <row r="244" spans="1:6" ht="17.149999999999999" customHeight="1" x14ac:dyDescent="0.3">
      <c r="A244" s="112" t="s">
        <v>144</v>
      </c>
      <c r="B244" s="113" t="str">
        <f>VLOOKUP(A244,[10]Schedule_Invigilators!$A$211:$B$803,2,FALSE)</f>
        <v>Bright Akowuah / Gordon Foli</v>
      </c>
      <c r="C244" s="113" t="str">
        <f>VLOOKUP(A244,'[10]COMBINED_ATTD_INV (3)'!$A$569:$E$594,2,FALSE)</f>
        <v>Loretta Owusu Ansah/Desmond Adu-Yeboah/</v>
      </c>
      <c r="D244" s="121" t="s">
        <v>665</v>
      </c>
      <c r="E244" s="114" t="s">
        <v>814</v>
      </c>
      <c r="F244" s="113" t="s">
        <v>728</v>
      </c>
    </row>
    <row r="245" spans="1:6" ht="17.149999999999999" hidden="1" customHeight="1" x14ac:dyDescent="0.3">
      <c r="A245" s="112" t="s">
        <v>638</v>
      </c>
      <c r="B245" s="113" t="e">
        <f>VLOOKUP(A245,[10]Schedule_Invigilators!$A$211:$B$803,2,FALSE)</f>
        <v>#N/A</v>
      </c>
      <c r="C245" s="113" t="e">
        <f>VLOOKUP(A245,'[10]COMBINED_ATTD_INV (3)'!$A$569:$E$594,2,FALSE)</f>
        <v>#N/A</v>
      </c>
      <c r="D245" s="121" t="s">
        <v>664</v>
      </c>
      <c r="E245" s="114" t="s">
        <v>814</v>
      </c>
      <c r="F245" s="113" t="s">
        <v>728</v>
      </c>
    </row>
    <row r="246" spans="1:6" ht="17.149999999999999" customHeight="1" x14ac:dyDescent="0.3">
      <c r="A246" s="112" t="s">
        <v>637</v>
      </c>
      <c r="B246" s="113" t="str">
        <f>VLOOKUP(A246,[10]Schedule_Invigilators!$A$211:$B$803,2,FALSE)</f>
        <v>Eugene Appiah-Effah / Bernard Konadu Amoah /Simon Kafui Yawo Gawu  / Matthew Coffie Wilson</v>
      </c>
      <c r="C246" s="113" t="str">
        <f>VLOOKUP(A246,'[10]COMBINED_ATTD_INV (3)'!$A$569:$E$594,2,FALSE)</f>
        <v>Micheal Obbo/Getrude Opoku/Clement Dadzie</v>
      </c>
      <c r="D246" s="121" t="s">
        <v>663</v>
      </c>
      <c r="E246" s="114" t="s">
        <v>814</v>
      </c>
      <c r="F246" s="113" t="s">
        <v>728</v>
      </c>
    </row>
    <row r="247" spans="1:6" ht="17.149999999999999" customHeight="1" x14ac:dyDescent="0.3">
      <c r="A247" s="112" t="s">
        <v>636</v>
      </c>
      <c r="B247" s="113" t="str">
        <f>VLOOKUP(A247,[10]Schedule_Invigilators!$A$211:$B$803,2,FALSE)</f>
        <v>Kwame Sarkodie / Kwame Agyemang Prempeh Agyekum / Bukari Ali</v>
      </c>
      <c r="C247" s="113" t="str">
        <f>VLOOKUP(A247,'[10]COMBINED_ATTD_INV (3)'!$A$569:$E$594,2,FALSE)</f>
        <v>Peter Agetinga/Perseverance Dzikunu/Adom Ebenezer</v>
      </c>
      <c r="D247" s="121" t="s">
        <v>746</v>
      </c>
      <c r="E247" s="114" t="s">
        <v>814</v>
      </c>
      <c r="F247" s="113" t="s">
        <v>728</v>
      </c>
    </row>
    <row r="248" spans="1:6" ht="17.149999999999999" customHeight="1" x14ac:dyDescent="0.3">
      <c r="A248" s="112" t="s">
        <v>635</v>
      </c>
      <c r="B248" s="113" t="str">
        <f>VLOOKUP(A248,[10]Schedule_Invigilators!$A$211:$B$803,2,FALSE)</f>
        <v>Kingsford Sarkodie Obeng Kwakye / Godfrey Chiri Amedjoe / Francisca Adoma Acheampong</v>
      </c>
      <c r="C248" s="113" t="str">
        <f>VLOOKUP(A248,'[10]COMBINED_ATTD_INV (3)'!$A$569:$E$594,2,FALSE)</f>
        <v>Kingsley Kyei Baffour/Bright Andoh-Baidoo/</v>
      </c>
      <c r="D248" s="121" t="s">
        <v>766</v>
      </c>
      <c r="E248" s="114" t="s">
        <v>814</v>
      </c>
      <c r="F248" s="113" t="s">
        <v>728</v>
      </c>
    </row>
    <row r="249" spans="1:6" ht="17.149999999999999" customHeight="1" x14ac:dyDescent="0.3">
      <c r="A249" s="112" t="s">
        <v>634</v>
      </c>
      <c r="B249" s="113" t="str">
        <f>VLOOKUP(A249,[10]Schedule_Invigilators!$A$211:$B$803,2,FALSE)</f>
        <v>Nicholas Prah / Nancy Anataba Kyorku Dzikunu-Bansah</v>
      </c>
      <c r="C249" s="113" t="str">
        <f>VLOOKUP(A249,'[10]COMBINED_ATTD_INV (3)'!$A$569:$E$594,2,FALSE)</f>
        <v>Ernest Dapaah//</v>
      </c>
      <c r="D249" s="121" t="s">
        <v>661</v>
      </c>
      <c r="E249" s="114" t="s">
        <v>814</v>
      </c>
      <c r="F249" s="113" t="s">
        <v>728</v>
      </c>
    </row>
    <row r="250" spans="1:6" ht="17.149999999999999" customHeight="1" x14ac:dyDescent="0.3">
      <c r="A250" s="112"/>
      <c r="B250" s="113"/>
      <c r="C250" s="113"/>
      <c r="D250" s="113"/>
      <c r="E250" s="114"/>
      <c r="F250" s="113"/>
    </row>
    <row r="251" spans="1:6" s="118" customFormat="1" ht="17.149999999999999" customHeight="1" x14ac:dyDescent="0.3">
      <c r="A251" s="119" t="s">
        <v>642</v>
      </c>
      <c r="B251" s="119" t="s">
        <v>526</v>
      </c>
      <c r="C251" s="119" t="s">
        <v>672</v>
      </c>
      <c r="D251" s="119" t="s">
        <v>671</v>
      </c>
      <c r="E251" s="124" t="s">
        <v>641</v>
      </c>
      <c r="F251" s="119" t="s">
        <v>640</v>
      </c>
    </row>
    <row r="252" spans="1:6" ht="17.149999999999999" customHeight="1" x14ac:dyDescent="0.3">
      <c r="A252" s="112" t="s">
        <v>35</v>
      </c>
      <c r="B252" s="113" t="str">
        <f>VLOOKUP(A252,[10]Schedule_Invigilators!$A$238:$B$803,2,FALSE)</f>
        <v>Theresa-Samuelle Maame Atwemaa Adjaidoo</v>
      </c>
      <c r="C252" s="113" t="str">
        <f>VLOOKUP(A252,'[10]COMBINED_ATTD_INV (3)'!$A$597:$E$622,2,FALSE)</f>
        <v>Reuben Asare Bediako//</v>
      </c>
      <c r="D252" s="121" t="s">
        <v>660</v>
      </c>
      <c r="E252" s="114" t="s">
        <v>814</v>
      </c>
      <c r="F252" s="113" t="s">
        <v>701</v>
      </c>
    </row>
    <row r="253" spans="1:6" ht="17.149999999999999" customHeight="1" x14ac:dyDescent="0.3">
      <c r="A253" s="112" t="s">
        <v>510</v>
      </c>
      <c r="B253" s="113" t="str">
        <f>VLOOKUP(A253,[10]Schedule_Invigilators!$A$238:$B$803,2,FALSE)</f>
        <v>Jones Owusu Twumasi</v>
      </c>
      <c r="C253" s="113" t="str">
        <f>VLOOKUP(A253,'[10]COMBINED_ATTD_INV (3)'!$A$597:$E$622,2,FALSE)</f>
        <v>George Ansong//</v>
      </c>
      <c r="D253" s="121" t="s">
        <v>763</v>
      </c>
      <c r="E253" s="114" t="s">
        <v>814</v>
      </c>
      <c r="F253" s="113" t="s">
        <v>701</v>
      </c>
    </row>
    <row r="254" spans="1:6" ht="17.149999999999999" customHeight="1" x14ac:dyDescent="0.3">
      <c r="A254" s="112" t="s">
        <v>508</v>
      </c>
      <c r="B254" s="113" t="str">
        <f>VLOOKUP(A254,[10]Schedule_Invigilators!$A$238:$B$803,2,FALSE)</f>
        <v>Jack Osei Banahene</v>
      </c>
      <c r="C254" s="113" t="str">
        <f>VLOOKUP(A254,'[10]COMBINED_ATTD_INV (3)'!$A$597:$E$622,2,FALSE)</f>
        <v>Derrick Owusu Mensah//</v>
      </c>
      <c r="D254" s="121" t="s">
        <v>659</v>
      </c>
      <c r="E254" s="114" t="s">
        <v>814</v>
      </c>
      <c r="F254" s="113" t="s">
        <v>701</v>
      </c>
    </row>
    <row r="255" spans="1:6" ht="17.149999999999999" customHeight="1" x14ac:dyDescent="0.3">
      <c r="A255" s="112" t="s">
        <v>466</v>
      </c>
      <c r="B255" s="113" t="str">
        <f>VLOOKUP(A255,[10]Schedule_Invigilators!$A$238:$B$803,2,FALSE)</f>
        <v>Casper Adenutsi / Blestmond Afrifa Brako</v>
      </c>
      <c r="C255" s="113" t="str">
        <f>VLOOKUP(A255,'[10]COMBINED_ATTD_INV (3)'!$A$597:$E$622,2,FALSE)</f>
        <v>Issaka Ali Sambo/Paul Dery/</v>
      </c>
      <c r="D255" s="121" t="s">
        <v>658</v>
      </c>
      <c r="E255" s="114" t="s">
        <v>814</v>
      </c>
      <c r="F255" s="113" t="s">
        <v>701</v>
      </c>
    </row>
    <row r="256" spans="1:6" ht="17.149999999999999" customHeight="1" x14ac:dyDescent="0.3">
      <c r="A256" s="112">
        <v>206</v>
      </c>
      <c r="B256" s="113" t="str">
        <f>VLOOKUP(A256,[10]Schedule_Invigilators!$A$238:$B$803,2,FALSE)</f>
        <v>Kofi Owura Amoabeng</v>
      </c>
      <c r="C256" s="113" t="str">
        <f>VLOOKUP(A256,'[10]COMBINED_ATTD_INV (3)'!$A$597:$E$622,2,FALSE)</f>
        <v>Peter Agetinga//</v>
      </c>
      <c r="D256" s="121" t="s">
        <v>657</v>
      </c>
      <c r="E256" s="114" t="s">
        <v>814</v>
      </c>
      <c r="F256" s="113" t="s">
        <v>701</v>
      </c>
    </row>
    <row r="257" spans="1:6" ht="17.149999999999999" customHeight="1" x14ac:dyDescent="0.3">
      <c r="A257" s="112">
        <v>303</v>
      </c>
      <c r="B257" s="113" t="str">
        <f>VLOOKUP(A257,[10]Schedule_Invigilators!$A$238:$B$803,2,FALSE)</f>
        <v>Henry Nunoo-Mensah / Prince Odame</v>
      </c>
      <c r="C257" s="113" t="str">
        <f>VLOOKUP(A257,'[10]COMBINED_ATTD_INV (3)'!$A$597:$E$622,2,FALSE)</f>
        <v>Benjamin Opoku Atuahene//</v>
      </c>
      <c r="D257" s="121" t="s">
        <v>656</v>
      </c>
      <c r="E257" s="114" t="s">
        <v>814</v>
      </c>
      <c r="F257" s="113" t="s">
        <v>701</v>
      </c>
    </row>
    <row r="258" spans="1:6" ht="17.149999999999999" customHeight="1" x14ac:dyDescent="0.3">
      <c r="A258" s="112">
        <v>304</v>
      </c>
      <c r="B258" s="113" t="str">
        <f>VLOOKUP(A258,[10]Schedule_Invigilators!$A$238:$B$803,2,FALSE)</f>
        <v>Albert Kwame Kwaw</v>
      </c>
      <c r="C258" s="113" t="str">
        <f>VLOOKUP(A258,'[10]COMBINED_ATTD_INV (3)'!$A$597:$E$622,2,FALSE)</f>
        <v>Eric Soku//</v>
      </c>
      <c r="D258" s="121" t="s">
        <v>655</v>
      </c>
      <c r="E258" s="114" t="s">
        <v>814</v>
      </c>
      <c r="F258" s="113" t="s">
        <v>701</v>
      </c>
    </row>
    <row r="259" spans="1:6" ht="17.149999999999999" customHeight="1" x14ac:dyDescent="0.3">
      <c r="A259" s="112" t="s">
        <v>61</v>
      </c>
      <c r="B259" s="113" t="str">
        <f>VLOOKUP(A259,[10]Schedule_Invigilators!$A$238:$B$803,2,FALSE)</f>
        <v>K. O.-B Obour Agyekum</v>
      </c>
      <c r="C259" s="113" t="str">
        <f>VLOOKUP(A259,'[10]COMBINED_ATTD_INV (3)'!$A$597:$E$622,2,FALSE)</f>
        <v>Marian Bemma//</v>
      </c>
      <c r="D259" s="121" t="s">
        <v>654</v>
      </c>
      <c r="E259" s="114" t="s">
        <v>814</v>
      </c>
      <c r="F259" s="113" t="s">
        <v>701</v>
      </c>
    </row>
    <row r="260" spans="1:6" ht="17.149999999999999" customHeight="1" x14ac:dyDescent="0.3">
      <c r="A260" s="112" t="s">
        <v>467</v>
      </c>
      <c r="B260" s="113" t="str">
        <f>VLOOKUP(A260,[10]Schedule_Invigilators!$A$238:$B$803,2,FALSE)</f>
        <v>Charles Adrah</v>
      </c>
      <c r="C260" s="113" t="str">
        <f>VLOOKUP(A260,'[10]COMBINED_ATTD_INV (3)'!$A$597:$E$622,2,FALSE)</f>
        <v>Derrick Amoateng//</v>
      </c>
      <c r="D260" s="121" t="s">
        <v>653</v>
      </c>
      <c r="E260" s="114" t="s">
        <v>814</v>
      </c>
      <c r="F260" s="113" t="s">
        <v>701</v>
      </c>
    </row>
    <row r="261" spans="1:6" ht="17.149999999999999" customHeight="1" x14ac:dyDescent="0.3">
      <c r="A261" s="112" t="s">
        <v>468</v>
      </c>
      <c r="B261" s="113" t="str">
        <f>VLOOKUP(A261,[10]Schedule_Invigilators!$A$238:$B$803,2,FALSE)</f>
        <v>Benjamin Afotey / Emmanuel Obuobi Kwame Addo</v>
      </c>
      <c r="C261" s="113" t="str">
        <f>VLOOKUP(A261,'[10]COMBINED_ATTD_INV (3)'!$A$597:$E$622,2,FALSE)</f>
        <v>John Ofosu//</v>
      </c>
      <c r="D261" s="121" t="s">
        <v>652</v>
      </c>
      <c r="E261" s="114" t="s">
        <v>814</v>
      </c>
      <c r="F261" s="113" t="s">
        <v>701</v>
      </c>
    </row>
    <row r="262" spans="1:6" ht="17.149999999999999" customHeight="1" x14ac:dyDescent="0.3">
      <c r="A262" s="112" t="s">
        <v>469</v>
      </c>
      <c r="B262" s="113" t="str">
        <f>VLOOKUP(A262,[10]Schedule_Invigilators!$A$238:$B$803,2,FALSE)</f>
        <v>Geophrey Kwame Anornu / Y. A. Sokama-Neuyam</v>
      </c>
      <c r="C262" s="113" t="str">
        <f>VLOOKUP(A262,'[10]COMBINED_ATTD_INV (3)'!$A$597:$E$622,2,FALSE)</f>
        <v>Gifty Edem Senyaglo/Mohammed Bakang/</v>
      </c>
      <c r="D262" s="121" t="s">
        <v>651</v>
      </c>
      <c r="E262" s="114" t="s">
        <v>814</v>
      </c>
      <c r="F262" s="113" t="s">
        <v>701</v>
      </c>
    </row>
    <row r="263" spans="1:6" ht="17.149999999999999" customHeight="1" x14ac:dyDescent="0.3">
      <c r="A263" s="112" t="s">
        <v>42</v>
      </c>
      <c r="B263" s="113" t="str">
        <f>VLOOKUP(A263,[10]Schedule_Invigilators!$A$238:$B$803,2,FALSE)</f>
        <v>Sefakor Dogbe / Daniel Akwei Addo</v>
      </c>
      <c r="C263" s="113" t="str">
        <f>VLOOKUP(A263,'[10]COMBINED_ATTD_INV (3)'!$A$597:$E$622,2,FALSE)</f>
        <v>Michael Owusu/Fiifi Turkson/</v>
      </c>
      <c r="D263" s="121" t="s">
        <v>762</v>
      </c>
      <c r="E263" s="114" t="s">
        <v>814</v>
      </c>
      <c r="F263" s="113" t="s">
        <v>701</v>
      </c>
    </row>
    <row r="264" spans="1:6" ht="17.149999999999999" customHeight="1" x14ac:dyDescent="0.3">
      <c r="A264" s="112" t="s">
        <v>470</v>
      </c>
      <c r="B264" s="113" t="str">
        <f>VLOOKUP(A264,[10]Schedule_Invigilators!$A$238:$B$803,2,FALSE)</f>
        <v>Daniel Oduro Boatey Nuamah / Stephen Adjei</v>
      </c>
      <c r="C264" s="113" t="str">
        <f>VLOOKUP(A264,'[10]COMBINED_ATTD_INV (3)'!$A$597:$E$622,2,FALSE)</f>
        <v>Salamatu Salifu//</v>
      </c>
      <c r="D264" s="121" t="s">
        <v>761</v>
      </c>
      <c r="E264" s="114" t="s">
        <v>814</v>
      </c>
      <c r="F264" s="113" t="s">
        <v>701</v>
      </c>
    </row>
    <row r="265" spans="1:6" ht="17.149999999999999" customHeight="1" x14ac:dyDescent="0.3">
      <c r="A265" s="112" t="s">
        <v>471</v>
      </c>
      <c r="B265" s="113" t="str">
        <f>VLOOKUP(A265,[10]Schedule_Invigilators!$A$238:$B$803,2,FALSE)</f>
        <v>F. K. A. Nyarko / Benjamin Kommey</v>
      </c>
      <c r="C265" s="113" t="str">
        <f>VLOOKUP(A265,'[10]COMBINED_ATTD_INV (3)'!$A$597:$E$622,2,FALSE)</f>
        <v>Joseph Benneth Kankam//</v>
      </c>
      <c r="D265" s="121" t="s">
        <v>647</v>
      </c>
      <c r="E265" s="114" t="s">
        <v>814</v>
      </c>
      <c r="F265" s="113" t="s">
        <v>701</v>
      </c>
    </row>
    <row r="266" spans="1:6" ht="17.149999999999999" customHeight="1" x14ac:dyDescent="0.3">
      <c r="A266" s="112" t="s">
        <v>472</v>
      </c>
      <c r="B266" s="113" t="str">
        <f>VLOOKUP(A266,[10]Schedule_Invigilators!$A$238:$B$803,2,FALSE)</f>
        <v>Gordon Foli / Godfred Boahen</v>
      </c>
      <c r="C266" s="113" t="str">
        <f>VLOOKUP(A266,'[10]COMBINED_ATTD_INV (3)'!$A$597:$E$622,2,FALSE)</f>
        <v>Desmond Adu-Yeboah/Benjamin Nana Oduro Konadu/</v>
      </c>
      <c r="D266" s="121" t="s">
        <v>646</v>
      </c>
      <c r="E266" s="114" t="s">
        <v>814</v>
      </c>
      <c r="F266" s="113" t="s">
        <v>701</v>
      </c>
    </row>
    <row r="267" spans="1:6" ht="17.149999999999999" customHeight="1" x14ac:dyDescent="0.3">
      <c r="A267" s="112" t="s">
        <v>108</v>
      </c>
      <c r="B267" s="113" t="str">
        <f>VLOOKUP(A267,[10]Schedule_Invigilators!$A$238:$B$803,2,FALSE)</f>
        <v>Faisal Wahib Adam</v>
      </c>
      <c r="C267" s="113" t="str">
        <f>VLOOKUP(A267,'[10]COMBINED_ATTD_INV (3)'!$A$597:$E$622,2,FALSE)</f>
        <v>Getrude Opoku//</v>
      </c>
      <c r="D267" s="121" t="s">
        <v>645</v>
      </c>
      <c r="E267" s="114" t="s">
        <v>814</v>
      </c>
      <c r="F267" s="113" t="s">
        <v>701</v>
      </c>
    </row>
    <row r="268" spans="1:6" ht="17.149999999999999" customHeight="1" x14ac:dyDescent="0.3">
      <c r="A268" s="112" t="s">
        <v>473</v>
      </c>
      <c r="B268" s="113" t="str">
        <f>VLOOKUP(A268,[10]Schedule_Invigilators!$A$238:$B$803,2,FALSE)</f>
        <v>Martinson Addo Nartey / Emmanuel Appiah-Adjei</v>
      </c>
      <c r="C268" s="113" t="str">
        <f>VLOOKUP(A268,'[10]COMBINED_ATTD_INV (3)'!$A$597:$E$622,2,FALSE)</f>
        <v>Godfred Appiah//</v>
      </c>
      <c r="D268" s="121" t="s">
        <v>760</v>
      </c>
      <c r="E268" s="114" t="s">
        <v>814</v>
      </c>
      <c r="F268" s="113" t="s">
        <v>701</v>
      </c>
    </row>
    <row r="269" spans="1:6" ht="17.149999999999999" customHeight="1" x14ac:dyDescent="0.3">
      <c r="A269" s="112" t="s">
        <v>474</v>
      </c>
      <c r="B269" s="113" t="str">
        <f>VLOOKUP(A269,[10]Schedule_Invigilators!$A$238:$B$803,2,FALSE)</f>
        <v>Samuel Osah</v>
      </c>
      <c r="C269" s="113" t="str">
        <f>VLOOKUP(A269,'[10]COMBINED_ATTD_INV (3)'!$A$597:$E$622,2,FALSE)</f>
        <v>Loretta Owusu Ansah//</v>
      </c>
      <c r="D269" s="121" t="s">
        <v>759</v>
      </c>
      <c r="E269" s="114" t="s">
        <v>814</v>
      </c>
      <c r="F269" s="113" t="s">
        <v>701</v>
      </c>
    </row>
    <row r="270" spans="1:6" ht="17.149999999999999" customHeight="1" x14ac:dyDescent="0.3">
      <c r="A270" s="112" t="s">
        <v>475</v>
      </c>
      <c r="B270" s="113" t="str">
        <f>VLOOKUP(A270,[10]Schedule_Invigilators!$A$238:$B$803,2,FALSE)</f>
        <v>Andrew Selasi Agbemenu</v>
      </c>
      <c r="C270" s="113" t="str">
        <f>VLOOKUP(A270,'[10]COMBINED_ATTD_INV (3)'!$A$597:$E$622,2,FALSE)</f>
        <v>Sandra Essel//</v>
      </c>
      <c r="D270" s="121" t="s">
        <v>758</v>
      </c>
      <c r="E270" s="114" t="s">
        <v>814</v>
      </c>
      <c r="F270" s="113" t="s">
        <v>701</v>
      </c>
    </row>
    <row r="271" spans="1:6" ht="17.149999999999999" customHeight="1" x14ac:dyDescent="0.3">
      <c r="A271" s="112" t="s">
        <v>476</v>
      </c>
      <c r="B271" s="113" t="str">
        <f>VLOOKUP(A271,[10]Schedule_Invigilators!$A$238:$B$803,2,FALSE)</f>
        <v>William Amponsah / Godfrey Chiri Amedjoe</v>
      </c>
      <c r="C271" s="113" t="str">
        <f>VLOOKUP(A271,'[10]COMBINED_ATTD_INV (3)'!$A$597:$E$622,2,FALSE)</f>
        <v>Theresa Sarpong Peprah//</v>
      </c>
      <c r="D271" s="121" t="s">
        <v>757</v>
      </c>
      <c r="E271" s="114" t="s">
        <v>814</v>
      </c>
      <c r="F271" s="113" t="s">
        <v>701</v>
      </c>
    </row>
    <row r="272" spans="1:6" ht="17.149999999999999" customHeight="1" x14ac:dyDescent="0.3">
      <c r="A272" s="112" t="s">
        <v>477</v>
      </c>
      <c r="B272" s="113" t="str">
        <f>VLOOKUP(A272,[10]Schedule_Invigilators!$A$238:$B$803,2,FALSE)</f>
        <v>David Oppong / Samuel Kwofie</v>
      </c>
      <c r="C272" s="113" t="str">
        <f>VLOOKUP(A272,'[10]COMBINED_ATTD_INV (3)'!$A$597:$E$622,2,FALSE)</f>
        <v>Kwadwo Afful//</v>
      </c>
      <c r="D272" s="121" t="s">
        <v>756</v>
      </c>
      <c r="E272" s="114" t="s">
        <v>814</v>
      </c>
      <c r="F272" s="113" t="s">
        <v>701</v>
      </c>
    </row>
    <row r="273" spans="1:6" ht="17.149999999999999" customHeight="1" x14ac:dyDescent="0.3">
      <c r="A273" s="112" t="s">
        <v>144</v>
      </c>
      <c r="B273" s="113" t="str">
        <f>VLOOKUP(A273,[10]Schedule_Invigilators!$A$238:$B$803,2,FALSE)</f>
        <v>Bright Akowuah / Francisca Adoma Acheampong</v>
      </c>
      <c r="C273" s="113" t="str">
        <f>VLOOKUP(A273,'[10]COMBINED_ATTD_INV (3)'!$A$597:$E$622,2,FALSE)</f>
        <v>Rebecca Yamoah/Adjatu Busali/</v>
      </c>
      <c r="D273" s="121" t="s">
        <v>755</v>
      </c>
      <c r="E273" s="114" t="s">
        <v>814</v>
      </c>
      <c r="F273" s="113" t="s">
        <v>701</v>
      </c>
    </row>
    <row r="274" spans="1:6" ht="17.149999999999999" hidden="1" customHeight="1" x14ac:dyDescent="0.3">
      <c r="A274" s="112" t="s">
        <v>638</v>
      </c>
      <c r="B274" s="113" t="e">
        <f>VLOOKUP(A274,[10]Schedule_Invigilators!$A$238:$B$803,2,FALSE)</f>
        <v>#N/A</v>
      </c>
      <c r="C274" s="113" t="e">
        <f>VLOOKUP(A274,'[10]COMBINED_ATTD_INV (3)'!$A$597:$E$622,2,FALSE)</f>
        <v>#N/A</v>
      </c>
      <c r="D274" s="121" t="s">
        <v>754</v>
      </c>
      <c r="E274" s="114" t="s">
        <v>814</v>
      </c>
      <c r="F274" s="113" t="s">
        <v>701</v>
      </c>
    </row>
    <row r="275" spans="1:6" ht="17.149999999999999" customHeight="1" x14ac:dyDescent="0.3">
      <c r="A275" s="112" t="s">
        <v>637</v>
      </c>
      <c r="B275" s="113" t="str">
        <f>VLOOKUP(A275,[10]Schedule_Invigilators!$A$238:$B$803,2,FALSE)</f>
        <v>Eric Kwame Anokye Asare / Andrew Cudzo Amenuvor / James Okae / Jonathan Atuquaye Quaye</v>
      </c>
      <c r="C275" s="113" t="str">
        <f>VLOOKUP(A275,'[10]COMBINED_ATTD_INV (3)'!$A$597:$E$622,2,FALSE)</f>
        <v>Micheal Obbo/Bernard Annan/Robert Kofi Kyere</v>
      </c>
      <c r="D275" s="121" t="s">
        <v>753</v>
      </c>
      <c r="E275" s="114" t="s">
        <v>814</v>
      </c>
      <c r="F275" s="113" t="s">
        <v>701</v>
      </c>
    </row>
    <row r="276" spans="1:6" ht="17.149999999999999" customHeight="1" x14ac:dyDescent="0.3">
      <c r="A276" s="112" t="s">
        <v>636</v>
      </c>
      <c r="B276" s="113" t="str">
        <f>VLOOKUP(A276,[10]Schedule_Invigilators!$A$238:$B$803,2,FALSE)</f>
        <v>Eric Amoah Asante / Prince Yaw Andoh /  Martina Francisca Baidoo</v>
      </c>
      <c r="C276" s="113" t="str">
        <f>VLOOKUP(A276,'[10]COMBINED_ATTD_INV (3)'!$A$597:$E$622,2,FALSE)</f>
        <v>Rener Oppong/Perseverance Dzikunu/Victoria Agyenim-Boateng</v>
      </c>
      <c r="D276" s="121" t="s">
        <v>743</v>
      </c>
      <c r="E276" s="114" t="s">
        <v>814</v>
      </c>
      <c r="F276" s="113" t="s">
        <v>701</v>
      </c>
    </row>
    <row r="277" spans="1:6" ht="17.149999999999999" customHeight="1" x14ac:dyDescent="0.3">
      <c r="A277" s="112" t="s">
        <v>635</v>
      </c>
      <c r="B277" s="113" t="str">
        <f>VLOOKUP(A277,[10]Schedule_Invigilators!$A$238:$B$803,2,FALSE)</f>
        <v>Kingsford Sarkodie Obeng Kwakye / Anthony Arko-Adjei / Samuel Erzuah</v>
      </c>
      <c r="C277" s="113" t="str">
        <f>VLOOKUP(A277,'[10]COMBINED_ATTD_INV (3)'!$A$597:$E$622,2,FALSE)</f>
        <v>Kingsley Kyei Baffour/Linda Berko/</v>
      </c>
      <c r="D277" s="121" t="s">
        <v>797</v>
      </c>
      <c r="E277" s="114" t="s">
        <v>814</v>
      </c>
      <c r="F277" s="113" t="s">
        <v>701</v>
      </c>
    </row>
    <row r="278" spans="1:6" ht="17.149999999999999" customHeight="1" x14ac:dyDescent="0.3">
      <c r="A278" s="112" t="s">
        <v>634</v>
      </c>
      <c r="B278" s="113" t="str">
        <f>VLOOKUP(A278,[10]Schedule_Invigilators!$A$238:$B$803,2,FALSE)</f>
        <v>Jonathan Arthur Quaye-Ballard / Francis Boafo Effah</v>
      </c>
      <c r="C278" s="113" t="str">
        <f>VLOOKUP(A278,'[10]COMBINED_ATTD_INV (3)'!$A$597:$E$622,2,FALSE)</f>
        <v>Ernest Dapaah//</v>
      </c>
      <c r="D278" s="121" t="s">
        <v>751</v>
      </c>
      <c r="E278" s="114" t="s">
        <v>814</v>
      </c>
      <c r="F278" s="113" t="s">
        <v>701</v>
      </c>
    </row>
    <row r="279" spans="1:6" ht="17.149999999999999" customHeight="1" x14ac:dyDescent="0.3">
      <c r="A279" s="112"/>
      <c r="B279" s="113"/>
      <c r="C279" s="113"/>
      <c r="D279" s="113"/>
      <c r="E279" s="114"/>
      <c r="F279" s="113"/>
    </row>
    <row r="280" spans="1:6" s="118" customFormat="1" ht="17.149999999999999" customHeight="1" x14ac:dyDescent="0.3">
      <c r="A280" s="119" t="s">
        <v>642</v>
      </c>
      <c r="B280" s="119" t="s">
        <v>526</v>
      </c>
      <c r="C280" s="119" t="s">
        <v>672</v>
      </c>
      <c r="D280" s="119" t="s">
        <v>671</v>
      </c>
      <c r="E280" s="124" t="s">
        <v>641</v>
      </c>
      <c r="F280" s="119" t="s">
        <v>640</v>
      </c>
    </row>
    <row r="281" spans="1:6" ht="17.149999999999999" customHeight="1" x14ac:dyDescent="0.3">
      <c r="A281" s="112" t="s">
        <v>35</v>
      </c>
      <c r="B281" s="113" t="str">
        <f>VLOOKUP(A281,[10]Schedule_Invigilators!$A$265:$B$803,2,FALSE)</f>
        <v>Peter Oppong Tawiah</v>
      </c>
      <c r="C281" s="113" t="str">
        <f>VLOOKUP(A281,'[10]COMBINED_ATTD_INV (3)'!$A$625:$E$650,2,FALSE)</f>
        <v>Reuben Asare Bediako//</v>
      </c>
      <c r="D281" s="121" t="s">
        <v>727</v>
      </c>
      <c r="E281" s="114" t="s">
        <v>814</v>
      </c>
      <c r="F281" s="113" t="s">
        <v>673</v>
      </c>
    </row>
    <row r="282" spans="1:6" ht="17.149999999999999" customHeight="1" x14ac:dyDescent="0.3">
      <c r="A282" s="112" t="s">
        <v>510</v>
      </c>
      <c r="B282" s="113" t="str">
        <f>VLOOKUP(A282,[10]Schedule_Invigilators!$A$265:$B$803,2,FALSE)</f>
        <v>Albert Asare</v>
      </c>
      <c r="C282" s="113" t="str">
        <f>VLOOKUP(A282,'[10]COMBINED_ATTD_INV (3)'!$A$625:$E$650,2,FALSE)</f>
        <v>Desmond Adu-Yeboah//</v>
      </c>
      <c r="D282" s="121" t="s">
        <v>726</v>
      </c>
      <c r="E282" s="114" t="s">
        <v>814</v>
      </c>
      <c r="F282" s="113" t="s">
        <v>673</v>
      </c>
    </row>
    <row r="283" spans="1:6" ht="17.149999999999999" customHeight="1" x14ac:dyDescent="0.3">
      <c r="A283" s="112" t="s">
        <v>508</v>
      </c>
      <c r="B283" s="113" t="str">
        <f>VLOOKUP(A283,[10]Schedule_Invigilators!$A$265:$B$803,2,FALSE)</f>
        <v>Albert Amatey Adjaottor</v>
      </c>
      <c r="C283" s="113" t="str">
        <f>VLOOKUP(A283,'[10]COMBINED_ATTD_INV (3)'!$A$625:$E$650,2,FALSE)</f>
        <v>Sandra Essel//</v>
      </c>
      <c r="D283" s="121" t="s">
        <v>725</v>
      </c>
      <c r="E283" s="114" t="s">
        <v>814</v>
      </c>
      <c r="F283" s="113" t="s">
        <v>673</v>
      </c>
    </row>
    <row r="284" spans="1:6" ht="17.149999999999999" customHeight="1" x14ac:dyDescent="0.3">
      <c r="A284" s="112" t="s">
        <v>466</v>
      </c>
      <c r="B284" s="113" t="str">
        <f>VLOOKUP(A284,[10]Schedule_Invigilators!$A$265:$B$803,2,FALSE)</f>
        <v>Bennetta Koomson / Kwame Sarkodie</v>
      </c>
      <c r="C284" s="113" t="str">
        <f>VLOOKUP(A284,'[10]COMBINED_ATTD_INV (3)'!$A$625:$E$650,2,FALSE)</f>
        <v>Issaka Ali Sambo/Paul Dery/</v>
      </c>
      <c r="D284" s="121" t="s">
        <v>724</v>
      </c>
      <c r="E284" s="114" t="s">
        <v>814</v>
      </c>
      <c r="F284" s="113" t="s">
        <v>673</v>
      </c>
    </row>
    <row r="285" spans="1:6" ht="17.149999999999999" customHeight="1" x14ac:dyDescent="0.3">
      <c r="A285" s="112">
        <v>206</v>
      </c>
      <c r="B285" s="113" t="str">
        <f>VLOOKUP(A285,[10]Schedule_Invigilators!$A$265:$B$803,2,FALSE)</f>
        <v>John Wise Divine Ayer</v>
      </c>
      <c r="C285" s="113" t="str">
        <f>VLOOKUP(A285,'[10]COMBINED_ATTD_INV (3)'!$A$625:$E$650,2,FALSE)</f>
        <v>Edward Kpetege//</v>
      </c>
      <c r="D285" s="121" t="s">
        <v>723</v>
      </c>
      <c r="E285" s="114" t="s">
        <v>814</v>
      </c>
      <c r="F285" s="113" t="s">
        <v>673</v>
      </c>
    </row>
    <row r="286" spans="1:6" ht="17.149999999999999" customHeight="1" x14ac:dyDescent="0.3">
      <c r="A286" s="112">
        <v>303</v>
      </c>
      <c r="B286" s="113" t="str">
        <f>VLOOKUP(A286,[10]Schedule_Invigilators!$A$265:$B$803,2,FALSE)</f>
        <v>Prosper Akaba / S. H. M. Aikins</v>
      </c>
      <c r="C286" s="113" t="str">
        <f>VLOOKUP(A286,'[10]COMBINED_ATTD_INV (3)'!$A$625:$E$650,2,FALSE)</f>
        <v>Benjamin Opoku Atuahene//</v>
      </c>
      <c r="D286" s="121" t="s">
        <v>722</v>
      </c>
      <c r="E286" s="114" t="s">
        <v>814</v>
      </c>
      <c r="F286" s="113" t="s">
        <v>673</v>
      </c>
    </row>
    <row r="287" spans="1:6" ht="17.149999999999999" customHeight="1" x14ac:dyDescent="0.3">
      <c r="A287" s="112">
        <v>304</v>
      </c>
      <c r="B287" s="113" t="str">
        <f>VLOOKUP(A287,[10]Schedule_Invigilators!$A$265:$B$803,2,FALSE)</f>
        <v>Dorothy Araba Yakoba Agyapong</v>
      </c>
      <c r="C287" s="113" t="str">
        <f>VLOOKUP(A287,'[10]COMBINED_ATTD_INV (3)'!$A$625:$E$650,2,FALSE)</f>
        <v>Eric Soku//</v>
      </c>
      <c r="D287" s="121" t="s">
        <v>721</v>
      </c>
      <c r="E287" s="114" t="s">
        <v>814</v>
      </c>
      <c r="F287" s="113" t="s">
        <v>673</v>
      </c>
    </row>
    <row r="288" spans="1:6" ht="17.149999999999999" customHeight="1" x14ac:dyDescent="0.3">
      <c r="A288" s="112" t="s">
        <v>61</v>
      </c>
      <c r="B288" s="113" t="str">
        <f>VLOOKUP(A288,[10]Schedule_Invigilators!$A$265:$B$803,2,FALSE)</f>
        <v>Evans Amponsah</v>
      </c>
      <c r="C288" s="113" t="str">
        <f>VLOOKUP(A288,'[10]COMBINED_ATTD_INV (3)'!$A$625:$E$650,2,FALSE)</f>
        <v>Marian Bemma//</v>
      </c>
      <c r="D288" s="121" t="s">
        <v>720</v>
      </c>
      <c r="E288" s="114" t="s">
        <v>814</v>
      </c>
      <c r="F288" s="113" t="s">
        <v>673</v>
      </c>
    </row>
    <row r="289" spans="1:6" ht="17.149999999999999" customHeight="1" x14ac:dyDescent="0.3">
      <c r="A289" s="112" t="s">
        <v>467</v>
      </c>
      <c r="B289" s="113" t="str">
        <f>VLOOKUP(A289,[10]Schedule_Invigilators!$A$265:$B$803,2,FALSE)</f>
        <v>Cosmas Yaw Asante</v>
      </c>
      <c r="C289" s="113" t="str">
        <f>VLOOKUP(A289,'[10]COMBINED_ATTD_INV (3)'!$A$625:$E$650,2,FALSE)</f>
        <v>Derrick Amoateng//</v>
      </c>
      <c r="D289" s="121" t="s">
        <v>719</v>
      </c>
      <c r="E289" s="114" t="s">
        <v>814</v>
      </c>
      <c r="F289" s="113" t="s">
        <v>673</v>
      </c>
    </row>
    <row r="290" spans="1:6" ht="17.149999999999999" customHeight="1" x14ac:dyDescent="0.3">
      <c r="A290" s="112" t="s">
        <v>468</v>
      </c>
      <c r="B290" s="113" t="str">
        <f>VLOOKUP(A290,[10]Schedule_Invigilators!$A$265:$B$803,2,FALSE)</f>
        <v>Eliel Keelson / Francis Kofi Forson</v>
      </c>
      <c r="C290" s="113" t="str">
        <f>VLOOKUP(A290,'[10]COMBINED_ATTD_INV (3)'!$A$625:$E$650,2,FALSE)</f>
        <v>John Ofosu//</v>
      </c>
      <c r="D290" s="121" t="s">
        <v>718</v>
      </c>
      <c r="E290" s="114" t="s">
        <v>814</v>
      </c>
      <c r="F290" s="113" t="s">
        <v>673</v>
      </c>
    </row>
    <row r="291" spans="1:6" ht="17.149999999999999" customHeight="1" x14ac:dyDescent="0.3">
      <c r="A291" s="112" t="s">
        <v>469</v>
      </c>
      <c r="B291" s="113" t="str">
        <f>VLOOKUP(A291,[10]Schedule_Invigilators!$A$265:$B$803,2,FALSE)</f>
        <v>Benjamin Afotey / Augustus Ababio Donkor</v>
      </c>
      <c r="C291" s="113" t="str">
        <f>VLOOKUP(A291,'[10]COMBINED_ATTD_INV (3)'!$A$625:$E$650,2,FALSE)</f>
        <v>Owusu Stephen Akuoku/Samuel Osei-Asibey Bonsu/</v>
      </c>
      <c r="D291" s="121" t="s">
        <v>717</v>
      </c>
      <c r="E291" s="114" t="s">
        <v>814</v>
      </c>
      <c r="F291" s="113" t="s">
        <v>673</v>
      </c>
    </row>
    <row r="292" spans="1:6" ht="17.149999999999999" customHeight="1" x14ac:dyDescent="0.3">
      <c r="A292" s="112" t="s">
        <v>42</v>
      </c>
      <c r="B292" s="113" t="str">
        <f>VLOOKUP(A292,[10]Schedule_Invigilators!$A$265:$B$803,2,FALSE)</f>
        <v>Alfred Alan Duker / C. K. K. Sekyere</v>
      </c>
      <c r="C292" s="113" t="str">
        <f>VLOOKUP(A292,'[10]COMBINED_ATTD_INV (3)'!$A$625:$E$650,2,FALSE)</f>
        <v>Kofi Bentum/Fiifi Turkson/</v>
      </c>
      <c r="D292" s="121" t="s">
        <v>716</v>
      </c>
      <c r="E292" s="114" t="s">
        <v>814</v>
      </c>
      <c r="F292" s="113" t="s">
        <v>673</v>
      </c>
    </row>
    <row r="293" spans="1:6" ht="17.149999999999999" customHeight="1" x14ac:dyDescent="0.3">
      <c r="A293" s="112" t="s">
        <v>470</v>
      </c>
      <c r="B293" s="113" t="str">
        <f>VLOOKUP(A293,[10]Schedule_Invigilators!$A$265:$B$803,2,FALSE)</f>
        <v>Matthew Coffie Wilson / Eugene Appiah-Effah</v>
      </c>
      <c r="C293" s="113" t="str">
        <f>VLOOKUP(A293,'[10]COMBINED_ATTD_INV (3)'!$A$625:$E$650,2,FALSE)</f>
        <v>Richmond Awotwe//</v>
      </c>
      <c r="D293" s="121" t="s">
        <v>715</v>
      </c>
      <c r="E293" s="114" t="s">
        <v>814</v>
      </c>
      <c r="F293" s="113" t="s">
        <v>673</v>
      </c>
    </row>
    <row r="294" spans="1:6" ht="17.149999999999999" customHeight="1" x14ac:dyDescent="0.3">
      <c r="A294" s="112" t="s">
        <v>471</v>
      </c>
      <c r="B294" s="113" t="str">
        <f>VLOOKUP(A294,[10]Schedule_Invigilators!$A$265:$B$803,2,FALSE)</f>
        <v>Emmanuel Ampoma Affum / Anthony Arko-Adjei</v>
      </c>
      <c r="C294" s="113" t="str">
        <f>VLOOKUP(A294,'[10]COMBINED_ATTD_INV (3)'!$A$625:$E$650,2,FALSE)</f>
        <v>Joseph Benneth Kankam//</v>
      </c>
      <c r="D294" s="121" t="s">
        <v>714</v>
      </c>
      <c r="E294" s="114" t="s">
        <v>814</v>
      </c>
      <c r="F294" s="113" t="s">
        <v>673</v>
      </c>
    </row>
    <row r="295" spans="1:6" ht="17.149999999999999" customHeight="1" x14ac:dyDescent="0.3">
      <c r="A295" s="112" t="s">
        <v>472</v>
      </c>
      <c r="B295" s="113" t="str">
        <f>VLOOKUP(A295,[10]Schedule_Invigilators!$A$265:$B$803,2,FALSE)</f>
        <v>Simon Kafui Yawo Gawu / Kenneth Adomako Tutu</v>
      </c>
      <c r="C295" s="113" t="str">
        <f>VLOOKUP(A295,'[10]COMBINED_ATTD_INV (3)'!$A$625:$E$650,2,FALSE)</f>
        <v>Bernard Audinada Ampofo/Fatawu Yakubu/</v>
      </c>
      <c r="D295" s="121" t="s">
        <v>713</v>
      </c>
      <c r="E295" s="114" t="s">
        <v>814</v>
      </c>
      <c r="F295" s="113" t="s">
        <v>673</v>
      </c>
    </row>
    <row r="296" spans="1:6" ht="17.149999999999999" customHeight="1" x14ac:dyDescent="0.3">
      <c r="A296" s="112" t="s">
        <v>108</v>
      </c>
      <c r="B296" s="113" t="str">
        <f>VLOOKUP(A296,[10]Schedule_Invigilators!$A$265:$B$803,2,FALSE)</f>
        <v>Emmanuel Obuobi Kwame Addo</v>
      </c>
      <c r="C296" s="113" t="str">
        <f>VLOOKUP(A296,'[10]COMBINED_ATTD_INV (3)'!$A$625:$E$650,2,FALSE)</f>
        <v>Clement Appiah//</v>
      </c>
      <c r="D296" s="121" t="s">
        <v>712</v>
      </c>
      <c r="E296" s="114" t="s">
        <v>814</v>
      </c>
      <c r="F296" s="113" t="s">
        <v>673</v>
      </c>
    </row>
    <row r="297" spans="1:6" ht="17.149999999999999" customHeight="1" x14ac:dyDescent="0.3">
      <c r="A297" s="112" t="s">
        <v>473</v>
      </c>
      <c r="B297" s="113" t="str">
        <f>VLOOKUP(A297,[10]Schedule_Invigilators!$A$265:$B$803,2,FALSE)</f>
        <v>K. O.-B Obour Agyekum / M. Appiah Brempong</v>
      </c>
      <c r="C297" s="113" t="str">
        <f>VLOOKUP(A297,'[10]COMBINED_ATTD_INV (3)'!$A$625:$E$650,2,FALSE)</f>
        <v>Godfred Appiah//</v>
      </c>
      <c r="D297" s="121" t="s">
        <v>711</v>
      </c>
      <c r="E297" s="114" t="s">
        <v>814</v>
      </c>
      <c r="F297" s="113" t="s">
        <v>673</v>
      </c>
    </row>
    <row r="298" spans="1:6" ht="17.149999999999999" customHeight="1" x14ac:dyDescent="0.3">
      <c r="A298" s="112" t="s">
        <v>474</v>
      </c>
      <c r="B298" s="113" t="str">
        <f>VLOOKUP(A298,[10]Schedule_Invigilators!$A$265:$B$803,2,FALSE)</f>
        <v>Bukari Ali</v>
      </c>
      <c r="C298" s="113" t="str">
        <f>VLOOKUP(A298,'[10]COMBINED_ATTD_INV (3)'!$A$625:$E$650,2,FALSE)</f>
        <v>Ruth Adwubi Sarfo//</v>
      </c>
      <c r="D298" s="121" t="s">
        <v>710</v>
      </c>
      <c r="E298" s="114" t="s">
        <v>814</v>
      </c>
      <c r="F298" s="113" t="s">
        <v>673</v>
      </c>
    </row>
    <row r="299" spans="1:6" ht="17.149999999999999" customHeight="1" x14ac:dyDescent="0.3">
      <c r="A299" s="112" t="s">
        <v>475</v>
      </c>
      <c r="B299" s="113" t="str">
        <f>VLOOKUP(A299,[10]Schedule_Invigilators!$A$265:$B$803,2,FALSE)</f>
        <v>Samuel Boahen</v>
      </c>
      <c r="C299" s="113" t="str">
        <f>VLOOKUP(A299,'[10]COMBINED_ATTD_INV (3)'!$A$625:$E$650,2,FALSE)</f>
        <v>Abigail Akos Worlanyo//</v>
      </c>
      <c r="D299" s="121" t="s">
        <v>709</v>
      </c>
      <c r="E299" s="114" t="s">
        <v>814</v>
      </c>
      <c r="F299" s="113" t="s">
        <v>673</v>
      </c>
    </row>
    <row r="300" spans="1:6" ht="17.149999999999999" customHeight="1" x14ac:dyDescent="0.3">
      <c r="A300" s="112" t="s">
        <v>476</v>
      </c>
      <c r="B300" s="113" t="str">
        <f>VLOOKUP(A300,[10]Schedule_Invigilators!$A$265:$B$803,2,FALSE)</f>
        <v>William Amponsah / Efiba Vidda Senkyire Kwarteng</v>
      </c>
      <c r="C300" s="113" t="str">
        <f>VLOOKUP(A300,'[10]COMBINED_ATTD_INV (3)'!$A$625:$E$650,2,FALSE)</f>
        <v>Kwame Kwarteng Sarpong//</v>
      </c>
      <c r="D300" s="121" t="s">
        <v>744</v>
      </c>
      <c r="E300" s="114" t="s">
        <v>814</v>
      </c>
      <c r="F300" s="113" t="s">
        <v>673</v>
      </c>
    </row>
    <row r="301" spans="1:6" ht="17.149999999999999" customHeight="1" x14ac:dyDescent="0.3">
      <c r="A301" s="112" t="s">
        <v>477</v>
      </c>
      <c r="B301" s="113" t="str">
        <f>VLOOKUP(A301,[10]Schedule_Invigilators!$A$265:$B$803,2,FALSE)</f>
        <v>Anthony A. Agyemang / Martina Francisca Baidoo</v>
      </c>
      <c r="C301" s="113" t="str">
        <f>VLOOKUP(A301,'[10]COMBINED_ATTD_INV (3)'!$A$625:$E$650,2,FALSE)</f>
        <v>Kwadwo Afful//</v>
      </c>
      <c r="D301" s="121" t="s">
        <v>707</v>
      </c>
      <c r="E301" s="114" t="s">
        <v>814</v>
      </c>
      <c r="F301" s="113" t="s">
        <v>673</v>
      </c>
    </row>
    <row r="302" spans="1:6" ht="17.149999999999999" customHeight="1" x14ac:dyDescent="0.3">
      <c r="A302" s="112" t="s">
        <v>144</v>
      </c>
      <c r="B302" s="113" t="str">
        <f>VLOOKUP(A302,[10]Schedule_Invigilators!$A$265:$B$803,2,FALSE)</f>
        <v>Bright Akowuah / Nicholas Prah</v>
      </c>
      <c r="C302" s="113" t="str">
        <f>VLOOKUP(A302,'[10]COMBINED_ATTD_INV (3)'!$A$625:$E$650,2,FALSE)</f>
        <v>Mercy Nimako/Adjatu Busali/</v>
      </c>
      <c r="D302" s="121" t="s">
        <v>706</v>
      </c>
      <c r="E302" s="114" t="s">
        <v>814</v>
      </c>
      <c r="F302" s="113" t="s">
        <v>673</v>
      </c>
    </row>
    <row r="303" spans="1:6" ht="17.149999999999999" customHeight="1" x14ac:dyDescent="0.3">
      <c r="A303" s="112" t="s">
        <v>637</v>
      </c>
      <c r="B303" s="113" t="str">
        <f>VLOOKUP(A303,[10]Schedule_Invigilators!$A$265:$B$803,2,FALSE)</f>
        <v>Prince Odame / James Dzisi Gadze / Yesuenyeagbe Fiagbe / Akwasi Afrifa Acheampong</v>
      </c>
      <c r="C303" s="113" t="str">
        <f>VLOOKUP(A303,'[10]COMBINED_ATTD_INV (3)'!$A$625:$E$650,2,FALSE)</f>
        <v>Micheal Obbo/Bernard Annan/Robert Kofi Kyere</v>
      </c>
      <c r="D303" s="121" t="s">
        <v>705</v>
      </c>
      <c r="E303" s="114" t="s">
        <v>814</v>
      </c>
      <c r="F303" s="113" t="s">
        <v>673</v>
      </c>
    </row>
    <row r="304" spans="1:6" ht="16.5" customHeight="1" x14ac:dyDescent="0.3">
      <c r="A304" s="112" t="s">
        <v>636</v>
      </c>
      <c r="B304" s="113" t="str">
        <f>VLOOKUP(A304,[10]Schedule_Invigilators!$A$265:$B$803,2,FALSE)</f>
        <v>David Oppong / Ayuba Bene Adam / Isaac Dadzie</v>
      </c>
      <c r="C304" s="113" t="str">
        <f>VLOOKUP(A304,'[10]COMBINED_ATTD_INV (3)'!$A$625:$E$650,2,FALSE)</f>
        <v>Theresa Sarpong Peprah/Perseverance Dzikunu/Adom Ebenezer</v>
      </c>
      <c r="D304" s="121" t="s">
        <v>704</v>
      </c>
      <c r="E304" s="114" t="s">
        <v>814</v>
      </c>
      <c r="F304" s="113" t="s">
        <v>673</v>
      </c>
    </row>
    <row r="305" spans="1:6" ht="16.5" customHeight="1" x14ac:dyDescent="0.3">
      <c r="A305" s="112" t="s">
        <v>635</v>
      </c>
      <c r="B305" s="113" t="str">
        <f>VLOOKUP(A305,[10]Schedule_Invigilators!$A$265:$B$803,2,FALSE)</f>
        <v>Kingsford Sarkodie Obeng Kwakye / Geophrey Kwame Anornu / Gabriel Takyi</v>
      </c>
      <c r="C305" s="113" t="str">
        <f>VLOOKUP(A305,'[10]COMBINED_ATTD_INV (3)'!$A$625:$E$650,2,FALSE)</f>
        <v>Kingsley Kyei Baffour/Clement Dadzie/</v>
      </c>
      <c r="D305" s="121" t="s">
        <v>703</v>
      </c>
      <c r="E305" s="114" t="s">
        <v>814</v>
      </c>
      <c r="F305" s="113" t="s">
        <v>673</v>
      </c>
    </row>
    <row r="306" spans="1:6" ht="17.149999999999999" customHeight="1" x14ac:dyDescent="0.3">
      <c r="A306" s="112" t="s">
        <v>634</v>
      </c>
      <c r="B306" s="113" t="str">
        <f>VLOOKUP(A306,[10]Schedule_Invigilators!$A$265:$B$803,2,FALSE)</f>
        <v>Kwame Agyemang Prempeh Agyekum / Bernard Konadu Amoah</v>
      </c>
      <c r="C306" s="113" t="str">
        <f>VLOOKUP(A306,'[10]COMBINED_ATTD_INV (3)'!$A$625:$E$650,2,FALSE)</f>
        <v>Ernest Dapaah//</v>
      </c>
      <c r="D306" s="121" t="s">
        <v>702</v>
      </c>
      <c r="E306" s="114" t="s">
        <v>814</v>
      </c>
      <c r="F306" s="113" t="s">
        <v>673</v>
      </c>
    </row>
    <row r="307" spans="1:6" ht="17.149999999999999" customHeight="1" x14ac:dyDescent="0.3">
      <c r="A307" s="112"/>
      <c r="B307" s="113"/>
      <c r="C307" s="113"/>
      <c r="D307" s="113"/>
      <c r="E307" s="114"/>
      <c r="F307" s="113"/>
    </row>
    <row r="308" spans="1:6" s="118" customFormat="1" ht="17.149999999999999" customHeight="1" x14ac:dyDescent="0.3">
      <c r="A308" s="119" t="s">
        <v>642</v>
      </c>
      <c r="B308" s="119" t="s">
        <v>526</v>
      </c>
      <c r="C308" s="119" t="s">
        <v>672</v>
      </c>
      <c r="D308" s="119" t="s">
        <v>671</v>
      </c>
      <c r="E308" s="124" t="s">
        <v>641</v>
      </c>
      <c r="F308" s="119" t="s">
        <v>640</v>
      </c>
    </row>
    <row r="309" spans="1:6" ht="17.149999999999999" customHeight="1" x14ac:dyDescent="0.3">
      <c r="A309" s="112" t="s">
        <v>35</v>
      </c>
      <c r="B309" s="113" t="str">
        <f>VLOOKUP(A309,[10]Schedule_Invigilators!$A$293:$B$803,2,FALSE)</f>
        <v>Casper Adenutsi</v>
      </c>
      <c r="C309" s="113" t="str">
        <f>VLOOKUP(A309,'[10]COMBINED_ATTD_INV (3)'!$A$653:$E$678,2,FALSE)</f>
        <v>Reuben Asare Bediako//</v>
      </c>
      <c r="D309" s="121" t="s">
        <v>744</v>
      </c>
      <c r="E309" s="114" t="s">
        <v>814</v>
      </c>
      <c r="F309" s="113" t="s">
        <v>643</v>
      </c>
    </row>
    <row r="310" spans="1:6" ht="17.149999999999999" customHeight="1" x14ac:dyDescent="0.3">
      <c r="A310" s="112" t="s">
        <v>510</v>
      </c>
      <c r="B310" s="113" t="str">
        <f>VLOOKUP(A310,[10]Schedule_Invigilators!$A$293:$B$803,2,FALSE)</f>
        <v>Theresa-Samuelle Maame Atwemaa Adjaidoo</v>
      </c>
      <c r="C310" s="113" t="str">
        <f>VLOOKUP(A310,'[10]COMBINED_ATTD_INV (3)'!$A$653:$E$678,2,FALSE)</f>
        <v>George Ansong//</v>
      </c>
      <c r="D310" s="121" t="s">
        <v>743</v>
      </c>
      <c r="E310" s="114" t="s">
        <v>814</v>
      </c>
      <c r="F310" s="113" t="s">
        <v>643</v>
      </c>
    </row>
    <row r="311" spans="1:6" ht="17.149999999999999" customHeight="1" x14ac:dyDescent="0.3">
      <c r="A311" s="112" t="s">
        <v>508</v>
      </c>
      <c r="B311" s="113" t="str">
        <f>VLOOKUP(A311,[10]Schedule_Invigilators!$A$293:$B$803,2,FALSE)</f>
        <v>Jones Owusu Twumasi</v>
      </c>
      <c r="C311" s="113" t="str">
        <f>VLOOKUP(A311,'[10]COMBINED_ATTD_INV (3)'!$A$653:$E$678,2,FALSE)</f>
        <v>Gifty Edem Senyaglo//</v>
      </c>
      <c r="D311" s="121" t="s">
        <v>742</v>
      </c>
      <c r="E311" s="114" t="s">
        <v>814</v>
      </c>
      <c r="F311" s="113" t="s">
        <v>643</v>
      </c>
    </row>
    <row r="312" spans="1:6" ht="17.149999999999999" customHeight="1" x14ac:dyDescent="0.3">
      <c r="A312" s="112" t="s">
        <v>466</v>
      </c>
      <c r="B312" s="113" t="str">
        <f>VLOOKUP(A312,[10]Schedule_Invigilators!$A$293:$B$803,2,FALSE)</f>
        <v>Sefakor Dogbe / Peter Oppong Tawiah</v>
      </c>
      <c r="C312" s="113" t="str">
        <f>VLOOKUP(A312,'[10]COMBINED_ATTD_INV (3)'!$A$653:$E$678,2,FALSE)</f>
        <v>Issaka Ali Sambo/Paul Dery/</v>
      </c>
      <c r="D312" s="121" t="s">
        <v>741</v>
      </c>
      <c r="E312" s="114" t="s">
        <v>814</v>
      </c>
      <c r="F312" s="113" t="s">
        <v>643</v>
      </c>
    </row>
    <row r="313" spans="1:6" ht="17.149999999999999" customHeight="1" x14ac:dyDescent="0.3">
      <c r="A313" s="112">
        <v>206</v>
      </c>
      <c r="B313" s="113" t="str">
        <f>VLOOKUP(A313,[10]Schedule_Invigilators!$A$293:$B$803,2,FALSE)</f>
        <v>K. O.-B Obour Agyekum</v>
      </c>
      <c r="C313" s="113" t="str">
        <f>VLOOKUP(A313,'[10]COMBINED_ATTD_INV (3)'!$A$653:$E$678,2,FALSE)</f>
        <v>Edward Kpetege//</v>
      </c>
      <c r="D313" s="121" t="s">
        <v>740</v>
      </c>
      <c r="E313" s="114" t="s">
        <v>814</v>
      </c>
      <c r="F313" s="113" t="s">
        <v>643</v>
      </c>
    </row>
    <row r="314" spans="1:6" ht="17.149999999999999" customHeight="1" x14ac:dyDescent="0.3">
      <c r="A314" s="112">
        <v>303</v>
      </c>
      <c r="B314" s="113" t="str">
        <f>VLOOKUP(A314,[10]Schedule_Invigilators!$A$293:$B$803,2,FALSE)</f>
        <v xml:space="preserve">Charles Adrah / William Amponsah </v>
      </c>
      <c r="C314" s="113" t="str">
        <f>VLOOKUP(A314,'[10]COMBINED_ATTD_INV (3)'!$A$653:$E$678,2,FALSE)</f>
        <v>Benjamin Opoku Atuahene//</v>
      </c>
      <c r="D314" s="121" t="s">
        <v>739</v>
      </c>
      <c r="E314" s="114" t="s">
        <v>814</v>
      </c>
      <c r="F314" s="113" t="s">
        <v>643</v>
      </c>
    </row>
    <row r="315" spans="1:6" ht="17.149999999999999" customHeight="1" x14ac:dyDescent="0.3">
      <c r="A315" s="112">
        <v>304</v>
      </c>
      <c r="B315" s="113" t="str">
        <f>VLOOKUP(A315,[10]Schedule_Invigilators!$A$293:$B$803,2,FALSE)</f>
        <v>Daniel Akwei Addo</v>
      </c>
      <c r="C315" s="113" t="str">
        <f>VLOOKUP(A315,'[10]COMBINED_ATTD_INV (3)'!$A$653:$E$678,2,FALSE)</f>
        <v>Eric Soku//</v>
      </c>
      <c r="D315" s="121" t="s">
        <v>738</v>
      </c>
      <c r="E315" s="114" t="s">
        <v>814</v>
      </c>
      <c r="F315" s="113" t="s">
        <v>643</v>
      </c>
    </row>
    <row r="316" spans="1:6" ht="17.149999999999999" customHeight="1" x14ac:dyDescent="0.3">
      <c r="A316" s="112" t="s">
        <v>61</v>
      </c>
      <c r="B316" s="113" t="str">
        <f>VLOOKUP(A316,[10]Schedule_Invigilators!$A$293:$B$803,2,FALSE)</f>
        <v>Samuel Erzuah</v>
      </c>
      <c r="C316" s="113" t="str">
        <f>VLOOKUP(A316,'[10]COMBINED_ATTD_INV (3)'!$A$653:$E$678,2,FALSE)</f>
        <v>Marian Bemma//</v>
      </c>
      <c r="D316" s="121" t="s">
        <v>708</v>
      </c>
      <c r="E316" s="114" t="s">
        <v>814</v>
      </c>
      <c r="F316" s="113" t="s">
        <v>643</v>
      </c>
    </row>
    <row r="317" spans="1:6" ht="17.149999999999999" customHeight="1" x14ac:dyDescent="0.3">
      <c r="A317" s="112" t="s">
        <v>467</v>
      </c>
      <c r="B317" s="113" t="str">
        <f>VLOOKUP(A317,[10]Schedule_Invigilators!$A$293:$B$803,2,FALSE)</f>
        <v>Kofi Owura Amoabeng</v>
      </c>
      <c r="C317" s="113" t="str">
        <f>VLOOKUP(A317,'[10]COMBINED_ATTD_INV (3)'!$A$653:$E$678,2,FALSE)</f>
        <v>Benjamin Nana Oduro Konadu//</v>
      </c>
      <c r="D317" s="121" t="s">
        <v>755</v>
      </c>
      <c r="E317" s="114" t="s">
        <v>814</v>
      </c>
      <c r="F317" s="113" t="s">
        <v>643</v>
      </c>
    </row>
    <row r="318" spans="1:6" ht="17.149999999999999" customHeight="1" x14ac:dyDescent="0.3">
      <c r="A318" s="112" t="s">
        <v>468</v>
      </c>
      <c r="B318" s="113" t="str">
        <f>VLOOKUP(A318,[10]Schedule_Invigilators!$A$293:$B$803,2,FALSE)</f>
        <v>Nancy Anataba Kyorku Dzikunu-Bansah / Vincent Kofi Abaka Acquaah</v>
      </c>
      <c r="C318" s="113" t="str">
        <f>VLOOKUP(A318,'[10]COMBINED_ATTD_INV (3)'!$A$653:$E$678,2,FALSE)</f>
        <v>John Ofosu//</v>
      </c>
      <c r="D318" s="121" t="s">
        <v>736</v>
      </c>
      <c r="E318" s="114" t="s">
        <v>814</v>
      </c>
      <c r="F318" s="113" t="s">
        <v>643</v>
      </c>
    </row>
    <row r="319" spans="1:6" ht="17.149999999999999" customHeight="1" x14ac:dyDescent="0.3">
      <c r="A319" s="112" t="s">
        <v>469</v>
      </c>
      <c r="B319" s="113" t="str">
        <f>VLOOKUP(A319,[10]Schedule_Invigilators!$A$293:$B$803,2,FALSE)</f>
        <v>Blestmond Afrifa Brako / Sefakor Dogbe</v>
      </c>
      <c r="C319" s="113" t="str">
        <f>VLOOKUP(A319,'[10]COMBINED_ATTD_INV (3)'!$A$653:$E$678,2,FALSE)</f>
        <v>Owusu Stephen Akuoku/Samuel Osei-Asibey Bonsu/</v>
      </c>
      <c r="D319" s="121" t="s">
        <v>735</v>
      </c>
      <c r="E319" s="114" t="s">
        <v>814</v>
      </c>
      <c r="F319" s="113" t="s">
        <v>643</v>
      </c>
    </row>
    <row r="320" spans="1:6" ht="17.149999999999999" customHeight="1" x14ac:dyDescent="0.3">
      <c r="A320" s="112" t="s">
        <v>42</v>
      </c>
      <c r="B320" s="113" t="str">
        <f>VLOOKUP(A320,[10]Schedule_Invigilators!$A$293:$B$803,2,FALSE)</f>
        <v>Benjamin Afotey / Efiba Vidda Senkyire Kwarteng</v>
      </c>
      <c r="C320" s="113" t="str">
        <f>VLOOKUP(A320,'[10]COMBINED_ATTD_INV (3)'!$A$653:$E$678,2,FALSE)</f>
        <v>Kofi Bentum/Fiifi Turkson/</v>
      </c>
      <c r="D320" s="121" t="s">
        <v>734</v>
      </c>
      <c r="E320" s="114" t="s">
        <v>814</v>
      </c>
      <c r="F320" s="113" t="s">
        <v>643</v>
      </c>
    </row>
    <row r="321" spans="1:6" ht="17.149999999999999" customHeight="1" x14ac:dyDescent="0.3">
      <c r="A321" s="112" t="s">
        <v>470</v>
      </c>
      <c r="B321" s="113" t="str">
        <f>VLOOKUP(A321,[10]Schedule_Invigilators!$A$293:$B$803,2,FALSE)</f>
        <v>Prince Ebenezer Adjei / Daniel Oduro Boatey Nuamah</v>
      </c>
      <c r="C321" s="113" t="str">
        <f>VLOOKUP(A321,'[10]COMBINED_ATTD_INV (3)'!$A$653:$E$678,2,FALSE)</f>
        <v>Richmond Awotwe//</v>
      </c>
      <c r="D321" s="121" t="s">
        <v>733</v>
      </c>
      <c r="E321" s="114" t="s">
        <v>814</v>
      </c>
      <c r="F321" s="113" t="s">
        <v>643</v>
      </c>
    </row>
    <row r="322" spans="1:6" ht="17.149999999999999" customHeight="1" x14ac:dyDescent="0.3">
      <c r="A322" s="112" t="s">
        <v>471</v>
      </c>
      <c r="B322" s="113" t="str">
        <f>VLOOKUP(A322,[10]Schedule_Invigilators!$A$293:$B$803,2,FALSE)</f>
        <v>Jack Osei Banahene /  Eliel Keelson</v>
      </c>
      <c r="C322" s="113" t="str">
        <f>VLOOKUP(A322,'[10]COMBINED_ATTD_INV (3)'!$A$653:$E$678,2,FALSE)</f>
        <v>0//</v>
      </c>
      <c r="D322" s="121" t="s">
        <v>732</v>
      </c>
      <c r="E322" s="114" t="s">
        <v>814</v>
      </c>
      <c r="F322" s="113" t="s">
        <v>643</v>
      </c>
    </row>
    <row r="323" spans="1:6" ht="17.149999999999999" customHeight="1" x14ac:dyDescent="0.3">
      <c r="A323" s="112" t="s">
        <v>472</v>
      </c>
      <c r="B323" s="113" t="str">
        <f>VLOOKUP(A323,[10]Schedule_Invigilators!$A$293:$B$803,2,FALSE)</f>
        <v>Jack Osei Banahene / Samuel Boahen</v>
      </c>
      <c r="C323" s="113" t="str">
        <f>VLOOKUP(A323,'[10]COMBINED_ATTD_INV (3)'!$A$653:$E$678,2,FALSE)</f>
        <v>Bernard Audinada Ampofo/Fatawu Yakubu/</v>
      </c>
      <c r="D323" s="121" t="s">
        <v>731</v>
      </c>
      <c r="E323" s="114" t="s">
        <v>814</v>
      </c>
      <c r="F323" s="113" t="s">
        <v>643</v>
      </c>
    </row>
    <row r="324" spans="1:6" ht="17.149999999999999" customHeight="1" x14ac:dyDescent="0.3">
      <c r="A324" s="112" t="s">
        <v>108</v>
      </c>
      <c r="B324" s="113" t="str">
        <f>VLOOKUP(A324,[10]Schedule_Invigilators!$A$293:$B$803,2,FALSE)</f>
        <v>Godfred Boahen</v>
      </c>
      <c r="C324" s="113" t="str">
        <f>VLOOKUP(A324,'[10]COMBINED_ATTD_INV (3)'!$A$653:$E$678,2,FALSE)</f>
        <v>Clement Appiah//</v>
      </c>
      <c r="D324" s="121" t="s">
        <v>730</v>
      </c>
      <c r="E324" s="114" t="s">
        <v>814</v>
      </c>
      <c r="F324" s="113" t="s">
        <v>643</v>
      </c>
    </row>
    <row r="325" spans="1:6" ht="17.149999999999999" customHeight="1" x14ac:dyDescent="0.3">
      <c r="A325" s="112" t="s">
        <v>473</v>
      </c>
      <c r="B325" s="113" t="str">
        <f>VLOOKUP(A325,[10]Schedule_Invigilators!$A$293:$B$803,2,FALSE)</f>
        <v>Eric Amoah Asante / Evans Amponsah</v>
      </c>
      <c r="C325" s="113" t="str">
        <f>VLOOKUP(A325,'[10]COMBINED_ATTD_INV (3)'!$A$653:$E$678,2,FALSE)</f>
        <v>Godfred Appiah//</v>
      </c>
      <c r="D325" s="121" t="s">
        <v>700</v>
      </c>
      <c r="E325" s="114" t="s">
        <v>814</v>
      </c>
      <c r="F325" s="113" t="s">
        <v>643</v>
      </c>
    </row>
    <row r="326" spans="1:6" ht="17.149999999999999" customHeight="1" x14ac:dyDescent="0.3">
      <c r="A326" s="112" t="s">
        <v>474</v>
      </c>
      <c r="B326" s="113" t="str">
        <f>VLOOKUP(A326,[10]Schedule_Invigilators!$A$293:$B$803,2,FALSE)</f>
        <v xml:space="preserve">Akwasi Afrifa Acheampong  </v>
      </c>
      <c r="C326" s="113" t="str">
        <f>VLOOKUP(A326,'[10]COMBINED_ATTD_INV (3)'!$A$653:$E$678,2,FALSE)</f>
        <v>Ruth Adwubi Sarfo//</v>
      </c>
      <c r="D326" s="121" t="s">
        <v>699</v>
      </c>
      <c r="E326" s="114" t="s">
        <v>814</v>
      </c>
      <c r="F326" s="113" t="s">
        <v>643</v>
      </c>
    </row>
    <row r="327" spans="1:6" ht="17.149999999999999" customHeight="1" x14ac:dyDescent="0.3">
      <c r="A327" s="112" t="s">
        <v>475</v>
      </c>
      <c r="B327" s="113" t="str">
        <f>VLOOKUP(A327,[10]Schedule_Invigilators!$A$293:$B$803,2,FALSE)</f>
        <v xml:space="preserve">Martina Francisca Baidoo  </v>
      </c>
      <c r="C327" s="113" t="str">
        <f>VLOOKUP(A327,'[10]COMBINED_ATTD_INV (3)'!$A$653:$E$678,2,FALSE)</f>
        <v>Rebecca Yamoah//</v>
      </c>
      <c r="D327" s="121" t="s">
        <v>698</v>
      </c>
      <c r="E327" s="114" t="s">
        <v>814</v>
      </c>
      <c r="F327" s="113" t="s">
        <v>643</v>
      </c>
    </row>
    <row r="328" spans="1:6" ht="17.149999999999999" customHeight="1" x14ac:dyDescent="0.3">
      <c r="A328" s="112" t="s">
        <v>476</v>
      </c>
      <c r="B328" s="113" t="str">
        <f>VLOOKUP(A328,[10]Schedule_Invigilators!$A$293:$B$803,2,FALSE)</f>
        <v>Prince Odame / Efiba Vidda Senkyire Kwarteng</v>
      </c>
      <c r="C328" s="113" t="str">
        <f>VLOOKUP(A328,'[10]COMBINED_ATTD_INV (3)'!$A$653:$E$678,2,FALSE)</f>
        <v>Salamatu Salifu//</v>
      </c>
      <c r="D328" s="121" t="s">
        <v>729</v>
      </c>
      <c r="E328" s="114" t="s">
        <v>814</v>
      </c>
      <c r="F328" s="113" t="s">
        <v>643</v>
      </c>
    </row>
    <row r="329" spans="1:6" ht="17.149999999999999" customHeight="1" x14ac:dyDescent="0.3">
      <c r="A329" s="112" t="s">
        <v>477</v>
      </c>
      <c r="B329" s="113" t="str">
        <f>VLOOKUP(A329,[10]Schedule_Invigilators!$A$293:$B$803,2,FALSE)</f>
        <v>James Dzisi Gadze  /  Henry Nunoo-Mensah</v>
      </c>
      <c r="C329" s="113" t="str">
        <f>VLOOKUP(A329,'[10]COMBINED_ATTD_INV (3)'!$A$653:$E$678,2,FALSE)</f>
        <v>Kwadwo Afful//</v>
      </c>
      <c r="D329" s="121" t="s">
        <v>696</v>
      </c>
      <c r="E329" s="114" t="s">
        <v>814</v>
      </c>
      <c r="F329" s="113" t="s">
        <v>643</v>
      </c>
    </row>
    <row r="330" spans="1:6" ht="17.149999999999999" customHeight="1" x14ac:dyDescent="0.3">
      <c r="A330" s="112" t="s">
        <v>144</v>
      </c>
      <c r="B330" s="113" t="str">
        <f>VLOOKUP(A330,[10]Schedule_Invigilators!$A$293:$B$803,2,FALSE)</f>
        <v xml:space="preserve">Francis Boafo Effah / Dorothy Araba Yakoba Agyapong  </v>
      </c>
      <c r="C330" s="113" t="str">
        <f>VLOOKUP(A330,'[10]COMBINED_ATTD_INV (3)'!$A$653:$E$678,2,FALSE)</f>
        <v>Mohammed Bakang/Adjatu Busali/</v>
      </c>
      <c r="D330" s="121" t="s">
        <v>695</v>
      </c>
      <c r="E330" s="114" t="s">
        <v>814</v>
      </c>
      <c r="F330" s="113" t="s">
        <v>643</v>
      </c>
    </row>
    <row r="331" spans="1:6" ht="17.149999999999999" hidden="1" customHeight="1" x14ac:dyDescent="0.3">
      <c r="A331" s="112" t="s">
        <v>638</v>
      </c>
      <c r="B331" s="113" t="e">
        <f>VLOOKUP(A331,[10]Schedule_Invigilators!$A$293:$B$803,2,FALSE)</f>
        <v>#N/A</v>
      </c>
      <c r="C331" s="113" t="e">
        <f>VLOOKUP(A331,'[10]COMBINED_ATTD_INV (3)'!$A$653:$E$678,2,FALSE)</f>
        <v>#N/A</v>
      </c>
      <c r="D331" s="121" t="s">
        <v>694</v>
      </c>
      <c r="E331" s="114" t="s">
        <v>814</v>
      </c>
      <c r="F331" s="113" t="s">
        <v>643</v>
      </c>
    </row>
    <row r="332" spans="1:6" ht="17.149999999999999" customHeight="1" x14ac:dyDescent="0.3">
      <c r="A332" s="112" t="s">
        <v>637</v>
      </c>
      <c r="B332" s="113" t="str">
        <f>VLOOKUP(A332,[10]Schedule_Invigilators!$A$293:$B$803,2,FALSE)</f>
        <v>Jonathan Atuquaye Quaye / Andrew Cudzo Amenuvor / Benjamin Kommey / Faisal Wahib Adam</v>
      </c>
      <c r="C332" s="113" t="str">
        <f>VLOOKUP(A332,'[10]COMBINED_ATTD_INV (3)'!$A$653:$E$678,2,FALSE)</f>
        <v>Mercy Nimako/Bernard Annan/Robert Kofi Kyere</v>
      </c>
      <c r="D332" s="121" t="s">
        <v>693</v>
      </c>
      <c r="E332" s="114" t="s">
        <v>814</v>
      </c>
      <c r="F332" s="113" t="s">
        <v>643</v>
      </c>
    </row>
    <row r="333" spans="1:6" ht="17.149999999999999" customHeight="1" x14ac:dyDescent="0.3">
      <c r="A333" s="112" t="s">
        <v>636</v>
      </c>
      <c r="B333" s="113" t="str">
        <f>VLOOKUP(A333,[10]Schedule_Invigilators!$A$293:$B$803,2,FALSE)</f>
        <v>Kenneth Adomako Tutu / Eugene Appiah-Effah /  Samuel Osah</v>
      </c>
      <c r="C333" s="113" t="str">
        <f>VLOOKUP(A333,'[10]COMBINED_ATTD_INV (3)'!$A$653:$E$678,2,FALSE)</f>
        <v>Victoria Agyenim-Boateng/Sandra Essel/Adom Ebenezer</v>
      </c>
      <c r="D333" s="121" t="s">
        <v>692</v>
      </c>
      <c r="E333" s="114" t="s">
        <v>814</v>
      </c>
      <c r="F333" s="113" t="s">
        <v>643</v>
      </c>
    </row>
    <row r="334" spans="1:6" ht="17.149999999999999" customHeight="1" x14ac:dyDescent="0.3">
      <c r="A334" s="112" t="s">
        <v>635</v>
      </c>
      <c r="B334" s="113" t="str">
        <f>VLOOKUP(A334,[10]Schedule_Invigilators!$A$293:$B$803,2,FALSE)</f>
        <v>Kingsford Sarkodie Obeng Kwakye / Martin Kesse / Charles Gyamfi</v>
      </c>
      <c r="C334" s="113" t="str">
        <f>VLOOKUP(A334,'[10]COMBINED_ATTD_INV (3)'!$A$653:$E$678,2,FALSE)</f>
        <v>Kingsley Kyei Baffour/Bright Andoh-Baidoo/</v>
      </c>
      <c r="D334" s="121" t="s">
        <v>691</v>
      </c>
      <c r="E334" s="114" t="s">
        <v>814</v>
      </c>
      <c r="F334" s="113" t="s">
        <v>643</v>
      </c>
    </row>
    <row r="335" spans="1:6" ht="15" customHeight="1" x14ac:dyDescent="0.3">
      <c r="A335" s="112" t="s">
        <v>634</v>
      </c>
      <c r="B335" s="113" t="str">
        <f>VLOOKUP(A335,[10]Schedule_Invigilators!$A$293:$B$803,2,FALSE)</f>
        <v>James Okae / F. K. A. Nyarko</v>
      </c>
      <c r="C335" s="113" t="str">
        <f>VLOOKUP(A335,'[10]COMBINED_ATTD_INV (3)'!$A$653:$E$678,2,FALSE)</f>
        <v>Abigail Akos Worlanyo//</v>
      </c>
      <c r="D335" s="121" t="s">
        <v>690</v>
      </c>
      <c r="E335" s="114" t="s">
        <v>814</v>
      </c>
      <c r="F335" s="113" t="s">
        <v>643</v>
      </c>
    </row>
    <row r="336" spans="1:6" ht="17.149999999999999" hidden="1" customHeight="1" x14ac:dyDescent="0.3">
      <c r="A336" s="112"/>
      <c r="B336" s="113" t="e">
        <f>VLOOKUP(A336,[10]Schedule_Invigilators!$A$293:$B$803,2,FALSE)</f>
        <v>#N/A</v>
      </c>
      <c r="C336" s="113"/>
      <c r="D336" s="113"/>
      <c r="E336" s="114"/>
      <c r="F336" s="113"/>
    </row>
    <row r="337" spans="1:6" ht="17.149999999999999" hidden="1" customHeight="1" x14ac:dyDescent="0.3">
      <c r="A337" s="112" t="s">
        <v>642</v>
      </c>
      <c r="B337" s="113" t="e">
        <f>VLOOKUP(A337,[10]Schedule_Invigilators!$A$293:$B$803,2,FALSE)</f>
        <v>#N/A</v>
      </c>
      <c r="C337" s="113" t="s">
        <v>672</v>
      </c>
      <c r="D337" s="113" t="s">
        <v>671</v>
      </c>
      <c r="E337" s="114" t="s">
        <v>641</v>
      </c>
      <c r="F337" s="113" t="s">
        <v>640</v>
      </c>
    </row>
    <row r="338" spans="1:6" ht="17.149999999999999" hidden="1" customHeight="1" x14ac:dyDescent="0.35">
      <c r="A338" s="112" t="s">
        <v>35</v>
      </c>
      <c r="B338" s="113" t="str">
        <f>VLOOKUP(A338,[10]Schedule_Invigilators!$A$293:$B$803,2,FALSE)</f>
        <v>Casper Adenutsi</v>
      </c>
      <c r="C338" s="113" t="str">
        <f>VLOOKUP(A338,'[11]Final Schedule (2)'!$A$429:$B$456,2,FALSE)</f>
        <v>Bernard Audinada Ampofo//</v>
      </c>
      <c r="D338" s="117" t="s">
        <v>793</v>
      </c>
      <c r="E338" s="114" t="s">
        <v>802</v>
      </c>
      <c r="F338" s="113" t="s">
        <v>632</v>
      </c>
    </row>
    <row r="339" spans="1:6" ht="17.149999999999999" hidden="1" customHeight="1" x14ac:dyDescent="0.35">
      <c r="A339" s="112" t="s">
        <v>510</v>
      </c>
      <c r="B339" s="113" t="str">
        <f>VLOOKUP(A339,[10]Schedule_Invigilators!$A$293:$B$803,2,FALSE)</f>
        <v>Theresa-Samuelle Maame Atwemaa Adjaidoo</v>
      </c>
      <c r="C339" s="113" t="str">
        <f>VLOOKUP(A339,'[11]Final Schedule (2)'!$A$429:$B$456,2,FALSE)</f>
        <v>Benjamin Opoku Attuahene//</v>
      </c>
      <c r="D339" s="117" t="s">
        <v>792</v>
      </c>
      <c r="E339" s="114" t="s">
        <v>802</v>
      </c>
      <c r="F339" s="113" t="s">
        <v>632</v>
      </c>
    </row>
    <row r="340" spans="1:6" ht="17.149999999999999" hidden="1" customHeight="1" x14ac:dyDescent="0.35">
      <c r="A340" s="112" t="s">
        <v>508</v>
      </c>
      <c r="B340" s="113" t="str">
        <f>VLOOKUP(A340,[10]Schedule_Invigilators!$A$293:$B$803,2,FALSE)</f>
        <v>Jones Owusu Twumasi</v>
      </c>
      <c r="C340" s="113" t="str">
        <f>VLOOKUP(A340,'[11]Final Schedule (2)'!$A$429:$B$456,2,FALSE)</f>
        <v>Clement Opoku Nyarko //</v>
      </c>
      <c r="D340" s="117" t="s">
        <v>791</v>
      </c>
      <c r="E340" s="114" t="s">
        <v>802</v>
      </c>
      <c r="F340" s="113" t="s">
        <v>632</v>
      </c>
    </row>
    <row r="341" spans="1:6" ht="17.149999999999999" hidden="1" customHeight="1" x14ac:dyDescent="0.35">
      <c r="A341" s="112" t="s">
        <v>466</v>
      </c>
      <c r="B341" s="113" t="str">
        <f>VLOOKUP(A341,[10]Schedule_Invigilators!$A$293:$B$803,2,FALSE)</f>
        <v>Sefakor Dogbe / Peter Oppong Tawiah</v>
      </c>
      <c r="C341" s="113" t="str">
        <f>VLOOKUP(A341,'[11]Final Schedule (2)'!$A$429:$B$456,2,FALSE)</f>
        <v>Michael Owusu/Mercy Nimako/</v>
      </c>
      <c r="D341" s="116" t="s">
        <v>813</v>
      </c>
      <c r="E341" s="114" t="s">
        <v>802</v>
      </c>
      <c r="F341" s="113" t="s">
        <v>632</v>
      </c>
    </row>
    <row r="342" spans="1:6" ht="17.149999999999999" hidden="1" customHeight="1" x14ac:dyDescent="0.35">
      <c r="A342" s="112">
        <v>206</v>
      </c>
      <c r="B342" s="113" t="str">
        <f>VLOOKUP(A342,[10]Schedule_Invigilators!$A$293:$B$803,2,FALSE)</f>
        <v>K. O.-B Obour Agyekum</v>
      </c>
      <c r="C342" s="113" t="str">
        <f>VLOOKUP(A342,'[11]Final Schedule (2)'!$A$429:$B$456,2,FALSE)</f>
        <v>John Ofosu//</v>
      </c>
      <c r="D342" s="117" t="s">
        <v>789</v>
      </c>
      <c r="E342" s="114" t="s">
        <v>802</v>
      </c>
      <c r="F342" s="113" t="s">
        <v>632</v>
      </c>
    </row>
    <row r="343" spans="1:6" ht="17.149999999999999" hidden="1" customHeight="1" x14ac:dyDescent="0.3">
      <c r="A343" s="112">
        <v>303</v>
      </c>
      <c r="B343" s="113" t="str">
        <f>VLOOKUP(A343,[10]Schedule_Invigilators!$A$293:$B$803,2,FALSE)</f>
        <v xml:space="preserve">Charles Adrah / William Amponsah </v>
      </c>
      <c r="C343" s="113" t="str">
        <f>VLOOKUP(A343,'[11]Final Schedule (2)'!$A$429:$B$456,2,FALSE)</f>
        <v>Joseph Beneth Kankam//</v>
      </c>
      <c r="D343" s="115" t="s">
        <v>788</v>
      </c>
      <c r="E343" s="114" t="s">
        <v>802</v>
      </c>
      <c r="F343" s="113" t="s">
        <v>632</v>
      </c>
    </row>
    <row r="344" spans="1:6" ht="17.149999999999999" hidden="1" customHeight="1" x14ac:dyDescent="0.35">
      <c r="A344" s="112">
        <v>304</v>
      </c>
      <c r="B344" s="113" t="str">
        <f>VLOOKUP(A344,[10]Schedule_Invigilators!$A$293:$B$803,2,FALSE)</f>
        <v>Daniel Akwei Addo</v>
      </c>
      <c r="C344" s="113" t="str">
        <f>VLOOKUP(A344,'[11]Final Schedule (2)'!$A$429:$B$456,2,FALSE)</f>
        <v>Kpetege Edward//</v>
      </c>
      <c r="D344" s="116" t="s">
        <v>812</v>
      </c>
      <c r="E344" s="114" t="s">
        <v>802</v>
      </c>
      <c r="F344" s="113" t="s">
        <v>632</v>
      </c>
    </row>
    <row r="345" spans="1:6" ht="17.149999999999999" hidden="1" customHeight="1" x14ac:dyDescent="0.35">
      <c r="A345" s="112" t="s">
        <v>61</v>
      </c>
      <c r="B345" s="113" t="str">
        <f>VLOOKUP(A345,[10]Schedule_Invigilators!$A$293:$B$803,2,FALSE)</f>
        <v>Samuel Erzuah</v>
      </c>
      <c r="C345" s="113" t="str">
        <f>VLOOKUP(A345,'[11]Final Schedule (2)'!$A$429:$B$456,2,FALSE)</f>
        <v>0//</v>
      </c>
      <c r="D345" s="117">
        <v>0</v>
      </c>
      <c r="E345" s="114" t="s">
        <v>802</v>
      </c>
      <c r="F345" s="113" t="s">
        <v>632</v>
      </c>
    </row>
    <row r="346" spans="1:6" ht="17.149999999999999" hidden="1" customHeight="1" x14ac:dyDescent="0.35">
      <c r="A346" s="112" t="s">
        <v>467</v>
      </c>
      <c r="B346" s="113" t="str">
        <f>VLOOKUP(A346,[10]Schedule_Invigilators!$A$293:$B$803,2,FALSE)</f>
        <v>Kofi Owura Amoabeng</v>
      </c>
      <c r="C346" s="113" t="str">
        <f>VLOOKUP(A346,'[11]Final Schedule (2)'!$A$429:$B$456,2,FALSE)</f>
        <v>0//</v>
      </c>
      <c r="D346" s="117">
        <v>0</v>
      </c>
      <c r="E346" s="114" t="s">
        <v>802</v>
      </c>
      <c r="F346" s="113" t="s">
        <v>632</v>
      </c>
    </row>
    <row r="347" spans="1:6" ht="17.149999999999999" hidden="1" customHeight="1" x14ac:dyDescent="0.35">
      <c r="A347" s="112" t="s">
        <v>468</v>
      </c>
      <c r="B347" s="113" t="str">
        <f>VLOOKUP(A347,[10]Schedule_Invigilators!$A$293:$B$803,2,FALSE)</f>
        <v>Nancy Anataba Kyorku Dzikunu-Bansah / Vincent Kofi Abaka Acquaah</v>
      </c>
      <c r="C347" s="113" t="str">
        <f>VLOOKUP(A347,'[11]Final Schedule (2)'!$A$429:$B$456,2,FALSE)</f>
        <v>Senyaglo Gifty Edem//</v>
      </c>
      <c r="D347" s="117" t="s">
        <v>786</v>
      </c>
      <c r="E347" s="114" t="s">
        <v>802</v>
      </c>
      <c r="F347" s="113" t="s">
        <v>632</v>
      </c>
    </row>
    <row r="348" spans="1:6" ht="17.149999999999999" hidden="1" customHeight="1" x14ac:dyDescent="0.35">
      <c r="A348" s="112" t="s">
        <v>469</v>
      </c>
      <c r="B348" s="113" t="str">
        <f>VLOOKUP(A348,[10]Schedule_Invigilators!$A$293:$B$803,2,FALSE)</f>
        <v>Blestmond Afrifa Brako / Sefakor Dogbe</v>
      </c>
      <c r="C348" s="113" t="str">
        <f>VLOOKUP(A348,'[11]Final Schedule (2)'!$A$429:$B$456,2,FALSE)</f>
        <v>Kwadwo Afful//</v>
      </c>
      <c r="D348" s="117" t="s">
        <v>811</v>
      </c>
      <c r="E348" s="114" t="s">
        <v>802</v>
      </c>
      <c r="F348" s="113" t="s">
        <v>632</v>
      </c>
    </row>
    <row r="349" spans="1:6" ht="17.149999999999999" hidden="1" customHeight="1" x14ac:dyDescent="0.35">
      <c r="A349" s="112" t="s">
        <v>42</v>
      </c>
      <c r="B349" s="113" t="str">
        <f>VLOOKUP(A349,[10]Schedule_Invigilators!$A$293:$B$803,2,FALSE)</f>
        <v>Benjamin Afotey / Efiba Vidda Senkyire Kwarteng</v>
      </c>
      <c r="C349" s="113" t="str">
        <f>VLOOKUP(A349,'[11]Final Schedule (2)'!$A$429:$B$456,2,FALSE)</f>
        <v>Eric Soku//</v>
      </c>
      <c r="D349" s="117" t="s">
        <v>784</v>
      </c>
      <c r="E349" s="114" t="s">
        <v>802</v>
      </c>
      <c r="F349" s="113" t="s">
        <v>632</v>
      </c>
    </row>
    <row r="350" spans="1:6" ht="17.149999999999999" hidden="1" customHeight="1" x14ac:dyDescent="0.35">
      <c r="A350" s="112" t="s">
        <v>639</v>
      </c>
      <c r="B350" s="113" t="e">
        <f>VLOOKUP(A350,[10]Schedule_Invigilators!$A$293:$B$803,2,FALSE)</f>
        <v>#N/A</v>
      </c>
      <c r="C350" s="113" t="str">
        <f>VLOOKUP(A350,'[11]Final Schedule (2)'!$A$429:$B$456,2,FALSE)</f>
        <v>0//</v>
      </c>
      <c r="D350" s="125">
        <v>0</v>
      </c>
      <c r="E350" s="114" t="s">
        <v>802</v>
      </c>
      <c r="F350" s="113" t="s">
        <v>632</v>
      </c>
    </row>
    <row r="351" spans="1:6" ht="17.149999999999999" hidden="1" customHeight="1" x14ac:dyDescent="0.35">
      <c r="A351" s="112" t="s">
        <v>470</v>
      </c>
      <c r="B351" s="113" t="str">
        <f>VLOOKUP(A351,[10]Schedule_Invigilators!$A$293:$B$803,2,FALSE)</f>
        <v>Prince Ebenezer Adjei / Daniel Oduro Boatey Nuamah</v>
      </c>
      <c r="C351" s="113" t="str">
        <f>VLOOKUP(A351,'[11]Final Schedule (2)'!$A$429:$B$456,2,FALSE)</f>
        <v>James Assan Panford//</v>
      </c>
      <c r="D351" s="117" t="s">
        <v>783</v>
      </c>
      <c r="E351" s="114" t="s">
        <v>802</v>
      </c>
      <c r="F351" s="113" t="s">
        <v>632</v>
      </c>
    </row>
    <row r="352" spans="1:6" ht="17.149999999999999" hidden="1" customHeight="1" x14ac:dyDescent="0.35">
      <c r="A352" s="112" t="s">
        <v>471</v>
      </c>
      <c r="B352" s="113" t="str">
        <f>VLOOKUP(A352,[10]Schedule_Invigilators!$A$293:$B$803,2,FALSE)</f>
        <v>Jack Osei Banahene /  Eliel Keelson</v>
      </c>
      <c r="C352" s="113" t="str">
        <f>VLOOKUP(A352,'[11]Final Schedule (2)'!$A$429:$B$456,2,FALSE)</f>
        <v>Solomon Tawiah Apafo//</v>
      </c>
      <c r="D352" s="117" t="s">
        <v>782</v>
      </c>
      <c r="E352" s="114" t="s">
        <v>802</v>
      </c>
      <c r="F352" s="113" t="s">
        <v>632</v>
      </c>
    </row>
    <row r="353" spans="1:6" ht="17.149999999999999" hidden="1" customHeight="1" x14ac:dyDescent="0.35">
      <c r="A353" s="112" t="s">
        <v>472</v>
      </c>
      <c r="B353" s="113" t="str">
        <f>VLOOKUP(A353,[10]Schedule_Invigilators!$A$293:$B$803,2,FALSE)</f>
        <v>Jack Osei Banahene / Samuel Boahen</v>
      </c>
      <c r="C353" s="113" t="str">
        <f>VLOOKUP(A353,'[11]Final Schedule (2)'!$A$429:$B$456,2,FALSE)</f>
        <v>Owusu Akuoko Stephen/Ruth Adwubi Sarfo/</v>
      </c>
      <c r="D353" s="117" t="s">
        <v>781</v>
      </c>
      <c r="E353" s="114" t="s">
        <v>802</v>
      </c>
      <c r="F353" s="113" t="s">
        <v>632</v>
      </c>
    </row>
    <row r="354" spans="1:6" ht="17.149999999999999" hidden="1" customHeight="1" x14ac:dyDescent="0.3">
      <c r="A354" s="112" t="s">
        <v>108</v>
      </c>
      <c r="B354" s="113" t="str">
        <f>VLOOKUP(A354,[10]Schedule_Invigilators!$A$293:$B$803,2,FALSE)</f>
        <v>Godfred Boahen</v>
      </c>
      <c r="C354" s="113" t="str">
        <f>VLOOKUP(A354,'[11]Final Schedule (2)'!$A$429:$B$456,2,FALSE)</f>
        <v>Bright Andoh-Baidoo//</v>
      </c>
      <c r="D354" s="115" t="s">
        <v>810</v>
      </c>
      <c r="E354" s="114" t="s">
        <v>802</v>
      </c>
      <c r="F354" s="113" t="s">
        <v>632</v>
      </c>
    </row>
    <row r="355" spans="1:6" ht="17.149999999999999" hidden="1" customHeight="1" x14ac:dyDescent="0.35">
      <c r="A355" s="112" t="s">
        <v>473</v>
      </c>
      <c r="B355" s="113" t="str">
        <f>VLOOKUP(A355,[10]Schedule_Invigilators!$A$293:$B$803,2,FALSE)</f>
        <v>Eric Amoah Asante / Evans Amponsah</v>
      </c>
      <c r="C355" s="113" t="str">
        <f>VLOOKUP(A355,'[11]Final Schedule (2)'!$A$429:$B$456,2,FALSE)</f>
        <v>Emmanuel Owusu Agyemang//</v>
      </c>
      <c r="D355" s="117" t="s">
        <v>779</v>
      </c>
      <c r="E355" s="114" t="s">
        <v>802</v>
      </c>
      <c r="F355" s="113" t="s">
        <v>632</v>
      </c>
    </row>
    <row r="356" spans="1:6" ht="17.149999999999999" hidden="1" customHeight="1" x14ac:dyDescent="0.35">
      <c r="A356" s="112" t="s">
        <v>474</v>
      </c>
      <c r="B356" s="113" t="str">
        <f>VLOOKUP(A356,[10]Schedule_Invigilators!$A$293:$B$803,2,FALSE)</f>
        <v xml:space="preserve">Akwasi Afrifa Acheampong  </v>
      </c>
      <c r="C356" s="113" t="str">
        <f>VLOOKUP(A356,'[11]Final Schedule (2)'!$A$429:$B$456,2,FALSE)</f>
        <v>McCarthy Agyapong//</v>
      </c>
      <c r="D356" s="117" t="s">
        <v>809</v>
      </c>
      <c r="E356" s="114" t="s">
        <v>802</v>
      </c>
      <c r="F356" s="113" t="s">
        <v>632</v>
      </c>
    </row>
    <row r="357" spans="1:6" ht="17.149999999999999" hidden="1" customHeight="1" x14ac:dyDescent="0.35">
      <c r="A357" s="112" t="s">
        <v>475</v>
      </c>
      <c r="B357" s="113" t="str">
        <f>VLOOKUP(A357,[10]Schedule_Invigilators!$A$293:$B$803,2,FALSE)</f>
        <v xml:space="preserve">Martina Francisca Baidoo  </v>
      </c>
      <c r="C357" s="113" t="str">
        <f>VLOOKUP(A357,'[11]Final Schedule (2)'!$A$429:$B$456,2,FALSE)</f>
        <v>Peter Agetinga//</v>
      </c>
      <c r="D357" s="117" t="s">
        <v>808</v>
      </c>
      <c r="E357" s="114" t="s">
        <v>802</v>
      </c>
      <c r="F357" s="113" t="s">
        <v>632</v>
      </c>
    </row>
    <row r="358" spans="1:6" ht="17.149999999999999" hidden="1" customHeight="1" x14ac:dyDescent="0.35">
      <c r="A358" s="112" t="s">
        <v>476</v>
      </c>
      <c r="B358" s="113" t="str">
        <f>VLOOKUP(A358,[10]Schedule_Invigilators!$A$293:$B$803,2,FALSE)</f>
        <v>Prince Odame / Efiba Vidda Senkyire Kwarteng</v>
      </c>
      <c r="C358" s="113" t="str">
        <f>VLOOKUP(A358,'[11]Final Schedule (2)'!$A$429:$B$456,2,FALSE)</f>
        <v>Sandra Essel//</v>
      </c>
      <c r="D358" s="117" t="s">
        <v>807</v>
      </c>
      <c r="E358" s="114" t="s">
        <v>802</v>
      </c>
      <c r="F358" s="113" t="s">
        <v>632</v>
      </c>
    </row>
    <row r="359" spans="1:6" ht="17.149999999999999" hidden="1" customHeight="1" x14ac:dyDescent="0.35">
      <c r="A359" s="112" t="s">
        <v>477</v>
      </c>
      <c r="B359" s="113" t="str">
        <f>VLOOKUP(A359,[10]Schedule_Invigilators!$A$293:$B$803,2,FALSE)</f>
        <v>James Dzisi Gadze  /  Henry Nunoo-Mensah</v>
      </c>
      <c r="C359" s="113" t="str">
        <f>VLOOKUP(A359,'[11]Final Schedule (2)'!$A$429:$B$456,2,FALSE)</f>
        <v>Antoinette Efua Ackon//</v>
      </c>
      <c r="D359" s="117" t="s">
        <v>775</v>
      </c>
      <c r="E359" s="114" t="s">
        <v>802</v>
      </c>
      <c r="F359" s="113" t="s">
        <v>632</v>
      </c>
    </row>
    <row r="360" spans="1:6" ht="17.149999999999999" hidden="1" customHeight="1" x14ac:dyDescent="0.35">
      <c r="A360" s="112" t="s">
        <v>144</v>
      </c>
      <c r="B360" s="113" t="str">
        <f>VLOOKUP(A360,[10]Schedule_Invigilators!$A$293:$B$803,2,FALSE)</f>
        <v xml:space="preserve">Francis Boafo Effah / Dorothy Araba Yakoba Agyapong  </v>
      </c>
      <c r="C360" s="113" t="str">
        <f>VLOOKUP(A360,'[11]Final Schedule (2)'!$A$429:$B$456,2,FALSE)</f>
        <v>Desmond Adu Yeboah/Kofi Bentum/</v>
      </c>
      <c r="D360" s="117" t="s">
        <v>774</v>
      </c>
      <c r="E360" s="114" t="s">
        <v>802</v>
      </c>
      <c r="F360" s="113" t="s">
        <v>632</v>
      </c>
    </row>
    <row r="361" spans="1:6" ht="17.149999999999999" hidden="1" customHeight="1" x14ac:dyDescent="0.35">
      <c r="A361" s="112" t="s">
        <v>638</v>
      </c>
      <c r="B361" s="113" t="e">
        <f>VLOOKUP(A361,[10]Schedule_Invigilators!$A$293:$B$803,2,FALSE)</f>
        <v>#N/A</v>
      </c>
      <c r="C361" s="113" t="str">
        <f>VLOOKUP(A361,'[11]Final Schedule (2)'!$A$429:$B$456,2,FALSE)</f>
        <v>Derrick Owusu Mensah/Robert Kofi Kyei/Perseverance Dzikunu</v>
      </c>
      <c r="D361" s="117" t="s">
        <v>806</v>
      </c>
      <c r="E361" s="114" t="s">
        <v>802</v>
      </c>
      <c r="F361" s="113" t="s">
        <v>632</v>
      </c>
    </row>
    <row r="362" spans="1:6" ht="17.149999999999999" hidden="1" customHeight="1" x14ac:dyDescent="0.35">
      <c r="A362" s="112" t="s">
        <v>637</v>
      </c>
      <c r="B362" s="113" t="str">
        <f>VLOOKUP(A362,[10]Schedule_Invigilators!$A$293:$B$803,2,FALSE)</f>
        <v>Jonathan Atuquaye Quaye / Andrew Cudzo Amenuvor / Benjamin Kommey / Faisal Wahib Adam</v>
      </c>
      <c r="C362" s="113" t="str">
        <f>VLOOKUP(A362,'[11]Final Schedule (2)'!$A$429:$B$456,2,FALSE)</f>
        <v>Paul Dery/Michael Obbo/Appiah Saviour Nana</v>
      </c>
      <c r="D362" s="116" t="s">
        <v>805</v>
      </c>
      <c r="E362" s="114" t="s">
        <v>802</v>
      </c>
      <c r="F362" s="113" t="s">
        <v>632</v>
      </c>
    </row>
    <row r="363" spans="1:6" ht="17.149999999999999" hidden="1" customHeight="1" x14ac:dyDescent="0.35">
      <c r="A363" s="112" t="s">
        <v>636</v>
      </c>
      <c r="B363" s="113" t="str">
        <f>VLOOKUP(A363,[10]Schedule_Invigilators!$A$293:$B$803,2,FALSE)</f>
        <v>Kenneth Adomako Tutu / Eugene Appiah-Effah /  Samuel Osah</v>
      </c>
      <c r="C363" s="113" t="str">
        <f>VLOOKUP(A363,'[11]Final Schedule (2)'!$A$429:$B$456,2,FALSE)</f>
        <v>David Mingle/Kingsley Atta Nyamekye Snr/</v>
      </c>
      <c r="D363" s="116" t="s">
        <v>804</v>
      </c>
      <c r="E363" s="114" t="s">
        <v>802</v>
      </c>
      <c r="F363" s="113" t="s">
        <v>632</v>
      </c>
    </row>
    <row r="364" spans="1:6" ht="15.75" hidden="1" customHeight="1" x14ac:dyDescent="0.35">
      <c r="A364" s="112" t="s">
        <v>635</v>
      </c>
      <c r="B364" s="113" t="str">
        <f>VLOOKUP(A364,[10]Schedule_Invigilators!$A$293:$B$803,2,FALSE)</f>
        <v>Kingsford Sarkodie Obeng Kwakye / Martin Kesse / Charles Gyamfi</v>
      </c>
      <c r="C364" s="113" t="str">
        <f>VLOOKUP(A364,'[11]Final Schedule (2)'!$A$429:$B$456,2,FALSE)</f>
        <v>Kingsley Kyei Baffour/Ebenezer Adom/</v>
      </c>
      <c r="D364" s="116" t="s">
        <v>803</v>
      </c>
      <c r="E364" s="114" t="s">
        <v>802</v>
      </c>
      <c r="F364" s="113" t="s">
        <v>632</v>
      </c>
    </row>
    <row r="365" spans="1:6" ht="15.75" hidden="1" customHeight="1" x14ac:dyDescent="0.3">
      <c r="A365" s="112" t="s">
        <v>634</v>
      </c>
      <c r="B365" s="113" t="str">
        <f>VLOOKUP(A365,[10]Schedule_Invigilators!$A$293:$B$803,2,FALSE)</f>
        <v>James Okae / F. K. A. Nyarko</v>
      </c>
      <c r="C365" s="113" t="str">
        <f>VLOOKUP(A365,'[11]Final Schedule (2)'!$A$429:$B$456,2,FALSE)</f>
        <v>Bernard Annan//</v>
      </c>
      <c r="D365" s="115" t="s">
        <v>769</v>
      </c>
      <c r="E365" s="114" t="s">
        <v>802</v>
      </c>
      <c r="F365" s="113" t="s">
        <v>632</v>
      </c>
    </row>
    <row r="366" spans="1:6" ht="17.149999999999999" customHeight="1" x14ac:dyDescent="0.3">
      <c r="A366" s="112"/>
      <c r="B366" s="113"/>
      <c r="C366" s="113"/>
      <c r="D366" s="113"/>
      <c r="E366" s="114"/>
      <c r="F366" s="113"/>
    </row>
    <row r="367" spans="1:6" s="118" customFormat="1" ht="17.149999999999999" customHeight="1" x14ac:dyDescent="0.3">
      <c r="A367" s="119" t="s">
        <v>642</v>
      </c>
      <c r="B367" s="119" t="s">
        <v>526</v>
      </c>
      <c r="C367" s="119" t="s">
        <v>672</v>
      </c>
      <c r="D367" s="119" t="s">
        <v>671</v>
      </c>
      <c r="E367" s="124" t="s">
        <v>641</v>
      </c>
      <c r="F367" s="119" t="s">
        <v>640</v>
      </c>
    </row>
    <row r="368" spans="1:6" ht="17.149999999999999" customHeight="1" x14ac:dyDescent="0.3">
      <c r="A368" s="112" t="s">
        <v>35</v>
      </c>
      <c r="B368" s="113" t="str">
        <f>VLOOKUP(A368,[10]Schedule_Invigilators!$A$325:$B$803,2,FALSE)</f>
        <v>Kwame Sarkodie</v>
      </c>
      <c r="C368" s="113" t="str">
        <f>VLOOKUP(A368,'[10]COMBINED_ATTD_INV (3)'!$A$681:$E$706,2,FALSE)</f>
        <v>Mohammed Bakang//</v>
      </c>
      <c r="D368" s="121" t="s">
        <v>727</v>
      </c>
      <c r="E368" s="114" t="s">
        <v>794</v>
      </c>
      <c r="F368" s="113" t="s">
        <v>750</v>
      </c>
    </row>
    <row r="369" spans="1:6" ht="17.149999999999999" customHeight="1" x14ac:dyDescent="0.3">
      <c r="A369" s="112" t="s">
        <v>510</v>
      </c>
      <c r="B369" s="113" t="str">
        <f>VLOOKUP(A369,[10]Schedule_Invigilators!$A$325:$B$803,2,FALSE)</f>
        <v>K. O.-B Obour Agyekum</v>
      </c>
      <c r="C369" s="113" t="str">
        <f>VLOOKUP(A369,'[10]COMBINED_ATTD_INV (3)'!$A$681:$E$706,2,FALSE)</f>
        <v>Mercy Nimako//</v>
      </c>
      <c r="D369" s="121" t="s">
        <v>726</v>
      </c>
      <c r="E369" s="114" t="s">
        <v>794</v>
      </c>
      <c r="F369" s="113" t="s">
        <v>750</v>
      </c>
    </row>
    <row r="370" spans="1:6" ht="17.149999999999999" customHeight="1" x14ac:dyDescent="0.3">
      <c r="A370" s="112" t="s">
        <v>508</v>
      </c>
      <c r="B370" s="113" t="str">
        <f>VLOOKUP(A370,[10]Schedule_Invigilators!$A$325:$B$803,2,FALSE)</f>
        <v>Felix Jojo Fianko Ayeh</v>
      </c>
      <c r="C370" s="113" t="str">
        <f>VLOOKUP(A370,'[10]COMBINED_ATTD_INV (3)'!$A$681:$E$706,2,FALSE)</f>
        <v>Derrick Owusu Mensah//</v>
      </c>
      <c r="D370" s="121" t="s">
        <v>725</v>
      </c>
      <c r="E370" s="114" t="s">
        <v>794</v>
      </c>
      <c r="F370" s="113" t="s">
        <v>750</v>
      </c>
    </row>
    <row r="371" spans="1:6" ht="17.149999999999999" customHeight="1" x14ac:dyDescent="0.3">
      <c r="A371" s="112" t="s">
        <v>466</v>
      </c>
      <c r="B371" s="113" t="str">
        <f>VLOOKUP(A371,[10]Schedule_Invigilators!$A$325:$B$803,2,FALSE)</f>
        <v>Prosper Akaba / Martin Kesse</v>
      </c>
      <c r="C371" s="113" t="str">
        <f>VLOOKUP(A371,'[10]COMBINED_ATTD_INV (3)'!$A$681:$E$706,2,FALSE)</f>
        <v>Issaka Ali Sambo/Paul Dery/</v>
      </c>
      <c r="D371" s="121" t="s">
        <v>801</v>
      </c>
      <c r="E371" s="114" t="s">
        <v>794</v>
      </c>
      <c r="F371" s="113" t="s">
        <v>750</v>
      </c>
    </row>
    <row r="372" spans="1:6" ht="17.149999999999999" customHeight="1" x14ac:dyDescent="0.3">
      <c r="A372" s="112">
        <v>206</v>
      </c>
      <c r="B372" s="113" t="str">
        <f>VLOOKUP(A372,[10]Schedule_Invigilators!$A$325:$B$803,2,FALSE)</f>
        <v>C. K. K. Sekyere</v>
      </c>
      <c r="C372" s="113" t="str">
        <f>VLOOKUP(A372,'[10]COMBINED_ATTD_INV (3)'!$A$681:$E$706,2,FALSE)</f>
        <v>Edward Kpetege//</v>
      </c>
      <c r="D372" s="121" t="s">
        <v>723</v>
      </c>
      <c r="E372" s="114" t="s">
        <v>794</v>
      </c>
      <c r="F372" s="113" t="s">
        <v>750</v>
      </c>
    </row>
    <row r="373" spans="1:6" ht="17.149999999999999" customHeight="1" x14ac:dyDescent="0.3">
      <c r="A373" s="112">
        <v>303</v>
      </c>
      <c r="B373" s="113" t="str">
        <f>VLOOKUP(A373,[10]Schedule_Invigilators!$A$325:$B$803,2,FALSE)</f>
        <v>Evans Amponsah / James Dzisi Gadze</v>
      </c>
      <c r="C373" s="113" t="str">
        <f>VLOOKUP(A373,'[10]COMBINED_ATTD_INV (3)'!$A$681:$E$706,2,FALSE)</f>
        <v>Benjamin Opoku Atuahene//</v>
      </c>
      <c r="D373" s="121" t="s">
        <v>722</v>
      </c>
      <c r="E373" s="114" t="s">
        <v>794</v>
      </c>
      <c r="F373" s="113" t="s">
        <v>750</v>
      </c>
    </row>
    <row r="374" spans="1:6" ht="17.149999999999999" customHeight="1" x14ac:dyDescent="0.3">
      <c r="A374" s="112">
        <v>304</v>
      </c>
      <c r="B374" s="113" t="str">
        <f>VLOOKUP(A374,[10]Schedule_Invigilators!$A$325:$B$803,2,FALSE)</f>
        <v>Bernard Konadu Amoah</v>
      </c>
      <c r="C374" s="113" t="str">
        <f>VLOOKUP(A374,'[10]COMBINED_ATTD_INV (3)'!$A$681:$E$706,2,FALSE)</f>
        <v>Eric Soku//</v>
      </c>
      <c r="D374" s="121" t="s">
        <v>721</v>
      </c>
      <c r="E374" s="114" t="s">
        <v>794</v>
      </c>
      <c r="F374" s="113" t="s">
        <v>750</v>
      </c>
    </row>
    <row r="375" spans="1:6" ht="17.149999999999999" customHeight="1" x14ac:dyDescent="0.3">
      <c r="A375" s="112" t="s">
        <v>61</v>
      </c>
      <c r="B375" s="113" t="str">
        <f>VLOOKUP(A375,[10]Schedule_Invigilators!$A$325:$B$803,2,FALSE)</f>
        <v>Prince Ebenezer Adjei</v>
      </c>
      <c r="C375" s="113" t="str">
        <f>VLOOKUP(A375,'[10]COMBINED_ATTD_INV (3)'!$A$681:$E$706,2,FALSE)</f>
        <v>Marian Bemma//</v>
      </c>
      <c r="D375" s="121" t="s">
        <v>720</v>
      </c>
      <c r="E375" s="114" t="s">
        <v>794</v>
      </c>
      <c r="F375" s="113" t="s">
        <v>750</v>
      </c>
    </row>
    <row r="376" spans="1:6" ht="17.149999999999999" customHeight="1" x14ac:dyDescent="0.3">
      <c r="A376" s="112" t="s">
        <v>467</v>
      </c>
      <c r="B376" s="113" t="str">
        <f>VLOOKUP(A376,[10]Schedule_Invigilators!$A$325:$B$803,2,FALSE)</f>
        <v>James Okae</v>
      </c>
      <c r="C376" s="113" t="str">
        <f>VLOOKUP(A376,'[10]COMBINED_ATTD_INV (3)'!$A$681:$E$706,2,FALSE)</f>
        <v>Derrick Amoateng//</v>
      </c>
      <c r="D376" s="121" t="s">
        <v>719</v>
      </c>
      <c r="E376" s="114" t="s">
        <v>794</v>
      </c>
      <c r="F376" s="113" t="s">
        <v>750</v>
      </c>
    </row>
    <row r="377" spans="1:6" ht="17.149999999999999" customHeight="1" x14ac:dyDescent="0.3">
      <c r="A377" s="112" t="s">
        <v>468</v>
      </c>
      <c r="B377" s="113" t="str">
        <f>VLOOKUP(A377,[10]Schedule_Invigilators!$A$325:$B$803,2,FALSE)</f>
        <v>Stephen Adjei / M. Appiah Brempong</v>
      </c>
      <c r="C377" s="113" t="str">
        <f>VLOOKUP(A377,'[10]COMBINED_ATTD_INV (3)'!$A$681:$E$706,2,FALSE)</f>
        <v>John Ofosu//</v>
      </c>
      <c r="D377" s="121" t="s">
        <v>718</v>
      </c>
      <c r="E377" s="114" t="s">
        <v>794</v>
      </c>
      <c r="F377" s="113" t="s">
        <v>750</v>
      </c>
    </row>
    <row r="378" spans="1:6" ht="17.149999999999999" customHeight="1" x14ac:dyDescent="0.3">
      <c r="A378" s="112" t="s">
        <v>469</v>
      </c>
      <c r="B378" s="113" t="str">
        <f>VLOOKUP(A378,[10]Schedule_Invigilators!$A$325:$B$803,2,FALSE)</f>
        <v>Ayuba Bene Adam / Nancy Anataba Kyorku Dzikunu-Bansah</v>
      </c>
      <c r="C378" s="113" t="str">
        <f>VLOOKUP(A378,'[10]COMBINED_ATTD_INV (3)'!$A$681:$E$706,2,FALSE)</f>
        <v>Michael Owusu/Samuel Osei-Asibey Bonsu/</v>
      </c>
      <c r="D378" s="121" t="s">
        <v>717</v>
      </c>
      <c r="E378" s="114" t="s">
        <v>794</v>
      </c>
      <c r="F378" s="113" t="s">
        <v>750</v>
      </c>
    </row>
    <row r="379" spans="1:6" ht="17.149999999999999" customHeight="1" x14ac:dyDescent="0.3">
      <c r="A379" s="112" t="s">
        <v>42</v>
      </c>
      <c r="B379" s="113" t="str">
        <f>VLOOKUP(A379,[10]Schedule_Invigilators!$A$325:$B$803,2,FALSE)</f>
        <v>Emmanuel Ampoma Affum / Matthew Coffie Wilson</v>
      </c>
      <c r="C379" s="113" t="str">
        <f>VLOOKUP(A379,'[10]COMBINED_ATTD_INV (3)'!$A$681:$E$706,2,FALSE)</f>
        <v>Kofi Bentum/Linda Berko/</v>
      </c>
      <c r="D379" s="121" t="s">
        <v>716</v>
      </c>
      <c r="E379" s="114" t="s">
        <v>794</v>
      </c>
      <c r="F379" s="113" t="s">
        <v>750</v>
      </c>
    </row>
    <row r="380" spans="1:6" ht="17.149999999999999" customHeight="1" x14ac:dyDescent="0.3">
      <c r="A380" s="112" t="s">
        <v>470</v>
      </c>
      <c r="B380" s="113" t="str">
        <f>VLOOKUP(A380,[10]Schedule_Invigilators!$A$325:$B$803,2,FALSE)</f>
        <v>Benjamin Afotey / Albert Asare</v>
      </c>
      <c r="C380" s="113" t="str">
        <f>VLOOKUP(A380,'[10]COMBINED_ATTD_INV (3)'!$A$681:$E$706,2,FALSE)</f>
        <v>Richmond Awotwe//</v>
      </c>
      <c r="D380" s="121" t="s">
        <v>715</v>
      </c>
      <c r="E380" s="114" t="s">
        <v>794</v>
      </c>
      <c r="F380" s="113" t="s">
        <v>750</v>
      </c>
    </row>
    <row r="381" spans="1:6" ht="17.149999999999999" customHeight="1" x14ac:dyDescent="0.3">
      <c r="A381" s="112" t="s">
        <v>471</v>
      </c>
      <c r="B381" s="113" t="str">
        <f>VLOOKUP(A381,[10]Schedule_Invigilators!$A$325:$B$803,2,FALSE)</f>
        <v>Nicholas Prah / Anthony A. Agyemang</v>
      </c>
      <c r="C381" s="113" t="str">
        <f>VLOOKUP(A381,'[10]COMBINED_ATTD_INV (3)'!$A$681:$E$706,2,FALSE)</f>
        <v>Evans Korletey//</v>
      </c>
      <c r="D381" s="121" t="s">
        <v>714</v>
      </c>
      <c r="E381" s="114" t="s">
        <v>794</v>
      </c>
      <c r="F381" s="113" t="s">
        <v>750</v>
      </c>
    </row>
    <row r="382" spans="1:6" ht="17.149999999999999" customHeight="1" x14ac:dyDescent="0.3">
      <c r="A382" s="112" t="s">
        <v>472</v>
      </c>
      <c r="B382" s="113" t="str">
        <f>VLOOKUP(A382,[10]Schedule_Invigilators!$A$325:$B$803,2,FALSE)</f>
        <v>David Oppong / Prince Odame</v>
      </c>
      <c r="C382" s="113" t="str">
        <f>VLOOKUP(A382,'[10]COMBINED_ATTD_INV (3)'!$A$681:$E$706,2,FALSE)</f>
        <v>Desmond Adu-Yeboah/Fatawu Yakubu/</v>
      </c>
      <c r="D382" s="121" t="s">
        <v>713</v>
      </c>
      <c r="E382" s="114" t="s">
        <v>794</v>
      </c>
      <c r="F382" s="113" t="s">
        <v>750</v>
      </c>
    </row>
    <row r="383" spans="1:6" ht="17.149999999999999" customHeight="1" x14ac:dyDescent="0.3">
      <c r="A383" s="112" t="s">
        <v>108</v>
      </c>
      <c r="B383" s="113" t="str">
        <f>VLOOKUP(A383,[10]Schedule_Invigilators!$A$325:$B$803,2,FALSE)</f>
        <v>Vincent Kofi Abaka Acquaah</v>
      </c>
      <c r="C383" s="113" t="str">
        <f>VLOOKUP(A383,'[10]COMBINED_ATTD_INV (3)'!$A$681:$E$706,2,FALSE)</f>
        <v>Clement Appiah//</v>
      </c>
      <c r="D383" s="121" t="s">
        <v>712</v>
      </c>
      <c r="E383" s="114" t="s">
        <v>794</v>
      </c>
      <c r="F383" s="113" t="s">
        <v>750</v>
      </c>
    </row>
    <row r="384" spans="1:6" ht="17.149999999999999" customHeight="1" x14ac:dyDescent="0.3">
      <c r="A384" s="112" t="s">
        <v>473</v>
      </c>
      <c r="B384" s="113" t="str">
        <f>VLOOKUP(A384,[10]Schedule_Invigilators!$A$325:$B$803,2,FALSE)</f>
        <v>Akwasi Afrifa Acheampong / Martina Francisca Baidoo</v>
      </c>
      <c r="C384" s="113" t="str">
        <f>VLOOKUP(A384,'[10]COMBINED_ATTD_INV (3)'!$A$681:$E$706,2,FALSE)</f>
        <v>Godfred Appiah//</v>
      </c>
      <c r="D384" s="121" t="s">
        <v>711</v>
      </c>
      <c r="E384" s="114" t="s">
        <v>794</v>
      </c>
      <c r="F384" s="113" t="s">
        <v>750</v>
      </c>
    </row>
    <row r="385" spans="1:6" ht="17.149999999999999" customHeight="1" x14ac:dyDescent="0.3">
      <c r="A385" s="112" t="s">
        <v>474</v>
      </c>
      <c r="B385" s="113" t="str">
        <f>VLOOKUP(A385,[10]Schedule_Invigilators!$A$325:$B$803,2,FALSE)</f>
        <v>Martinson Addo Nartey</v>
      </c>
      <c r="C385" s="113" t="str">
        <f>VLOOKUP(A385,'[10]COMBINED_ATTD_INV (3)'!$A$681:$E$706,2,FALSE)</f>
        <v>Ruth Adwubi Sarfo//</v>
      </c>
      <c r="D385" s="121" t="s">
        <v>710</v>
      </c>
      <c r="E385" s="114" t="s">
        <v>794</v>
      </c>
      <c r="F385" s="113" t="s">
        <v>750</v>
      </c>
    </row>
    <row r="386" spans="1:6" ht="17.149999999999999" customHeight="1" x14ac:dyDescent="0.3">
      <c r="A386" s="112" t="s">
        <v>475</v>
      </c>
      <c r="B386" s="113" t="str">
        <f>VLOOKUP(A386,[10]Schedule_Invigilators!$A$325:$B$803,2,FALSE)</f>
        <v>Andrew Selasi Agbemenu</v>
      </c>
      <c r="C386" s="113" t="str">
        <f>VLOOKUP(A386,'[10]COMBINED_ATTD_INV (3)'!$A$681:$E$706,2,FALSE)</f>
        <v>Sandra Essel//</v>
      </c>
      <c r="D386" s="121" t="s">
        <v>709</v>
      </c>
      <c r="E386" s="114" t="s">
        <v>794</v>
      </c>
      <c r="F386" s="113" t="s">
        <v>750</v>
      </c>
    </row>
    <row r="387" spans="1:6" ht="17.149999999999999" customHeight="1" x14ac:dyDescent="0.3">
      <c r="A387" s="112" t="s">
        <v>476</v>
      </c>
      <c r="B387" s="113" t="str">
        <f>VLOOKUP(A387,[10]Schedule_Invigilators!$A$325:$B$803,2,FALSE)</f>
        <v>William Amponsah / Patrick Boakye</v>
      </c>
      <c r="C387" s="113" t="str">
        <f>VLOOKUP(A387,'[10]COMBINED_ATTD_INV (3)'!$A$681:$E$706,2,FALSE)</f>
        <v>Gifty Edem Senyaglo//</v>
      </c>
      <c r="D387" s="121" t="s">
        <v>800</v>
      </c>
      <c r="E387" s="114" t="s">
        <v>794</v>
      </c>
      <c r="F387" s="113" t="s">
        <v>750</v>
      </c>
    </row>
    <row r="388" spans="1:6" ht="17.149999999999999" customHeight="1" x14ac:dyDescent="0.3">
      <c r="A388" s="112" t="s">
        <v>477</v>
      </c>
      <c r="B388" s="113" t="str">
        <f>VLOOKUP(A388,[10]Schedule_Invigilators!$A$325:$B$803,2,FALSE)</f>
        <v>Kwame Agyemang Prempeh Agyekum / Yesuenyeagbe Fiagbe</v>
      </c>
      <c r="C388" s="113" t="str">
        <f>VLOOKUP(A388,'[10]COMBINED_ATTD_INV (3)'!$A$681:$E$706,2,FALSE)</f>
        <v>Kwadwo Afful//</v>
      </c>
      <c r="D388" s="121" t="s">
        <v>707</v>
      </c>
      <c r="E388" s="114" t="s">
        <v>794</v>
      </c>
      <c r="F388" s="113" t="s">
        <v>750</v>
      </c>
    </row>
    <row r="389" spans="1:6" ht="17.149999999999999" customHeight="1" x14ac:dyDescent="0.3">
      <c r="A389" s="112" t="s">
        <v>144</v>
      </c>
      <c r="B389" s="113" t="str">
        <f>VLOOKUP(A389,[10]Schedule_Invigilators!$A$325:$B$803,2,FALSE)</f>
        <v>Bright Akowuah / Daniel Oduro Boatey Nuamah</v>
      </c>
      <c r="C389" s="113" t="str">
        <f>VLOOKUP(A389,'[10]COMBINED_ATTD_INV (3)'!$A$681:$E$706,2,FALSE)</f>
        <v>Loretta Owusu Ansah/Adjatu Busali/</v>
      </c>
      <c r="D389" s="121" t="s">
        <v>706</v>
      </c>
      <c r="E389" s="114" t="s">
        <v>794</v>
      </c>
      <c r="F389" s="113" t="s">
        <v>750</v>
      </c>
    </row>
    <row r="390" spans="1:6" ht="17.149999999999999" customHeight="1" x14ac:dyDescent="0.3">
      <c r="A390" s="112" t="s">
        <v>637</v>
      </c>
      <c r="B390" s="113" t="str">
        <f>VLOOKUP(A390,[10]Schedule_Invigilators!$A$325:$B$803,2,FALSE)</f>
        <v>Augustus Ababio Donkor / Dorothy Araba Yakoba Agyapong / Charles Gyamfi / Bennetta Koomson</v>
      </c>
      <c r="C390" s="113" t="str">
        <f>VLOOKUP(A390,'[10]COMBINED_ATTD_INV (3)'!$A$681:$E$706,2,FALSE)</f>
        <v>Micheal Obbo/Bernard Annan/Robert Kofi Kyere</v>
      </c>
      <c r="D390" s="121" t="s">
        <v>705</v>
      </c>
      <c r="E390" s="114" t="s">
        <v>794</v>
      </c>
      <c r="F390" s="113" t="s">
        <v>750</v>
      </c>
    </row>
    <row r="391" spans="1:6" ht="17.149999999999999" customHeight="1" x14ac:dyDescent="0.3">
      <c r="A391" s="112" t="s">
        <v>636</v>
      </c>
      <c r="B391" s="113" t="str">
        <f>VLOOKUP(A391,[10]Schedule_Invigilators!$A$325:$B$803,2,FALSE)</f>
        <v>Kenneth Adomako Tutu / Eugene Appiah-Effah / Peter Oppong Tawiah</v>
      </c>
      <c r="C391" s="113" t="str">
        <f>VLOOKUP(A391,'[10]COMBINED_ATTD_INV (3)'!$A$681:$E$706,2,FALSE)</f>
        <v>Clement Dadzie/Perseverance Dzikunu/Adom Ebenezer</v>
      </c>
      <c r="D391" s="121" t="s">
        <v>704</v>
      </c>
      <c r="E391" s="114" t="s">
        <v>794</v>
      </c>
      <c r="F391" s="113" t="s">
        <v>750</v>
      </c>
    </row>
    <row r="392" spans="1:6" ht="17.149999999999999" customHeight="1" x14ac:dyDescent="0.3">
      <c r="A392" s="112" t="s">
        <v>635</v>
      </c>
      <c r="B392" s="113" t="str">
        <f>VLOOKUP(A392,[10]Schedule_Invigilators!$A$325:$B$803,2,FALSE)</f>
        <v>Kingsford Sarkodie Obeng Kwakye / Daniel Akwei Addo / Albert Kwame Kwaw</v>
      </c>
      <c r="C392" s="113" t="str">
        <f>VLOOKUP(A392,'[10]COMBINED_ATTD_INV (3)'!$A$681:$E$706,2,FALSE)</f>
        <v>Kingsley Kyei Baffour/Bright Andoh-Baidoo/</v>
      </c>
      <c r="D392" s="121" t="s">
        <v>703</v>
      </c>
      <c r="E392" s="114" t="s">
        <v>794</v>
      </c>
      <c r="F392" s="113" t="s">
        <v>750</v>
      </c>
    </row>
    <row r="393" spans="1:6" ht="17.149999999999999" customHeight="1" x14ac:dyDescent="0.3">
      <c r="A393" s="112" t="s">
        <v>634</v>
      </c>
      <c r="B393" s="113" t="str">
        <f>VLOOKUP(A393,[10]Schedule_Invigilators!$A$325:$B$803,2,FALSE)</f>
        <v>Anthony Arko-Adjei / Godfrey Chiri Amedjoe</v>
      </c>
      <c r="C393" s="113" t="str">
        <f>VLOOKUP(A393,'[10]COMBINED_ATTD_INV (3)'!$A$681:$E$706,2,FALSE)</f>
        <v>Ernest Dapaah//</v>
      </c>
      <c r="D393" s="121" t="s">
        <v>702</v>
      </c>
      <c r="E393" s="114" t="s">
        <v>794</v>
      </c>
      <c r="F393" s="113" t="s">
        <v>750</v>
      </c>
    </row>
    <row r="394" spans="1:6" ht="17.149999999999999" customHeight="1" x14ac:dyDescent="0.3">
      <c r="A394" s="112"/>
      <c r="B394" s="113"/>
      <c r="C394" s="113"/>
      <c r="D394" s="113"/>
      <c r="E394" s="114"/>
      <c r="F394" s="113"/>
    </row>
    <row r="395" spans="1:6" s="118" customFormat="1" ht="17.149999999999999" customHeight="1" x14ac:dyDescent="0.3">
      <c r="A395" s="119" t="s">
        <v>642</v>
      </c>
      <c r="B395" s="119" t="s">
        <v>526</v>
      </c>
      <c r="C395" s="119" t="s">
        <v>672</v>
      </c>
      <c r="D395" s="119" t="s">
        <v>671</v>
      </c>
      <c r="E395" s="124" t="s">
        <v>641</v>
      </c>
      <c r="F395" s="119" t="s">
        <v>640</v>
      </c>
    </row>
    <row r="396" spans="1:6" ht="17.149999999999999" customHeight="1" x14ac:dyDescent="0.3">
      <c r="A396" s="112" t="s">
        <v>35</v>
      </c>
      <c r="B396" s="113" t="str">
        <f>VLOOKUP(A396,[10]Schedule_Invigilators!$A$352:$B$803,2,FALSE)</f>
        <v>Samuel Boahen</v>
      </c>
      <c r="C396" s="113" t="str">
        <f>VLOOKUP(A396,'[10]COMBINED_ATTD_INV (3)'!$A$710:$E$735,2,FALSE)</f>
        <v>Reuben Asare Bediako//</v>
      </c>
      <c r="D396" s="121" t="s">
        <v>744</v>
      </c>
      <c r="E396" s="114" t="s">
        <v>794</v>
      </c>
      <c r="F396" s="113" t="s">
        <v>745</v>
      </c>
    </row>
    <row r="397" spans="1:6" ht="17.149999999999999" customHeight="1" x14ac:dyDescent="0.3">
      <c r="A397" s="112" t="s">
        <v>510</v>
      </c>
      <c r="B397" s="113" t="str">
        <f>VLOOKUP(A397,[10]Schedule_Invigilators!$A$352:$B$803,2,FALSE)</f>
        <v>Yaw Adubofour Tuffour</v>
      </c>
      <c r="C397" s="113" t="str">
        <f>VLOOKUP(A397,'[10]COMBINED_ATTD_INV (3)'!$A$710:$E$735,2,FALSE)</f>
        <v>George Ansong//</v>
      </c>
      <c r="D397" s="121" t="s">
        <v>743</v>
      </c>
      <c r="E397" s="114" t="s">
        <v>794</v>
      </c>
      <c r="F397" s="113" t="s">
        <v>745</v>
      </c>
    </row>
    <row r="398" spans="1:6" ht="17.149999999999999" customHeight="1" x14ac:dyDescent="0.3">
      <c r="A398" s="112" t="s">
        <v>508</v>
      </c>
      <c r="B398" s="113" t="str">
        <f>VLOOKUP(A398,[10]Schedule_Invigilators!$A$352:$B$803,2,FALSE)</f>
        <v>Francis Boafo Effah</v>
      </c>
      <c r="C398" s="113" t="str">
        <f>VLOOKUP(A398,'[10]COMBINED_ATTD_INV (3)'!$A$710:$E$735,2,FALSE)</f>
        <v>Derrick Owusu Mensah//</v>
      </c>
      <c r="D398" s="121" t="s">
        <v>742</v>
      </c>
      <c r="E398" s="114" t="s">
        <v>794</v>
      </c>
      <c r="F398" s="113" t="s">
        <v>745</v>
      </c>
    </row>
    <row r="399" spans="1:6" ht="17.149999999999999" customHeight="1" x14ac:dyDescent="0.3">
      <c r="A399" s="112" t="s">
        <v>466</v>
      </c>
      <c r="B399" s="113" t="str">
        <f>VLOOKUP(A399,[10]Schedule_Invigilators!$A$352:$B$803,2,FALSE)</f>
        <v>Y. A. Sokama-Neuyam / Efiba Vidda Senkyire Kwarteng</v>
      </c>
      <c r="C399" s="113" t="str">
        <f>VLOOKUP(A399,'[10]COMBINED_ATTD_INV (3)'!$A$710:$E$735,2,FALSE)</f>
        <v>Abigail Akos Worlanyo/Paul Dery/</v>
      </c>
      <c r="D399" s="121" t="s">
        <v>799</v>
      </c>
      <c r="E399" s="114" t="s">
        <v>794</v>
      </c>
      <c r="F399" s="113" t="s">
        <v>745</v>
      </c>
    </row>
    <row r="400" spans="1:6" ht="17.149999999999999" customHeight="1" x14ac:dyDescent="0.3">
      <c r="A400" s="112">
        <v>206</v>
      </c>
      <c r="B400" s="113" t="str">
        <f>VLOOKUP(A400,[10]Schedule_Invigilators!$A$352:$B$803,2,FALSE)</f>
        <v xml:space="preserve">Casper Adenutsi </v>
      </c>
      <c r="C400" s="113" t="str">
        <f>VLOOKUP(A400,'[10]COMBINED_ATTD_INV (3)'!$A$710:$E$735,2,FALSE)</f>
        <v>Edward Kpetege//</v>
      </c>
      <c r="D400" s="121" t="s">
        <v>740</v>
      </c>
      <c r="E400" s="114" t="s">
        <v>794</v>
      </c>
      <c r="F400" s="113" t="s">
        <v>745</v>
      </c>
    </row>
    <row r="401" spans="1:6" ht="17.149999999999999" customHeight="1" x14ac:dyDescent="0.3">
      <c r="A401" s="112">
        <v>303</v>
      </c>
      <c r="B401" s="113" t="str">
        <f>VLOOKUP(A401,[10]Schedule_Invigilators!$A$352:$B$803,2,FALSE)</f>
        <v xml:space="preserve"> James Okae / Samuel Kwofie</v>
      </c>
      <c r="C401" s="113" t="str">
        <f>VLOOKUP(A401,'[10]COMBINED_ATTD_INV (3)'!$A$710:$E$735,2,FALSE)</f>
        <v>Benjamin Opoku Atuahene//</v>
      </c>
      <c r="D401" s="121" t="s">
        <v>739</v>
      </c>
      <c r="E401" s="114" t="s">
        <v>794</v>
      </c>
      <c r="F401" s="113" t="s">
        <v>745</v>
      </c>
    </row>
    <row r="402" spans="1:6" ht="17.149999999999999" customHeight="1" x14ac:dyDescent="0.3">
      <c r="A402" s="112">
        <v>304</v>
      </c>
      <c r="B402" s="113" t="str">
        <f>VLOOKUP(A402,[10]Schedule_Invigilators!$A$352:$B$803,2,FALSE)</f>
        <v>Alfred Alan Duker</v>
      </c>
      <c r="C402" s="113" t="str">
        <f>VLOOKUP(A402,'[10]COMBINED_ATTD_INV (3)'!$A$710:$E$735,2,FALSE)</f>
        <v>Eric Soku//</v>
      </c>
      <c r="D402" s="121" t="s">
        <v>738</v>
      </c>
      <c r="E402" s="114" t="s">
        <v>794</v>
      </c>
      <c r="F402" s="113" t="s">
        <v>745</v>
      </c>
    </row>
    <row r="403" spans="1:6" ht="17.149999999999999" customHeight="1" x14ac:dyDescent="0.3">
      <c r="A403" s="112" t="s">
        <v>61</v>
      </c>
      <c r="B403" s="113" t="str">
        <f>VLOOKUP(A403,[10]Schedule_Invigilators!$A$352:$B$803,2,FALSE)</f>
        <v>Eric Amoah Asante</v>
      </c>
      <c r="C403" s="113" t="str">
        <f>VLOOKUP(A403,'[10]COMBINED_ATTD_INV (3)'!$A$710:$E$735,2,FALSE)</f>
        <v>Marian Bemma//</v>
      </c>
      <c r="D403" s="121" t="s">
        <v>708</v>
      </c>
      <c r="E403" s="114" t="s">
        <v>794</v>
      </c>
      <c r="F403" s="113" t="s">
        <v>745</v>
      </c>
    </row>
    <row r="404" spans="1:6" ht="17.149999999999999" customHeight="1" x14ac:dyDescent="0.3">
      <c r="A404" s="112" t="s">
        <v>467</v>
      </c>
      <c r="B404" s="113" t="str">
        <f>VLOOKUP(A404,[10]Schedule_Invigilators!$A$352:$B$803,2,FALSE)</f>
        <v>Charles Adrah</v>
      </c>
      <c r="C404" s="113" t="str">
        <f>VLOOKUP(A404,'[10]COMBINED_ATTD_INV (3)'!$A$710:$E$735,2,FALSE)</f>
        <v>Derrick Amoateng//</v>
      </c>
      <c r="D404" s="121" t="s">
        <v>755</v>
      </c>
      <c r="E404" s="114" t="s">
        <v>794</v>
      </c>
      <c r="F404" s="113" t="s">
        <v>745</v>
      </c>
    </row>
    <row r="405" spans="1:6" ht="17.149999999999999" customHeight="1" x14ac:dyDescent="0.3">
      <c r="A405" s="112" t="s">
        <v>468</v>
      </c>
      <c r="B405" s="113" t="str">
        <f>VLOOKUP(A405,[10]Schedule_Invigilators!$A$352:$B$803,2,FALSE)</f>
        <v>Francis Kofi Forson/ Francisca Adoma Acheampong</v>
      </c>
      <c r="C405" s="113" t="str">
        <f>VLOOKUP(A405,'[10]COMBINED_ATTD_INV (3)'!$A$710:$E$735,2,FALSE)</f>
        <v>John Ofosu//</v>
      </c>
      <c r="D405" s="121" t="s">
        <v>736</v>
      </c>
      <c r="E405" s="114" t="s">
        <v>794</v>
      </c>
      <c r="F405" s="113" t="s">
        <v>745</v>
      </c>
    </row>
    <row r="406" spans="1:6" ht="17.149999999999999" customHeight="1" x14ac:dyDescent="0.3">
      <c r="A406" s="112" t="s">
        <v>469</v>
      </c>
      <c r="B406" s="113" t="str">
        <f>VLOOKUP(A406,[10]Schedule_Invigilators!$A$352:$B$803,2,FALSE)</f>
        <v>Joseph Aveyire / Emmanuel Offei Akrofi</v>
      </c>
      <c r="C406" s="113" t="str">
        <f>VLOOKUP(A406,'[10]COMBINED_ATTD_INV (3)'!$A$710:$E$735,2,FALSE)</f>
        <v>Evans Korletey/Michael Owusu/</v>
      </c>
      <c r="D406" s="121" t="s">
        <v>735</v>
      </c>
      <c r="E406" s="114" t="s">
        <v>794</v>
      </c>
      <c r="F406" s="113" t="s">
        <v>745</v>
      </c>
    </row>
    <row r="407" spans="1:6" ht="17.149999999999999" customHeight="1" x14ac:dyDescent="0.3">
      <c r="A407" s="112" t="s">
        <v>42</v>
      </c>
      <c r="B407" s="113" t="str">
        <f>VLOOKUP(A407,[10]Schedule_Invigilators!$A$352:$B$803,2,FALSE)</f>
        <v>Ebenezer Mensah / Emmanuel Appiah-Adjei</v>
      </c>
      <c r="C407" s="113" t="str">
        <f>VLOOKUP(A407,'[10]COMBINED_ATTD_INV (3)'!$A$710:$E$735,2,FALSE)</f>
        <v>Rener Oppong/Fiifi Turkson/</v>
      </c>
      <c r="D407" s="121" t="s">
        <v>734</v>
      </c>
      <c r="E407" s="114" t="s">
        <v>794</v>
      </c>
      <c r="F407" s="113" t="s">
        <v>745</v>
      </c>
    </row>
    <row r="408" spans="1:6" ht="17.149999999999999" customHeight="1" x14ac:dyDescent="0.3">
      <c r="A408" s="112" t="s">
        <v>470</v>
      </c>
      <c r="B408" s="113" t="str">
        <f>VLOOKUP(A408,[10]Schedule_Invigilators!$A$352:$B$803,2,FALSE)</f>
        <v>Geophrey Kwame Anornu / Emmanuel Obuobi Kwame Addo</v>
      </c>
      <c r="C408" s="113" t="str">
        <f>VLOOKUP(A408,'[10]COMBINED_ATTD_INV (3)'!$A$710:$E$735,2,FALSE)</f>
        <v>Rebecca Yamoah//</v>
      </c>
      <c r="D408" s="121" t="s">
        <v>733</v>
      </c>
      <c r="E408" s="114" t="s">
        <v>794</v>
      </c>
      <c r="F408" s="113" t="s">
        <v>745</v>
      </c>
    </row>
    <row r="409" spans="1:6" ht="17.149999999999999" customHeight="1" x14ac:dyDescent="0.3">
      <c r="A409" s="112" t="s">
        <v>471</v>
      </c>
      <c r="B409" s="113" t="str">
        <f>VLOOKUP(A409,[10]Schedule_Invigilators!$A$352:$B$803,2,FALSE)</f>
        <v>Jonathan Atuquaye Quaye / F. K. A. Nyarko</v>
      </c>
      <c r="C409" s="113" t="str">
        <f>VLOOKUP(A409,'[10]COMBINED_ATTD_INV (3)'!$A$710:$E$735,2,FALSE)</f>
        <v>Sandra Essel//</v>
      </c>
      <c r="D409" s="121" t="s">
        <v>732</v>
      </c>
      <c r="E409" s="114" t="s">
        <v>794</v>
      </c>
      <c r="F409" s="113" t="s">
        <v>745</v>
      </c>
    </row>
    <row r="410" spans="1:6" ht="17.149999999999999" customHeight="1" x14ac:dyDescent="0.3">
      <c r="A410" s="112" t="s">
        <v>472</v>
      </c>
      <c r="B410" s="113" t="str">
        <f>VLOOKUP(A410,[10]Schedule_Invigilators!$A$352:$B$803,2,FALSE)</f>
        <v>Benjamin Kommey / Forkuo Eric Kwabena</v>
      </c>
      <c r="C410" s="113" t="str">
        <f>VLOOKUP(A410,'[10]COMBINED_ATTD_INV (3)'!$A$710:$E$735,2,FALSE)</f>
        <v>Bernard Audinada Ampofo/Fatawu Yakubu/</v>
      </c>
      <c r="D410" s="121" t="s">
        <v>731</v>
      </c>
      <c r="E410" s="114" t="s">
        <v>794</v>
      </c>
      <c r="F410" s="113" t="s">
        <v>745</v>
      </c>
    </row>
    <row r="411" spans="1:6" ht="17.149999999999999" customHeight="1" x14ac:dyDescent="0.3">
      <c r="A411" s="112" t="s">
        <v>108</v>
      </c>
      <c r="B411" s="113" t="str">
        <f>VLOOKUP(A411,[10]Schedule_Invigilators!$A$352:$B$803,2,FALSE)</f>
        <v>Eric Kwame Anokye Asare</v>
      </c>
      <c r="C411" s="113" t="str">
        <f>VLOOKUP(A411,'[10]COMBINED_ATTD_INV (3)'!$A$710:$E$735,2,FALSE)</f>
        <v>Clement Appiah//</v>
      </c>
      <c r="D411" s="121" t="s">
        <v>730</v>
      </c>
      <c r="E411" s="114" t="s">
        <v>794</v>
      </c>
      <c r="F411" s="113" t="s">
        <v>745</v>
      </c>
    </row>
    <row r="412" spans="1:6" ht="17.149999999999999" customHeight="1" x14ac:dyDescent="0.3">
      <c r="A412" s="112" t="s">
        <v>473</v>
      </c>
      <c r="B412" s="113" t="str">
        <f>VLOOKUP(A412,[10]Schedule_Invigilators!$A$352:$B$803,2,FALSE)</f>
        <v>Prince Yaw Andoh / Jonathan Arthur Quaye-Ballard</v>
      </c>
      <c r="C412" s="113" t="str">
        <f>VLOOKUP(A412,'[10]COMBINED_ATTD_INV (3)'!$A$710:$E$735,2,FALSE)</f>
        <v>Theresa Sarpong Peprah//</v>
      </c>
      <c r="D412" s="121" t="s">
        <v>700</v>
      </c>
      <c r="E412" s="114" t="s">
        <v>794</v>
      </c>
      <c r="F412" s="113" t="s">
        <v>745</v>
      </c>
    </row>
    <row r="413" spans="1:6" ht="17.149999999999999" customHeight="1" x14ac:dyDescent="0.3">
      <c r="A413" s="112" t="s">
        <v>474</v>
      </c>
      <c r="B413" s="113" t="str">
        <f>VLOOKUP(A413,[10]Schedule_Invigilators!$A$352:$B$803,2,FALSE)</f>
        <v>Emmanuel Kwesi Arthur</v>
      </c>
      <c r="C413" s="113" t="str">
        <f>VLOOKUP(A413,'[10]COMBINED_ATTD_INV (3)'!$A$710:$E$735,2,FALSE)</f>
        <v>Ruth Adwubi Sarfo//</v>
      </c>
      <c r="D413" s="121" t="s">
        <v>699</v>
      </c>
      <c r="E413" s="114" t="s">
        <v>794</v>
      </c>
      <c r="F413" s="113" t="s">
        <v>745</v>
      </c>
    </row>
    <row r="414" spans="1:6" ht="17.149999999999999" customHeight="1" x14ac:dyDescent="0.3">
      <c r="A414" s="112" t="s">
        <v>475</v>
      </c>
      <c r="B414" s="113" t="str">
        <f>VLOOKUP(A414,[10]Schedule_Invigilators!$A$352:$B$803,2,FALSE)</f>
        <v>Andrew Selasi Agbemenu</v>
      </c>
      <c r="C414" s="113" t="str">
        <f>VLOOKUP(A414,'[10]COMBINED_ATTD_INV (3)'!$A$710:$E$735,2,FALSE)</f>
        <v>Clement Dadzie//</v>
      </c>
      <c r="D414" s="121" t="s">
        <v>698</v>
      </c>
      <c r="E414" s="114" t="s">
        <v>794</v>
      </c>
      <c r="F414" s="113" t="s">
        <v>745</v>
      </c>
    </row>
    <row r="415" spans="1:6" ht="17.149999999999999" customHeight="1" x14ac:dyDescent="0.3">
      <c r="A415" s="112" t="s">
        <v>476</v>
      </c>
      <c r="B415" s="113" t="str">
        <f>VLOOKUP(A415,[10]Schedule_Invigilators!$A$352:$B$803,2,FALSE)</f>
        <v>William Amponsah /  S. H. M. Aikins</v>
      </c>
      <c r="C415" s="113" t="str">
        <f>VLOOKUP(A415,'[10]COMBINED_ATTD_INV (3)'!$A$710:$E$735,2,FALSE)</f>
        <v>Kwame Kwarteng Sarpong//</v>
      </c>
      <c r="D415" s="121" t="s">
        <v>729</v>
      </c>
      <c r="E415" s="114" t="s">
        <v>794</v>
      </c>
      <c r="F415" s="113" t="s">
        <v>745</v>
      </c>
    </row>
    <row r="416" spans="1:6" ht="17.149999999999999" customHeight="1" x14ac:dyDescent="0.3">
      <c r="A416" s="112" t="s">
        <v>477</v>
      </c>
      <c r="B416" s="113" t="str">
        <f>VLOOKUP(A416,[10]Schedule_Invigilators!$A$352:$B$803,2,FALSE)</f>
        <v xml:space="preserve">Gabriel Takyi / Benjamin Afotey </v>
      </c>
      <c r="C416" s="113" t="str">
        <f>VLOOKUP(A416,'[10]COMBINED_ATTD_INV (3)'!$A$710:$E$735,2,FALSE)</f>
        <v>Kwadwo Afful//</v>
      </c>
      <c r="D416" s="121" t="s">
        <v>696</v>
      </c>
      <c r="E416" s="114" t="s">
        <v>794</v>
      </c>
      <c r="F416" s="113" t="s">
        <v>745</v>
      </c>
    </row>
    <row r="417" spans="1:6" ht="17.149999999999999" customHeight="1" x14ac:dyDescent="0.3">
      <c r="A417" s="112" t="s">
        <v>144</v>
      </c>
      <c r="B417" s="113" t="str">
        <f>VLOOKUP(A417,[10]Schedule_Invigilators!$A$352:$B$803,2,FALSE)</f>
        <v>Bright Akowuah / Mary Mensah</v>
      </c>
      <c r="C417" s="113" t="str">
        <f>VLOOKUP(A417,'[10]COMBINED_ATTD_INV (3)'!$A$710:$E$735,2,FALSE)</f>
        <v>Loretta Owusu Ansah/Adjatu Busali/</v>
      </c>
      <c r="D417" s="121" t="s">
        <v>695</v>
      </c>
      <c r="E417" s="114" t="s">
        <v>794</v>
      </c>
      <c r="F417" s="113" t="s">
        <v>745</v>
      </c>
    </row>
    <row r="418" spans="1:6" ht="17.149999999999999" hidden="1" customHeight="1" x14ac:dyDescent="0.3">
      <c r="A418" s="112" t="s">
        <v>638</v>
      </c>
      <c r="B418" s="113" t="e">
        <f>VLOOKUP(A418,[10]Schedule_Invigilators!$A$352:$B$803,2,FALSE)</f>
        <v>#N/A</v>
      </c>
      <c r="C418" s="113" t="e">
        <f>VLOOKUP(A418,'[10]COMBINED_ATTD_INV (3)'!$A$710:$E$735,2,FALSE)</f>
        <v>#N/A</v>
      </c>
      <c r="D418" s="121" t="s">
        <v>694</v>
      </c>
      <c r="E418" s="114" t="s">
        <v>794</v>
      </c>
      <c r="F418" s="113" t="s">
        <v>745</v>
      </c>
    </row>
    <row r="419" spans="1:6" ht="17.149999999999999" customHeight="1" x14ac:dyDescent="0.3">
      <c r="A419" s="112" t="s">
        <v>637</v>
      </c>
      <c r="B419" s="113" t="str">
        <f>VLOOKUP(A419,[10]Schedule_Invigilators!$A$352:$B$803,2,FALSE)</f>
        <v>Eliel Keelson / Isaac Dadzie / Simon Kafui Yawo Gawu / Andrew Cudzo Amenuvor</v>
      </c>
      <c r="C419" s="113" t="str">
        <f>VLOOKUP(A419,'[10]COMBINED_ATTD_INV (3)'!$A$710:$E$735,2,FALSE)</f>
        <v>Micheal Obbo/Bernard Annan/Robert Kofi Kyere</v>
      </c>
      <c r="D419" s="121" t="s">
        <v>693</v>
      </c>
      <c r="E419" s="114" t="s">
        <v>794</v>
      </c>
      <c r="F419" s="113" t="s">
        <v>745</v>
      </c>
    </row>
    <row r="420" spans="1:6" ht="17.149999999999999" customHeight="1" x14ac:dyDescent="0.3">
      <c r="A420" s="112" t="s">
        <v>636</v>
      </c>
      <c r="B420" s="113" t="str">
        <f>VLOOKUP(A420,[10]Schedule_Invigilators!$A$352:$B$803,2,FALSE)</f>
        <v>John Wise Divine Ayer / Bukari Ali / Patrick Boakye</v>
      </c>
      <c r="C420" s="113" t="str">
        <f>VLOOKUP(A420,'[10]COMBINED_ATTD_INV (3)'!$A$710:$E$735,2,FALSE)</f>
        <v>Rener Oppong/Perseverance Dzikunu/Adom Ebenezer</v>
      </c>
      <c r="D420" s="121" t="s">
        <v>692</v>
      </c>
      <c r="E420" s="114" t="s">
        <v>794</v>
      </c>
      <c r="F420" s="113" t="s">
        <v>745</v>
      </c>
    </row>
    <row r="421" spans="1:6" ht="17.149999999999999" customHeight="1" x14ac:dyDescent="0.3">
      <c r="A421" s="112" t="s">
        <v>635</v>
      </c>
      <c r="B421" s="113" t="str">
        <f>VLOOKUP(A421,[10]Schedule_Invigilators!$A$352:$B$803,2,FALSE)</f>
        <v>Kingsford Sarkodie Obeng Kwakye / Godfrey Chiri Amedjoe / Gordon Foli</v>
      </c>
      <c r="C421" s="113" t="str">
        <f>VLOOKUP(A421,'[10]COMBINED_ATTD_INV (3)'!$A$710:$E$735,2,FALSE)</f>
        <v>Kingsley Kyei Baffour/Bright Andoh-Baidoo/</v>
      </c>
      <c r="D421" s="121" t="s">
        <v>691</v>
      </c>
      <c r="E421" s="114" t="s">
        <v>794</v>
      </c>
      <c r="F421" s="113" t="s">
        <v>745</v>
      </c>
    </row>
    <row r="422" spans="1:6" ht="17.149999999999999" customHeight="1" x14ac:dyDescent="0.3">
      <c r="A422" s="112" t="s">
        <v>634</v>
      </c>
      <c r="B422" s="113" t="str">
        <f>VLOOKUP(A422,[10]Schedule_Invigilators!$A$352:$B$803,2,FALSE)</f>
        <v>Cosmas Yaw Asante / Albert Amatey Adjaottor</v>
      </c>
      <c r="C422" s="113" t="str">
        <f>VLOOKUP(A422,'[10]COMBINED_ATTD_INV (3)'!$A$710:$E$735,2,FALSE)</f>
        <v>Ernest Dapaah//</v>
      </c>
      <c r="D422" s="121" t="s">
        <v>690</v>
      </c>
      <c r="E422" s="114" t="s">
        <v>794</v>
      </c>
      <c r="F422" s="113" t="s">
        <v>745</v>
      </c>
    </row>
    <row r="423" spans="1:6" ht="17.149999999999999" customHeight="1" x14ac:dyDescent="0.3">
      <c r="A423" s="112"/>
      <c r="B423" s="113"/>
      <c r="C423" s="113"/>
      <c r="D423" s="113"/>
      <c r="E423" s="114"/>
      <c r="F423" s="113"/>
    </row>
    <row r="424" spans="1:6" s="118" customFormat="1" ht="17.149999999999999" customHeight="1" x14ac:dyDescent="0.3">
      <c r="A424" s="119" t="s">
        <v>642</v>
      </c>
      <c r="B424" s="119" t="s">
        <v>526</v>
      </c>
      <c r="C424" s="119" t="s">
        <v>672</v>
      </c>
      <c r="D424" s="119" t="s">
        <v>671</v>
      </c>
      <c r="E424" s="124" t="s">
        <v>641</v>
      </c>
      <c r="F424" s="119" t="s">
        <v>640</v>
      </c>
    </row>
    <row r="425" spans="1:6" ht="17.149999999999999" customHeight="1" x14ac:dyDescent="0.3">
      <c r="A425" s="112" t="s">
        <v>35</v>
      </c>
      <c r="B425" s="113" t="str">
        <f>VLOOKUP(A425,[10]Schedule_Invigilators!$A$379:$B$803,2,FALSE)</f>
        <v>Augustus Ababio Donkor</v>
      </c>
      <c r="C425" s="113" t="str">
        <f>VLOOKUP(A425,'[10]COMBINED_ATTD_INV (3)'!$A$738:$E$763,2,FALSE)</f>
        <v>Theresa Sarpong Peprah//</v>
      </c>
      <c r="D425" s="121" t="s">
        <v>689</v>
      </c>
      <c r="E425" s="114" t="s">
        <v>794</v>
      </c>
      <c r="F425" s="113" t="s">
        <v>728</v>
      </c>
    </row>
    <row r="426" spans="1:6" ht="17.149999999999999" customHeight="1" x14ac:dyDescent="0.3">
      <c r="A426" s="112" t="s">
        <v>510</v>
      </c>
      <c r="B426" s="113" t="str">
        <f>VLOOKUP(A426,[10]Schedule_Invigilators!$A$379:$B$803,2,FALSE)</f>
        <v>Kwame Sarkodie</v>
      </c>
      <c r="C426" s="113" t="str">
        <f>VLOOKUP(A426,'[10]COMBINED_ATTD_INV (3)'!$A$738:$E$763,2,FALSE)</f>
        <v>George Ansong//</v>
      </c>
      <c r="D426" s="121" t="s">
        <v>749</v>
      </c>
      <c r="E426" s="114" t="s">
        <v>794</v>
      </c>
      <c r="F426" s="113" t="s">
        <v>728</v>
      </c>
    </row>
    <row r="427" spans="1:6" ht="17.149999999999999" customHeight="1" x14ac:dyDescent="0.3">
      <c r="A427" s="112" t="s">
        <v>508</v>
      </c>
      <c r="B427" s="113" t="str">
        <f>VLOOKUP(A427,[10]Schedule_Invigilators!$A$379:$B$803,2,FALSE)</f>
        <v>Martinson Addo Nartey</v>
      </c>
      <c r="C427" s="113" t="str">
        <f>VLOOKUP(A427,'[10]COMBINED_ATTD_INV (3)'!$A$738:$E$763,2,FALSE)</f>
        <v>Derrick Owusu Mensah//</v>
      </c>
      <c r="D427" s="121" t="s">
        <v>688</v>
      </c>
      <c r="E427" s="114" t="s">
        <v>794</v>
      </c>
      <c r="F427" s="113" t="s">
        <v>728</v>
      </c>
    </row>
    <row r="428" spans="1:6" ht="17.149999999999999" customHeight="1" x14ac:dyDescent="0.3">
      <c r="A428" s="112" t="s">
        <v>466</v>
      </c>
      <c r="B428" s="113" t="str">
        <f>VLOOKUP(A428,[10]Schedule_Invigilators!$A$379:$B$803,2,FALSE)</f>
        <v>Kenneth Adomako Tutu / Alfred Alan Duker</v>
      </c>
      <c r="C428" s="113" t="str">
        <f>VLOOKUP(A428,'[10]COMBINED_ATTD_INV (3)'!$A$738:$E$763,2,FALSE)</f>
        <v>Victoria Agyenim-Boateng/Michael Owusu/</v>
      </c>
      <c r="D428" s="121" t="s">
        <v>687</v>
      </c>
      <c r="E428" s="114" t="s">
        <v>794</v>
      </c>
      <c r="F428" s="113" t="s">
        <v>728</v>
      </c>
    </row>
    <row r="429" spans="1:6" ht="17.149999999999999" customHeight="1" x14ac:dyDescent="0.3">
      <c r="A429" s="112">
        <v>206</v>
      </c>
      <c r="B429" s="113" t="str">
        <f>VLOOKUP(A429,[10]Schedule_Invigilators!$A$379:$B$803,2,FALSE)</f>
        <v>Albert Asare</v>
      </c>
      <c r="C429" s="113" t="str">
        <f>VLOOKUP(A429,'[10]COMBINED_ATTD_INV (3)'!$A$738:$E$763,2,FALSE)</f>
        <v>Edward Kpetege//</v>
      </c>
      <c r="D429" s="121" t="s">
        <v>686</v>
      </c>
      <c r="E429" s="114" t="s">
        <v>794</v>
      </c>
      <c r="F429" s="113" t="s">
        <v>728</v>
      </c>
    </row>
    <row r="430" spans="1:6" ht="17.149999999999999" customHeight="1" x14ac:dyDescent="0.3">
      <c r="A430" s="112">
        <v>303</v>
      </c>
      <c r="B430" s="113" t="str">
        <f>VLOOKUP(A430,[10]Schedule_Invigilators!$A$379:$B$803,2,FALSE)</f>
        <v>Prosper Akaba / Dorothy Araba Yakoba Agyapong</v>
      </c>
      <c r="C430" s="113" t="str">
        <f>VLOOKUP(A430,'[10]COMBINED_ATTD_INV (3)'!$A$738:$E$763,2,FALSE)</f>
        <v>Linda Berko//</v>
      </c>
      <c r="D430" s="121" t="s">
        <v>685</v>
      </c>
      <c r="E430" s="114" t="s">
        <v>794</v>
      </c>
      <c r="F430" s="113" t="s">
        <v>728</v>
      </c>
    </row>
    <row r="431" spans="1:6" ht="17.149999999999999" customHeight="1" x14ac:dyDescent="0.3">
      <c r="A431" s="112">
        <v>304</v>
      </c>
      <c r="B431" s="113" t="str">
        <f>VLOOKUP(A431,[10]Schedule_Invigilators!$A$379:$B$803,2,FALSE)</f>
        <v>Theresa-Samuelle Maame Atwemaa Adjaidoo</v>
      </c>
      <c r="C431" s="113" t="str">
        <f>VLOOKUP(A431,'[10]COMBINED_ATTD_INV (3)'!$A$738:$E$763,2,FALSE)</f>
        <v>Eric Soku//</v>
      </c>
      <c r="D431" s="121" t="s">
        <v>684</v>
      </c>
      <c r="E431" s="114" t="s">
        <v>794</v>
      </c>
      <c r="F431" s="113" t="s">
        <v>728</v>
      </c>
    </row>
    <row r="432" spans="1:6" ht="17.149999999999999" customHeight="1" x14ac:dyDescent="0.3">
      <c r="A432" s="112" t="s">
        <v>61</v>
      </c>
      <c r="B432" s="113" t="str">
        <f>VLOOKUP(A432,[10]Schedule_Invigilators!$A$379:$B$803,2,FALSE)</f>
        <v>Martina Francisca Baidoo</v>
      </c>
      <c r="C432" s="113" t="str">
        <f>VLOOKUP(A432,'[10]COMBINED_ATTD_INV (3)'!$A$738:$E$763,2,FALSE)</f>
        <v>Salamatu Salifu//</v>
      </c>
      <c r="D432" s="121" t="s">
        <v>683</v>
      </c>
      <c r="E432" s="114" t="s">
        <v>794</v>
      </c>
      <c r="F432" s="113" t="s">
        <v>728</v>
      </c>
    </row>
    <row r="433" spans="1:6" ht="17.149999999999999" customHeight="1" x14ac:dyDescent="0.3">
      <c r="A433" s="112" t="s">
        <v>467</v>
      </c>
      <c r="B433" s="113" t="str">
        <f>VLOOKUP(A433,[10]Schedule_Invigilators!$A$379:$B$803,2,FALSE)</f>
        <v>Matthew Coffie Wilson</v>
      </c>
      <c r="C433" s="113" t="str">
        <f>VLOOKUP(A433,'[10]COMBINED_ATTD_INV (3)'!$A$738:$E$763,2,FALSE)</f>
        <v>Derrick Amoateng//</v>
      </c>
      <c r="D433" s="121" t="s">
        <v>682</v>
      </c>
      <c r="E433" s="114" t="s">
        <v>794</v>
      </c>
      <c r="F433" s="113" t="s">
        <v>728</v>
      </c>
    </row>
    <row r="434" spans="1:6" ht="17.149999999999999" customHeight="1" x14ac:dyDescent="0.3">
      <c r="A434" s="112" t="s">
        <v>468</v>
      </c>
      <c r="B434" s="113" t="str">
        <f>VLOOKUP(A434,[10]Schedule_Invigilators!$A$379:$B$803,2,FALSE)</f>
        <v>Emmanuel Offei Akrofi / Joseph Aveyire</v>
      </c>
      <c r="C434" s="113" t="str">
        <f>VLOOKUP(A434,'[10]COMBINED_ATTD_INV (3)'!$A$738:$E$763,2,FALSE)</f>
        <v>John Ofosu//</v>
      </c>
      <c r="D434" s="121" t="s">
        <v>681</v>
      </c>
      <c r="E434" s="114" t="s">
        <v>794</v>
      </c>
      <c r="F434" s="113" t="s">
        <v>728</v>
      </c>
    </row>
    <row r="435" spans="1:6" ht="17.149999999999999" customHeight="1" x14ac:dyDescent="0.3">
      <c r="A435" s="112" t="s">
        <v>469</v>
      </c>
      <c r="B435" s="113" t="str">
        <f>VLOOKUP(A435,[10]Schedule_Invigilators!$A$379:$B$803,2,FALSE)</f>
        <v>Benjamin Afotey / Faisal Wahib Adam</v>
      </c>
      <c r="C435" s="113" t="str">
        <f>VLOOKUP(A435,'[10]COMBINED_ATTD_INV (3)'!$A$738:$E$763,2,FALSE)</f>
        <v>Owusu Stephen Akuoku/Samuel Osei-Asibey Bonsu/</v>
      </c>
      <c r="D435" s="121" t="s">
        <v>680</v>
      </c>
      <c r="E435" s="114" t="s">
        <v>794</v>
      </c>
      <c r="F435" s="113" t="s">
        <v>728</v>
      </c>
    </row>
    <row r="436" spans="1:6" ht="17.149999999999999" customHeight="1" x14ac:dyDescent="0.3">
      <c r="A436" s="112" t="s">
        <v>42</v>
      </c>
      <c r="B436" s="113" t="str">
        <f>VLOOKUP(A436,[10]Schedule_Invigilators!$A$379:$B$803,2,FALSE)</f>
        <v>Yesuenyeagbe Fiagbe / Godfred Boahen</v>
      </c>
      <c r="C436" s="113" t="str">
        <f>VLOOKUP(A436,'[10]COMBINED_ATTD_INV (3)'!$A$738:$E$763,2,FALSE)</f>
        <v>Kofi Bentum/Gifty Edem Senyaglo/</v>
      </c>
      <c r="D436" s="121" t="s">
        <v>679</v>
      </c>
      <c r="E436" s="114" t="s">
        <v>794</v>
      </c>
      <c r="F436" s="113" t="s">
        <v>728</v>
      </c>
    </row>
    <row r="437" spans="1:6" ht="17.149999999999999" customHeight="1" x14ac:dyDescent="0.3">
      <c r="A437" s="112" t="s">
        <v>470</v>
      </c>
      <c r="B437" s="113" t="str">
        <f>VLOOKUP(A437,[10]Schedule_Invigilators!$A$379:$B$803,2,FALSE)</f>
        <v xml:space="preserve">Samuel Erzuah / John Wise Divine Ayer </v>
      </c>
      <c r="C437" s="113" t="str">
        <f>VLOOKUP(A437,'[10]COMBINED_ATTD_INV (3)'!$A$738:$E$763,2,FALSE)</f>
        <v>Richmond Awotwe//</v>
      </c>
      <c r="D437" s="121" t="s">
        <v>677</v>
      </c>
      <c r="E437" s="114" t="s">
        <v>794</v>
      </c>
      <c r="F437" s="113" t="s">
        <v>728</v>
      </c>
    </row>
    <row r="438" spans="1:6" ht="17.149999999999999" customHeight="1" x14ac:dyDescent="0.3">
      <c r="A438" s="112" t="s">
        <v>471</v>
      </c>
      <c r="B438" s="113" t="str">
        <f>VLOOKUP(A438,[10]Schedule_Invigilators!$A$379:$B$803,2,FALSE)</f>
        <v>F. K. A. Nyarko / Jude Bonsu</v>
      </c>
      <c r="C438" s="113" t="str">
        <f>VLOOKUP(A438,'[10]COMBINED_ATTD_INV (3)'!$A$738:$E$763,2,FALSE)</f>
        <v>Joseph Benneth Kankam//</v>
      </c>
      <c r="D438" s="121" t="s">
        <v>676</v>
      </c>
      <c r="E438" s="114" t="s">
        <v>794</v>
      </c>
      <c r="F438" s="113" t="s">
        <v>728</v>
      </c>
    </row>
    <row r="439" spans="1:6" ht="17.149999999999999" customHeight="1" x14ac:dyDescent="0.3">
      <c r="A439" s="112" t="s">
        <v>472</v>
      </c>
      <c r="B439" s="113" t="str">
        <f>VLOOKUP(A439,[10]Schedule_Invigilators!$A$379:$B$803,2,FALSE)</f>
        <v>Andrew Cudzo Amenuvor / Jonathan Atuquaye Quaye</v>
      </c>
      <c r="C439" s="113" t="str">
        <f>VLOOKUP(A439,'[10]COMBINED_ATTD_INV (3)'!$A$738:$E$763,2,FALSE)</f>
        <v>Bernard Audinada Ampofo/Fatawu Yakubu/</v>
      </c>
      <c r="D439" s="121" t="s">
        <v>675</v>
      </c>
      <c r="E439" s="114" t="s">
        <v>794</v>
      </c>
      <c r="F439" s="113" t="s">
        <v>728</v>
      </c>
    </row>
    <row r="440" spans="1:6" ht="17.149999999999999" customHeight="1" x14ac:dyDescent="0.3">
      <c r="A440" s="112" t="s">
        <v>108</v>
      </c>
      <c r="B440" s="113" t="str">
        <f>VLOOKUP(A440,[10]Schedule_Invigilators!$A$379:$B$803,2,FALSE)</f>
        <v>Eric Kwame Anokye Asare</v>
      </c>
      <c r="C440" s="113" t="str">
        <f>VLOOKUP(A440,'[10]COMBINED_ATTD_INV (3)'!$A$738:$E$763,2,FALSE)</f>
        <v>Clement Appiah//</v>
      </c>
      <c r="D440" s="121" t="s">
        <v>674</v>
      </c>
      <c r="E440" s="114" t="s">
        <v>794</v>
      </c>
      <c r="F440" s="113" t="s">
        <v>728</v>
      </c>
    </row>
    <row r="441" spans="1:6" ht="17.149999999999999" customHeight="1" x14ac:dyDescent="0.3">
      <c r="A441" s="112" t="s">
        <v>473</v>
      </c>
      <c r="B441" s="113" t="str">
        <f>VLOOKUP(A441,[10]Schedule_Invigilators!$A$379:$B$803,2,FALSE)</f>
        <v>Benjamin Kommey / Jack Osei Banahene</v>
      </c>
      <c r="C441" s="113" t="str">
        <f>VLOOKUP(A441,'[10]COMBINED_ATTD_INV (3)'!$A$738:$E$763,2,FALSE)</f>
        <v>Godfred Appiah//</v>
      </c>
      <c r="D441" s="121" t="s">
        <v>670</v>
      </c>
      <c r="E441" s="114" t="s">
        <v>794</v>
      </c>
      <c r="F441" s="113" t="s">
        <v>728</v>
      </c>
    </row>
    <row r="442" spans="1:6" ht="17.149999999999999" customHeight="1" x14ac:dyDescent="0.3">
      <c r="A442" s="112" t="s">
        <v>474</v>
      </c>
      <c r="B442" s="113" t="str">
        <f>VLOOKUP(A442,[10]Schedule_Invigilators!$A$379:$B$803,2,FALSE)</f>
        <v>Mary Mensah</v>
      </c>
      <c r="C442" s="113" t="str">
        <f>VLOOKUP(A442,'[10]COMBINED_ATTD_INV (3)'!$A$738:$E$763,2,FALSE)</f>
        <v>Abigail Akos Worlanyo//</v>
      </c>
      <c r="D442" s="121" t="s">
        <v>669</v>
      </c>
      <c r="E442" s="114" t="s">
        <v>794</v>
      </c>
      <c r="F442" s="113" t="s">
        <v>728</v>
      </c>
    </row>
    <row r="443" spans="1:6" ht="17.149999999999999" customHeight="1" x14ac:dyDescent="0.3">
      <c r="A443" s="112" t="s">
        <v>475</v>
      </c>
      <c r="B443" s="113" t="str">
        <f>VLOOKUP(A443,[10]Schedule_Invigilators!$A$379:$B$803,2,FALSE)</f>
        <v>Kofi Owura Amoabeng</v>
      </c>
      <c r="C443" s="113" t="str">
        <f>VLOOKUP(A443,'[10]COMBINED_ATTD_INV (3)'!$A$738:$E$763,2,FALSE)</f>
        <v>Sandra Essel//</v>
      </c>
      <c r="D443" s="121" t="s">
        <v>668</v>
      </c>
      <c r="E443" s="114" t="s">
        <v>794</v>
      </c>
      <c r="F443" s="113" t="s">
        <v>728</v>
      </c>
    </row>
    <row r="444" spans="1:6" ht="17.149999999999999" customHeight="1" x14ac:dyDescent="0.3">
      <c r="A444" s="112" t="s">
        <v>476</v>
      </c>
      <c r="B444" s="113" t="str">
        <f>VLOOKUP(A444,[10]Schedule_Invigilators!$A$379:$B$803,2,FALSE)</f>
        <v>William Amponsah / Jones Owusu Twumasi</v>
      </c>
      <c r="C444" s="113" t="str">
        <f>VLOOKUP(A444,'[10]COMBINED_ATTD_INV (3)'!$A$738:$E$763,2,FALSE)</f>
        <v>Kwame Kwarteng Sarpong//</v>
      </c>
      <c r="D444" s="121" t="s">
        <v>748</v>
      </c>
      <c r="E444" s="114" t="s">
        <v>794</v>
      </c>
      <c r="F444" s="113" t="s">
        <v>728</v>
      </c>
    </row>
    <row r="445" spans="1:6" ht="17.149999999999999" customHeight="1" x14ac:dyDescent="0.3">
      <c r="A445" s="112" t="s">
        <v>477</v>
      </c>
      <c r="B445" s="113" t="str">
        <f>VLOOKUP(A445,[10]Schedule_Invigilators!$A$379:$B$803,2,FALSE)</f>
        <v>Andrew Selasi Agbemenu / Samuel Osah</v>
      </c>
      <c r="C445" s="113" t="str">
        <f>VLOOKUP(A445,'[10]COMBINED_ATTD_INV (3)'!$A$738:$E$763,2,FALSE)</f>
        <v>Benjamin Nana Oduro Konadu//</v>
      </c>
      <c r="D445" s="121" t="s">
        <v>666</v>
      </c>
      <c r="E445" s="114" t="s">
        <v>794</v>
      </c>
      <c r="F445" s="113" t="s">
        <v>728</v>
      </c>
    </row>
    <row r="446" spans="1:6" ht="17.149999999999999" customHeight="1" x14ac:dyDescent="0.3">
      <c r="A446" s="112" t="s">
        <v>144</v>
      </c>
      <c r="B446" s="113" t="str">
        <f>VLOOKUP(A446,[10]Schedule_Invigilators!$A$379:$B$803,2,FALSE)</f>
        <v>Bright Akowuah / Blestmond Afrifa Brako</v>
      </c>
      <c r="C446" s="113" t="str">
        <f>VLOOKUP(A446,'[10]COMBINED_ATTD_INV (3)'!$A$738:$E$763,2,FALSE)</f>
        <v>Loretta Owusu Ansah/Desmond Adu-Yeboah/</v>
      </c>
      <c r="D446" s="121" t="s">
        <v>665</v>
      </c>
      <c r="E446" s="114" t="s">
        <v>794</v>
      </c>
      <c r="F446" s="113" t="s">
        <v>728</v>
      </c>
    </row>
    <row r="447" spans="1:6" ht="17.149999999999999" hidden="1" customHeight="1" x14ac:dyDescent="0.3">
      <c r="A447" s="112" t="s">
        <v>638</v>
      </c>
      <c r="B447" s="113" t="e">
        <f>VLOOKUP(A447,[10]Schedule_Invigilators!$A$379:$B$803,2,FALSE)</f>
        <v>#N/A</v>
      </c>
      <c r="C447" s="113" t="e">
        <f>VLOOKUP(A447,'[10]COMBINED_ATTD_INV (3)'!$A$738:$E$763,2,FALSE)</f>
        <v>#N/A</v>
      </c>
      <c r="D447" s="121" t="s">
        <v>664</v>
      </c>
      <c r="E447" s="114" t="s">
        <v>794</v>
      </c>
      <c r="F447" s="113" t="s">
        <v>728</v>
      </c>
    </row>
    <row r="448" spans="1:6" ht="17.149999999999999" customHeight="1" x14ac:dyDescent="0.3">
      <c r="A448" s="112" t="s">
        <v>637</v>
      </c>
      <c r="B448" s="113" t="str">
        <f>VLOOKUP(A448,[10]Schedule_Invigilators!$A$379:$B$803,2,FALSE)</f>
        <v>Albert Kwame Kwaw / Stephen Adjei / Daniel Oduro Boatey Nuamah / Jones Owusu Twumasi</v>
      </c>
      <c r="C448" s="113" t="str">
        <f>VLOOKUP(A448,'[10]COMBINED_ATTD_INV (3)'!$A$738:$E$763,2,FALSE)</f>
        <v>Micheal Obbo/Getrude Opoku/Robert Kofi Kyere</v>
      </c>
      <c r="D448" s="121" t="s">
        <v>663</v>
      </c>
      <c r="E448" s="114" t="s">
        <v>794</v>
      </c>
      <c r="F448" s="113" t="s">
        <v>728</v>
      </c>
    </row>
    <row r="449" spans="1:6" ht="17.149999999999999" customHeight="1" x14ac:dyDescent="0.3">
      <c r="A449" s="112" t="s">
        <v>636</v>
      </c>
      <c r="B449" s="113" t="str">
        <f>VLOOKUP(A449,[10]Schedule_Invigilators!$A$379:$B$803,2,FALSE)</f>
        <v xml:space="preserve"> Ebenezer Mensah / Henry Nunoo-Mensah / Emmanuel Kwesi Arthur </v>
      </c>
      <c r="C449" s="113" t="str">
        <f>VLOOKUP(A449,'[10]COMBINED_ATTD_INV (3)'!$A$738:$E$763,2,FALSE)</f>
        <v>Peter Agetinga/Perseverance Dzikunu/Adom Ebenezer</v>
      </c>
      <c r="D449" s="121" t="s">
        <v>746</v>
      </c>
      <c r="E449" s="114" t="s">
        <v>794</v>
      </c>
      <c r="F449" s="113" t="s">
        <v>728</v>
      </c>
    </row>
    <row r="450" spans="1:6" ht="17.149999999999999" customHeight="1" x14ac:dyDescent="0.3">
      <c r="A450" s="112" t="s">
        <v>635</v>
      </c>
      <c r="B450" s="113" t="str">
        <f>VLOOKUP(A450,[10]Schedule_Invigilators!$A$379:$B$803,2,FALSE)</f>
        <v>Kingsford Sarkodie Obeng Kwakye / Gordon Foli / Henry Nunoo-Mensah</v>
      </c>
      <c r="C450" s="113" t="str">
        <f>VLOOKUP(A450,'[10]COMBINED_ATTD_INV (3)'!$A$738:$E$763,2,FALSE)</f>
        <v>Kingsley Kyei Baffour/Bright Andoh-Baidoo/</v>
      </c>
      <c r="D450" s="121" t="s">
        <v>662</v>
      </c>
      <c r="E450" s="114" t="s">
        <v>794</v>
      </c>
      <c r="F450" s="113" t="s">
        <v>728</v>
      </c>
    </row>
    <row r="451" spans="1:6" ht="17.149999999999999" customHeight="1" x14ac:dyDescent="0.3">
      <c r="A451" s="112" t="s">
        <v>634</v>
      </c>
      <c r="B451" s="113" t="str">
        <f>VLOOKUP(A451,[10]Schedule_Invigilators!$A$379:$B$803,2,FALSE)</f>
        <v>Sefakor Dogbe / Daniel Kwegyir</v>
      </c>
      <c r="C451" s="113" t="str">
        <f>VLOOKUP(A451,'[10]COMBINED_ATTD_INV (3)'!$A$738:$E$763,2,FALSE)</f>
        <v>Ernest Dapaah//</v>
      </c>
      <c r="D451" s="121" t="s">
        <v>661</v>
      </c>
      <c r="E451" s="114" t="s">
        <v>794</v>
      </c>
      <c r="F451" s="113" t="s">
        <v>728</v>
      </c>
    </row>
    <row r="452" spans="1:6" ht="17.149999999999999" customHeight="1" x14ac:dyDescent="0.3">
      <c r="A452" s="112"/>
      <c r="B452" s="113"/>
      <c r="C452" s="113"/>
      <c r="D452" s="113"/>
      <c r="E452" s="114"/>
      <c r="F452" s="113"/>
    </row>
    <row r="453" spans="1:6" s="118" customFormat="1" ht="17.149999999999999" customHeight="1" x14ac:dyDescent="0.3">
      <c r="A453" s="119" t="s">
        <v>642</v>
      </c>
      <c r="B453" s="119" t="s">
        <v>526</v>
      </c>
      <c r="C453" s="119" t="s">
        <v>672</v>
      </c>
      <c r="D453" s="119" t="s">
        <v>671</v>
      </c>
      <c r="E453" s="124" t="s">
        <v>641</v>
      </c>
      <c r="F453" s="119" t="s">
        <v>640</v>
      </c>
    </row>
    <row r="454" spans="1:6" ht="17.149999999999999" customHeight="1" x14ac:dyDescent="0.3">
      <c r="A454" s="112" t="s">
        <v>35</v>
      </c>
      <c r="B454" s="113" t="str">
        <f>VLOOKUP(A454,[10]Schedule_Invigilators!$A$406:$B$803,2,FALSE)</f>
        <v>Evans Amponsah</v>
      </c>
      <c r="C454" s="113" t="str">
        <f>VLOOKUP(A454,'[10]COMBINED_ATTD_INV (3)'!$A$766:$E$791,2,FALSE)</f>
        <v>Reuben Asare Bediako//</v>
      </c>
      <c r="D454" s="121" t="s">
        <v>660</v>
      </c>
      <c r="E454" s="114" t="s">
        <v>794</v>
      </c>
      <c r="F454" s="113" t="s">
        <v>701</v>
      </c>
    </row>
    <row r="455" spans="1:6" ht="17.149999999999999" customHeight="1" x14ac:dyDescent="0.3">
      <c r="A455" s="112" t="s">
        <v>510</v>
      </c>
      <c r="B455" s="113" t="str">
        <f>VLOOKUP(A455,[10]Schedule_Invigilators!$A$406:$B$803,2,FALSE)</f>
        <v>Geophrey Kwame Anornu</v>
      </c>
      <c r="C455" s="113" t="str">
        <f>VLOOKUP(A455,'[10]COMBINED_ATTD_INV (3)'!$A$766:$E$791,2,FALSE)</f>
        <v>Victoria Agyenim-Boateng//</v>
      </c>
      <c r="D455" s="121" t="s">
        <v>763</v>
      </c>
      <c r="E455" s="114" t="s">
        <v>794</v>
      </c>
      <c r="F455" s="113" t="s">
        <v>701</v>
      </c>
    </row>
    <row r="456" spans="1:6" ht="17.149999999999999" customHeight="1" x14ac:dyDescent="0.3">
      <c r="A456" s="112" t="s">
        <v>508</v>
      </c>
      <c r="B456" s="113" t="str">
        <f>VLOOKUP(A456,[10]Schedule_Invigilators!$A$406:$B$803,2,FALSE)</f>
        <v>Emmanuel Ampoma Affum</v>
      </c>
      <c r="C456" s="113" t="str">
        <f>VLOOKUP(A456,'[10]COMBINED_ATTD_INV (3)'!$A$766:$E$791,2,FALSE)</f>
        <v>Derrick Owusu Mensah//</v>
      </c>
      <c r="D456" s="121" t="s">
        <v>659</v>
      </c>
      <c r="E456" s="114" t="s">
        <v>794</v>
      </c>
      <c r="F456" s="113" t="s">
        <v>701</v>
      </c>
    </row>
    <row r="457" spans="1:6" ht="17.149999999999999" customHeight="1" x14ac:dyDescent="0.3">
      <c r="A457" s="112" t="s">
        <v>466</v>
      </c>
      <c r="B457" s="113" t="str">
        <f>VLOOKUP(A457,[10]Schedule_Invigilators!$A$406:$B$803,2,FALSE)</f>
        <v>Simon Kafui Yawo Gawu /David Oppong</v>
      </c>
      <c r="C457" s="113" t="str">
        <f>VLOOKUP(A457,'[10]COMBINED_ATTD_INV (3)'!$A$766:$E$791,2,FALSE)</f>
        <v>Issaka Ali Sambo/Paul Dery/</v>
      </c>
      <c r="D457" s="121" t="s">
        <v>658</v>
      </c>
      <c r="E457" s="114" t="s">
        <v>794</v>
      </c>
      <c r="F457" s="113" t="s">
        <v>701</v>
      </c>
    </row>
    <row r="458" spans="1:6" ht="17.149999999999999" customHeight="1" x14ac:dyDescent="0.3">
      <c r="A458" s="112">
        <v>206</v>
      </c>
      <c r="B458" s="113" t="str">
        <f>VLOOKUP(A458,[10]Schedule_Invigilators!$A$406:$B$803,2,FALSE)</f>
        <v>Bennetta Koomson</v>
      </c>
      <c r="C458" s="113" t="str">
        <f>VLOOKUP(A458,'[10]COMBINED_ATTD_INV (3)'!$A$766:$E$791,2,FALSE)</f>
        <v>Peter Agetinga//</v>
      </c>
      <c r="D458" s="121" t="s">
        <v>657</v>
      </c>
      <c r="E458" s="114" t="s">
        <v>794</v>
      </c>
      <c r="F458" s="113" t="s">
        <v>701</v>
      </c>
    </row>
    <row r="459" spans="1:6" ht="17.149999999999999" customHeight="1" x14ac:dyDescent="0.3">
      <c r="A459" s="112">
        <v>303</v>
      </c>
      <c r="B459" s="113" t="str">
        <f>VLOOKUP(A459,[10]Schedule_Invigilators!$A$406:$B$803,2,FALSE)</f>
        <v>Ayuba Bene Adam / Blestmond Afrifa Brako</v>
      </c>
      <c r="C459" s="113" t="str">
        <f>VLOOKUP(A459,'[10]COMBINED_ATTD_INV (3)'!$A$766:$E$791,2,FALSE)</f>
        <v>Benjamin Opoku Atuahene//</v>
      </c>
      <c r="D459" s="121" t="s">
        <v>656</v>
      </c>
      <c r="E459" s="114" t="s">
        <v>794</v>
      </c>
      <c r="F459" s="113" t="s">
        <v>701</v>
      </c>
    </row>
    <row r="460" spans="1:6" ht="17.149999999999999" customHeight="1" x14ac:dyDescent="0.3">
      <c r="A460" s="112">
        <v>304</v>
      </c>
      <c r="B460" s="113" t="str">
        <f>VLOOKUP(A460,[10]Schedule_Invigilators!$A$406:$B$803,2,FALSE)</f>
        <v>Vincent Kofi Abaka Acquaah</v>
      </c>
      <c r="C460" s="113" t="str">
        <f>VLOOKUP(A460,'[10]COMBINED_ATTD_INV (3)'!$A$766:$E$791,2,FALSE)</f>
        <v>Eric Soku//</v>
      </c>
      <c r="D460" s="121" t="s">
        <v>655</v>
      </c>
      <c r="E460" s="114" t="s">
        <v>794</v>
      </c>
      <c r="F460" s="113" t="s">
        <v>701</v>
      </c>
    </row>
    <row r="461" spans="1:6" ht="17.149999999999999" customHeight="1" x14ac:dyDescent="0.3">
      <c r="A461" s="112" t="s">
        <v>61</v>
      </c>
      <c r="B461" s="113" t="str">
        <f>VLOOKUP(A461,[10]Schedule_Invigilators!$A$406:$B$803,2,FALSE)</f>
        <v>Albert Amatey Adjaottor</v>
      </c>
      <c r="C461" s="113" t="str">
        <f>VLOOKUP(A461,'[10]COMBINED_ATTD_INV (3)'!$A$766:$E$791,2,FALSE)</f>
        <v>Marian Bemma//</v>
      </c>
      <c r="D461" s="121" t="s">
        <v>654</v>
      </c>
      <c r="E461" s="114" t="s">
        <v>794</v>
      </c>
      <c r="F461" s="113" t="s">
        <v>701</v>
      </c>
    </row>
    <row r="462" spans="1:6" ht="17.149999999999999" customHeight="1" x14ac:dyDescent="0.3">
      <c r="A462" s="112" t="s">
        <v>467</v>
      </c>
      <c r="B462" s="113" t="str">
        <f>VLOOKUP(A462,[10]Schedule_Invigilators!$A$406:$B$803,2,FALSE)</f>
        <v>Jude Bonsu</v>
      </c>
      <c r="C462" s="113" t="str">
        <f>VLOOKUP(A462,'[10]COMBINED_ATTD_INV (3)'!$A$766:$E$791,2,FALSE)</f>
        <v>Derrick Amoateng//</v>
      </c>
      <c r="D462" s="121" t="s">
        <v>653</v>
      </c>
      <c r="E462" s="114" t="s">
        <v>794</v>
      </c>
      <c r="F462" s="113" t="s">
        <v>701</v>
      </c>
    </row>
    <row r="463" spans="1:6" ht="17.149999999999999" customHeight="1" x14ac:dyDescent="0.3">
      <c r="A463" s="112" t="s">
        <v>468</v>
      </c>
      <c r="B463" s="113" t="str">
        <f>VLOOKUP(A463,[10]Schedule_Invigilators!$A$406:$B$803,2,FALSE)</f>
        <v>Bukari Ali/Francis Kofi Forson</v>
      </c>
      <c r="C463" s="113" t="str">
        <f>VLOOKUP(A463,'[10]COMBINED_ATTD_INV (3)'!$A$766:$E$791,2,FALSE)</f>
        <v>John Ofosu//</v>
      </c>
      <c r="D463" s="121" t="s">
        <v>652</v>
      </c>
      <c r="E463" s="114" t="s">
        <v>794</v>
      </c>
      <c r="F463" s="113" t="s">
        <v>701</v>
      </c>
    </row>
    <row r="464" spans="1:6" ht="17.149999999999999" customHeight="1" x14ac:dyDescent="0.3">
      <c r="A464" s="112" t="s">
        <v>469</v>
      </c>
      <c r="B464" s="113" t="str">
        <f>VLOOKUP(A464,[10]Schedule_Invigilators!$A$406:$B$803,2,FALSE)</f>
        <v>Cosmas Yaw Asante / Eliel Keelson</v>
      </c>
      <c r="C464" s="113" t="str">
        <f>VLOOKUP(A464,'[10]COMBINED_ATTD_INV (3)'!$A$766:$E$791,2,FALSE)</f>
        <v>Gifty Edem Senyaglo/Mohammed Bakang/</v>
      </c>
      <c r="D464" s="121" t="s">
        <v>651</v>
      </c>
      <c r="E464" s="114" t="s">
        <v>794</v>
      </c>
      <c r="F464" s="113" t="s">
        <v>701</v>
      </c>
    </row>
    <row r="465" spans="1:6" ht="17.149999999999999" customHeight="1" x14ac:dyDescent="0.3">
      <c r="A465" s="112" t="s">
        <v>42</v>
      </c>
      <c r="B465" s="113" t="str">
        <f>VLOOKUP(A465,[10]Schedule_Invigilators!$A$406:$B$803,2,FALSE)</f>
        <v>Martin Kesse / S. H. M. Aikins</v>
      </c>
      <c r="C465" s="113" t="str">
        <f>VLOOKUP(A465,'[10]COMBINED_ATTD_INV (3)'!$A$766:$E$791,2,FALSE)</f>
        <v>Michael Owusu/Fiifi Turkson/</v>
      </c>
      <c r="D465" s="121" t="s">
        <v>762</v>
      </c>
      <c r="E465" s="114" t="s">
        <v>794</v>
      </c>
      <c r="F465" s="113" t="s">
        <v>701</v>
      </c>
    </row>
    <row r="466" spans="1:6" ht="17.149999999999999" customHeight="1" x14ac:dyDescent="0.3">
      <c r="A466" s="112" t="s">
        <v>470</v>
      </c>
      <c r="B466" s="113" t="str">
        <f>VLOOKUP(A466,[10]Schedule_Invigilators!$A$406:$B$803,2,FALSE)</f>
        <v>Anthony Arko-Adjei / Nicholas Prah</v>
      </c>
      <c r="C466" s="113" t="str">
        <f>VLOOKUP(A466,'[10]COMBINED_ATTD_INV (3)'!$A$766:$E$791,2,FALSE)</f>
        <v>Richmond Awotwe//</v>
      </c>
      <c r="D466" s="121" t="s">
        <v>761</v>
      </c>
      <c r="E466" s="114" t="s">
        <v>794</v>
      </c>
      <c r="F466" s="113" t="s">
        <v>701</v>
      </c>
    </row>
    <row r="467" spans="1:6" ht="17.149999999999999" customHeight="1" x14ac:dyDescent="0.3">
      <c r="A467" s="112" t="s">
        <v>471</v>
      </c>
      <c r="B467" s="113" t="str">
        <f>VLOOKUP(A467,[10]Schedule_Invigilators!$A$406:$B$803,2,FALSE)</f>
        <v>Joseph Aveyire / Eugene Appiah-Effah</v>
      </c>
      <c r="C467" s="113" t="str">
        <f>VLOOKUP(A467,'[10]COMBINED_ATTD_INV (3)'!$A$766:$E$791,2,FALSE)</f>
        <v>Joseph Benneth Kankam//</v>
      </c>
      <c r="D467" s="121" t="s">
        <v>647</v>
      </c>
      <c r="E467" s="114" t="s">
        <v>794</v>
      </c>
      <c r="F467" s="113" t="s">
        <v>701</v>
      </c>
    </row>
    <row r="468" spans="1:6" ht="17.149999999999999" customHeight="1" x14ac:dyDescent="0.3">
      <c r="A468" s="112" t="s">
        <v>472</v>
      </c>
      <c r="B468" s="113" t="str">
        <f>VLOOKUP(A468,[10]Schedule_Invigilators!$A$406:$B$803,2,FALSE)</f>
        <v>Prince Ebenezer Adjei / Ebenezer Mensah</v>
      </c>
      <c r="C468" s="113" t="str">
        <f>VLOOKUP(A468,'[10]COMBINED_ATTD_INV (3)'!$A$766:$E$791,2,FALSE)</f>
        <v>Desmond Adu-Yeboah/Benjamin Nana Oduro Konadu/</v>
      </c>
      <c r="D468" s="121" t="s">
        <v>646</v>
      </c>
      <c r="E468" s="114" t="s">
        <v>794</v>
      </c>
      <c r="F468" s="113" t="s">
        <v>701</v>
      </c>
    </row>
    <row r="469" spans="1:6" ht="17.149999999999999" customHeight="1" x14ac:dyDescent="0.3">
      <c r="A469" s="112" t="s">
        <v>108</v>
      </c>
      <c r="B469" s="113" t="str">
        <f>VLOOKUP(A469,[10]Schedule_Invigilators!$A$406:$B$803,2,FALSE)</f>
        <v>Peter Oppong Tawiah</v>
      </c>
      <c r="C469" s="113" t="str">
        <f>VLOOKUP(A469,'[10]COMBINED_ATTD_INV (3)'!$A$766:$E$791,2,FALSE)</f>
        <v>Getrude Opoku//</v>
      </c>
      <c r="D469" s="121" t="s">
        <v>645</v>
      </c>
      <c r="E469" s="114" t="s">
        <v>794</v>
      </c>
      <c r="F469" s="113" t="s">
        <v>701</v>
      </c>
    </row>
    <row r="470" spans="1:6" ht="17.149999999999999" customHeight="1" x14ac:dyDescent="0.3">
      <c r="A470" s="112" t="s">
        <v>473</v>
      </c>
      <c r="B470" s="113" t="str">
        <f>VLOOKUP(A470,[10]Schedule_Invigilators!$A$406:$B$803,2,FALSE)</f>
        <v>Kwame Agyemang Prempeh Agyekum / Nancy Anataba Kyorku Dzikunu-Bansah</v>
      </c>
      <c r="C470" s="113" t="str">
        <f>VLOOKUP(A470,'[10]COMBINED_ATTD_INV (3)'!$A$766:$E$791,2,FALSE)</f>
        <v>Salamatu Salifu//</v>
      </c>
      <c r="D470" s="121" t="s">
        <v>760</v>
      </c>
      <c r="E470" s="114" t="s">
        <v>794</v>
      </c>
      <c r="F470" s="113" t="s">
        <v>701</v>
      </c>
    </row>
    <row r="471" spans="1:6" ht="17.149999999999999" customHeight="1" x14ac:dyDescent="0.3">
      <c r="A471" s="112" t="s">
        <v>474</v>
      </c>
      <c r="B471" s="113" t="str">
        <f>VLOOKUP(A471,[10]Schedule_Invigilators!$A$406:$B$803,2,FALSE)</f>
        <v>Godfrey Chiri Amedjoe</v>
      </c>
      <c r="C471" s="113" t="str">
        <f>VLOOKUP(A471,'[10]COMBINED_ATTD_INV (3)'!$A$766:$E$791,2,FALSE)</f>
        <v>Ruth Adwubi Sarfo//</v>
      </c>
      <c r="D471" s="121" t="s">
        <v>759</v>
      </c>
      <c r="E471" s="114" t="s">
        <v>794</v>
      </c>
      <c r="F471" s="113" t="s">
        <v>701</v>
      </c>
    </row>
    <row r="472" spans="1:6" ht="17.149999999999999" customHeight="1" x14ac:dyDescent="0.3">
      <c r="A472" s="112" t="s">
        <v>475</v>
      </c>
      <c r="B472" s="113" t="str">
        <f>VLOOKUP(A472,[10]Schedule_Invigilators!$A$406:$B$803,2,FALSE)</f>
        <v>Andrew Selasi Agbemenu</v>
      </c>
      <c r="C472" s="113" t="str">
        <f>VLOOKUP(A472,'[10]COMBINED_ATTD_INV (3)'!$A$766:$E$791,2,FALSE)</f>
        <v>Sandra Essel//</v>
      </c>
      <c r="D472" s="121" t="s">
        <v>758</v>
      </c>
      <c r="E472" s="114" t="s">
        <v>794</v>
      </c>
      <c r="F472" s="113" t="s">
        <v>701</v>
      </c>
    </row>
    <row r="473" spans="1:6" ht="17.149999999999999" customHeight="1" x14ac:dyDescent="0.3">
      <c r="A473" s="112" t="s">
        <v>476</v>
      </c>
      <c r="B473" s="113" t="str">
        <f>VLOOKUP(A473,[10]Schedule_Invigilators!$A$406:$B$803,2,FALSE)</f>
        <v>William Amponsah / Gordon Foli</v>
      </c>
      <c r="C473" s="113" t="str">
        <f>VLOOKUP(A473,'[10]COMBINED_ATTD_INV (3)'!$A$766:$E$791,2,FALSE)</f>
        <v>Kwame Kwarteng Sarpong//</v>
      </c>
      <c r="D473" s="121" t="s">
        <v>757</v>
      </c>
      <c r="E473" s="114" t="s">
        <v>794</v>
      </c>
      <c r="F473" s="113" t="s">
        <v>701</v>
      </c>
    </row>
    <row r="474" spans="1:6" ht="17.149999999999999" customHeight="1" x14ac:dyDescent="0.3">
      <c r="A474" s="112" t="s">
        <v>477</v>
      </c>
      <c r="B474" s="113" t="str">
        <f>VLOOKUP(A474,[10]Schedule_Invigilators!$A$406:$B$803,2,FALSE)</f>
        <v>Gabriel Takyi / James Dzisi Gadze</v>
      </c>
      <c r="C474" s="113" t="str">
        <f>VLOOKUP(A474,'[10]COMBINED_ATTD_INV (3)'!$A$766:$E$791,2,FALSE)</f>
        <v>Kwadwo Afful//</v>
      </c>
      <c r="D474" s="121" t="s">
        <v>756</v>
      </c>
      <c r="E474" s="114" t="s">
        <v>794</v>
      </c>
      <c r="F474" s="113" t="s">
        <v>701</v>
      </c>
    </row>
    <row r="475" spans="1:6" ht="17.149999999999999" customHeight="1" x14ac:dyDescent="0.3">
      <c r="A475" s="112" t="s">
        <v>144</v>
      </c>
      <c r="B475" s="113" t="str">
        <f>VLOOKUP(A475,[10]Schedule_Invigilators!$A$406:$B$803,2,FALSE)</f>
        <v>Bright Akowuah / Francisca Adoma Acheampong</v>
      </c>
      <c r="C475" s="113" t="str">
        <f>VLOOKUP(A475,'[10]COMBINED_ATTD_INV (3)'!$A$766:$E$791,2,FALSE)</f>
        <v>Rebecca Yamoah/Adjatu Busali/</v>
      </c>
      <c r="D475" s="121" t="s">
        <v>755</v>
      </c>
      <c r="E475" s="114" t="s">
        <v>794</v>
      </c>
      <c r="F475" s="113" t="s">
        <v>701</v>
      </c>
    </row>
    <row r="476" spans="1:6" ht="17.149999999999999" hidden="1" customHeight="1" x14ac:dyDescent="0.3">
      <c r="A476" s="112" t="s">
        <v>638</v>
      </c>
      <c r="B476" s="113" t="e">
        <f>VLOOKUP(A476,[10]Schedule_Invigilators!$A$406:$B$803,2,FALSE)</f>
        <v>#N/A</v>
      </c>
      <c r="C476" s="113" t="e">
        <f>VLOOKUP(A476,'[10]COMBINED_ATTD_INV (3)'!$A$766:$E$791,2,FALSE)</f>
        <v>#N/A</v>
      </c>
      <c r="D476" s="121" t="s">
        <v>754</v>
      </c>
      <c r="E476" s="114" t="s">
        <v>794</v>
      </c>
      <c r="F476" s="113" t="s">
        <v>701</v>
      </c>
    </row>
    <row r="477" spans="1:6" ht="17.149999999999999" customHeight="1" x14ac:dyDescent="0.3">
      <c r="A477" s="112" t="s">
        <v>637</v>
      </c>
      <c r="B477" s="113" t="str">
        <f>VLOOKUP(A477,[10]Schedule_Invigilators!$A$406:$B$803,2,FALSE)</f>
        <v>M. Appiah Brempong / C. K. K. Sekyere / Anthony A. Agyemang / Isaac Dadzie</v>
      </c>
      <c r="C477" s="113" t="str">
        <f>VLOOKUP(A477,'[10]COMBINED_ATTD_INV (3)'!$A$766:$E$791,2,FALSE)</f>
        <v>Theresa Sarpong Peprah/Bernard Annan/Robert Kofi Kyere</v>
      </c>
      <c r="D477" s="121" t="s">
        <v>798</v>
      </c>
      <c r="E477" s="114" t="s">
        <v>794</v>
      </c>
      <c r="F477" s="113" t="s">
        <v>701</v>
      </c>
    </row>
    <row r="478" spans="1:6" ht="17.149999999999999" customHeight="1" x14ac:dyDescent="0.3">
      <c r="A478" s="112" t="s">
        <v>636</v>
      </c>
      <c r="B478" s="113" t="str">
        <f>VLOOKUP(A478,[10]Schedule_Invigilators!$A$406:$B$803,2,FALSE)</f>
        <v>Daniel Kwegyir / Bernard Konadu Amoah / Felix Jojo Fianko Ayeh</v>
      </c>
      <c r="C478" s="113" t="str">
        <f>VLOOKUP(A478,'[10]COMBINED_ATTD_INV (3)'!$A$766:$E$791,2,FALSE)</f>
        <v>Rener Oppong/Perseverance Dzikunu/Adom Ebenezer</v>
      </c>
      <c r="D478" s="121" t="s">
        <v>738</v>
      </c>
      <c r="E478" s="114" t="s">
        <v>794</v>
      </c>
      <c r="F478" s="113" t="s">
        <v>701</v>
      </c>
    </row>
    <row r="479" spans="1:6" ht="17.149999999999999" customHeight="1" x14ac:dyDescent="0.3">
      <c r="A479" s="112" t="s">
        <v>635</v>
      </c>
      <c r="B479" s="113" t="str">
        <f>VLOOKUP(A479,[10]Schedule_Invigilators!$A$406:$B$803,2,FALSE)</f>
        <v>Kingsford Sarkodie Obeng Kwakye / Prince Odame / Emmanuel Obuobi Kwame Addo</v>
      </c>
      <c r="C479" s="113" t="str">
        <f>VLOOKUP(A479,'[10]COMBINED_ATTD_INV (3)'!$A$766:$E$791,2,FALSE)</f>
        <v>Kingsley Kyei Baffour/Linda Berko/</v>
      </c>
      <c r="D479" s="121" t="s">
        <v>797</v>
      </c>
      <c r="E479" s="114" t="s">
        <v>794</v>
      </c>
      <c r="F479" s="113" t="s">
        <v>701</v>
      </c>
    </row>
    <row r="480" spans="1:6" ht="17.149999999999999" customHeight="1" x14ac:dyDescent="0.3">
      <c r="A480" s="112" t="s">
        <v>634</v>
      </c>
      <c r="B480" s="113" t="str">
        <f>VLOOKUP(A480,[10]Schedule_Invigilators!$A$406:$B$803,2,FALSE)</f>
        <v>Emmanuel Offei Akrofi / Akwasi Afrifa Acheampong</v>
      </c>
      <c r="C480" s="113" t="str">
        <f>VLOOKUP(A480,'[10]COMBINED_ATTD_INV (3)'!$A$766:$E$791,2,FALSE)</f>
        <v>Ernest Dapaah//</v>
      </c>
      <c r="D480" s="121" t="s">
        <v>751</v>
      </c>
      <c r="E480" s="114" t="s">
        <v>794</v>
      </c>
      <c r="F480" s="113" t="s">
        <v>701</v>
      </c>
    </row>
    <row r="481" spans="1:6" ht="17.149999999999999" customHeight="1" x14ac:dyDescent="0.3">
      <c r="A481" s="112"/>
      <c r="B481" s="113"/>
      <c r="C481" s="113"/>
      <c r="D481" s="113"/>
      <c r="E481" s="114"/>
      <c r="F481" s="113"/>
    </row>
    <row r="482" spans="1:6" s="118" customFormat="1" ht="17.149999999999999" customHeight="1" x14ac:dyDescent="0.3">
      <c r="A482" s="119" t="s">
        <v>642</v>
      </c>
      <c r="B482" s="119" t="s">
        <v>526</v>
      </c>
      <c r="C482" s="119" t="s">
        <v>672</v>
      </c>
      <c r="D482" s="119" t="s">
        <v>671</v>
      </c>
      <c r="E482" s="124" t="s">
        <v>641</v>
      </c>
      <c r="F482" s="119" t="s">
        <v>640</v>
      </c>
    </row>
    <row r="483" spans="1:6" ht="17.149999999999999" customHeight="1" x14ac:dyDescent="0.3">
      <c r="A483" s="112" t="s">
        <v>35</v>
      </c>
      <c r="B483" s="113" t="str">
        <f>VLOOKUP(A483,[10]Schedule_Invigilators!$A$433:$B$803,2,FALSE)</f>
        <v>Martina Francisca Baidoo</v>
      </c>
      <c r="C483" s="113" t="str">
        <f>VLOOKUP(A483,'[10]COMBINED_ATTD_INV (3)'!$A$794:$E$819,2,FALSE)</f>
        <v>Reuben Asare Bediako//</v>
      </c>
      <c r="D483" s="121" t="s">
        <v>727</v>
      </c>
      <c r="E483" s="114" t="s">
        <v>794</v>
      </c>
      <c r="F483" s="113" t="s">
        <v>673</v>
      </c>
    </row>
    <row r="484" spans="1:6" ht="17.149999999999999" customHeight="1" x14ac:dyDescent="0.3">
      <c r="A484" s="112" t="s">
        <v>510</v>
      </c>
      <c r="B484" s="113" t="str">
        <f>VLOOKUP(A484,[10]Schedule_Invigilators!$A$433:$B$803,2,FALSE)</f>
        <v>Francis Boafo Effah</v>
      </c>
      <c r="C484" s="113" t="str">
        <f>VLOOKUP(A484,'[10]COMBINED_ATTD_INV (3)'!$A$794:$E$819,2,FALSE)</f>
        <v>Sandra Essel//</v>
      </c>
      <c r="D484" s="121" t="s">
        <v>726</v>
      </c>
      <c r="E484" s="114" t="s">
        <v>794</v>
      </c>
      <c r="F484" s="113" t="s">
        <v>673</v>
      </c>
    </row>
    <row r="485" spans="1:6" ht="17.149999999999999" customHeight="1" x14ac:dyDescent="0.3">
      <c r="A485" s="112" t="s">
        <v>508</v>
      </c>
      <c r="B485" s="113" t="str">
        <f>VLOOKUP(A485,[10]Schedule_Invigilators!$A$433:$B$803,2,FALSE)</f>
        <v>Jonathan Arthur Quaye-Ballard</v>
      </c>
      <c r="C485" s="113" t="str">
        <f>VLOOKUP(A485,'[10]COMBINED_ATTD_INV (3)'!$A$794:$E$819,2,FALSE)</f>
        <v>Derrick Owusu Mensah//</v>
      </c>
      <c r="D485" s="121" t="s">
        <v>725</v>
      </c>
      <c r="E485" s="114" t="s">
        <v>794</v>
      </c>
      <c r="F485" s="113" t="s">
        <v>673</v>
      </c>
    </row>
    <row r="486" spans="1:6" ht="17.149999999999999" customHeight="1" x14ac:dyDescent="0.3">
      <c r="A486" s="112" t="s">
        <v>466</v>
      </c>
      <c r="B486" s="113" t="str">
        <f>VLOOKUP(A486,[10]Schedule_Invigilators!$A$433:$B$803,2,FALSE)</f>
        <v>Jude Bonsu / Kenneth Adomako Tutu</v>
      </c>
      <c r="C486" s="113" t="str">
        <f>VLOOKUP(A486,'[10]COMBINED_ATTD_INV (3)'!$A$794:$E$819,2,FALSE)</f>
        <v>Issaka Ali Sambo/Paul Dery/</v>
      </c>
      <c r="D486" s="121" t="s">
        <v>724</v>
      </c>
      <c r="E486" s="114" t="s">
        <v>794</v>
      </c>
      <c r="F486" s="113" t="s">
        <v>673</v>
      </c>
    </row>
    <row r="487" spans="1:6" ht="17.149999999999999" customHeight="1" x14ac:dyDescent="0.3">
      <c r="A487" s="112">
        <v>206</v>
      </c>
      <c r="B487" s="113" t="str">
        <f>VLOOKUP(A487,[10]Schedule_Invigilators!$A$433:$B$803,2,FALSE)</f>
        <v>Jones Owusu Twumasi</v>
      </c>
      <c r="C487" s="113" t="str">
        <f>VLOOKUP(A487,'[10]COMBINED_ATTD_INV (3)'!$A$794:$E$819,2,FALSE)</f>
        <v>Edward Kpetege//</v>
      </c>
      <c r="D487" s="121" t="s">
        <v>723</v>
      </c>
      <c r="E487" s="114" t="s">
        <v>794</v>
      </c>
      <c r="F487" s="113" t="s">
        <v>673</v>
      </c>
    </row>
    <row r="488" spans="1:6" ht="17.149999999999999" customHeight="1" x14ac:dyDescent="0.3">
      <c r="A488" s="112">
        <v>303</v>
      </c>
      <c r="B488" s="113" t="str">
        <f>VLOOKUP(A488,[10]Schedule_Invigilators!$A$433:$B$803,2,FALSE)</f>
        <v>Emmanuel Offei Akrofi / M. Appiah Brempong</v>
      </c>
      <c r="C488" s="113" t="str">
        <f>VLOOKUP(A488,'[10]COMBINED_ATTD_INV (3)'!$A$794:$E$819,2,FALSE)</f>
        <v>Benjamin Opoku Atuahene//</v>
      </c>
      <c r="D488" s="121" t="s">
        <v>722</v>
      </c>
      <c r="E488" s="114" t="s">
        <v>794</v>
      </c>
      <c r="F488" s="113" t="s">
        <v>673</v>
      </c>
    </row>
    <row r="489" spans="1:6" ht="17.149999999999999" customHeight="1" x14ac:dyDescent="0.3">
      <c r="A489" s="112">
        <v>304</v>
      </c>
      <c r="B489" s="113" t="str">
        <f>VLOOKUP(A489,[10]Schedule_Invigilators!$A$433:$B$803,2,FALSE)</f>
        <v>Samuel Osah</v>
      </c>
      <c r="C489" s="113" t="str">
        <f>VLOOKUP(A489,'[10]COMBINED_ATTD_INV (3)'!$A$794:$E$819,2,FALSE)</f>
        <v>Eric Soku//</v>
      </c>
      <c r="D489" s="121" t="s">
        <v>721</v>
      </c>
      <c r="E489" s="114" t="s">
        <v>794</v>
      </c>
      <c r="F489" s="113" t="s">
        <v>673</v>
      </c>
    </row>
    <row r="490" spans="1:6" ht="17.149999999999999" customHeight="1" x14ac:dyDescent="0.3">
      <c r="A490" s="112" t="s">
        <v>61</v>
      </c>
      <c r="B490" s="113" t="str">
        <f>VLOOKUP(A490,[10]Schedule_Invigilators!$A$433:$B$803,2,FALSE)</f>
        <v>Joshua Ampofo</v>
      </c>
      <c r="C490" s="113" t="str">
        <f>VLOOKUP(A490,'[10]COMBINED_ATTD_INV (3)'!$A$794:$E$819,2,FALSE)</f>
        <v>Marian Bemma//</v>
      </c>
      <c r="D490" s="121" t="s">
        <v>720</v>
      </c>
      <c r="E490" s="114" t="s">
        <v>794</v>
      </c>
      <c r="F490" s="113" t="s">
        <v>673</v>
      </c>
    </row>
    <row r="491" spans="1:6" ht="17.149999999999999" customHeight="1" x14ac:dyDescent="0.3">
      <c r="A491" s="112" t="s">
        <v>467</v>
      </c>
      <c r="B491" s="113" t="str">
        <f>VLOOKUP(A491,[10]Schedule_Invigilators!$A$433:$B$803,2,FALSE)</f>
        <v>Emmanuel Ampoma Affum</v>
      </c>
      <c r="C491" s="113" t="str">
        <f>VLOOKUP(A491,'[10]COMBINED_ATTD_INV (3)'!$A$794:$E$819,2,FALSE)</f>
        <v>Derrick Amoateng//</v>
      </c>
      <c r="D491" s="121" t="s">
        <v>719</v>
      </c>
      <c r="E491" s="114" t="s">
        <v>794</v>
      </c>
      <c r="F491" s="113" t="s">
        <v>673</v>
      </c>
    </row>
    <row r="492" spans="1:6" ht="17.149999999999999" customHeight="1" x14ac:dyDescent="0.3">
      <c r="A492" s="112" t="s">
        <v>468</v>
      </c>
      <c r="B492" s="113" t="str">
        <f>VLOOKUP(A492,[10]Schedule_Invigilators!$A$433:$B$803,2,FALSE)</f>
        <v xml:space="preserve"> Geophrey Kwame Anornu/ Theresa-Samuelle Maame Atwemaa Adjaidoo</v>
      </c>
      <c r="C492" s="113" t="str">
        <f>VLOOKUP(A492,'[10]COMBINED_ATTD_INV (3)'!$A$794:$E$819,2,FALSE)</f>
        <v>John Ofosu//</v>
      </c>
      <c r="D492" s="121" t="s">
        <v>718</v>
      </c>
      <c r="E492" s="114" t="s">
        <v>794</v>
      </c>
      <c r="F492" s="113" t="s">
        <v>673</v>
      </c>
    </row>
    <row r="493" spans="1:6" ht="17.149999999999999" customHeight="1" x14ac:dyDescent="0.3">
      <c r="A493" s="112" t="s">
        <v>469</v>
      </c>
      <c r="B493" s="113" t="str">
        <f>VLOOKUP(A493,[10]Schedule_Invigilators!$A$433:$B$803,2,FALSE)</f>
        <v>Henry Nunoo-Mensah / Cosmas Yaw Asante</v>
      </c>
      <c r="C493" s="113" t="str">
        <f>VLOOKUP(A493,'[10]COMBINED_ATTD_INV (3)'!$A$794:$E$819,2,FALSE)</f>
        <v>Owusu Stephen Akuoku/Samuel Osei-Asibey Bonsu/</v>
      </c>
      <c r="D493" s="121" t="s">
        <v>717</v>
      </c>
      <c r="E493" s="114" t="s">
        <v>794</v>
      </c>
      <c r="F493" s="113" t="s">
        <v>673</v>
      </c>
    </row>
    <row r="494" spans="1:6" ht="17.149999999999999" customHeight="1" x14ac:dyDescent="0.3">
      <c r="A494" s="112" t="s">
        <v>42</v>
      </c>
      <c r="B494" s="113" t="str">
        <f>VLOOKUP(A494,[10]Schedule_Invigilators!$A$433:$B$803,2,FALSE)</f>
        <v>Charles Adrah / Emmanuel Appiah-Adjei</v>
      </c>
      <c r="C494" s="113" t="str">
        <f>VLOOKUP(A494,'[10]COMBINED_ATTD_INV (3)'!$A$794:$E$819,2,FALSE)</f>
        <v>Kofi Bentum/Fiifi Turkson/</v>
      </c>
      <c r="D494" s="121" t="s">
        <v>716</v>
      </c>
      <c r="E494" s="114" t="s">
        <v>794</v>
      </c>
      <c r="F494" s="113" t="s">
        <v>673</v>
      </c>
    </row>
    <row r="495" spans="1:6" ht="17.149999999999999" customHeight="1" x14ac:dyDescent="0.3">
      <c r="A495" s="112" t="s">
        <v>470</v>
      </c>
      <c r="B495" s="113" t="str">
        <f>VLOOKUP(A495,[10]Schedule_Invigilators!$A$433:$B$803,2,FALSE)</f>
        <v xml:space="preserve">Kofi Owura Amoabeng / Prince Yaw Andoh </v>
      </c>
      <c r="C495" s="113" t="str">
        <f>VLOOKUP(A495,'[10]COMBINED_ATTD_INV (3)'!$A$794:$E$819,2,FALSE)</f>
        <v>Richmond Awotwe//</v>
      </c>
      <c r="D495" s="121" t="s">
        <v>715</v>
      </c>
      <c r="E495" s="114" t="s">
        <v>794</v>
      </c>
      <c r="F495" s="113" t="s">
        <v>673</v>
      </c>
    </row>
    <row r="496" spans="1:6" ht="17.149999999999999" customHeight="1" x14ac:dyDescent="0.3">
      <c r="A496" s="112" t="s">
        <v>471</v>
      </c>
      <c r="B496" s="113" t="str">
        <f>VLOOKUP(A496,[10]Schedule_Invigilators!$A$433:$B$803,2,FALSE)</f>
        <v>Eric Kwame Anokye Asare / Jonathan Atuquaye Quaye</v>
      </c>
      <c r="C496" s="113" t="str">
        <f>VLOOKUP(A496,'[10]COMBINED_ATTD_INV (3)'!$A$794:$E$819,2,FALSE)</f>
        <v>Joseph Benneth Kankam//</v>
      </c>
      <c r="D496" s="121" t="s">
        <v>714</v>
      </c>
      <c r="E496" s="114" t="s">
        <v>794</v>
      </c>
      <c r="F496" s="113" t="s">
        <v>673</v>
      </c>
    </row>
    <row r="497" spans="1:6" ht="17.149999999999999" customHeight="1" x14ac:dyDescent="0.3">
      <c r="A497" s="112" t="s">
        <v>472</v>
      </c>
      <c r="B497" s="113" t="str">
        <f>VLOOKUP(A497,[10]Schedule_Invigilators!$A$433:$B$803,2,FALSE)</f>
        <v>Albert Asare / Jack Osei Banahene</v>
      </c>
      <c r="C497" s="113" t="str">
        <f>VLOOKUP(A497,'[10]COMBINED_ATTD_INV (3)'!$A$794:$E$819,2,FALSE)</f>
        <v>Bernard Audinada Ampofo/Fatawu Yakubu/</v>
      </c>
      <c r="D497" s="121" t="s">
        <v>713</v>
      </c>
      <c r="E497" s="114" t="s">
        <v>794</v>
      </c>
      <c r="F497" s="113" t="s">
        <v>673</v>
      </c>
    </row>
    <row r="498" spans="1:6" ht="17.149999999999999" customHeight="1" x14ac:dyDescent="0.3">
      <c r="A498" s="112" t="s">
        <v>108</v>
      </c>
      <c r="B498" s="113" t="str">
        <f>VLOOKUP(A498,[10]Schedule_Invigilators!$A$433:$B$803,2,FALSE)</f>
        <v>Sefakor Dogbe</v>
      </c>
      <c r="C498" s="113" t="str">
        <f>VLOOKUP(A498,'[10]COMBINED_ATTD_INV (3)'!$A$794:$E$819,2,FALSE)</f>
        <v>Clement Appiah//</v>
      </c>
      <c r="D498" s="121" t="s">
        <v>712</v>
      </c>
      <c r="E498" s="114" t="s">
        <v>794</v>
      </c>
      <c r="F498" s="113" t="s">
        <v>673</v>
      </c>
    </row>
    <row r="499" spans="1:6" ht="17.149999999999999" customHeight="1" x14ac:dyDescent="0.3">
      <c r="A499" s="112" t="s">
        <v>473</v>
      </c>
      <c r="B499" s="113" t="str">
        <f>VLOOKUP(A499,[10]Schedule_Invigilators!$A$433:$B$803,2,FALSE)</f>
        <v>Efiba Vidda Senkyire Kwarteng / Bukari Ali</v>
      </c>
      <c r="C499" s="113" t="str">
        <f>VLOOKUP(A499,'[10]COMBINED_ATTD_INV (3)'!$A$794:$E$819,2,FALSE)</f>
        <v>Godfred Appiah//</v>
      </c>
      <c r="D499" s="121" t="s">
        <v>711</v>
      </c>
      <c r="E499" s="114" t="s">
        <v>794</v>
      </c>
      <c r="F499" s="113" t="s">
        <v>673</v>
      </c>
    </row>
    <row r="500" spans="1:6" ht="17.149999999999999" customHeight="1" x14ac:dyDescent="0.3">
      <c r="A500" s="112" t="s">
        <v>474</v>
      </c>
      <c r="B500" s="113" t="str">
        <f>VLOOKUP(A500,[10]Schedule_Invigilators!$A$433:$B$803,2,FALSE)</f>
        <v>Samuel Erzuah</v>
      </c>
      <c r="C500" s="113" t="str">
        <f>VLOOKUP(A500,'[10]COMBINED_ATTD_INV (3)'!$A$794:$E$819,2,FALSE)</f>
        <v>Ruth Adwubi Sarfo//</v>
      </c>
      <c r="D500" s="121" t="s">
        <v>710</v>
      </c>
      <c r="E500" s="114" t="s">
        <v>794</v>
      </c>
      <c r="F500" s="113" t="s">
        <v>673</v>
      </c>
    </row>
    <row r="501" spans="1:6" ht="17.149999999999999" customHeight="1" x14ac:dyDescent="0.3">
      <c r="A501" s="112" t="s">
        <v>475</v>
      </c>
      <c r="B501" s="113" t="str">
        <f>VLOOKUP(A501,[10]Schedule_Invigilators!$A$433:$B$803,2,FALSE)</f>
        <v>Faisal Wahib Adam</v>
      </c>
      <c r="C501" s="113" t="str">
        <f>VLOOKUP(A501,'[10]COMBINED_ATTD_INV (3)'!$A$794:$E$819,2,FALSE)</f>
        <v>Abigail Akos Worlanyo//</v>
      </c>
      <c r="D501" s="121" t="s">
        <v>709</v>
      </c>
      <c r="E501" s="114" t="s">
        <v>794</v>
      </c>
      <c r="F501" s="113" t="s">
        <v>673</v>
      </c>
    </row>
    <row r="502" spans="1:6" ht="17.149999999999999" customHeight="1" x14ac:dyDescent="0.3">
      <c r="A502" s="112" t="s">
        <v>476</v>
      </c>
      <c r="B502" s="113" t="str">
        <f>VLOOKUP(A502,[10]Schedule_Invigilators!$A$433:$B$803,2,FALSE)</f>
        <v>William Amponsah / Martinson Addo Nartey</v>
      </c>
      <c r="C502" s="113" t="str">
        <f>VLOOKUP(A502,'[10]COMBINED_ATTD_INV (3)'!$A$794:$E$819,2,FALSE)</f>
        <v>Kwame Kwarteng Sarpong//</v>
      </c>
      <c r="D502" s="121" t="s">
        <v>796</v>
      </c>
      <c r="E502" s="114" t="s">
        <v>794</v>
      </c>
      <c r="F502" s="113" t="s">
        <v>673</v>
      </c>
    </row>
    <row r="503" spans="1:6" ht="17.149999999999999" customHeight="1" x14ac:dyDescent="0.3">
      <c r="A503" s="112" t="s">
        <v>477</v>
      </c>
      <c r="B503" s="113" t="str">
        <f>VLOOKUP(A503,[10]Schedule_Invigilators!$A$433:$B$803,2,FALSE)</f>
        <v>Godfred Boahen / Charles Gyamfi</v>
      </c>
      <c r="C503" s="113" t="str">
        <f>VLOOKUP(A503,'[10]COMBINED_ATTD_INV (3)'!$A$794:$E$819,2,FALSE)</f>
        <v>Kwadwo Afful//</v>
      </c>
      <c r="D503" s="121" t="s">
        <v>707</v>
      </c>
      <c r="E503" s="114" t="s">
        <v>794</v>
      </c>
      <c r="F503" s="113" t="s">
        <v>673</v>
      </c>
    </row>
    <row r="504" spans="1:6" ht="17.149999999999999" customHeight="1" x14ac:dyDescent="0.3">
      <c r="A504" s="112" t="s">
        <v>144</v>
      </c>
      <c r="B504" s="113" t="str">
        <f>VLOOKUP(A504,[10]Schedule_Invigilators!$A$433:$B$803,2,FALSE)</f>
        <v>Bright Akowuah / Sefakor Dogbe</v>
      </c>
      <c r="C504" s="113" t="str">
        <f>VLOOKUP(A504,'[10]COMBINED_ATTD_INV (3)'!$A$794:$E$819,2,FALSE)</f>
        <v>Mercy Nimako/Adjatu Busali/</v>
      </c>
      <c r="D504" s="121" t="s">
        <v>706</v>
      </c>
      <c r="E504" s="114" t="s">
        <v>794</v>
      </c>
      <c r="F504" s="113" t="s">
        <v>673</v>
      </c>
    </row>
    <row r="505" spans="1:6" ht="17.149999999999999" customHeight="1" x14ac:dyDescent="0.3">
      <c r="A505" s="112" t="s">
        <v>637</v>
      </c>
      <c r="B505" s="113" t="str">
        <f>VLOOKUP(A505,[10]Schedule_Invigilators!$A$433:$B$803,2,FALSE)</f>
        <v>Benjamin Kommey / F. K. A. Nyarko / Andrew Cudzo Amenuvor / James Okae</v>
      </c>
      <c r="C505" s="113" t="str">
        <f>VLOOKUP(A505,'[10]COMBINED_ATTD_INV (3)'!$A$794:$E$819,2,FALSE)</f>
        <v>Micheal Obbo/Bernard Annan/Robert Kofi Kyere</v>
      </c>
      <c r="D505" s="121" t="s">
        <v>754</v>
      </c>
      <c r="E505" s="114" t="s">
        <v>794</v>
      </c>
      <c r="F505" s="113" t="s">
        <v>673</v>
      </c>
    </row>
    <row r="506" spans="1:6" ht="17.149999999999999" customHeight="1" x14ac:dyDescent="0.3">
      <c r="A506" s="112" t="s">
        <v>636</v>
      </c>
      <c r="B506" s="113" t="str">
        <f>VLOOKUP(A506,[10]Schedule_Invigilators!$A$433:$B$803,2,FALSE)</f>
        <v>Samuel Boahen / Albert Kwame Kwaw / Daniel Oduro Boatey Nuamah</v>
      </c>
      <c r="C506" s="113" t="str">
        <f>VLOOKUP(A506,'[10]COMBINED_ATTD_INV (3)'!$A$794:$E$819,2,FALSE)</f>
        <v>Victoria Agyenim-Boateng/Perseverance Dzikunu/Adom Ebenezer</v>
      </c>
      <c r="D506" s="121" t="s">
        <v>704</v>
      </c>
      <c r="E506" s="114" t="s">
        <v>794</v>
      </c>
      <c r="F506" s="113" t="s">
        <v>673</v>
      </c>
    </row>
    <row r="507" spans="1:6" ht="17.149999999999999" customHeight="1" x14ac:dyDescent="0.3">
      <c r="A507" s="112" t="s">
        <v>635</v>
      </c>
      <c r="B507" s="113" t="str">
        <f>VLOOKUP(A507,[10]Schedule_Invigilators!$A$433:$B$803,2,FALSE)</f>
        <v xml:space="preserve">Kingsford Sarkodie Obeng Kwakye / Casper Adenutsi / Nicholas Prah </v>
      </c>
      <c r="C507" s="113" t="str">
        <f>VLOOKUP(A507,'[10]COMBINED_ATTD_INV (3)'!$A$794:$E$819,2,FALSE)</f>
        <v>Kingsley Kyei Baffour/Clement Dadzie/</v>
      </c>
      <c r="D507" s="121" t="s">
        <v>703</v>
      </c>
      <c r="E507" s="114" t="s">
        <v>794</v>
      </c>
      <c r="F507" s="113" t="s">
        <v>673</v>
      </c>
    </row>
    <row r="508" spans="1:6" ht="17.149999999999999" customHeight="1" x14ac:dyDescent="0.3">
      <c r="A508" s="112" t="s">
        <v>634</v>
      </c>
      <c r="B508" s="113" t="str">
        <f>VLOOKUP(A508,[10]Schedule_Invigilators!$A$433:$B$803,2,FALSE)</f>
        <v>Daniel Akwei Addo / Sefakor Dogbe</v>
      </c>
      <c r="C508" s="113" t="str">
        <f>VLOOKUP(A508,'[10]COMBINED_ATTD_INV (3)'!$A$794:$E$819,2,FALSE)</f>
        <v>Ernest Dapaah//</v>
      </c>
      <c r="D508" s="121" t="s">
        <v>702</v>
      </c>
      <c r="E508" s="114" t="s">
        <v>794</v>
      </c>
      <c r="F508" s="113" t="s">
        <v>673</v>
      </c>
    </row>
    <row r="509" spans="1:6" ht="17.149999999999999" customHeight="1" x14ac:dyDescent="0.3">
      <c r="A509" s="112"/>
      <c r="B509" s="113"/>
      <c r="C509" s="113"/>
      <c r="D509" s="113"/>
      <c r="E509" s="114"/>
      <c r="F509" s="113"/>
    </row>
    <row r="510" spans="1:6" s="118" customFormat="1" ht="17.149999999999999" customHeight="1" x14ac:dyDescent="0.3">
      <c r="A510" s="119" t="s">
        <v>642</v>
      </c>
      <c r="B510" s="119" t="s">
        <v>526</v>
      </c>
      <c r="C510" s="119" t="s">
        <v>672</v>
      </c>
      <c r="D510" s="119" t="s">
        <v>671</v>
      </c>
      <c r="E510" s="124" t="s">
        <v>641</v>
      </c>
      <c r="F510" s="119" t="s">
        <v>640</v>
      </c>
    </row>
    <row r="511" spans="1:6" ht="17.149999999999999" customHeight="1" x14ac:dyDescent="0.3">
      <c r="A511" s="112" t="s">
        <v>35</v>
      </c>
      <c r="B511" s="113" t="str">
        <f>VLOOKUP(A511,[10]Schedule_Invigilators!$A$460:$B$803,2,FALSE)</f>
        <v>Daniel Akwei Addo</v>
      </c>
      <c r="C511" s="113" t="str">
        <f>VLOOKUP(A511,'[10]COMBINED_ATTD_INV (3)'!$A$822:$E$847,2,FALSE)</f>
        <v>Reuben Asare Bediako//</v>
      </c>
      <c r="D511" s="121" t="s">
        <v>744</v>
      </c>
      <c r="E511" s="114" t="s">
        <v>794</v>
      </c>
      <c r="F511" s="113" t="s">
        <v>643</v>
      </c>
    </row>
    <row r="512" spans="1:6" ht="17.149999999999999" customHeight="1" x14ac:dyDescent="0.3">
      <c r="A512" s="112" t="s">
        <v>510</v>
      </c>
      <c r="B512" s="113" t="str">
        <f>VLOOKUP(A512,[10]Schedule_Invigilators!$A$460:$B$803,2,FALSE)</f>
        <v>F. K. A. Nyarko</v>
      </c>
      <c r="C512" s="113" t="str">
        <f>VLOOKUP(A512,'[10]COMBINED_ATTD_INV (3)'!$A$822:$E$847,2,FALSE)</f>
        <v>Desmond Adu-Yeboah//</v>
      </c>
      <c r="D512" s="121" t="s">
        <v>743</v>
      </c>
      <c r="E512" s="114" t="s">
        <v>794</v>
      </c>
      <c r="F512" s="113" t="s">
        <v>643</v>
      </c>
    </row>
    <row r="513" spans="1:6" ht="17.149999999999999" customHeight="1" x14ac:dyDescent="0.3">
      <c r="A513" s="112" t="s">
        <v>508</v>
      </c>
      <c r="B513" s="113" t="str">
        <f>VLOOKUP(A513,[10]Schedule_Invigilators!$A$460:$B$803,2,FALSE)</f>
        <v>Jonathan Atuquaye Quaye</v>
      </c>
      <c r="C513" s="113" t="str">
        <f>VLOOKUP(A513,'[10]COMBINED_ATTD_INV (3)'!$A$822:$E$847,2,FALSE)</f>
        <v>Derrick Owusu Mensah//</v>
      </c>
      <c r="D513" s="121" t="s">
        <v>742</v>
      </c>
      <c r="E513" s="114" t="s">
        <v>794</v>
      </c>
      <c r="F513" s="113" t="s">
        <v>643</v>
      </c>
    </row>
    <row r="514" spans="1:6" ht="17.149999999999999" customHeight="1" x14ac:dyDescent="0.3">
      <c r="A514" s="112" t="s">
        <v>466</v>
      </c>
      <c r="B514" s="113" t="str">
        <f>VLOOKUP(A514,[10]Schedule_Invigilators!$A$460:$B$803,2,FALSE)</f>
        <v>Daniel Oduro Boatey Nuamah / Albert Kwame Kwaw</v>
      </c>
      <c r="C514" s="113" t="str">
        <f>VLOOKUP(A514,'[10]COMBINED_ATTD_INV (3)'!$A$822:$E$847,2,FALSE)</f>
        <v>Issaka Ali Sambo/Paul Dery/</v>
      </c>
      <c r="D514" s="121" t="s">
        <v>741</v>
      </c>
      <c r="E514" s="114" t="s">
        <v>794</v>
      </c>
      <c r="F514" s="113" t="s">
        <v>643</v>
      </c>
    </row>
    <row r="515" spans="1:6" ht="17.149999999999999" customHeight="1" x14ac:dyDescent="0.3">
      <c r="A515" s="112">
        <v>206</v>
      </c>
      <c r="B515" s="113" t="str">
        <f>VLOOKUP(A515,[10]Schedule_Invigilators!$A$460:$B$803,2,FALSE)</f>
        <v>Stephen Adjei</v>
      </c>
      <c r="C515" s="113" t="str">
        <f>VLOOKUP(A515,'[10]COMBINED_ATTD_INV (3)'!$A$822:$E$847,2,FALSE)</f>
        <v>Edward Kpetege//</v>
      </c>
      <c r="D515" s="121" t="s">
        <v>740</v>
      </c>
      <c r="E515" s="114" t="s">
        <v>794</v>
      </c>
      <c r="F515" s="113" t="s">
        <v>643</v>
      </c>
    </row>
    <row r="516" spans="1:6" ht="17.149999999999999" customHeight="1" x14ac:dyDescent="0.3">
      <c r="A516" s="112">
        <v>303</v>
      </c>
      <c r="B516" s="113" t="str">
        <f>VLOOKUP(A516,[10]Schedule_Invigilators!$A$460:$B$803,2,FALSE)</f>
        <v>Benjamin Kommey / Eric Kwame Anokye Asare</v>
      </c>
      <c r="C516" s="113" t="str">
        <f>VLOOKUP(A516,'[10]COMBINED_ATTD_INV (3)'!$A$822:$E$847,2,FALSE)</f>
        <v>Benjamin Opoku Atuahene//</v>
      </c>
      <c r="D516" s="121" t="s">
        <v>739</v>
      </c>
      <c r="E516" s="114" t="s">
        <v>794</v>
      </c>
      <c r="F516" s="113" t="s">
        <v>643</v>
      </c>
    </row>
    <row r="517" spans="1:6" ht="17.149999999999999" customHeight="1" x14ac:dyDescent="0.3">
      <c r="A517" s="112">
        <v>304</v>
      </c>
      <c r="B517" s="113" t="str">
        <f>VLOOKUP(A517,[10]Schedule_Invigilators!$A$460:$B$803,2,FALSE)</f>
        <v>Kwame Sarkodie</v>
      </c>
      <c r="C517" s="113" t="str">
        <f>VLOOKUP(A517,'[10]COMBINED_ATTD_INV (3)'!$A$822:$E$847,2,FALSE)</f>
        <v>Benjamin Nana Oduro Konadu//</v>
      </c>
      <c r="D517" s="121" t="s">
        <v>738</v>
      </c>
      <c r="E517" s="114" t="s">
        <v>794</v>
      </c>
      <c r="F517" s="113" t="s">
        <v>643</v>
      </c>
    </row>
    <row r="518" spans="1:6" ht="17.149999999999999" customHeight="1" x14ac:dyDescent="0.3">
      <c r="A518" s="112" t="s">
        <v>61</v>
      </c>
      <c r="B518" s="113" t="str">
        <f>VLOOKUP(A518,[10]Schedule_Invigilators!$A$460:$B$803,2,FALSE)</f>
        <v>Samuel Erzuah</v>
      </c>
      <c r="C518" s="113" t="str">
        <f>VLOOKUP(A518,'[10]COMBINED_ATTD_INV (3)'!$A$822:$E$847,2,FALSE)</f>
        <v>Marian Bemma//</v>
      </c>
      <c r="D518" s="121" t="s">
        <v>708</v>
      </c>
      <c r="E518" s="114" t="s">
        <v>794</v>
      </c>
      <c r="F518" s="113" t="s">
        <v>643</v>
      </c>
    </row>
    <row r="519" spans="1:6" ht="17.149999999999999" customHeight="1" x14ac:dyDescent="0.3">
      <c r="A519" s="112" t="s">
        <v>467</v>
      </c>
      <c r="B519" s="113" t="str">
        <f>VLOOKUP(A519,[10]Schedule_Invigilators!$A$460:$B$803,2,FALSE)</f>
        <v>Martinson Addo Nartey</v>
      </c>
      <c r="C519" s="113" t="str">
        <f>VLOOKUP(A519,'[10]COMBINED_ATTD_INV (3)'!$A$822:$E$847,2,FALSE)</f>
        <v>Derrick Amoateng//</v>
      </c>
      <c r="D519" s="121" t="s">
        <v>795</v>
      </c>
      <c r="E519" s="114" t="s">
        <v>794</v>
      </c>
      <c r="F519" s="113" t="s">
        <v>643</v>
      </c>
    </row>
    <row r="520" spans="1:6" ht="17.149999999999999" customHeight="1" x14ac:dyDescent="0.3">
      <c r="A520" s="112" t="s">
        <v>468</v>
      </c>
      <c r="B520" s="113" t="str">
        <f>VLOOKUP(A520,[10]Schedule_Invigilators!$A$460:$B$803,2,FALSE)</f>
        <v>Vincent Kofi Abaka Acquaah / Eugene Appiah-Effah</v>
      </c>
      <c r="C520" s="113" t="str">
        <f>VLOOKUP(A520,'[10]COMBINED_ATTD_INV (3)'!$A$822:$E$847,2,FALSE)</f>
        <v>John Ofosu//</v>
      </c>
      <c r="D520" s="121" t="s">
        <v>736</v>
      </c>
      <c r="E520" s="114" t="s">
        <v>794</v>
      </c>
      <c r="F520" s="113" t="s">
        <v>643</v>
      </c>
    </row>
    <row r="521" spans="1:6" ht="17.149999999999999" customHeight="1" x14ac:dyDescent="0.3">
      <c r="A521" s="112" t="s">
        <v>469</v>
      </c>
      <c r="B521" s="113" t="str">
        <f>VLOOKUP(A521,[10]Schedule_Invigilators!$A$460:$B$803,2,FALSE)</f>
        <v>Dorothy Araba Yakoba Agyapong / Nancy Anataba Kyorku Dzikunu-Bansah</v>
      </c>
      <c r="C521" s="113" t="str">
        <f>VLOOKUP(A521,'[10]COMBINED_ATTD_INV (3)'!$A$822:$E$847,2,FALSE)</f>
        <v>Owusu Stephen Akuoku/Samuel Osei-Asibey Bonsu/</v>
      </c>
      <c r="D521" s="121" t="s">
        <v>735</v>
      </c>
      <c r="E521" s="114" t="s">
        <v>794</v>
      </c>
      <c r="F521" s="113" t="s">
        <v>643</v>
      </c>
    </row>
    <row r="522" spans="1:6" ht="17.149999999999999" customHeight="1" x14ac:dyDescent="0.3">
      <c r="A522" s="112" t="s">
        <v>42</v>
      </c>
      <c r="B522" s="113" t="str">
        <f>VLOOKUP(A522,[10]Schedule_Invigilators!$A$460:$B$803,2,FALSE)</f>
        <v>Bernard Konadu Amoah / Martin Kesse</v>
      </c>
      <c r="C522" s="113" t="str">
        <f>VLOOKUP(A522,'[10]COMBINED_ATTD_INV (3)'!$A$822:$E$847,2,FALSE)</f>
        <v>Kofi Bentum/Fiifi Turkson/</v>
      </c>
      <c r="D522" s="121" t="s">
        <v>734</v>
      </c>
      <c r="E522" s="114" t="s">
        <v>794</v>
      </c>
      <c r="F522" s="113" t="s">
        <v>643</v>
      </c>
    </row>
    <row r="523" spans="1:6" ht="17.149999999999999" customHeight="1" x14ac:dyDescent="0.3">
      <c r="A523" s="112" t="s">
        <v>470</v>
      </c>
      <c r="B523" s="113" t="str">
        <f>VLOOKUP(A523,[10]Schedule_Invigilators!$A$460:$B$803,2,FALSE)</f>
        <v>Kwame Agyemang Prempeh Agyekum / Felix Jojo Fianko Ayeh</v>
      </c>
      <c r="C523" s="113" t="str">
        <f>VLOOKUP(A523,'[10]COMBINED_ATTD_INV (3)'!$A$822:$E$847,2,FALSE)</f>
        <v>Richmond Awotwe//</v>
      </c>
      <c r="D523" s="121" t="s">
        <v>733</v>
      </c>
      <c r="E523" s="114" t="s">
        <v>794</v>
      </c>
      <c r="F523" s="113" t="s">
        <v>643</v>
      </c>
    </row>
    <row r="524" spans="1:6" ht="17.149999999999999" customHeight="1" x14ac:dyDescent="0.3">
      <c r="A524" s="112" t="s">
        <v>471</v>
      </c>
      <c r="B524" s="113" t="str">
        <f>VLOOKUP(A524,[10]Schedule_Invigilators!$A$460:$B$803,2,FALSE)</f>
        <v>Bennetta Koomson / Charles Gyamfi</v>
      </c>
      <c r="C524" s="113" t="str">
        <f>VLOOKUP(A524,'[10]COMBINED_ATTD_INV (3)'!$A$822:$E$847,2,FALSE)</f>
        <v>Mercy Nimako//</v>
      </c>
      <c r="D524" s="121" t="s">
        <v>732</v>
      </c>
      <c r="E524" s="114" t="s">
        <v>794</v>
      </c>
      <c r="F524" s="113" t="s">
        <v>643</v>
      </c>
    </row>
    <row r="525" spans="1:6" ht="17.149999999999999" customHeight="1" x14ac:dyDescent="0.3">
      <c r="A525" s="112" t="s">
        <v>472</v>
      </c>
      <c r="B525" s="113" t="str">
        <f>VLOOKUP(A525,[10]Schedule_Invigilators!$A$460:$B$803,2,FALSE)</f>
        <v>C. K. K. Sekyere / Yesuenyeagbe Fiagbe</v>
      </c>
      <c r="C525" s="113" t="str">
        <f>VLOOKUP(A525,'[10]COMBINED_ATTD_INV (3)'!$A$822:$E$847,2,FALSE)</f>
        <v>Bernard Audinada Ampofo/Fatawu Yakubu/</v>
      </c>
      <c r="D525" s="121" t="s">
        <v>731</v>
      </c>
      <c r="E525" s="114" t="s">
        <v>794</v>
      </c>
      <c r="F525" s="113" t="s">
        <v>643</v>
      </c>
    </row>
    <row r="526" spans="1:6" ht="17.149999999999999" customHeight="1" x14ac:dyDescent="0.3">
      <c r="A526" s="112" t="s">
        <v>108</v>
      </c>
      <c r="B526" s="113" t="str">
        <f>VLOOKUP(A526,[10]Schedule_Invigilators!$A$460:$B$803,2,FALSE)</f>
        <v>Anthony Arko-Adjei</v>
      </c>
      <c r="C526" s="113" t="str">
        <f>VLOOKUP(A526,'[10]COMBINED_ATTD_INV (3)'!$A$822:$E$847,2,FALSE)</f>
        <v>Clement Appiah//</v>
      </c>
      <c r="D526" s="121" t="s">
        <v>730</v>
      </c>
      <c r="E526" s="114" t="s">
        <v>794</v>
      </c>
      <c r="F526" s="113" t="s">
        <v>643</v>
      </c>
    </row>
    <row r="527" spans="1:6" ht="17.149999999999999" customHeight="1" x14ac:dyDescent="0.3">
      <c r="A527" s="112" t="s">
        <v>473</v>
      </c>
      <c r="B527" s="113" t="str">
        <f>VLOOKUP(A527,[10]Schedule_Invigilators!$A$460:$B$803,2,FALSE)</f>
        <v>James Okae / Andrew Cudzo Amenuvor</v>
      </c>
      <c r="C527" s="113" t="str">
        <f>VLOOKUP(A527,'[10]COMBINED_ATTD_INV (3)'!$A$822:$E$847,2,FALSE)</f>
        <v>Godfred Appiah//</v>
      </c>
      <c r="D527" s="121" t="s">
        <v>700</v>
      </c>
      <c r="E527" s="114" t="s">
        <v>794</v>
      </c>
      <c r="F527" s="113" t="s">
        <v>643</v>
      </c>
    </row>
    <row r="528" spans="1:6" ht="17.149999999999999" customHeight="1" x14ac:dyDescent="0.3">
      <c r="A528" s="112" t="s">
        <v>474</v>
      </c>
      <c r="B528" s="113" t="str">
        <f>VLOOKUP(A528,[10]Schedule_Invigilators!$A$460:$B$803,2,FALSE)</f>
        <v>Prince Ebenezer Adjei</v>
      </c>
      <c r="C528" s="113" t="str">
        <f>VLOOKUP(A528,'[10]COMBINED_ATTD_INV (3)'!$A$822:$E$847,2,FALSE)</f>
        <v>Ruth Adwubi Sarfo//</v>
      </c>
      <c r="D528" s="121" t="s">
        <v>699</v>
      </c>
      <c r="E528" s="114" t="s">
        <v>794</v>
      </c>
      <c r="F528" s="113" t="s">
        <v>643</v>
      </c>
    </row>
    <row r="529" spans="1:6" ht="17.149999999999999" customHeight="1" x14ac:dyDescent="0.3">
      <c r="A529" s="112" t="s">
        <v>475</v>
      </c>
      <c r="B529" s="113" t="str">
        <f>VLOOKUP(A529,[10]Schedule_Invigilators!$A$460:$B$803,2,FALSE)</f>
        <v>K. O.-B Obour Agyekum</v>
      </c>
      <c r="C529" s="113" t="str">
        <f>VLOOKUP(A529,'[10]COMBINED_ATTD_INV (3)'!$A$822:$E$847,2,FALSE)</f>
        <v>Rebecca Yamoah//</v>
      </c>
      <c r="D529" s="121" t="s">
        <v>698</v>
      </c>
      <c r="E529" s="114" t="s">
        <v>794</v>
      </c>
      <c r="F529" s="113" t="s">
        <v>643</v>
      </c>
    </row>
    <row r="530" spans="1:6" ht="17.149999999999999" customHeight="1" x14ac:dyDescent="0.3">
      <c r="A530" s="112" t="s">
        <v>476</v>
      </c>
      <c r="B530" s="113" t="str">
        <f>VLOOKUP(A530,[10]Schedule_Invigilators!$A$460:$B$803,2,FALSE)</f>
        <v>William Amponsah / Blestmond Afrifa Brako</v>
      </c>
      <c r="C530" s="113" t="str">
        <f>VLOOKUP(A530,'[10]COMBINED_ATTD_INV (3)'!$A$822:$E$847,2,FALSE)</f>
        <v>Salamatu Salifu//</v>
      </c>
      <c r="D530" s="121" t="s">
        <v>729</v>
      </c>
      <c r="E530" s="114" t="s">
        <v>794</v>
      </c>
      <c r="F530" s="113" t="s">
        <v>643</v>
      </c>
    </row>
    <row r="531" spans="1:6" ht="17.149999999999999" customHeight="1" x14ac:dyDescent="0.3">
      <c r="A531" s="112" t="s">
        <v>477</v>
      </c>
      <c r="B531" s="113" t="str">
        <f>VLOOKUP(A531,[10]Schedule_Invigilators!$A$460:$B$803,2,FALSE)</f>
        <v>Augustus Ababio Donkor / Daniel Kwegyir</v>
      </c>
      <c r="C531" s="113" t="str">
        <f>VLOOKUP(A531,'[10]COMBINED_ATTD_INV (3)'!$A$822:$E$847,2,FALSE)</f>
        <v>Kwadwo Afful//</v>
      </c>
      <c r="D531" s="121" t="s">
        <v>696</v>
      </c>
      <c r="E531" s="114" t="s">
        <v>794</v>
      </c>
      <c r="F531" s="113" t="s">
        <v>643</v>
      </c>
    </row>
    <row r="532" spans="1:6" ht="17.149999999999999" customHeight="1" x14ac:dyDescent="0.3">
      <c r="A532" s="112" t="s">
        <v>144</v>
      </c>
      <c r="B532" s="113" t="str">
        <f>VLOOKUP(A532,[10]Schedule_Invigilators!$A$460:$B$803,2,FALSE)</f>
        <v>Bright Akowuah / Prosper Akaba</v>
      </c>
      <c r="C532" s="113" t="str">
        <f>VLOOKUP(A532,'[10]COMBINED_ATTD_INV (3)'!$A$822:$E$847,2,FALSE)</f>
        <v>Mohammed Bakang/Adjatu Busali/</v>
      </c>
      <c r="D532" s="121" t="s">
        <v>695</v>
      </c>
      <c r="E532" s="114" t="s">
        <v>794</v>
      </c>
      <c r="F532" s="113" t="s">
        <v>643</v>
      </c>
    </row>
    <row r="533" spans="1:6" ht="17.149999999999999" hidden="1" customHeight="1" x14ac:dyDescent="0.3">
      <c r="A533" s="112" t="s">
        <v>638</v>
      </c>
      <c r="B533" s="113" t="e">
        <f>VLOOKUP(A533,[10]Schedule_Invigilators!$A$460:$B$803,2,FALSE)</f>
        <v>#N/A</v>
      </c>
      <c r="C533" s="113" t="e">
        <f>VLOOKUP(A533,'[10]COMBINED_ATTD_INV (3)'!$A$822:$E$847,2,FALSE)</f>
        <v>#N/A</v>
      </c>
      <c r="D533" s="121" t="s">
        <v>694</v>
      </c>
      <c r="E533" s="114" t="s">
        <v>794</v>
      </c>
      <c r="F533" s="113" t="s">
        <v>643</v>
      </c>
    </row>
    <row r="534" spans="1:6" ht="17.149999999999999" customHeight="1" x14ac:dyDescent="0.3">
      <c r="A534" s="112" t="s">
        <v>637</v>
      </c>
      <c r="B534" s="113" t="str">
        <f>VLOOKUP(A534,[10]Schedule_Invigilators!$A$460:$B$803,2,FALSE)</f>
        <v>Ayuba Bene Adam / Matthew Coffie Wilson / Eliel Keelson / Y. A. Sokama-Neuyam</v>
      </c>
      <c r="C534" s="113" t="str">
        <f>VLOOKUP(A534,'[10]COMBINED_ATTD_INV (3)'!$A$822:$E$847,2,FALSE)</f>
        <v>Mercy Nimako/Bernard Annan/Robert Kofi Kyere</v>
      </c>
      <c r="D534" s="121" t="s">
        <v>693</v>
      </c>
      <c r="E534" s="114" t="s">
        <v>794</v>
      </c>
      <c r="F534" s="113" t="s">
        <v>643</v>
      </c>
    </row>
    <row r="535" spans="1:6" ht="17.149999999999999" customHeight="1" x14ac:dyDescent="0.3">
      <c r="A535" s="112" t="s">
        <v>636</v>
      </c>
      <c r="B535" s="113" t="str">
        <f>VLOOKUP(A535,[10]Schedule_Invigilators!$A$460:$B$803,2,FALSE)</f>
        <v>Evans Amponsah / David Oppong / Anthony A. Agyemang</v>
      </c>
      <c r="C535" s="113" t="str">
        <f>VLOOKUP(A535,'[10]COMBINED_ATTD_INV (3)'!$A$822:$E$847,2,FALSE)</f>
        <v>Victoria Agyenim-Boateng/Perseverance Dzikunu/Adom Ebenezer</v>
      </c>
      <c r="D535" s="121" t="s">
        <v>692</v>
      </c>
      <c r="E535" s="114" t="s">
        <v>794</v>
      </c>
      <c r="F535" s="113" t="s">
        <v>643</v>
      </c>
    </row>
    <row r="536" spans="1:6" ht="17.149999999999999" customHeight="1" x14ac:dyDescent="0.3">
      <c r="A536" s="112" t="s">
        <v>635</v>
      </c>
      <c r="B536" s="113" t="str">
        <f>VLOOKUP(A536,[10]Schedule_Invigilators!$A$460:$B$803,2,FALSE)</f>
        <v>Kingsford Sarkodie Obeng Kwakye / James Dzisi Gadze / Prince Odame</v>
      </c>
      <c r="C536" s="113" t="str">
        <f>VLOOKUP(A536,'[10]COMBINED_ATTD_INV (3)'!$A$822:$E$847,2,FALSE)</f>
        <v>Kingsley Kyei Baffour/Bright Andoh-Baidoo/</v>
      </c>
      <c r="D536" s="121" t="s">
        <v>691</v>
      </c>
      <c r="E536" s="114" t="s">
        <v>794</v>
      </c>
      <c r="F536" s="113" t="s">
        <v>643</v>
      </c>
    </row>
    <row r="537" spans="1:6" ht="17.149999999999999" customHeight="1" x14ac:dyDescent="0.3">
      <c r="A537" s="112" t="s">
        <v>634</v>
      </c>
      <c r="B537" s="113" t="str">
        <f>VLOOKUP(A537,[10]Schedule_Invigilators!$A$460:$B$803,2,FALSE)</f>
        <v>Akwasi Afrifa Acheampong / Peter Oppong Tawiah</v>
      </c>
      <c r="C537" s="113" t="str">
        <f>VLOOKUP(A537,'[10]COMBINED_ATTD_INV (3)'!$A$822:$E$847,2,FALSE)</f>
        <v>Abigail Akos Worlanyo//</v>
      </c>
      <c r="D537" s="121" t="s">
        <v>690</v>
      </c>
      <c r="E537" s="114" t="s">
        <v>794</v>
      </c>
      <c r="F537" s="113" t="s">
        <v>643</v>
      </c>
    </row>
    <row r="538" spans="1:6" ht="17.149999999999999" customHeight="1" x14ac:dyDescent="0.3">
      <c r="A538" s="112"/>
      <c r="B538" s="113"/>
      <c r="C538" s="113"/>
      <c r="D538" s="113"/>
      <c r="E538" s="114"/>
      <c r="F538" s="113"/>
    </row>
    <row r="539" spans="1:6" ht="17.149999999999999" hidden="1" customHeight="1" x14ac:dyDescent="0.3">
      <c r="A539" s="112" t="s">
        <v>642</v>
      </c>
      <c r="B539" s="113" t="e">
        <f>VLOOKUP(A539,[10]Schedule_Invigilators!$A$2:$B$803,2,FALSE)</f>
        <v>#N/A</v>
      </c>
      <c r="C539" s="113" t="s">
        <v>672</v>
      </c>
      <c r="D539" s="113" t="s">
        <v>671</v>
      </c>
      <c r="E539" s="114" t="s">
        <v>641</v>
      </c>
      <c r="F539" s="113" t="s">
        <v>640</v>
      </c>
    </row>
    <row r="540" spans="1:6" ht="17.149999999999999" hidden="1" customHeight="1" x14ac:dyDescent="0.35">
      <c r="A540" s="112" t="s">
        <v>35</v>
      </c>
      <c r="B540" s="113" t="str">
        <f>VLOOKUP(A540,[10]Schedule_Invigilators!$A$2:$B$803,2,FALSE)</f>
        <v>Prince Yaw Andoh</v>
      </c>
      <c r="C540" s="113" t="str">
        <f>VLOOKUP(A540,'[11]Final Schedule (2)'!$A$652:$B$679,2,FALSE)</f>
        <v>Bernard Annan//</v>
      </c>
      <c r="D540" s="117" t="s">
        <v>793</v>
      </c>
      <c r="E540" s="114" t="s">
        <v>768</v>
      </c>
      <c r="F540" s="113" t="s">
        <v>632</v>
      </c>
    </row>
    <row r="541" spans="1:6" ht="17.149999999999999" hidden="1" customHeight="1" x14ac:dyDescent="0.35">
      <c r="A541" s="112" t="s">
        <v>510</v>
      </c>
      <c r="B541" s="113" t="str">
        <f>VLOOKUP(A541,[10]Schedule_Invigilators!$A$2:$B$803,2,FALSE)</f>
        <v>Prosper Akaba</v>
      </c>
      <c r="C541" s="113" t="str">
        <f>VLOOKUP(A541,'[11]Final Schedule (2)'!$A$652:$B$679,2,FALSE)</f>
        <v>Edward Kpetege//</v>
      </c>
      <c r="D541" s="117" t="s">
        <v>792</v>
      </c>
      <c r="E541" s="114" t="s">
        <v>768</v>
      </c>
      <c r="F541" s="113" t="s">
        <v>632</v>
      </c>
    </row>
    <row r="542" spans="1:6" ht="17.149999999999999" hidden="1" customHeight="1" x14ac:dyDescent="0.35">
      <c r="A542" s="112" t="s">
        <v>508</v>
      </c>
      <c r="B542" s="113" t="str">
        <f>VLOOKUP(A542,[10]Schedule_Invigilators!$A$2:$B$803,2,FALSE)</f>
        <v>Casper Adenutsi</v>
      </c>
      <c r="C542" s="113" t="str">
        <f>VLOOKUP(A542,'[11]Final Schedule (2)'!$A$652:$B$679,2,FALSE)</f>
        <v>Derrick Amoateng//</v>
      </c>
      <c r="D542" s="117" t="s">
        <v>791</v>
      </c>
      <c r="E542" s="114" t="s">
        <v>768</v>
      </c>
      <c r="F542" s="113" t="s">
        <v>632</v>
      </c>
    </row>
    <row r="543" spans="1:6" ht="17.149999999999999" hidden="1" customHeight="1" x14ac:dyDescent="0.35">
      <c r="A543" s="112" t="s">
        <v>466</v>
      </c>
      <c r="B543" s="113" t="str">
        <f>VLOOKUP(A543,[10]Schedule_Invigilators!$A$2:$B$803,2,FALSE)</f>
        <v>Kenneth Adomako Tutu / Joshua Ampofo</v>
      </c>
      <c r="C543" s="113" t="str">
        <f>VLOOKUP(A543,'[11]Final Schedule (2)'!$A$652:$B$679,2,FALSE)</f>
        <v>Eric Soku/Benjamin Nana Oduro Konadu/</v>
      </c>
      <c r="D543" s="117" t="s">
        <v>790</v>
      </c>
      <c r="E543" s="114" t="s">
        <v>768</v>
      </c>
      <c r="F543" s="113" t="s">
        <v>632</v>
      </c>
    </row>
    <row r="544" spans="1:6" ht="17.149999999999999" hidden="1" customHeight="1" x14ac:dyDescent="0.35">
      <c r="A544" s="112">
        <v>206</v>
      </c>
      <c r="B544" s="113" t="str">
        <f>VLOOKUP(A544,[10]Schedule_Invigilators!$A$2:$B$803,2,FALSE)</f>
        <v>Emmanuel Appiah-Adjei</v>
      </c>
      <c r="C544" s="113" t="str">
        <f>VLOOKUP(A544,'[11]Final Schedule (2)'!$A$652:$B$679,2,FALSE)</f>
        <v>Bernard Audinada Ampofo//</v>
      </c>
      <c r="D544" s="117" t="s">
        <v>789</v>
      </c>
      <c r="E544" s="114" t="s">
        <v>768</v>
      </c>
      <c r="F544" s="113" t="s">
        <v>632</v>
      </c>
    </row>
    <row r="545" spans="1:6" ht="17.149999999999999" hidden="1" customHeight="1" x14ac:dyDescent="0.3">
      <c r="A545" s="112">
        <v>303</v>
      </c>
      <c r="B545" s="113" t="str">
        <f>VLOOKUP(A545,[10]Schedule_Invigilators!$A$2:$B$803,2,FALSE)</f>
        <v>Jonathan Atuquaye Quaye / Eliel Keelson</v>
      </c>
      <c r="C545" s="113" t="str">
        <f>VLOOKUP(A545,'[11]Final Schedule (2)'!$A$652:$B$679,2,FALSE)</f>
        <v>Kwadwo Afful//</v>
      </c>
      <c r="D545" s="115" t="s">
        <v>788</v>
      </c>
      <c r="E545" s="114" t="s">
        <v>768</v>
      </c>
      <c r="F545" s="113" t="s">
        <v>632</v>
      </c>
    </row>
    <row r="546" spans="1:6" ht="17.149999999999999" hidden="1" customHeight="1" x14ac:dyDescent="0.35">
      <c r="A546" s="112">
        <v>304</v>
      </c>
      <c r="B546" s="113" t="str">
        <f>VLOOKUP(A546,[10]Schedule_Invigilators!$A$2:$B$803,2,FALSE)</f>
        <v>Bernard Konadu Amoah</v>
      </c>
      <c r="C546" s="113" t="str">
        <f>VLOOKUP(A546,'[11]Final Schedule (2)'!$A$652:$B$679,2,FALSE)</f>
        <v>James Assan Panford //</v>
      </c>
      <c r="D546" s="116" t="s">
        <v>787</v>
      </c>
      <c r="E546" s="114" t="s">
        <v>768</v>
      </c>
      <c r="F546" s="113" t="s">
        <v>632</v>
      </c>
    </row>
    <row r="547" spans="1:6" ht="17.149999999999999" hidden="1" customHeight="1" x14ac:dyDescent="0.35">
      <c r="A547" s="112" t="s">
        <v>61</v>
      </c>
      <c r="B547" s="113" t="str">
        <f>VLOOKUP(A547,[10]Schedule_Invigilators!$A$2:$B$803,2,FALSE)</f>
        <v>James Dzisi Gadze</v>
      </c>
      <c r="C547" s="113" t="str">
        <f>VLOOKUP(A547,'[11]Final Schedule (2)'!$A$652:$B$679,2,FALSE)</f>
        <v>0//</v>
      </c>
      <c r="D547" s="117">
        <v>0</v>
      </c>
      <c r="E547" s="114" t="s">
        <v>768</v>
      </c>
      <c r="F547" s="113" t="s">
        <v>632</v>
      </c>
    </row>
    <row r="548" spans="1:6" ht="17.149999999999999" hidden="1" customHeight="1" x14ac:dyDescent="0.35">
      <c r="A548" s="112" t="s">
        <v>467</v>
      </c>
      <c r="B548" s="113" t="str">
        <f>VLOOKUP(A548,[10]Schedule_Invigilators!$A$2:$B$803,2,FALSE)</f>
        <v>Samuel Boahen</v>
      </c>
      <c r="C548" s="113" t="str">
        <f>VLOOKUP(A548,'[11]Final Schedule (2)'!$A$652:$B$679,2,FALSE)</f>
        <v>0//</v>
      </c>
      <c r="D548" s="117">
        <v>0</v>
      </c>
      <c r="E548" s="114" t="s">
        <v>768</v>
      </c>
      <c r="F548" s="113" t="s">
        <v>632</v>
      </c>
    </row>
    <row r="549" spans="1:6" ht="17.149999999999999" hidden="1" customHeight="1" x14ac:dyDescent="0.35">
      <c r="A549" s="112" t="s">
        <v>468</v>
      </c>
      <c r="B549" s="113" t="str">
        <f>VLOOKUP(A549,[10]Schedule_Invigilators!$A$2:$B$803,2,FALSE)</f>
        <v>Martinson Addo Nartey / Benjamin Afotey</v>
      </c>
      <c r="C549" s="113" t="str">
        <f>VLOOKUP(A549,'[11]Final Schedule (2)'!$A$652:$B$679,2,FALSE)</f>
        <v>Richmond Awotwe//</v>
      </c>
      <c r="D549" s="117" t="s">
        <v>786</v>
      </c>
      <c r="E549" s="114" t="s">
        <v>768</v>
      </c>
      <c r="F549" s="113" t="s">
        <v>632</v>
      </c>
    </row>
    <row r="550" spans="1:6" ht="17.149999999999999" hidden="1" customHeight="1" x14ac:dyDescent="0.35">
      <c r="A550" s="112" t="s">
        <v>469</v>
      </c>
      <c r="B550" s="113" t="str">
        <f>VLOOKUP(A550,[10]Schedule_Invigilators!$A$2:$B$803,2,FALSE)</f>
        <v>Vincent Kofi Abaka Acquaah / Matthew Coffie Wilson</v>
      </c>
      <c r="C550" s="113" t="str">
        <f>VLOOKUP(A550,'[11]Final Schedule (2)'!$A$652:$B$679,2,FALSE)</f>
        <v>Derrick Owusu Mensah//</v>
      </c>
      <c r="D550" s="117" t="s">
        <v>785</v>
      </c>
      <c r="E550" s="114" t="s">
        <v>768</v>
      </c>
      <c r="F550" s="113" t="s">
        <v>632</v>
      </c>
    </row>
    <row r="551" spans="1:6" ht="17.149999999999999" hidden="1" customHeight="1" x14ac:dyDescent="0.35">
      <c r="A551" s="112" t="s">
        <v>42</v>
      </c>
      <c r="B551" s="113" t="str">
        <f>VLOOKUP(A551,[10]Schedule_Invigilators!$A$2:$B$803,2,FALSE)</f>
        <v>Prince Odame / Martin Kesse</v>
      </c>
      <c r="C551" s="113" t="str">
        <f>VLOOKUP(A551,'[11]Final Schedule (2)'!$A$652:$B$679,2,FALSE)</f>
        <v>Kofi Bentum//</v>
      </c>
      <c r="D551" s="117" t="s">
        <v>784</v>
      </c>
      <c r="E551" s="114" t="s">
        <v>768</v>
      </c>
      <c r="F551" s="113" t="s">
        <v>632</v>
      </c>
    </row>
    <row r="552" spans="1:6" ht="17.149999999999999" hidden="1" customHeight="1" x14ac:dyDescent="0.3">
      <c r="A552" s="112" t="s">
        <v>639</v>
      </c>
      <c r="B552" s="113" t="e">
        <f>VLOOKUP(A552,[10]Schedule_Invigilators!$A$2:$B$803,2,FALSE)</f>
        <v>#N/A</v>
      </c>
      <c r="C552" s="113" t="str">
        <f>VLOOKUP(A552,'[11]Final Schedule (2)'!$A$652:$B$679,2,FALSE)</f>
        <v>0//</v>
      </c>
      <c r="D552" s="115">
        <v>0</v>
      </c>
      <c r="E552" s="114" t="s">
        <v>768</v>
      </c>
      <c r="F552" s="113" t="s">
        <v>632</v>
      </c>
    </row>
    <row r="553" spans="1:6" ht="17.149999999999999" hidden="1" customHeight="1" x14ac:dyDescent="0.35">
      <c r="A553" s="112" t="s">
        <v>470</v>
      </c>
      <c r="B553" s="113" t="str">
        <f>VLOOKUP(A553,[10]Schedule_Invigilators!$A$2:$B$803,2,FALSE)</f>
        <v>Faisal Wahib Adam / Prince Ebenezer Adjei</v>
      </c>
      <c r="C553" s="113" t="str">
        <f>VLOOKUP(A553,'[11]Final Schedule (2)'!$A$652:$B$679,2,FALSE)</f>
        <v>Bright Andoh-Baidoo//</v>
      </c>
      <c r="D553" s="117" t="s">
        <v>783</v>
      </c>
      <c r="E553" s="114" t="s">
        <v>768</v>
      </c>
      <c r="F553" s="113" t="s">
        <v>632</v>
      </c>
    </row>
    <row r="554" spans="1:6" ht="17.149999999999999" hidden="1" customHeight="1" x14ac:dyDescent="0.35">
      <c r="A554" s="112" t="s">
        <v>471</v>
      </c>
      <c r="B554" s="113" t="str">
        <f>VLOOKUP(A554,[10]Schedule_Invigilators!$A$2:$B$803,2,FALSE)</f>
        <v>Sefakor Dogbe / Y. A. Sokama-Neuyam</v>
      </c>
      <c r="C554" s="113" t="str">
        <f>VLOOKUP(A554,'[11]Final Schedule (2)'!$A$652:$B$679,2,FALSE)</f>
        <v>Joseph Beneth Kankam//</v>
      </c>
      <c r="D554" s="117" t="s">
        <v>782</v>
      </c>
      <c r="E554" s="114" t="s">
        <v>768</v>
      </c>
      <c r="F554" s="113" t="s">
        <v>632</v>
      </c>
    </row>
    <row r="555" spans="1:6" ht="17.149999999999999" hidden="1" customHeight="1" x14ac:dyDescent="0.35">
      <c r="A555" s="112" t="s">
        <v>472</v>
      </c>
      <c r="B555" s="113" t="str">
        <f>VLOOKUP(A555,[10]Schedule_Invigilators!$A$2:$B$803,2,FALSE)</f>
        <v>Godfred Boahen /  Nancy Anataba Kyorku Dzikunu-Bansah</v>
      </c>
      <c r="C555" s="113" t="str">
        <f>VLOOKUP(A555,'[11]Final Schedule (2)'!$A$652:$B$679,2,FALSE)</f>
        <v>Solomon Tawiah Apafo/Kwame Kwarteng Sarpong/</v>
      </c>
      <c r="D555" s="117" t="s">
        <v>781</v>
      </c>
      <c r="E555" s="114" t="s">
        <v>768</v>
      </c>
      <c r="F555" s="113" t="s">
        <v>632</v>
      </c>
    </row>
    <row r="556" spans="1:6" ht="17.149999999999999" hidden="1" customHeight="1" x14ac:dyDescent="0.3">
      <c r="A556" s="112" t="s">
        <v>108</v>
      </c>
      <c r="B556" s="113" t="str">
        <f>VLOOKUP(A556,[10]Schedule_Invigilators!$A$2:$B$803,2,FALSE)</f>
        <v xml:space="preserve">Samuel Osah </v>
      </c>
      <c r="C556" s="113" t="str">
        <f>VLOOKUP(A556,'[11]Final Schedule (2)'!$A$652:$B$679,2,FALSE)</f>
        <v>Owusu Akuoku Stephen//</v>
      </c>
      <c r="D556" s="115" t="s">
        <v>780</v>
      </c>
      <c r="E556" s="114" t="s">
        <v>768</v>
      </c>
      <c r="F556" s="113" t="s">
        <v>632</v>
      </c>
    </row>
    <row r="557" spans="1:6" ht="17.149999999999999" hidden="1" customHeight="1" x14ac:dyDescent="0.35">
      <c r="A557" s="112" t="s">
        <v>473</v>
      </c>
      <c r="B557" s="113" t="str">
        <f>VLOOKUP(A557,[10]Schedule_Invigilators!$A$2:$B$803,2,FALSE)</f>
        <v>Evans Amponsah / Albert Kwame Kwaw</v>
      </c>
      <c r="C557" s="113" t="str">
        <f>VLOOKUP(A557,'[11]Final Schedule (2)'!$A$652:$B$679,2,FALSE)</f>
        <v>Issaka Ali Sambo //</v>
      </c>
      <c r="D557" s="117" t="s">
        <v>779</v>
      </c>
      <c r="E557" s="114" t="s">
        <v>768</v>
      </c>
      <c r="F557" s="113" t="s">
        <v>632</v>
      </c>
    </row>
    <row r="558" spans="1:6" ht="17.149999999999999" hidden="1" customHeight="1" x14ac:dyDescent="0.35">
      <c r="A558" s="112" t="s">
        <v>474</v>
      </c>
      <c r="B558" s="113" t="str">
        <f>VLOOKUP(A558,[10]Schedule_Invigilators!$A$2:$B$803,2,FALSE)</f>
        <v>Blestmond Afrifa Brako</v>
      </c>
      <c r="C558" s="113" t="str">
        <f>VLOOKUP(A558,'[11]Final Schedule (2)'!$A$652:$B$679,2,FALSE)</f>
        <v>Godfred Appiah//</v>
      </c>
      <c r="D558" s="117" t="s">
        <v>778</v>
      </c>
      <c r="E558" s="114" t="s">
        <v>768</v>
      </c>
      <c r="F558" s="113" t="s">
        <v>632</v>
      </c>
    </row>
    <row r="559" spans="1:6" ht="17.149999999999999" hidden="1" customHeight="1" x14ac:dyDescent="0.35">
      <c r="A559" s="112" t="s">
        <v>475</v>
      </c>
      <c r="B559" s="113" t="str">
        <f>VLOOKUP(A559,[10]Schedule_Invigilators!$A$2:$B$803,2,FALSE)</f>
        <v>Andrew Selasi Agbemenu</v>
      </c>
      <c r="C559" s="113" t="str">
        <f>VLOOKUP(A559,'[11]Final Schedule (2)'!$A$652:$B$679,2,FALSE)</f>
        <v>Ernest K. Dapaah//</v>
      </c>
      <c r="D559" s="117" t="s">
        <v>777</v>
      </c>
      <c r="E559" s="114" t="s">
        <v>768</v>
      </c>
      <c r="F559" s="113" t="s">
        <v>632</v>
      </c>
    </row>
    <row r="560" spans="1:6" ht="17.149999999999999" hidden="1" customHeight="1" x14ac:dyDescent="0.35">
      <c r="A560" s="112" t="s">
        <v>476</v>
      </c>
      <c r="B560" s="113" t="str">
        <f>VLOOKUP(A560,[10]Schedule_Invigilators!$A$2:$B$803,2,FALSE)</f>
        <v>William Amponsah / Daniel Oduro Boatey Nuamah</v>
      </c>
      <c r="C560" s="113" t="str">
        <f>VLOOKUP(A560,'[11]Final Schedule (2)'!$A$652:$B$679,2,FALSE)</f>
        <v>Micheal Owusu//</v>
      </c>
      <c r="D560" s="117" t="s">
        <v>776</v>
      </c>
      <c r="E560" s="114" t="s">
        <v>768</v>
      </c>
      <c r="F560" s="113" t="s">
        <v>632</v>
      </c>
    </row>
    <row r="561" spans="1:6" ht="17.149999999999999" hidden="1" customHeight="1" x14ac:dyDescent="0.35">
      <c r="A561" s="112" t="s">
        <v>477</v>
      </c>
      <c r="B561" s="113" t="str">
        <f>VLOOKUP(A561,[10]Schedule_Invigilators!$A$2:$B$803,2,FALSE)</f>
        <v>C. K. K. Sekyere / Peter Oppong Tawiah</v>
      </c>
      <c r="C561" s="113" t="str">
        <f>VLOOKUP(A561,'[11]Final Schedule (2)'!$A$652:$B$679,2,FALSE)</f>
        <v>John Ofosu//</v>
      </c>
      <c r="D561" s="117" t="s">
        <v>775</v>
      </c>
      <c r="E561" s="114" t="s">
        <v>768</v>
      </c>
      <c r="F561" s="113" t="s">
        <v>632</v>
      </c>
    </row>
    <row r="562" spans="1:6" ht="17.149999999999999" hidden="1" customHeight="1" x14ac:dyDescent="0.35">
      <c r="A562" s="112" t="s">
        <v>144</v>
      </c>
      <c r="B562" s="113" t="str">
        <f>VLOOKUP(A562,[10]Schedule_Invigilators!$A$2:$B$803,2,FALSE)</f>
        <v>Bright Akowuah / Felix Jojo Fianko Ayeh</v>
      </c>
      <c r="C562" s="113" t="str">
        <f>VLOOKUP(A562,'[11]Final Schedule (2)'!$A$652:$B$679,2,FALSE)</f>
        <v>Appiah Clement/Robert Kofi Kyere /</v>
      </c>
      <c r="D562" s="117" t="s">
        <v>774</v>
      </c>
      <c r="E562" s="114" t="s">
        <v>768</v>
      </c>
      <c r="F562" s="113" t="s">
        <v>632</v>
      </c>
    </row>
    <row r="563" spans="1:6" ht="17.149999999999999" hidden="1" customHeight="1" x14ac:dyDescent="0.35">
      <c r="A563" s="112" t="s">
        <v>638</v>
      </c>
      <c r="B563" s="113" t="e">
        <f>VLOOKUP(A563,[10]Schedule_Invigilators!$A$2:$B$803,2,FALSE)</f>
        <v>#N/A</v>
      </c>
      <c r="C563" s="113" t="str">
        <f>VLOOKUP(A563,'[11]Final Schedule (2)'!$A$652:$B$679,2,FALSE)</f>
        <v xml:space="preserve">Akurugu Eramus/Anthony Kwasi Martey/Helen Okai </v>
      </c>
      <c r="D563" s="117" t="s">
        <v>773</v>
      </c>
      <c r="E563" s="114" t="s">
        <v>768</v>
      </c>
      <c r="F563" s="113" t="s">
        <v>632</v>
      </c>
    </row>
    <row r="564" spans="1:6" ht="17.149999999999999" hidden="1" customHeight="1" x14ac:dyDescent="0.35">
      <c r="A564" s="112" t="s">
        <v>637</v>
      </c>
      <c r="B564" s="113" t="str">
        <f>VLOOKUP(A564,[10]Schedule_Invigilators!$A$2:$B$803,2,FALSE)</f>
        <v>Benjamin Kommey / Dorothy Araba Yakoba Agyapong / Jonathan Arthur Quaye-Ballard / Jones Owusu Twumasi</v>
      </c>
      <c r="C564" s="113" t="str">
        <f>VLOOKUP(A564,'[11]Final Schedule (2)'!$A$652:$B$679,2,FALSE)</f>
        <v>Paul Dery/Michael Obbo/ Loretta Owusu-Ansah</v>
      </c>
      <c r="D564" s="117" t="s">
        <v>772</v>
      </c>
      <c r="E564" s="114" t="s">
        <v>768</v>
      </c>
      <c r="F564" s="113" t="s">
        <v>632</v>
      </c>
    </row>
    <row r="565" spans="1:6" ht="17.149999999999999" hidden="1" customHeight="1" x14ac:dyDescent="0.35">
      <c r="A565" s="112" t="s">
        <v>636</v>
      </c>
      <c r="B565" s="113" t="str">
        <f>VLOOKUP(A565,[10]Schedule_Invigilators!$A$2:$B$803,2,FALSE)</f>
        <v>Anthony A. Agyemang / Eric Amoah Asante / Eric Kwame Anokye Asare</v>
      </c>
      <c r="C565" s="113" t="str">
        <f>VLOOKUP(A565,'[11]Final Schedule (2)'!$A$652:$B$679,2,FALSE)</f>
        <v>Kingsley Atta Nyamekye Snr/Perseverance Dzikunu/</v>
      </c>
      <c r="D565" s="117" t="s">
        <v>771</v>
      </c>
      <c r="E565" s="114" t="s">
        <v>768</v>
      </c>
      <c r="F565" s="113" t="s">
        <v>632</v>
      </c>
    </row>
    <row r="566" spans="1:6" ht="17.149999999999999" hidden="1" customHeight="1" x14ac:dyDescent="0.35">
      <c r="A566" s="112" t="s">
        <v>635</v>
      </c>
      <c r="B566" s="113" t="str">
        <f>VLOOKUP(A566,[10]Schedule_Invigilators!$A$2:$B$803,2,FALSE)</f>
        <v>Kingsford Sarkodie Obeng Kwakye / Daniel Akwei Addo / David Oppong</v>
      </c>
      <c r="C566" s="113" t="str">
        <f>VLOOKUP(A566,'[11]Final Schedule (2)'!$A$652:$B$679,2,FALSE)</f>
        <v>Kingsley Kyei Baffour//</v>
      </c>
      <c r="D566" s="117" t="s">
        <v>770</v>
      </c>
      <c r="E566" s="114" t="s">
        <v>768</v>
      </c>
      <c r="F566" s="113" t="s">
        <v>632</v>
      </c>
    </row>
    <row r="567" spans="1:6" ht="17.149999999999999" hidden="1" customHeight="1" x14ac:dyDescent="0.3">
      <c r="A567" s="112" t="s">
        <v>634</v>
      </c>
      <c r="B567" s="113" t="str">
        <f>VLOOKUP(A567,[10]Schedule_Invigilators!$A$2:$B$803,2,FALSE)</f>
        <v>Kwame Agyemang Prempeh Agyekum / Eugene Appiah-Effah</v>
      </c>
      <c r="C567" s="113" t="str">
        <f>VLOOKUP(A567,'[11]Final Schedule (2)'!$A$652:$B$679,2,FALSE)</f>
        <v>Emmanuel Afriyie//</v>
      </c>
      <c r="D567" s="115" t="s">
        <v>769</v>
      </c>
      <c r="E567" s="114" t="s">
        <v>768</v>
      </c>
      <c r="F567" s="113" t="s">
        <v>632</v>
      </c>
    </row>
    <row r="568" spans="1:6" ht="17.149999999999999" customHeight="1" x14ac:dyDescent="0.3">
      <c r="A568" s="112"/>
      <c r="B568" s="113"/>
      <c r="C568" s="113"/>
      <c r="D568" s="113"/>
      <c r="E568" s="114"/>
      <c r="F568" s="113"/>
    </row>
    <row r="569" spans="1:6" s="118" customFormat="1" ht="17.149999999999999" customHeight="1" x14ac:dyDescent="0.3">
      <c r="A569" s="119" t="s">
        <v>642</v>
      </c>
      <c r="B569" s="119" t="s">
        <v>526</v>
      </c>
      <c r="C569" s="119" t="s">
        <v>672</v>
      </c>
      <c r="D569" s="119" t="s">
        <v>671</v>
      </c>
      <c r="E569" s="124" t="s">
        <v>641</v>
      </c>
      <c r="F569" s="119" t="s">
        <v>640</v>
      </c>
    </row>
    <row r="570" spans="1:6" ht="17.149999999999999" customHeight="1" x14ac:dyDescent="0.3">
      <c r="A570" s="112" t="s">
        <v>35</v>
      </c>
      <c r="B570" s="113" t="str">
        <f>VLOOKUP(A570,[10]Schedule_Invigilators!$A$487:$B$803,2,FALSE)</f>
        <v>Kenneth Adomako Tutu</v>
      </c>
      <c r="C570" s="113" t="str">
        <f>VLOOKUP(A570,'[10]COMBINED_ATTD_INV (3)'!$A$850:$E$873,2,FALSE)</f>
        <v>Mohammed Bakang//</v>
      </c>
      <c r="D570" s="121" t="s">
        <v>689</v>
      </c>
      <c r="E570" s="114" t="s">
        <v>764</v>
      </c>
      <c r="F570" s="113" t="s">
        <v>750</v>
      </c>
    </row>
    <row r="571" spans="1:6" ht="17.149999999999999" customHeight="1" x14ac:dyDescent="0.3">
      <c r="A571" s="112" t="s">
        <v>510</v>
      </c>
      <c r="B571" s="113" t="str">
        <f>VLOOKUP(A571,[10]Schedule_Invigilators!$A$487:$B$803,2,FALSE)</f>
        <v>Martin Kesse</v>
      </c>
      <c r="C571" s="113" t="str">
        <f>VLOOKUP(A571,'[10]COMBINED_ATTD_INV (3)'!$A$850:$E$873,2,FALSE)</f>
        <v>Mercy Nimako//</v>
      </c>
      <c r="D571" s="121" t="s">
        <v>749</v>
      </c>
      <c r="E571" s="114" t="s">
        <v>764</v>
      </c>
      <c r="F571" s="113" t="s">
        <v>750</v>
      </c>
    </row>
    <row r="572" spans="1:6" ht="17.149999999999999" customHeight="1" x14ac:dyDescent="0.3">
      <c r="A572" s="112" t="s">
        <v>508</v>
      </c>
      <c r="B572" s="113" t="str">
        <f>VLOOKUP(A572,[10]Schedule_Invigilators!$A$487:$B$803,2,FALSE)</f>
        <v>Kwame Agyemang Prempeh Agyekum</v>
      </c>
      <c r="C572" s="113" t="str">
        <f>VLOOKUP(A572,'[10]COMBINED_ATTD_INV (3)'!$A$850:$E$873,2,FALSE)</f>
        <v>Derrick Owusu Mensah//</v>
      </c>
      <c r="D572" s="121" t="s">
        <v>688</v>
      </c>
      <c r="E572" s="114" t="s">
        <v>764</v>
      </c>
      <c r="F572" s="113" t="s">
        <v>750</v>
      </c>
    </row>
    <row r="573" spans="1:6" ht="17.149999999999999" customHeight="1" x14ac:dyDescent="0.3">
      <c r="A573" s="112" t="s">
        <v>466</v>
      </c>
      <c r="B573" s="113" t="str">
        <f>VLOOKUP(A573,[10]Schedule_Invigilators!$A$487:$B$803,2,FALSE)</f>
        <v xml:space="preserve"> Efiba Vidda Senkyire Kwarteng / Peter Oppong Tawiah</v>
      </c>
      <c r="C573" s="113" t="str">
        <f>VLOOKUP(A573,'[10]COMBINED_ATTD_INV (3)'!$A$850:$E$873,2,FALSE)</f>
        <v>Issaka Ali Sambo/Paul Dery/</v>
      </c>
      <c r="D573" s="121" t="s">
        <v>687</v>
      </c>
      <c r="E573" s="114" t="s">
        <v>764</v>
      </c>
      <c r="F573" s="113" t="s">
        <v>750</v>
      </c>
    </row>
    <row r="574" spans="1:6" ht="17.149999999999999" customHeight="1" x14ac:dyDescent="0.3">
      <c r="A574" s="112">
        <v>206</v>
      </c>
      <c r="B574" s="113" t="str">
        <f>VLOOKUP(A574,[10]Schedule_Invigilators!$A$487:$B$803,2,FALSE)</f>
        <v>Augustus Ababio Donkor</v>
      </c>
      <c r="C574" s="113" t="str">
        <f>VLOOKUP(A574,'[10]COMBINED_ATTD_INV (3)'!$A$850:$E$873,2,FALSE)</f>
        <v>Edward Kpetege//</v>
      </c>
      <c r="D574" s="121" t="s">
        <v>686</v>
      </c>
      <c r="E574" s="114" t="s">
        <v>764</v>
      </c>
      <c r="F574" s="113" t="s">
        <v>750</v>
      </c>
    </row>
    <row r="575" spans="1:6" ht="17.149999999999999" customHeight="1" x14ac:dyDescent="0.3">
      <c r="A575" s="112">
        <v>303</v>
      </c>
      <c r="B575" s="113" t="str">
        <f>VLOOKUP(A575,[10]Schedule_Invigilators!$A$487:$B$803,2,FALSE)</f>
        <v>Yesuenyeagbe Fiagbe /  Samuel Osah</v>
      </c>
      <c r="C575" s="113" t="str">
        <f>VLOOKUP(A575,'[10]COMBINED_ATTD_INV (3)'!$A$850:$E$873,2,FALSE)</f>
        <v>Benjamin Opoku Atuahene//</v>
      </c>
      <c r="D575" s="121" t="s">
        <v>685</v>
      </c>
      <c r="E575" s="114" t="s">
        <v>764</v>
      </c>
      <c r="F575" s="113" t="s">
        <v>750</v>
      </c>
    </row>
    <row r="576" spans="1:6" ht="17.149999999999999" customHeight="1" x14ac:dyDescent="0.3">
      <c r="A576" s="112">
        <v>304</v>
      </c>
      <c r="B576" s="113" t="str">
        <f>VLOOKUP(A576,[10]Schedule_Invigilators!$A$487:$B$803,2,FALSE)</f>
        <v>Theresa-Samuelle Maame Atwemaa Adjaidoo</v>
      </c>
      <c r="C576" s="113" t="str">
        <f>VLOOKUP(A576,'[10]COMBINED_ATTD_INV (3)'!$A$850:$E$873,2,FALSE)</f>
        <v>Eric Soku//</v>
      </c>
      <c r="D576" s="121" t="s">
        <v>684</v>
      </c>
      <c r="E576" s="114" t="s">
        <v>764</v>
      </c>
      <c r="F576" s="113" t="s">
        <v>750</v>
      </c>
    </row>
    <row r="577" spans="1:6" ht="17.149999999999999" customHeight="1" x14ac:dyDescent="0.3">
      <c r="A577" s="112" t="s">
        <v>61</v>
      </c>
      <c r="B577" s="113" t="str">
        <f>VLOOKUP(A577,[10]Schedule_Invigilators!$A$487:$B$803,2,FALSE)</f>
        <v>Bernard Konadu Amoah</v>
      </c>
      <c r="C577" s="113" t="str">
        <f>VLOOKUP(A577,'[10]COMBINED_ATTD_INV (3)'!$A$850:$E$873,2,FALSE)</f>
        <v>Marian Bemma//</v>
      </c>
      <c r="D577" s="121" t="s">
        <v>683</v>
      </c>
      <c r="E577" s="114" t="s">
        <v>764</v>
      </c>
      <c r="F577" s="113" t="s">
        <v>750</v>
      </c>
    </row>
    <row r="578" spans="1:6" ht="17.149999999999999" customHeight="1" x14ac:dyDescent="0.3">
      <c r="A578" s="112" t="s">
        <v>467</v>
      </c>
      <c r="B578" s="113" t="str">
        <f>VLOOKUP(A578,[10]Schedule_Invigilators!$A$487:$B$803,2,FALSE)</f>
        <v>Anthony Arko-Adjei</v>
      </c>
      <c r="C578" s="113" t="str">
        <f>VLOOKUP(A578,'[10]COMBINED_ATTD_INV (3)'!$A$850:$E$873,2,FALSE)</f>
        <v>Derrick Amoateng//</v>
      </c>
      <c r="D578" s="121" t="s">
        <v>682</v>
      </c>
      <c r="E578" s="114" t="s">
        <v>764</v>
      </c>
      <c r="F578" s="113" t="s">
        <v>750</v>
      </c>
    </row>
    <row r="579" spans="1:6" ht="17.149999999999999" customHeight="1" x14ac:dyDescent="0.3">
      <c r="A579" s="112" t="s">
        <v>468</v>
      </c>
      <c r="B579" s="113" t="str">
        <f>VLOOKUP(A579,[10]Schedule_Invigilators!$A$487:$B$803,2,FALSE)</f>
        <v>Jones Owusu Twumasi / Nancy Anataba Kyorku Dzikunu-Bansah</v>
      </c>
      <c r="C579" s="113" t="str">
        <f>VLOOKUP(A579,'[10]COMBINED_ATTD_INV (3)'!$A$850:$E$873,2,FALSE)</f>
        <v>John Ofosu//</v>
      </c>
      <c r="D579" s="121" t="s">
        <v>681</v>
      </c>
      <c r="E579" s="114" t="s">
        <v>764</v>
      </c>
      <c r="F579" s="113" t="s">
        <v>750</v>
      </c>
    </row>
    <row r="580" spans="1:6" ht="17.149999999999999" customHeight="1" x14ac:dyDescent="0.3">
      <c r="A580" s="112" t="s">
        <v>469</v>
      </c>
      <c r="B580" s="113" t="str">
        <f>VLOOKUP(A580,[10]Schedule_Invigilators!$A$487:$B$803,2,FALSE)</f>
        <v xml:space="preserve"> James Dzisi Gadze / Faisal Wahib Adam</v>
      </c>
      <c r="C580" s="113" t="str">
        <f>VLOOKUP(A580,'[10]COMBINED_ATTD_INV (3)'!$A$850:$E$873,2,FALSE)</f>
        <v>Michael Owusu/Samuel Osei-Asibey Bonsu/</v>
      </c>
      <c r="D580" s="121" t="s">
        <v>680</v>
      </c>
      <c r="E580" s="114" t="s">
        <v>764</v>
      </c>
      <c r="F580" s="113" t="s">
        <v>750</v>
      </c>
    </row>
    <row r="581" spans="1:6" ht="17.149999999999999" customHeight="1" x14ac:dyDescent="0.3">
      <c r="A581" s="112" t="s">
        <v>42</v>
      </c>
      <c r="B581" s="113" t="str">
        <f>VLOOKUP(A581,[10]Schedule_Invigilators!$A$487:$B$803,2,FALSE)</f>
        <v>Sefakor Dogbe /Eliel Keelson</v>
      </c>
      <c r="C581" s="113" t="str">
        <f>VLOOKUP(A581,'[10]COMBINED_ATTD_INV (3)'!$A$850:$E$873,2,FALSE)</f>
        <v>Kofi Bentum/Linda Berko/</v>
      </c>
      <c r="D581" s="121" t="s">
        <v>679</v>
      </c>
      <c r="E581" s="114" t="s">
        <v>764</v>
      </c>
      <c r="F581" s="113" t="s">
        <v>750</v>
      </c>
    </row>
    <row r="582" spans="1:6" ht="17.149999999999999" customHeight="1" x14ac:dyDescent="0.3">
      <c r="A582" s="112" t="s">
        <v>470</v>
      </c>
      <c r="B582" s="113" t="str">
        <f>VLOOKUP(A582,[10]Schedule_Invigilators!$A$487:$B$803,2,FALSE)</f>
        <v xml:space="preserve">Jack Osei Banahene / M. Appiah Brempong </v>
      </c>
      <c r="C582" s="113" t="str">
        <f>VLOOKUP(A582,'[10]COMBINED_ATTD_INV (3)'!$A$850:$E$873,2,FALSE)</f>
        <v>Richmond Awotwe//</v>
      </c>
      <c r="D582" s="121" t="s">
        <v>677</v>
      </c>
      <c r="E582" s="114" t="s">
        <v>764</v>
      </c>
      <c r="F582" s="113" t="s">
        <v>750</v>
      </c>
    </row>
    <row r="583" spans="1:6" ht="17.149999999999999" customHeight="1" x14ac:dyDescent="0.3">
      <c r="A583" s="112" t="s">
        <v>471</v>
      </c>
      <c r="B583" s="113" t="str">
        <f>VLOOKUP(A583,[10]Schedule_Invigilators!$A$487:$B$803,2,FALSE)</f>
        <v>Evans Amponsah / Anthony A. Agyemang</v>
      </c>
      <c r="C583" s="113" t="str">
        <f>VLOOKUP(A583,'[10]COMBINED_ATTD_INV (3)'!$A$850:$E$873,2,FALSE)</f>
        <v>Sandra Essel//</v>
      </c>
      <c r="D583" s="121" t="s">
        <v>676</v>
      </c>
      <c r="E583" s="114" t="s">
        <v>764</v>
      </c>
      <c r="F583" s="113" t="s">
        <v>750</v>
      </c>
    </row>
    <row r="584" spans="1:6" ht="17.149999999999999" customHeight="1" x14ac:dyDescent="0.3">
      <c r="A584" s="112" t="s">
        <v>472</v>
      </c>
      <c r="B584" s="113" t="str">
        <f>VLOOKUP(A584,[10]Schedule_Invigilators!$A$487:$B$803,2,FALSE)</f>
        <v>Charles Gyamfi / Kofi Owura Amoabeng</v>
      </c>
      <c r="C584" s="113" t="str">
        <f>VLOOKUP(A584,'[10]COMBINED_ATTD_INV (3)'!$A$850:$E$873,2,FALSE)</f>
        <v>Desmond Adu-Yeboah/Fatawu Yakubu/</v>
      </c>
      <c r="D584" s="121" t="s">
        <v>675</v>
      </c>
      <c r="E584" s="114" t="s">
        <v>764</v>
      </c>
      <c r="F584" s="113" t="s">
        <v>750</v>
      </c>
    </row>
    <row r="585" spans="1:6" ht="17.149999999999999" customHeight="1" x14ac:dyDescent="0.3">
      <c r="A585" s="112" t="s">
        <v>108</v>
      </c>
      <c r="B585" s="113" t="str">
        <f>VLOOKUP(A585,[10]Schedule_Invigilators!$A$487:$B$803,2,FALSE)</f>
        <v>David Oppong</v>
      </c>
      <c r="C585" s="113" t="str">
        <f>VLOOKUP(A585,'[10]COMBINED_ATTD_INV (3)'!$A$850:$E$873,2,FALSE)</f>
        <v>Clement Appiah//</v>
      </c>
      <c r="D585" s="121" t="s">
        <v>674</v>
      </c>
      <c r="E585" s="114" t="s">
        <v>764</v>
      </c>
      <c r="F585" s="113" t="s">
        <v>750</v>
      </c>
    </row>
    <row r="586" spans="1:6" ht="17.149999999999999" customHeight="1" x14ac:dyDescent="0.3">
      <c r="A586" s="112" t="s">
        <v>473</v>
      </c>
      <c r="B586" s="113" t="str">
        <f>VLOOKUP(A586,[10]Schedule_Invigilators!$A$487:$B$803,2,FALSE)</f>
        <v>Prosper Akaba /  Samuel Boahen</v>
      </c>
      <c r="C586" s="113" t="str">
        <f>VLOOKUP(A586,'[10]COMBINED_ATTD_INV (3)'!$A$850:$E$873,2,FALSE)</f>
        <v>Godfred Appiah//</v>
      </c>
      <c r="D586" s="121" t="s">
        <v>670</v>
      </c>
      <c r="E586" s="114" t="s">
        <v>764</v>
      </c>
      <c r="F586" s="113" t="s">
        <v>750</v>
      </c>
    </row>
    <row r="587" spans="1:6" ht="17.149999999999999" customHeight="1" x14ac:dyDescent="0.3">
      <c r="A587" s="112" t="s">
        <v>476</v>
      </c>
      <c r="B587" s="113" t="str">
        <f>VLOOKUP(A587,[10]Schedule_Invigilators!$A$487:$B$803,2,FALSE)</f>
        <v>Godfred Boahen / Patrick Boakye</v>
      </c>
      <c r="C587" s="113" t="str">
        <f>VLOOKUP(A587,'[10]COMBINED_ATTD_INV (3)'!$A$850:$E$873,2,FALSE)</f>
        <v>Kwame Kwarteng Sarpong//</v>
      </c>
      <c r="D587" s="121" t="s">
        <v>748</v>
      </c>
      <c r="E587" s="114" t="s">
        <v>764</v>
      </c>
      <c r="F587" s="113" t="s">
        <v>750</v>
      </c>
    </row>
    <row r="588" spans="1:6" ht="17.149999999999999" customHeight="1" x14ac:dyDescent="0.3">
      <c r="A588" s="112" t="s">
        <v>477</v>
      </c>
      <c r="B588" s="113" t="str">
        <f>VLOOKUP(A588,[10]Schedule_Invigilators!$A$487:$B$803,2,FALSE)</f>
        <v>Eric Amoah Asante / William Amponsah</v>
      </c>
      <c r="C588" s="113" t="str">
        <f>VLOOKUP(A588,'[10]COMBINED_ATTD_INV (3)'!$A$850:$E$873,2,FALSE)</f>
        <v>Kwadwo Afful//</v>
      </c>
      <c r="D588" s="121" t="s">
        <v>666</v>
      </c>
      <c r="E588" s="114" t="s">
        <v>764</v>
      </c>
      <c r="F588" s="113" t="s">
        <v>750</v>
      </c>
    </row>
    <row r="589" spans="1:6" ht="17.149999999999999" customHeight="1" x14ac:dyDescent="0.3">
      <c r="A589" s="112" t="s">
        <v>144</v>
      </c>
      <c r="B589" s="113" t="str">
        <f>VLOOKUP(A589,[10]Schedule_Invigilators!$A$487:$B$803,2,FALSE)</f>
        <v>Bright Akowuah / Henry Nunoo-Mensah</v>
      </c>
      <c r="C589" s="113" t="str">
        <f>VLOOKUP(A589,'[10]COMBINED_ATTD_INV (3)'!$A$850:$E$873,2,FALSE)</f>
        <v>Loretta Owusu Ansah/Adjatu Busali/</v>
      </c>
      <c r="D589" s="121" t="s">
        <v>665</v>
      </c>
      <c r="E589" s="114" t="s">
        <v>764</v>
      </c>
      <c r="F589" s="113" t="s">
        <v>750</v>
      </c>
    </row>
    <row r="590" spans="1:6" ht="17.149999999999999" hidden="1" customHeight="1" x14ac:dyDescent="0.3">
      <c r="A590" s="112" t="s">
        <v>638</v>
      </c>
      <c r="B590" s="113" t="e">
        <f>VLOOKUP(A590,[10]Schedule_Invigilators!$A$487:$B$803,2,FALSE)</f>
        <v>#N/A</v>
      </c>
      <c r="C590" s="113" t="e">
        <f>VLOOKUP(A590,'[10]COMBINED_ATTD_INV (3)'!$A$850:$E$873,2,FALSE)</f>
        <v>#N/A</v>
      </c>
      <c r="D590" s="121" t="s">
        <v>664</v>
      </c>
      <c r="E590" s="114" t="s">
        <v>764</v>
      </c>
      <c r="F590" s="113" t="s">
        <v>750</v>
      </c>
    </row>
    <row r="591" spans="1:6" ht="17.149999999999999" customHeight="1" x14ac:dyDescent="0.3">
      <c r="A591" s="112" t="s">
        <v>637</v>
      </c>
      <c r="B591" s="113" t="str">
        <f>VLOOKUP(A591,[10]Schedule_Invigilators!$A$487:$B$803,2,FALSE)</f>
        <v>Bennetta Koomson / Kwame Sarkodie / C. K. K. Sekyere / Akwasi Afrifa Acheampong</v>
      </c>
      <c r="C591" s="113" t="str">
        <f>VLOOKUP(A591,'[10]COMBINED_ATTD_INV (3)'!$A$850:$E$873,2,FALSE)</f>
        <v>Micheal Obbo/Bernard Annan/Robert Kofi Kyere</v>
      </c>
      <c r="D591" s="121" t="s">
        <v>663</v>
      </c>
      <c r="E591" s="114" t="s">
        <v>764</v>
      </c>
      <c r="F591" s="113" t="s">
        <v>750</v>
      </c>
    </row>
    <row r="592" spans="1:6" ht="17.149999999999999" customHeight="1" x14ac:dyDescent="0.3">
      <c r="A592" s="112" t="s">
        <v>636</v>
      </c>
      <c r="B592" s="113" t="str">
        <f>VLOOKUP(A592,[10]Schedule_Invigilators!$A$487:$B$803,2,FALSE)</f>
        <v>K. O.-B Obour Agyekum / Ayuba Bene Adam / Prince Ebenezer Adjei</v>
      </c>
      <c r="C592" s="113" t="str">
        <f>VLOOKUP(A592,'[10]COMBINED_ATTD_INV (3)'!$A$850:$E$873,2,FALSE)</f>
        <v>Clement Dadzie/Perseverance Dzikunu/Adom Ebenezer</v>
      </c>
      <c r="D592" s="121" t="s">
        <v>767</v>
      </c>
      <c r="E592" s="114" t="s">
        <v>764</v>
      </c>
      <c r="F592" s="113" t="s">
        <v>750</v>
      </c>
    </row>
    <row r="593" spans="1:6" ht="17.149999999999999" customHeight="1" x14ac:dyDescent="0.3">
      <c r="A593" s="112" t="s">
        <v>635</v>
      </c>
      <c r="B593" s="113" t="str">
        <f>VLOOKUP(A593,[10]Schedule_Invigilators!$A$487:$B$803,2,FALSE)</f>
        <v xml:space="preserve">Kingsford Sarkodie Obeng Kwakye / Charles Adrah / Blestmond Afrifa Brako </v>
      </c>
      <c r="C593" s="113" t="str">
        <f>VLOOKUP(A593,'[10]COMBINED_ATTD_INV (3)'!$A$850:$E$873,2,FALSE)</f>
        <v>Kingsley Kyei Baffour/Evans Korletey/</v>
      </c>
      <c r="D593" s="121" t="s">
        <v>766</v>
      </c>
      <c r="E593" s="114" t="s">
        <v>764</v>
      </c>
      <c r="F593" s="113" t="s">
        <v>750</v>
      </c>
    </row>
    <row r="594" spans="1:6" ht="17.149999999999999" customHeight="1" x14ac:dyDescent="0.3">
      <c r="A594" s="112" t="s">
        <v>634</v>
      </c>
      <c r="B594" s="113" t="str">
        <f>VLOOKUP(A594,[10]Schedule_Invigilators!$A$487:$B$803,2,FALSE)</f>
        <v>Felix Jojo Fianko Ayeh / Casper Adenutsi</v>
      </c>
      <c r="C594" s="113" t="str">
        <f>VLOOKUP(A594,'[10]COMBINED_ATTD_INV (3)'!$A$850:$E$873,2,FALSE)</f>
        <v>Ernest Dapaah//</v>
      </c>
      <c r="D594" s="121" t="s">
        <v>661</v>
      </c>
      <c r="E594" s="114" t="s">
        <v>764</v>
      </c>
      <c r="F594" s="113" t="s">
        <v>750</v>
      </c>
    </row>
    <row r="595" spans="1:6" ht="17.149999999999999" customHeight="1" x14ac:dyDescent="0.3">
      <c r="A595" s="112"/>
      <c r="B595" s="113"/>
      <c r="C595" s="113"/>
      <c r="D595" s="113"/>
      <c r="E595" s="114"/>
      <c r="F595" s="113"/>
    </row>
    <row r="596" spans="1:6" s="118" customFormat="1" ht="17.149999999999999" customHeight="1" x14ac:dyDescent="0.3">
      <c r="A596" s="119" t="s">
        <v>642</v>
      </c>
      <c r="B596" s="119" t="s">
        <v>526</v>
      </c>
      <c r="C596" s="119" t="s">
        <v>672</v>
      </c>
      <c r="D596" s="119" t="s">
        <v>671</v>
      </c>
      <c r="E596" s="124" t="s">
        <v>641</v>
      </c>
      <c r="F596" s="119" t="s">
        <v>640</v>
      </c>
    </row>
    <row r="597" spans="1:6" ht="17.149999999999999" customHeight="1" x14ac:dyDescent="0.3">
      <c r="A597" s="112" t="s">
        <v>35</v>
      </c>
      <c r="B597" s="113" t="str">
        <f>VLOOKUP(A597,[10]Schedule_Invigilators!$A$512:$B$803,2,FALSE)</f>
        <v>Jude Bonsu</v>
      </c>
      <c r="C597" s="113" t="str">
        <f>VLOOKUP(A597,'[10]COMBINED_ATTD_INV (3)'!$A$877:$E$898,2,FALSE)</f>
        <v>Reuben Asare Bediako//</v>
      </c>
      <c r="D597" s="121" t="s">
        <v>660</v>
      </c>
      <c r="E597" s="114" t="s">
        <v>764</v>
      </c>
      <c r="F597" s="113" t="s">
        <v>745</v>
      </c>
    </row>
    <row r="598" spans="1:6" ht="17.149999999999999" customHeight="1" x14ac:dyDescent="0.3">
      <c r="A598" s="112" t="s">
        <v>510</v>
      </c>
      <c r="B598" s="113" t="str">
        <f>VLOOKUP(A598,[10]Schedule_Invigilators!$A$512:$B$803,2,FALSE)</f>
        <v>Martina Francisca Baidoo</v>
      </c>
      <c r="C598" s="113" t="str">
        <f>VLOOKUP(A598,'[10]COMBINED_ATTD_INV (3)'!$A$877:$E$898,2,FALSE)</f>
        <v>George Ansong//</v>
      </c>
      <c r="D598" s="121" t="s">
        <v>763</v>
      </c>
      <c r="E598" s="114" t="s">
        <v>764</v>
      </c>
      <c r="F598" s="113" t="s">
        <v>745</v>
      </c>
    </row>
    <row r="599" spans="1:6" ht="17.149999999999999" customHeight="1" x14ac:dyDescent="0.3">
      <c r="A599" s="112" t="s">
        <v>508</v>
      </c>
      <c r="B599" s="113" t="str">
        <f>VLOOKUP(A599,[10]Schedule_Invigilators!$A$512:$B$803,2,FALSE)</f>
        <v>Emmanuel Offei Akrofi</v>
      </c>
      <c r="C599" s="113" t="str">
        <f>VLOOKUP(A599,'[10]COMBINED_ATTD_INV (3)'!$A$877:$E$898,2,FALSE)</f>
        <v>Derrick Owusu Mensah//</v>
      </c>
      <c r="D599" s="121" t="s">
        <v>659</v>
      </c>
      <c r="E599" s="114" t="s">
        <v>764</v>
      </c>
      <c r="F599" s="113" t="s">
        <v>745</v>
      </c>
    </row>
    <row r="600" spans="1:6" ht="17.149999999999999" customHeight="1" x14ac:dyDescent="0.3">
      <c r="A600" s="112" t="s">
        <v>466</v>
      </c>
      <c r="B600" s="113" t="str">
        <f>VLOOKUP(A600,[10]Schedule_Invigilators!$A$512:$B$803,2,FALSE)</f>
        <v>F. K. A. Nyarko / Andrew Cudzo Amenuvor</v>
      </c>
      <c r="C600" s="113" t="str">
        <f>VLOOKUP(A600,'[10]COMBINED_ATTD_INV (3)'!$A$877:$E$898,2,FALSE)</f>
        <v>Sandra Essel/Abigail Akos Worlanyo/</v>
      </c>
      <c r="D600" s="121" t="s">
        <v>658</v>
      </c>
      <c r="E600" s="114" t="s">
        <v>764</v>
      </c>
      <c r="F600" s="113" t="s">
        <v>745</v>
      </c>
    </row>
    <row r="601" spans="1:6" ht="17.149999999999999" customHeight="1" x14ac:dyDescent="0.3">
      <c r="A601" s="112">
        <v>304</v>
      </c>
      <c r="B601" s="113" t="str">
        <f>VLOOKUP(A601,[10]Schedule_Invigilators!$A$512:$B$803,2,FALSE)</f>
        <v>Joseph Aveyire</v>
      </c>
      <c r="C601" s="113" t="str">
        <f>VLOOKUP(A601,'[10]COMBINED_ATTD_INV (3)'!$A$877:$E$898,2,FALSE)</f>
        <v>Eric Soku//</v>
      </c>
      <c r="D601" s="121" t="s">
        <v>655</v>
      </c>
      <c r="E601" s="114" t="s">
        <v>764</v>
      </c>
      <c r="F601" s="113" t="s">
        <v>745</v>
      </c>
    </row>
    <row r="602" spans="1:6" ht="17.149999999999999" customHeight="1" x14ac:dyDescent="0.3">
      <c r="A602" s="112" t="s">
        <v>61</v>
      </c>
      <c r="B602" s="113" t="str">
        <f>VLOOKUP(A602,[10]Schedule_Invigilators!$A$512:$B$803,2,FALSE)</f>
        <v>Jonathan Atuquaye Quaye</v>
      </c>
      <c r="C602" s="113" t="str">
        <f>VLOOKUP(A602,'[10]COMBINED_ATTD_INV (3)'!$A$877:$E$898,2,FALSE)</f>
        <v>Marian Bemma//</v>
      </c>
      <c r="D602" s="121" t="s">
        <v>654</v>
      </c>
      <c r="E602" s="114" t="s">
        <v>764</v>
      </c>
      <c r="F602" s="113" t="s">
        <v>745</v>
      </c>
    </row>
    <row r="603" spans="1:6" ht="17.149999999999999" customHeight="1" x14ac:dyDescent="0.3">
      <c r="A603" s="112" t="s">
        <v>467</v>
      </c>
      <c r="B603" s="113" t="str">
        <f>VLOOKUP(A603,[10]Schedule_Invigilators!$A$512:$B$803,2,FALSE)</f>
        <v>Eric Kwame Anokye Asare</v>
      </c>
      <c r="C603" s="113" t="str">
        <f>VLOOKUP(A603,'[10]COMBINED_ATTD_INV (3)'!$A$877:$E$898,2,FALSE)</f>
        <v>Derrick Amoateng//</v>
      </c>
      <c r="D603" s="121" t="s">
        <v>653</v>
      </c>
      <c r="E603" s="114" t="s">
        <v>764</v>
      </c>
      <c r="F603" s="113" t="s">
        <v>745</v>
      </c>
    </row>
    <row r="604" spans="1:6" ht="17.149999999999999" customHeight="1" x14ac:dyDescent="0.3">
      <c r="A604" s="112" t="s">
        <v>468</v>
      </c>
      <c r="B604" s="113" t="str">
        <f>VLOOKUP(A604,[10]Schedule_Invigilators!$A$512:$B$803,2,FALSE)</f>
        <v>Gordon Foli /Francis Kofi Forson</v>
      </c>
      <c r="C604" s="113" t="str">
        <f>VLOOKUP(A604,'[10]COMBINED_ATTD_INV (3)'!$A$877:$E$898,2,FALSE)</f>
        <v>John Ofosu//</v>
      </c>
      <c r="D604" s="121" t="s">
        <v>652</v>
      </c>
      <c r="E604" s="114" t="s">
        <v>764</v>
      </c>
      <c r="F604" s="113" t="s">
        <v>745</v>
      </c>
    </row>
    <row r="605" spans="1:6" ht="17.149999999999999" customHeight="1" x14ac:dyDescent="0.3">
      <c r="A605" s="112" t="s">
        <v>469</v>
      </c>
      <c r="B605" s="113" t="str">
        <f>VLOOKUP(A605,[10]Schedule_Invigilators!$A$512:$B$803,2,FALSE)</f>
        <v>Isaac Dadzie / Yaw Adubofour Tuffour</v>
      </c>
      <c r="C605" s="113" t="str">
        <f>VLOOKUP(A605,'[10]COMBINED_ATTD_INV (3)'!$A$877:$E$898,2,FALSE)</f>
        <v>Owusu Stephen Akuoku/Samuel Osei-Asibey Bonsu/</v>
      </c>
      <c r="D605" s="121" t="s">
        <v>651</v>
      </c>
      <c r="E605" s="114" t="s">
        <v>764</v>
      </c>
      <c r="F605" s="113" t="s">
        <v>745</v>
      </c>
    </row>
    <row r="606" spans="1:6" ht="17.149999999999999" customHeight="1" x14ac:dyDescent="0.3">
      <c r="A606" s="112" t="s">
        <v>42</v>
      </c>
      <c r="B606" s="113" t="str">
        <f>VLOOKUP(A606,[10]Schedule_Invigilators!$A$512:$B$803,2,FALSE)</f>
        <v>S. H. M. Aikins / Forkuo Eric Kwabena</v>
      </c>
      <c r="C606" s="113" t="str">
        <f>VLOOKUP(A606,'[10]COMBINED_ATTD_INV (3)'!$A$877:$E$898,2,FALSE)</f>
        <v>Kofi Bentum/Fiifi Turkson/</v>
      </c>
      <c r="D606" s="121" t="s">
        <v>762</v>
      </c>
      <c r="E606" s="114" t="s">
        <v>764</v>
      </c>
      <c r="F606" s="113" t="s">
        <v>745</v>
      </c>
    </row>
    <row r="607" spans="1:6" ht="17.149999999999999" customHeight="1" x14ac:dyDescent="0.3">
      <c r="A607" s="112" t="s">
        <v>470</v>
      </c>
      <c r="B607" s="113" t="str">
        <f>VLOOKUP(A607,[10]Schedule_Invigilators!$A$512:$B$803,2,FALSE)</f>
        <v>Emmanuel Obuobi Kwame Addo / Albert Amatey Adjaottor</v>
      </c>
      <c r="C607" s="113" t="str">
        <f>VLOOKUP(A607,'[10]COMBINED_ATTD_INV (3)'!$A$877:$E$898,2,FALSE)</f>
        <v>Rebecca Yamoah//</v>
      </c>
      <c r="D607" s="121" t="s">
        <v>761</v>
      </c>
      <c r="E607" s="114" t="s">
        <v>764</v>
      </c>
      <c r="F607" s="113" t="s">
        <v>745</v>
      </c>
    </row>
    <row r="608" spans="1:6" ht="17.149999999999999" customHeight="1" x14ac:dyDescent="0.3">
      <c r="A608" s="112" t="s">
        <v>471</v>
      </c>
      <c r="B608" s="113" t="str">
        <f>VLOOKUP(A608,[10]Schedule_Invigilators!$A$512:$B$803,2,FALSE)</f>
        <v>Emmanuel Ampoma Affum / Nicholas Prah</v>
      </c>
      <c r="C608" s="113" t="str">
        <f>VLOOKUP(A608,'[10]COMBINED_ATTD_INV (3)'!$A$877:$E$898,2,FALSE)</f>
        <v>Joseph Benneth Kankam//</v>
      </c>
      <c r="D608" s="121" t="s">
        <v>647</v>
      </c>
      <c r="E608" s="114" t="s">
        <v>764</v>
      </c>
      <c r="F608" s="113" t="s">
        <v>745</v>
      </c>
    </row>
    <row r="609" spans="1:6" ht="17.149999999999999" customHeight="1" x14ac:dyDescent="0.3">
      <c r="A609" s="112" t="s">
        <v>472</v>
      </c>
      <c r="B609" s="113" t="str">
        <f>VLOOKUP(A609,[10]Schedule_Invigilators!$A$512:$B$803,2,FALSE)</f>
        <v>Bukari Ali / Albert Asare</v>
      </c>
      <c r="C609" s="113" t="str">
        <f>VLOOKUP(A609,'[10]COMBINED_ATTD_INV (3)'!$A$877:$E$898,2,FALSE)</f>
        <v>Bernard Audinada Ampofo/Evans Korletey/</v>
      </c>
      <c r="D609" s="121" t="s">
        <v>646</v>
      </c>
      <c r="E609" s="114" t="s">
        <v>764</v>
      </c>
      <c r="F609" s="113" t="s">
        <v>745</v>
      </c>
    </row>
    <row r="610" spans="1:6" ht="17.149999999999999" customHeight="1" x14ac:dyDescent="0.3">
      <c r="A610" s="112" t="s">
        <v>108</v>
      </c>
      <c r="B610" s="113" t="str">
        <f>VLOOKUP(A610,[10]Schedule_Invigilators!$A$512:$B$803,2,FALSE)</f>
        <v>Dorothy Araba Yakoba Agyapong</v>
      </c>
      <c r="C610" s="113" t="str">
        <f>VLOOKUP(A610,'[10]COMBINED_ATTD_INV (3)'!$A$877:$E$898,2,FALSE)</f>
        <v>Clement Appiah//</v>
      </c>
      <c r="D610" s="121" t="s">
        <v>645</v>
      </c>
      <c r="E610" s="114" t="s">
        <v>764</v>
      </c>
      <c r="F610" s="113" t="s">
        <v>745</v>
      </c>
    </row>
    <row r="611" spans="1:6" ht="17.149999999999999" customHeight="1" x14ac:dyDescent="0.3">
      <c r="A611" s="112" t="s">
        <v>473</v>
      </c>
      <c r="B611" s="113" t="str">
        <f>VLOOKUP(A611,[10]Schedule_Invigilators!$A$512:$B$803,2,FALSE)</f>
        <v>Daniel Kwegyir / Geophrey Kwame Anornu</v>
      </c>
      <c r="C611" s="113" t="str">
        <f>VLOOKUP(A611,'[10]COMBINED_ATTD_INV (3)'!$A$877:$E$898,2,FALSE)</f>
        <v>Theresa Sarpong Peprah//</v>
      </c>
      <c r="D611" s="121" t="s">
        <v>760</v>
      </c>
      <c r="E611" s="114" t="s">
        <v>764</v>
      </c>
      <c r="F611" s="113" t="s">
        <v>745</v>
      </c>
    </row>
    <row r="612" spans="1:6" ht="17.149999999999999" customHeight="1" x14ac:dyDescent="0.3">
      <c r="A612" s="112" t="s">
        <v>476</v>
      </c>
      <c r="B612" s="113" t="str">
        <f>VLOOKUP(A612,[10]Schedule_Invigilators!$A$512:$B$803,2,FALSE)</f>
        <v>William Amponsah / Mary Mensah</v>
      </c>
      <c r="C612" s="113" t="str">
        <f>VLOOKUP(A612,'[10]COMBINED_ATTD_INV (3)'!$A$877:$E$898,2,FALSE)</f>
        <v>Kwame Kwarteng Sarpong//</v>
      </c>
      <c r="D612" s="121" t="s">
        <v>757</v>
      </c>
      <c r="E612" s="114" t="s">
        <v>764</v>
      </c>
      <c r="F612" s="113" t="s">
        <v>745</v>
      </c>
    </row>
    <row r="613" spans="1:6" ht="17.149999999999999" customHeight="1" x14ac:dyDescent="0.3">
      <c r="A613" s="112" t="s">
        <v>477</v>
      </c>
      <c r="B613" s="113" t="str">
        <f>VLOOKUP(A613,[10]Schedule_Invigilators!$A$512:$B$803,2,FALSE)</f>
        <v>John Wise Divine Ayer / Ebenezer Mensah</v>
      </c>
      <c r="C613" s="113" t="str">
        <f>VLOOKUP(A613,'[10]COMBINED_ATTD_INV (3)'!$A$877:$E$898,2,FALSE)</f>
        <v>Kwadwo Afful//</v>
      </c>
      <c r="D613" s="121" t="s">
        <v>756</v>
      </c>
      <c r="E613" s="114" t="s">
        <v>764</v>
      </c>
      <c r="F613" s="113" t="s">
        <v>745</v>
      </c>
    </row>
    <row r="614" spans="1:6" ht="17.149999999999999" customHeight="1" x14ac:dyDescent="0.3">
      <c r="A614" s="112" t="s">
        <v>144</v>
      </c>
      <c r="B614" s="113" t="str">
        <f>VLOOKUP(A614,[10]Schedule_Invigilators!$A$512:$B$803,2,FALSE)</f>
        <v>Bright Akowuah / Emmanuel Kwesi Arthur</v>
      </c>
      <c r="C614" s="113" t="str">
        <f>VLOOKUP(A614,'[10]COMBINED_ATTD_INV (3)'!$A$877:$E$898,2,FALSE)</f>
        <v>Loretta Owusu Ansah/Adjatu Busali/</v>
      </c>
      <c r="D614" s="121" t="s">
        <v>755</v>
      </c>
      <c r="E614" s="114" t="s">
        <v>764</v>
      </c>
      <c r="F614" s="113" t="s">
        <v>745</v>
      </c>
    </row>
    <row r="615" spans="1:6" ht="17.149999999999999" hidden="1" customHeight="1" x14ac:dyDescent="0.3">
      <c r="A615" s="112" t="s">
        <v>638</v>
      </c>
      <c r="B615" s="113" t="e">
        <f>VLOOKUP(A615,[10]Schedule_Invigilators!$A$512:$B$803,2,FALSE)</f>
        <v>#N/A</v>
      </c>
      <c r="C615" s="113" t="e">
        <f>VLOOKUP(A615,'[10]COMBINED_ATTD_INV (3)'!$A$877:$E$898,2,FALSE)</f>
        <v>#N/A</v>
      </c>
      <c r="D615" s="121" t="s">
        <v>754</v>
      </c>
      <c r="E615" s="114" t="s">
        <v>764</v>
      </c>
      <c r="F615" s="113" t="s">
        <v>745</v>
      </c>
    </row>
    <row r="616" spans="1:6" ht="17.149999999999999" customHeight="1" x14ac:dyDescent="0.3">
      <c r="A616" s="112" t="s">
        <v>637</v>
      </c>
      <c r="B616" s="113" t="str">
        <f>VLOOKUP(A616,[10]Schedule_Invigilators!$A$512:$B$803,2,FALSE)</f>
        <v>Eugene Appiah-Effah / Cosmas Yaw Asante / Vincent Kofi Abaka Acquaah / Matthew Coffie Wilson</v>
      </c>
      <c r="C616" s="113" t="str">
        <f>VLOOKUP(A616,'[10]COMBINED_ATTD_INV (3)'!$A$877:$E$898,2,FALSE)</f>
        <v>Micheal Obbo/Bernard Annan/Robert Kofi Kyere</v>
      </c>
      <c r="D616" s="121" t="s">
        <v>753</v>
      </c>
      <c r="E616" s="114" t="s">
        <v>764</v>
      </c>
      <c r="F616" s="113" t="s">
        <v>745</v>
      </c>
    </row>
    <row r="617" spans="1:6" ht="17.149999999999999" customHeight="1" x14ac:dyDescent="0.3">
      <c r="A617" s="112" t="s">
        <v>636</v>
      </c>
      <c r="B617" s="113" t="str">
        <f>VLOOKUP(A617,[10]Schedule_Invigilators!$A$512:$B$803,2,FALSE)</f>
        <v>Samuel Kwofie / Francisca Adoma Acheampong / Simon Kafui Yawo Gawu</v>
      </c>
      <c r="C617" s="113" t="str">
        <f>VLOOKUP(A617,'[10]COMBINED_ATTD_INV (3)'!$A$877:$E$898,2,FALSE)</f>
        <v>Rener Oppong/Perseverance Dzikunu/Adom Ebenezer</v>
      </c>
      <c r="D617" s="121" t="s">
        <v>765</v>
      </c>
      <c r="E617" s="114" t="s">
        <v>764</v>
      </c>
      <c r="F617" s="113" t="s">
        <v>745</v>
      </c>
    </row>
    <row r="618" spans="1:6" ht="17.149999999999999" customHeight="1" x14ac:dyDescent="0.3">
      <c r="A618" s="112" t="s">
        <v>635</v>
      </c>
      <c r="B618" s="113" t="str">
        <f>VLOOKUP(A618,[10]Schedule_Invigilators!$A$512:$B$803,2,FALSE)</f>
        <v>Kingsford Sarkodie Obeng Kwakye / Patrick Boakye / Godfrey Chiri Amedjoe</v>
      </c>
      <c r="C618" s="113" t="str">
        <f>VLOOKUP(A618,'[10]COMBINED_ATTD_INV (3)'!$A$877:$E$898,2,FALSE)</f>
        <v>Kingsley Kyei Baffour/Bright Andoh-Baidoo/</v>
      </c>
      <c r="D618" s="121" t="s">
        <v>752</v>
      </c>
      <c r="E618" s="114" t="s">
        <v>764</v>
      </c>
      <c r="F618" s="113" t="s">
        <v>745</v>
      </c>
    </row>
    <row r="619" spans="1:6" ht="17.149999999999999" customHeight="1" x14ac:dyDescent="0.3">
      <c r="A619" s="112" t="s">
        <v>634</v>
      </c>
      <c r="B619" s="113" t="str">
        <f>VLOOKUP(A619,[10]Schedule_Invigilators!$A$512:$B$803,2,FALSE)</f>
        <v>Gabriel Takyi / Alfred Alan Duker</v>
      </c>
      <c r="C619" s="113" t="str">
        <f>VLOOKUP(A619,'[10]COMBINED_ATTD_INV (3)'!$A$877:$E$898,2,FALSE)</f>
        <v>Ernest Dapaah//</v>
      </c>
      <c r="D619" s="121" t="s">
        <v>751</v>
      </c>
      <c r="E619" s="114" t="s">
        <v>764</v>
      </c>
      <c r="F619" s="113" t="s">
        <v>745</v>
      </c>
    </row>
    <row r="620" spans="1:6" ht="17.149999999999999" customHeight="1" x14ac:dyDescent="0.3">
      <c r="A620" s="112"/>
      <c r="B620" s="113"/>
      <c r="C620" s="113"/>
      <c r="D620" s="113"/>
      <c r="E620" s="114"/>
      <c r="F620" s="113"/>
    </row>
    <row r="621" spans="1:6" s="118" customFormat="1" ht="17.149999999999999" customHeight="1" x14ac:dyDescent="0.3">
      <c r="A621" s="119" t="s">
        <v>642</v>
      </c>
      <c r="B621" s="119" t="s">
        <v>526</v>
      </c>
      <c r="C621" s="119" t="s">
        <v>672</v>
      </c>
      <c r="D621" s="119" t="s">
        <v>671</v>
      </c>
      <c r="E621" s="124" t="s">
        <v>641</v>
      </c>
      <c r="F621" s="119" t="s">
        <v>640</v>
      </c>
    </row>
    <row r="622" spans="1:6" ht="17.149999999999999" customHeight="1" x14ac:dyDescent="0.3">
      <c r="A622" s="112" t="s">
        <v>35</v>
      </c>
      <c r="B622" s="113" t="str">
        <f>VLOOKUP(A622,[10]Schedule_Invigilators!$A$536:$B$803,2,FALSE)</f>
        <v>Martinson Addo Nartey</v>
      </c>
      <c r="C622" s="113" t="str">
        <f>VLOOKUP(A622,'[10]COMBINED_ATTD_INV (3)'!$A$901:$E$926,2,FALSE)</f>
        <v>Theresa Sarpong Peprah//</v>
      </c>
      <c r="D622" s="121" t="s">
        <v>727</v>
      </c>
      <c r="E622" s="114" t="s">
        <v>764</v>
      </c>
      <c r="F622" s="113" t="s">
        <v>728</v>
      </c>
    </row>
    <row r="623" spans="1:6" ht="17.149999999999999" customHeight="1" x14ac:dyDescent="0.3">
      <c r="A623" s="112" t="s">
        <v>510</v>
      </c>
      <c r="B623" s="113" t="str">
        <f>VLOOKUP(A623,[10]Schedule_Invigilators!$A$536:$B$803,2,FALSE)</f>
        <v>Samuel Osah</v>
      </c>
      <c r="C623" s="113" t="str">
        <f>VLOOKUP(A623,'[10]COMBINED_ATTD_INV (3)'!$A$901:$E$926,2,FALSE)</f>
        <v>George Ansong//</v>
      </c>
      <c r="D623" s="121" t="s">
        <v>726</v>
      </c>
      <c r="E623" s="114" t="s">
        <v>764</v>
      </c>
      <c r="F623" s="113" t="s">
        <v>728</v>
      </c>
    </row>
    <row r="624" spans="1:6" ht="17.149999999999999" customHeight="1" x14ac:dyDescent="0.3">
      <c r="A624" s="112" t="s">
        <v>508</v>
      </c>
      <c r="B624" s="113" t="str">
        <f>VLOOKUP(A624,[10]Schedule_Invigilators!$A$536:$B$803,2,FALSE)</f>
        <v>K. O.-B Obour Agyekum</v>
      </c>
      <c r="C624" s="113" t="str">
        <f>VLOOKUP(A624,'[10]COMBINED_ATTD_INV (3)'!$A$901:$E$926,2,FALSE)</f>
        <v>Derrick Owusu Mensah//</v>
      </c>
      <c r="D624" s="121" t="s">
        <v>725</v>
      </c>
      <c r="E624" s="114" t="s">
        <v>764</v>
      </c>
      <c r="F624" s="113" t="s">
        <v>728</v>
      </c>
    </row>
    <row r="625" spans="1:6" ht="17.149999999999999" customHeight="1" x14ac:dyDescent="0.3">
      <c r="A625" s="112" t="s">
        <v>466</v>
      </c>
      <c r="B625" s="113" t="str">
        <f>VLOOKUP(A625,[10]Schedule_Invigilators!$A$536:$B$803,2,FALSE)</f>
        <v>Charles Adrah / Jonathan Arthur Quaye-Ballard</v>
      </c>
      <c r="C625" s="113" t="str">
        <f>VLOOKUP(A625,'[10]COMBINED_ATTD_INV (3)'!$A$901:$E$926,2,FALSE)</f>
        <v>Victoria Agyenim-Boateng/Michael Owusu/</v>
      </c>
      <c r="D625" s="121" t="s">
        <v>724</v>
      </c>
      <c r="E625" s="114" t="s">
        <v>764</v>
      </c>
      <c r="F625" s="113" t="s">
        <v>728</v>
      </c>
    </row>
    <row r="626" spans="1:6" ht="17.149999999999999" customHeight="1" x14ac:dyDescent="0.3">
      <c r="A626" s="112">
        <v>206</v>
      </c>
      <c r="B626" s="113" t="str">
        <f>VLOOKUP(A626,[10]Schedule_Invigilators!$A$536:$B$803,2,FALSE)</f>
        <v>Eric Amoah Asante</v>
      </c>
      <c r="C626" s="113" t="str">
        <f>VLOOKUP(A626,'[10]COMBINED_ATTD_INV (3)'!$A$901:$E$926,2,FALSE)</f>
        <v>Edward Kpetege//</v>
      </c>
      <c r="D626" s="121" t="s">
        <v>723</v>
      </c>
      <c r="E626" s="114" t="s">
        <v>764</v>
      </c>
      <c r="F626" s="113" t="s">
        <v>728</v>
      </c>
    </row>
    <row r="627" spans="1:6" ht="17.149999999999999" customHeight="1" x14ac:dyDescent="0.3">
      <c r="A627" s="112">
        <v>303</v>
      </c>
      <c r="B627" s="113" t="str">
        <f>VLOOKUP(A627,[10]Schedule_Invigilators!$A$536:$B$803,2,FALSE)</f>
        <v>Samuel Kwofie / Casper Adenutsi</v>
      </c>
      <c r="C627" s="113" t="str">
        <f>VLOOKUP(A627,'[10]COMBINED_ATTD_INV (3)'!$A$901:$E$926,2,FALSE)</f>
        <v>Linda Berko//</v>
      </c>
      <c r="D627" s="121" t="s">
        <v>722</v>
      </c>
      <c r="E627" s="114" t="s">
        <v>764</v>
      </c>
      <c r="F627" s="113" t="s">
        <v>728</v>
      </c>
    </row>
    <row r="628" spans="1:6" ht="17.149999999999999" customHeight="1" x14ac:dyDescent="0.3">
      <c r="A628" s="112">
        <v>304</v>
      </c>
      <c r="B628" s="113" t="str">
        <f>VLOOKUP(A628,[10]Schedule_Invigilators!$A$536:$B$803,2,FALSE)</f>
        <v>Emmanuel Obuobi Kwame Addo</v>
      </c>
      <c r="C628" s="113" t="str">
        <f>VLOOKUP(A628,'[10]COMBINED_ATTD_INV (3)'!$A$901:$E$926,2,FALSE)</f>
        <v>Theresa Sarpong Peprah//</v>
      </c>
      <c r="D628" s="121" t="s">
        <v>721</v>
      </c>
      <c r="E628" s="114" t="s">
        <v>764</v>
      </c>
      <c r="F628" s="113" t="s">
        <v>728</v>
      </c>
    </row>
    <row r="629" spans="1:6" ht="17.149999999999999" customHeight="1" x14ac:dyDescent="0.3">
      <c r="A629" s="112" t="s">
        <v>61</v>
      </c>
      <c r="B629" s="113" t="str">
        <f>VLOOKUP(A629,[10]Schedule_Invigilators!$A$536:$B$803,2,FALSE)</f>
        <v xml:space="preserve">Samuel Erzuah </v>
      </c>
      <c r="C629" s="113" t="str">
        <f>VLOOKUP(A629,'[10]COMBINED_ATTD_INV (3)'!$A$901:$E$926,2,FALSE)</f>
        <v>Salamatu Salifu//</v>
      </c>
      <c r="D629" s="121" t="s">
        <v>720</v>
      </c>
      <c r="E629" s="114" t="s">
        <v>764</v>
      </c>
      <c r="F629" s="113" t="s">
        <v>728</v>
      </c>
    </row>
    <row r="630" spans="1:6" ht="17.149999999999999" customHeight="1" x14ac:dyDescent="0.3">
      <c r="A630" s="112" t="s">
        <v>467</v>
      </c>
      <c r="B630" s="113" t="str">
        <f>VLOOKUP(A630,[10]Schedule_Invigilators!$A$536:$B$803,2,FALSE)</f>
        <v>Theresa-Samuelle Maame Atwemaa Adjaidoo</v>
      </c>
      <c r="C630" s="113" t="str">
        <f>VLOOKUP(A630,'[10]COMBINED_ATTD_INV (3)'!$A$901:$E$926,2,FALSE)</f>
        <v>Derrick Amoateng//</v>
      </c>
      <c r="D630" s="121" t="s">
        <v>719</v>
      </c>
      <c r="E630" s="114" t="s">
        <v>764</v>
      </c>
      <c r="F630" s="113" t="s">
        <v>728</v>
      </c>
    </row>
    <row r="631" spans="1:6" ht="17.149999999999999" customHeight="1" x14ac:dyDescent="0.3">
      <c r="A631" s="112" t="s">
        <v>468</v>
      </c>
      <c r="B631" s="113" t="str">
        <f>VLOOKUP(A631,[10]Schedule_Invigilators!$A$536:$B$803,2,FALSE)</f>
        <v>Francis Kofi Forson / Isaac Dadzie</v>
      </c>
      <c r="C631" s="113" t="str">
        <f>VLOOKUP(A631,'[10]COMBINED_ATTD_INV (3)'!$A$901:$E$926,2,FALSE)</f>
        <v>John Ofosu//</v>
      </c>
      <c r="D631" s="121" t="s">
        <v>718</v>
      </c>
      <c r="E631" s="114" t="s">
        <v>764</v>
      </c>
      <c r="F631" s="113" t="s">
        <v>728</v>
      </c>
    </row>
    <row r="632" spans="1:6" ht="17.149999999999999" customHeight="1" x14ac:dyDescent="0.3">
      <c r="A632" s="112" t="s">
        <v>469</v>
      </c>
      <c r="B632" s="113" t="str">
        <f>VLOOKUP(A632,[10]Schedule_Invigilators!$A$536:$B$803,2,FALSE)</f>
        <v>Joseph Aveyire / Jack Osei Banahene</v>
      </c>
      <c r="C632" s="113" t="str">
        <f>VLOOKUP(A632,'[10]COMBINED_ATTD_INV (3)'!$A$901:$E$926,2,FALSE)</f>
        <v>Owusu Stephen Akuoku/Samuel Osei-Asibey Bonsu/</v>
      </c>
      <c r="D632" s="121" t="s">
        <v>717</v>
      </c>
      <c r="E632" s="114" t="s">
        <v>764</v>
      </c>
      <c r="F632" s="113" t="s">
        <v>728</v>
      </c>
    </row>
    <row r="633" spans="1:6" ht="17.149999999999999" customHeight="1" x14ac:dyDescent="0.3">
      <c r="A633" s="112" t="s">
        <v>42</v>
      </c>
      <c r="B633" s="113" t="str">
        <f>VLOOKUP(A633,[10]Schedule_Invigilators!$A$536:$B$803,2,FALSE)</f>
        <v>Albert Amatey Adjaottor / Godfred Boahen</v>
      </c>
      <c r="C633" s="113" t="str">
        <f>VLOOKUP(A633,'[10]COMBINED_ATTD_INV (3)'!$A$901:$E$926,2,FALSE)</f>
        <v>Kofi Bentum/Gifty Edem Senyaglo/</v>
      </c>
      <c r="D633" s="121" t="s">
        <v>716</v>
      </c>
      <c r="E633" s="114" t="s">
        <v>764</v>
      </c>
      <c r="F633" s="113" t="s">
        <v>728</v>
      </c>
    </row>
    <row r="634" spans="1:6" ht="17.149999999999999" customHeight="1" x14ac:dyDescent="0.3">
      <c r="A634" s="112" t="s">
        <v>470</v>
      </c>
      <c r="B634" s="113" t="str">
        <f>VLOOKUP(A634,[10]Schedule_Invigilators!$A$536:$B$803,2,FALSE)</f>
        <v xml:space="preserve"> Alfred Alan Duker / Faisal Wahib Adam</v>
      </c>
      <c r="C634" s="113" t="str">
        <f>VLOOKUP(A634,'[10]COMBINED_ATTD_INV (3)'!$A$901:$E$926,2,FALSE)</f>
        <v>Richmond Awotwe//</v>
      </c>
      <c r="D634" s="121" t="s">
        <v>715</v>
      </c>
      <c r="E634" s="114" t="s">
        <v>764</v>
      </c>
      <c r="F634" s="113" t="s">
        <v>728</v>
      </c>
    </row>
    <row r="635" spans="1:6" ht="17.149999999999999" customHeight="1" x14ac:dyDescent="0.3">
      <c r="A635" s="112" t="s">
        <v>471</v>
      </c>
      <c r="B635" s="113" t="str">
        <f>VLOOKUP(A635,[10]Schedule_Invigilators!$A$536:$B$803,2,FALSE)</f>
        <v>Efiba Vidda Senkyire Kwarteng / Gabriel Takyi</v>
      </c>
      <c r="C635" s="113" t="str">
        <f>VLOOKUP(A635,'[10]COMBINED_ATTD_INV (3)'!$A$901:$E$926,2,FALSE)</f>
        <v>Joseph Benneth Kankam//</v>
      </c>
      <c r="D635" s="121" t="s">
        <v>714</v>
      </c>
      <c r="E635" s="114" t="s">
        <v>764</v>
      </c>
      <c r="F635" s="113" t="s">
        <v>728</v>
      </c>
    </row>
    <row r="636" spans="1:6" ht="17.149999999999999" customHeight="1" x14ac:dyDescent="0.3">
      <c r="A636" s="112" t="s">
        <v>472</v>
      </c>
      <c r="B636" s="113" t="str">
        <f>VLOOKUP(A636,[10]Schedule_Invigilators!$A$536:$B$803,2,FALSE)</f>
        <v>Sefakor Dogbe / John Wise Divine Ayer</v>
      </c>
      <c r="C636" s="113" t="str">
        <f>VLOOKUP(A636,'[10]COMBINED_ATTD_INV (3)'!$A$901:$E$926,2,FALSE)</f>
        <v>Bernard Audinada Ampofo/Fatawu Yakubu/</v>
      </c>
      <c r="D636" s="121" t="s">
        <v>713</v>
      </c>
      <c r="E636" s="114" t="s">
        <v>764</v>
      </c>
      <c r="F636" s="113" t="s">
        <v>728</v>
      </c>
    </row>
    <row r="637" spans="1:6" ht="17.149999999999999" customHeight="1" x14ac:dyDescent="0.3">
      <c r="A637" s="112" t="s">
        <v>108</v>
      </c>
      <c r="B637" s="113" t="str">
        <f>VLOOKUP(A637,[10]Schedule_Invigilators!$A$536:$B$803,2,FALSE)</f>
        <v>Samuel Boahen</v>
      </c>
      <c r="C637" s="113" t="str">
        <f>VLOOKUP(A637,'[10]COMBINED_ATTD_INV (3)'!$A$901:$E$926,2,FALSE)</f>
        <v>Clement Appiah//</v>
      </c>
      <c r="D637" s="121" t="s">
        <v>712</v>
      </c>
      <c r="E637" s="114" t="s">
        <v>764</v>
      </c>
      <c r="F637" s="113" t="s">
        <v>728</v>
      </c>
    </row>
    <row r="638" spans="1:6" ht="17.149999999999999" customHeight="1" x14ac:dyDescent="0.3">
      <c r="A638" s="112" t="s">
        <v>473</v>
      </c>
      <c r="B638" s="113" t="str">
        <f>VLOOKUP(A638,[10]Schedule_Invigilators!$A$536:$B$803,2,FALSE)</f>
        <v xml:space="preserve">Jones Owusu Twumasi / Simon Kafui Yawo Gawu </v>
      </c>
      <c r="C638" s="113" t="str">
        <f>VLOOKUP(A638,'[10]COMBINED_ATTD_INV (3)'!$A$901:$E$926,2,FALSE)</f>
        <v>Godfred Appiah//</v>
      </c>
      <c r="D638" s="121" t="s">
        <v>711</v>
      </c>
      <c r="E638" s="114" t="s">
        <v>764</v>
      </c>
      <c r="F638" s="113" t="s">
        <v>728</v>
      </c>
    </row>
    <row r="639" spans="1:6" ht="17.149999999999999" customHeight="1" x14ac:dyDescent="0.3">
      <c r="A639" s="112" t="s">
        <v>474</v>
      </c>
      <c r="B639" s="113" t="str">
        <f>VLOOKUP(A639,[10]Schedule_Invigilators!$A$536:$B$803,2,FALSE)</f>
        <v xml:space="preserve">Henry Nunoo-Mensah </v>
      </c>
      <c r="C639" s="113" t="str">
        <f>VLOOKUP(A639,'[10]COMBINED_ATTD_INV (3)'!$A$901:$E$926,2,FALSE)</f>
        <v>Abigail Akos Worlanyo//</v>
      </c>
      <c r="D639" s="121" t="s">
        <v>710</v>
      </c>
      <c r="E639" s="114" t="s">
        <v>764</v>
      </c>
      <c r="F639" s="113" t="s">
        <v>728</v>
      </c>
    </row>
    <row r="640" spans="1:6" ht="17.149999999999999" customHeight="1" x14ac:dyDescent="0.3">
      <c r="A640" s="112" t="s">
        <v>475</v>
      </c>
      <c r="B640" s="113" t="str">
        <f>VLOOKUP(A640,[10]Schedule_Invigilators!$A$536:$B$803,2,FALSE)</f>
        <v>Andrew Selasi Agbemenu</v>
      </c>
      <c r="C640" s="113" t="str">
        <f>VLOOKUP(A640,'[10]COMBINED_ATTD_INV (3)'!$A$901:$E$926,2,FALSE)</f>
        <v>Sandra Essel//</v>
      </c>
      <c r="D640" s="121" t="s">
        <v>709</v>
      </c>
      <c r="E640" s="114" t="s">
        <v>764</v>
      </c>
      <c r="F640" s="113" t="s">
        <v>728</v>
      </c>
    </row>
    <row r="641" spans="1:6" ht="17.149999999999999" customHeight="1" x14ac:dyDescent="0.3">
      <c r="A641" s="112" t="s">
        <v>476</v>
      </c>
      <c r="B641" s="113" t="str">
        <f>VLOOKUP(A641,[10]Schedule_Invigilators!$A$536:$B$803,2,FALSE)</f>
        <v>William Amponsah / Mary Mensah</v>
      </c>
      <c r="C641" s="113" t="str">
        <f>VLOOKUP(A641,'[10]COMBINED_ATTD_INV (3)'!$A$901:$E$926,2,FALSE)</f>
        <v>Kwame Kwarteng Sarpong//</v>
      </c>
      <c r="D641" s="121" t="s">
        <v>741</v>
      </c>
      <c r="E641" s="114" t="s">
        <v>764</v>
      </c>
      <c r="F641" s="113" t="s">
        <v>728</v>
      </c>
    </row>
    <row r="642" spans="1:6" ht="16.5" customHeight="1" x14ac:dyDescent="0.3">
      <c r="A642" s="112" t="s">
        <v>477</v>
      </c>
      <c r="B642" s="113" t="str">
        <f>VLOOKUP(A642,[10]Schedule_Invigilators!$A$536:$B$803,2,FALSE)</f>
        <v>Ebenezer Mensah /  Godfred Boahen</v>
      </c>
      <c r="C642" s="113" t="str">
        <f>VLOOKUP(A642,'[10]COMBINED_ATTD_INV (3)'!$A$901:$E$926,2,FALSE)</f>
        <v>Benjamin Nana Oduro Konadu//</v>
      </c>
      <c r="D642" s="121" t="s">
        <v>707</v>
      </c>
      <c r="E642" s="114" t="s">
        <v>764</v>
      </c>
      <c r="F642" s="113" t="s">
        <v>728</v>
      </c>
    </row>
    <row r="643" spans="1:6" ht="17.149999999999999" customHeight="1" x14ac:dyDescent="0.3">
      <c r="A643" s="112" t="s">
        <v>144</v>
      </c>
      <c r="B643" s="113" t="str">
        <f>VLOOKUP(A643,[10]Schedule_Invigilators!$A$536:$B$803,2,FALSE)</f>
        <v>Bright Akowuah / Gordon Foli</v>
      </c>
      <c r="C643" s="113" t="str">
        <f>VLOOKUP(A643,'[10]COMBINED_ATTD_INV (3)'!$A$901:$E$926,2,FALSE)</f>
        <v>Loretta Owusu Ansah/Desmond Adu-Yeboah/</v>
      </c>
      <c r="D643" s="121" t="s">
        <v>706</v>
      </c>
      <c r="E643" s="114" t="s">
        <v>764</v>
      </c>
      <c r="F643" s="113" t="s">
        <v>728</v>
      </c>
    </row>
    <row r="644" spans="1:6" ht="17.149999999999999" customHeight="1" x14ac:dyDescent="0.3">
      <c r="A644" s="112" t="s">
        <v>637</v>
      </c>
      <c r="B644" s="113" t="str">
        <f>VLOOKUP(A644,[10]Schedule_Invigilators!$A$536:$B$803,2,FALSE)</f>
        <v xml:space="preserve">Daniel Akwei Addo /Emmanuel Kwesi Arthur  / Daniel Oduro Boatey Nuamah / Y. A. Sokama-Neuyam </v>
      </c>
      <c r="C644" s="113" t="str">
        <f>VLOOKUP(A644,'[10]COMBINED_ATTD_INV (3)'!$A$901:$E$926,2,FALSE)</f>
        <v>Micheal Obbo/Getrude Opoku/Robert Kofi Kyere</v>
      </c>
      <c r="D644" s="121" t="s">
        <v>705</v>
      </c>
      <c r="E644" s="114" t="s">
        <v>764</v>
      </c>
      <c r="F644" s="113" t="s">
        <v>728</v>
      </c>
    </row>
    <row r="645" spans="1:6" ht="17.149999999999999" customHeight="1" x14ac:dyDescent="0.3">
      <c r="A645" s="112" t="s">
        <v>636</v>
      </c>
      <c r="B645" s="113" t="str">
        <f>VLOOKUP(A645,[10]Schedule_Invigilators!$A$536:$B$803,2,FALSE)</f>
        <v>James Okae / Benjamin Kommey / Albert Kwame Kwaw</v>
      </c>
      <c r="C645" s="113" t="str">
        <f>VLOOKUP(A645,'[10]COMBINED_ATTD_INV (3)'!$A$901:$E$926,2,FALSE)</f>
        <v>Peter Agetinga/Perseverance Dzikunu/Adom Ebenezer</v>
      </c>
      <c r="D645" s="121" t="s">
        <v>704</v>
      </c>
      <c r="E645" s="114" t="s">
        <v>764</v>
      </c>
      <c r="F645" s="113" t="s">
        <v>728</v>
      </c>
    </row>
    <row r="646" spans="1:6" ht="17.149999999999999" customHeight="1" x14ac:dyDescent="0.3">
      <c r="A646" s="112" t="s">
        <v>635</v>
      </c>
      <c r="B646" s="113" t="str">
        <f>VLOOKUP(A646,[10]Schedule_Invigilators!$A$536:$B$803,2,FALSE)</f>
        <v>Kingsford Sarkodie Obeng Kwakye / Godfrey Chiri Amedjoe / Francisca Adoma Acheampong</v>
      </c>
      <c r="C646" s="113" t="str">
        <f>VLOOKUP(A646,'[10]COMBINED_ATTD_INV (3)'!$A$901:$E$926,2,FALSE)</f>
        <v>Kingsley Kyei Baffour/Bright Andoh-Baidoo/</v>
      </c>
      <c r="D646" s="121" t="s">
        <v>703</v>
      </c>
      <c r="E646" s="114" t="s">
        <v>764</v>
      </c>
      <c r="F646" s="113" t="s">
        <v>728</v>
      </c>
    </row>
    <row r="647" spans="1:6" ht="17.149999999999999" customHeight="1" x14ac:dyDescent="0.3">
      <c r="A647" s="112" t="s">
        <v>634</v>
      </c>
      <c r="B647" s="113" t="str">
        <f>VLOOKUP(A647,[10]Schedule_Invigilators!$A$536:$B$803,2,FALSE)</f>
        <v xml:space="preserve">Stephen Adjei / Kofi Owura Amoabeng </v>
      </c>
      <c r="C647" s="113" t="str">
        <f>VLOOKUP(A647,'[10]COMBINED_ATTD_INV (3)'!$A$901:$E$926,2,FALSE)</f>
        <v>Ernest Dapaah//</v>
      </c>
      <c r="D647" s="121" t="s">
        <v>702</v>
      </c>
      <c r="E647" s="114" t="s">
        <v>764</v>
      </c>
      <c r="F647" s="113" t="s">
        <v>728</v>
      </c>
    </row>
    <row r="648" spans="1:6" ht="17.149999999999999" customHeight="1" x14ac:dyDescent="0.3">
      <c r="A648" s="112"/>
      <c r="B648" s="113"/>
      <c r="C648" s="113"/>
      <c r="D648" s="113"/>
      <c r="E648" s="114"/>
      <c r="F648" s="113"/>
    </row>
    <row r="649" spans="1:6" s="118" customFormat="1" ht="17.149999999999999" customHeight="1" x14ac:dyDescent="0.3">
      <c r="A649" s="119" t="s">
        <v>642</v>
      </c>
      <c r="B649" s="119" t="s">
        <v>526</v>
      </c>
      <c r="C649" s="119" t="s">
        <v>672</v>
      </c>
      <c r="D649" s="119" t="s">
        <v>671</v>
      </c>
      <c r="E649" s="124" t="s">
        <v>641</v>
      </c>
      <c r="F649" s="119" t="s">
        <v>640</v>
      </c>
    </row>
    <row r="650" spans="1:6" ht="17.149999999999999" customHeight="1" x14ac:dyDescent="0.3">
      <c r="A650" s="112" t="s">
        <v>35</v>
      </c>
      <c r="B650" s="113" t="str">
        <f>VLOOKUP(A650,[10]Schedule_Invigilators!$A$563:$B$803,2,FALSE)</f>
        <v>Kenneth Adomako Tutu</v>
      </c>
      <c r="C650" s="113" t="str">
        <f>VLOOKUP(A650,'[10]COMBINED_ATTD_INV (3)'!$A$929:$E$953,2,FALSE)</f>
        <v>Reuben Asare Bediako//</v>
      </c>
      <c r="D650" s="121" t="s">
        <v>744</v>
      </c>
      <c r="E650" s="114" t="s">
        <v>764</v>
      </c>
      <c r="F650" s="113" t="s">
        <v>701</v>
      </c>
    </row>
    <row r="651" spans="1:6" ht="17.149999999999999" customHeight="1" x14ac:dyDescent="0.3">
      <c r="A651" s="112" t="s">
        <v>510</v>
      </c>
      <c r="B651" s="113" t="str">
        <f>VLOOKUP(A651,[10]Schedule_Invigilators!$A$563:$B$803,2,FALSE)</f>
        <v>Ebenezer Mensah</v>
      </c>
      <c r="C651" s="113" t="str">
        <f>VLOOKUP(A651,'[10]COMBINED_ATTD_INV (3)'!$A$929:$E$953,2,FALSE)</f>
        <v>George Ansong//</v>
      </c>
      <c r="D651" s="121" t="s">
        <v>743</v>
      </c>
      <c r="E651" s="114" t="s">
        <v>764</v>
      </c>
      <c r="F651" s="113" t="s">
        <v>701</v>
      </c>
    </row>
    <row r="652" spans="1:6" ht="17.149999999999999" customHeight="1" x14ac:dyDescent="0.3">
      <c r="A652" s="112" t="s">
        <v>508</v>
      </c>
      <c r="B652" s="113" t="str">
        <f>VLOOKUP(A652,[10]Schedule_Invigilators!$A$563:$B$803,2,FALSE)</f>
        <v>Prince Ebenezer Adjei</v>
      </c>
      <c r="C652" s="113" t="str">
        <f>VLOOKUP(A652,'[10]COMBINED_ATTD_INV (3)'!$A$929:$E$953,2,FALSE)</f>
        <v>Derrick Owusu Mensah//</v>
      </c>
      <c r="D652" s="121" t="s">
        <v>742</v>
      </c>
      <c r="E652" s="114" t="s">
        <v>764</v>
      </c>
      <c r="F652" s="113" t="s">
        <v>701</v>
      </c>
    </row>
    <row r="653" spans="1:6" ht="17.149999999999999" customHeight="1" x14ac:dyDescent="0.3">
      <c r="A653" s="112" t="s">
        <v>466</v>
      </c>
      <c r="B653" s="113" t="str">
        <f>VLOOKUP(A653,[10]Schedule_Invigilators!$A$563:$B$803,2,FALSE)</f>
        <v>Peter Oppong Tawiah / Jude Bonsu</v>
      </c>
      <c r="C653" s="113" t="str">
        <f>VLOOKUP(A653,'[10]COMBINED_ATTD_INV (3)'!$A$929:$E$953,2,FALSE)</f>
        <v>Issaka Ali Sambo/Paul Dery/</v>
      </c>
      <c r="D653" s="121" t="s">
        <v>741</v>
      </c>
      <c r="E653" s="114" t="s">
        <v>764</v>
      </c>
      <c r="F653" s="113" t="s">
        <v>701</v>
      </c>
    </row>
    <row r="654" spans="1:6" ht="17.149999999999999" customHeight="1" x14ac:dyDescent="0.3">
      <c r="A654" s="112">
        <v>206</v>
      </c>
      <c r="B654" s="113" t="str">
        <f>VLOOKUP(A654,[10]Schedule_Invigilators!$A$563:$B$803,2,FALSE)</f>
        <v>Felix Jojo Fianko Ayeh</v>
      </c>
      <c r="C654" s="113" t="str">
        <f>VLOOKUP(A654,'[10]COMBINED_ATTD_INV (3)'!$A$929:$E$953,2,FALSE)</f>
        <v>Peter Agetinga//</v>
      </c>
      <c r="D654" s="121" t="s">
        <v>740</v>
      </c>
      <c r="E654" s="114" t="s">
        <v>764</v>
      </c>
      <c r="F654" s="113" t="s">
        <v>701</v>
      </c>
    </row>
    <row r="655" spans="1:6" ht="17.149999999999999" customHeight="1" x14ac:dyDescent="0.3">
      <c r="A655" s="112">
        <v>303</v>
      </c>
      <c r="B655" s="113" t="str">
        <f>VLOOKUP(A655,[10]Schedule_Invigilators!$A$563:$B$803,2,FALSE)</f>
        <v>Bukari Ali / Nancy Anataba Kyorku Dzikunu-Bansah</v>
      </c>
      <c r="C655" s="113" t="str">
        <f>VLOOKUP(A655,'[10]COMBINED_ATTD_INV (3)'!$A$929:$E$953,2,FALSE)</f>
        <v>Benjamin Opoku Atuahene//</v>
      </c>
      <c r="D655" s="121" t="s">
        <v>739</v>
      </c>
      <c r="E655" s="114" t="s">
        <v>764</v>
      </c>
      <c r="F655" s="113" t="s">
        <v>701</v>
      </c>
    </row>
    <row r="656" spans="1:6" ht="17.149999999999999" customHeight="1" x14ac:dyDescent="0.3">
      <c r="A656" s="112">
        <v>304</v>
      </c>
      <c r="B656" s="113" t="str">
        <f>VLOOKUP(A656,[10]Schedule_Invigilators!$A$563:$B$803,2,FALSE)</f>
        <v>Kwame Sarkodie</v>
      </c>
      <c r="C656" s="113" t="str">
        <f>VLOOKUP(A656,'[10]COMBINED_ATTD_INV (3)'!$A$929:$E$953,2,FALSE)</f>
        <v>Eric Soku//</v>
      </c>
      <c r="D656" s="121" t="s">
        <v>738</v>
      </c>
      <c r="E656" s="114" t="s">
        <v>764</v>
      </c>
      <c r="F656" s="113" t="s">
        <v>701</v>
      </c>
    </row>
    <row r="657" spans="1:6" ht="17.149999999999999" customHeight="1" x14ac:dyDescent="0.3">
      <c r="A657" s="112" t="s">
        <v>61</v>
      </c>
      <c r="B657" s="113" t="str">
        <f>VLOOKUP(A657,[10]Schedule_Invigilators!$A$563:$B$803,2,FALSE)</f>
        <v>Geophrey Kwame Anornu</v>
      </c>
      <c r="C657" s="113" t="str">
        <f>VLOOKUP(A657,'[10]COMBINED_ATTD_INV (3)'!$A$929:$E$953,2,FALSE)</f>
        <v>Marian Bemma//</v>
      </c>
      <c r="D657" s="121" t="s">
        <v>708</v>
      </c>
      <c r="E657" s="114" t="s">
        <v>764</v>
      </c>
      <c r="F657" s="113" t="s">
        <v>701</v>
      </c>
    </row>
    <row r="658" spans="1:6" ht="17.149999999999999" customHeight="1" x14ac:dyDescent="0.3">
      <c r="A658" s="112" t="s">
        <v>467</v>
      </c>
      <c r="B658" s="113" t="str">
        <f>VLOOKUP(A658,[10]Schedule_Invigilators!$A$563:$B$803,2,FALSE)</f>
        <v>Bennetta Koomson</v>
      </c>
      <c r="C658" s="113" t="str">
        <f>VLOOKUP(A658,'[10]COMBINED_ATTD_INV (3)'!$A$929:$E$953,2,FALSE)</f>
        <v>Derrick Amoateng//</v>
      </c>
      <c r="D658" s="121" t="s">
        <v>755</v>
      </c>
      <c r="E658" s="114" t="s">
        <v>764</v>
      </c>
      <c r="F658" s="113" t="s">
        <v>701</v>
      </c>
    </row>
    <row r="659" spans="1:6" ht="17.149999999999999" customHeight="1" x14ac:dyDescent="0.3">
      <c r="A659" s="112" t="s">
        <v>468</v>
      </c>
      <c r="B659" s="113" t="str">
        <f>VLOOKUP(A659,[10]Schedule_Invigilators!$A$563:$B$803,2,FALSE)</f>
        <v>Francis Boafo Effah /Francis Kofi Forson</v>
      </c>
      <c r="C659" s="113" t="str">
        <f>VLOOKUP(A659,'[10]COMBINED_ATTD_INV (3)'!$A$929:$E$953,2,FALSE)</f>
        <v>John Ofosu//</v>
      </c>
      <c r="D659" s="121" t="s">
        <v>736</v>
      </c>
      <c r="E659" s="114" t="s">
        <v>764</v>
      </c>
      <c r="F659" s="113" t="s">
        <v>701</v>
      </c>
    </row>
    <row r="660" spans="1:6" ht="17.149999999999999" customHeight="1" x14ac:dyDescent="0.3">
      <c r="A660" s="112" t="s">
        <v>469</v>
      </c>
      <c r="B660" s="113" t="str">
        <f>VLOOKUP(A660,[10]Schedule_Invigilators!$A$563:$B$803,2,FALSE)</f>
        <v>Eric Kwame Anokye Asare / Benjamin Kommey</v>
      </c>
      <c r="C660" s="113" t="str">
        <f>VLOOKUP(A660,'[10]COMBINED_ATTD_INV (3)'!$A$929:$E$953,2,FALSE)</f>
        <v>Gifty Edem Senyaglo/Mohammed Bakang/</v>
      </c>
      <c r="D660" s="121" t="s">
        <v>735</v>
      </c>
      <c r="E660" s="114" t="s">
        <v>764</v>
      </c>
      <c r="F660" s="113" t="s">
        <v>701</v>
      </c>
    </row>
    <row r="661" spans="1:6" ht="17.149999999999999" customHeight="1" x14ac:dyDescent="0.3">
      <c r="A661" s="112" t="s">
        <v>42</v>
      </c>
      <c r="B661" s="113" t="str">
        <f>VLOOKUP(A661,[10]Schedule_Invigilators!$A$563:$B$803,2,FALSE)</f>
        <v>James Okae / Jonathan Atuquaye Quaye</v>
      </c>
      <c r="C661" s="113" t="str">
        <f>VLOOKUP(A661,'[10]COMBINED_ATTD_INV (3)'!$A$929:$E$953,2,FALSE)</f>
        <v>Michael Owusu/Fiifi Turkson/</v>
      </c>
      <c r="D661" s="121" t="s">
        <v>734</v>
      </c>
      <c r="E661" s="114" t="s">
        <v>764</v>
      </c>
      <c r="F661" s="113" t="s">
        <v>701</v>
      </c>
    </row>
    <row r="662" spans="1:6" ht="17.149999999999999" customHeight="1" x14ac:dyDescent="0.3">
      <c r="A662" s="112" t="s">
        <v>470</v>
      </c>
      <c r="B662" s="113" t="str">
        <f>VLOOKUP(A662,[10]Schedule_Invigilators!$A$563:$B$803,2,FALSE)</f>
        <v>Andrew Cudzo Amenuvor / F. K. A. Nyarko</v>
      </c>
      <c r="C662" s="113" t="str">
        <f>VLOOKUP(A662,'[10]COMBINED_ATTD_INV (3)'!$A$929:$E$953,2,FALSE)</f>
        <v>Richmond Awotwe//</v>
      </c>
      <c r="D662" s="121" t="s">
        <v>733</v>
      </c>
      <c r="E662" s="114" t="s">
        <v>764</v>
      </c>
      <c r="F662" s="113" t="s">
        <v>701</v>
      </c>
    </row>
    <row r="663" spans="1:6" ht="17.149999999999999" customHeight="1" x14ac:dyDescent="0.3">
      <c r="A663" s="112" t="s">
        <v>471</v>
      </c>
      <c r="B663" s="113" t="str">
        <f>VLOOKUP(A663,[10]Schedule_Invigilators!$A$563:$B$803,2,FALSE)</f>
        <v>Emmanuel Offei Akrofi / Gabriel Takyi</v>
      </c>
      <c r="C663" s="113" t="str">
        <f>VLOOKUP(A663,'[10]COMBINED_ATTD_INV (3)'!$A$929:$E$953,2,FALSE)</f>
        <v>Joseph Benneth Kankam//</v>
      </c>
      <c r="D663" s="121" t="s">
        <v>732</v>
      </c>
      <c r="E663" s="114" t="s">
        <v>764</v>
      </c>
      <c r="F663" s="113" t="s">
        <v>701</v>
      </c>
    </row>
    <row r="664" spans="1:6" ht="17.149999999999999" customHeight="1" x14ac:dyDescent="0.3">
      <c r="A664" s="112" t="s">
        <v>472</v>
      </c>
      <c r="B664" s="113" t="str">
        <f>VLOOKUP(A664,[10]Schedule_Invigilators!$A$563:$B$803,2,FALSE)</f>
        <v>David Oppong / Albert Asare</v>
      </c>
      <c r="C664" s="113" t="str">
        <f>VLOOKUP(A664,'[10]COMBINED_ATTD_INV (3)'!$A$929:$E$953,2,FALSE)</f>
        <v>Desmond Adu-Yeboah/Benjamin Nana Oduro Konadu/</v>
      </c>
      <c r="D664" s="121" t="s">
        <v>731</v>
      </c>
      <c r="E664" s="114" t="s">
        <v>764</v>
      </c>
      <c r="F664" s="113" t="s">
        <v>701</v>
      </c>
    </row>
    <row r="665" spans="1:6" ht="17.149999999999999" customHeight="1" x14ac:dyDescent="0.3">
      <c r="A665" s="112" t="s">
        <v>108</v>
      </c>
      <c r="B665" s="113" t="str">
        <f>VLOOKUP(A665,[10]Schedule_Invigilators!$A$563:$B$803,2,FALSE)</f>
        <v xml:space="preserve"> Forkuo Eric Kwabena</v>
      </c>
      <c r="C665" s="113" t="str">
        <f>VLOOKUP(A665,'[10]COMBINED_ATTD_INV (3)'!$A$929:$E$953,2,FALSE)</f>
        <v>Getrude Opoku//</v>
      </c>
      <c r="D665" s="121" t="s">
        <v>730</v>
      </c>
      <c r="E665" s="114" t="s">
        <v>764</v>
      </c>
      <c r="F665" s="113" t="s">
        <v>701</v>
      </c>
    </row>
    <row r="666" spans="1:6" ht="17.149999999999999" customHeight="1" x14ac:dyDescent="0.3">
      <c r="A666" s="112" t="s">
        <v>474</v>
      </c>
      <c r="B666" s="113" t="str">
        <f>VLOOKUP(A666,[10]Schedule_Invigilators!$A$563:$B$803,2,FALSE)</f>
        <v>Gordon Foli</v>
      </c>
      <c r="C666" s="113" t="str">
        <f>VLOOKUP(A666,'[10]COMBINED_ATTD_INV (3)'!$A$929:$E$953,2,FALSE)</f>
        <v>Ruth Adwubi Sarfo//</v>
      </c>
      <c r="D666" s="121" t="s">
        <v>699</v>
      </c>
      <c r="E666" s="114" t="s">
        <v>764</v>
      </c>
      <c r="F666" s="113" t="s">
        <v>701</v>
      </c>
    </row>
    <row r="667" spans="1:6" ht="17.149999999999999" customHeight="1" x14ac:dyDescent="0.3">
      <c r="A667" s="112" t="s">
        <v>475</v>
      </c>
      <c r="B667" s="113" t="str">
        <f>VLOOKUP(A667,[10]Schedule_Invigilators!$A$563:$B$803,2,FALSE)</f>
        <v>Andrew Selasi Agbemenu</v>
      </c>
      <c r="C667" s="113" t="str">
        <f>VLOOKUP(A667,'[10]COMBINED_ATTD_INV (3)'!$A$929:$E$953,2,FALSE)</f>
        <v>Sandra Essel//</v>
      </c>
      <c r="D667" s="121" t="s">
        <v>698</v>
      </c>
      <c r="E667" s="114" t="s">
        <v>764</v>
      </c>
      <c r="F667" s="113" t="s">
        <v>701</v>
      </c>
    </row>
    <row r="668" spans="1:6" ht="17.149999999999999" customHeight="1" x14ac:dyDescent="0.3">
      <c r="A668" s="112" t="s">
        <v>476</v>
      </c>
      <c r="B668" s="113" t="str">
        <f>VLOOKUP(A668,[10]Schedule_Invigilators!$A$563:$B$803,2,FALSE)</f>
        <v>William Amponsah / Godfrey Chiri Amedjoe</v>
      </c>
      <c r="C668" s="113" t="str">
        <f>VLOOKUP(A668,'[10]COMBINED_ATTD_INV (3)'!$A$929:$E$953,2,FALSE)</f>
        <v>Kwame Kwarteng Sarpong//</v>
      </c>
      <c r="D668" s="121" t="s">
        <v>729</v>
      </c>
      <c r="E668" s="114" t="s">
        <v>764</v>
      </c>
      <c r="F668" s="113" t="s">
        <v>701</v>
      </c>
    </row>
    <row r="669" spans="1:6" ht="17.149999999999999" customHeight="1" x14ac:dyDescent="0.3">
      <c r="A669" s="112" t="s">
        <v>477</v>
      </c>
      <c r="B669" s="113" t="str">
        <f>VLOOKUP(A669,[10]Schedule_Invigilators!$A$563:$B$803,2,FALSE)</f>
        <v>Eliel Keelson / Bernard Konadu Amoah</v>
      </c>
      <c r="C669" s="113" t="str">
        <f>VLOOKUP(A669,'[10]COMBINED_ATTD_INV (3)'!$A$929:$E$953,2,FALSE)</f>
        <v>Kwadwo Afful//</v>
      </c>
      <c r="D669" s="121" t="s">
        <v>696</v>
      </c>
      <c r="E669" s="114" t="s">
        <v>764</v>
      </c>
      <c r="F669" s="113" t="s">
        <v>701</v>
      </c>
    </row>
    <row r="670" spans="1:6" ht="17.149999999999999" customHeight="1" x14ac:dyDescent="0.3">
      <c r="A670" s="112" t="s">
        <v>144</v>
      </c>
      <c r="B670" s="113" t="str">
        <f>VLOOKUP(A670,[10]Schedule_Invigilators!$A$563:$B$803,2,FALSE)</f>
        <v>Bright Akowuah / Prince Yaw Andoh</v>
      </c>
      <c r="C670" s="113" t="str">
        <f>VLOOKUP(A670,'[10]COMBINED_ATTD_INV (3)'!$A$929:$E$953,2,FALSE)</f>
        <v>Rebecca Yamoah/Adjatu Busali/</v>
      </c>
      <c r="D670" s="121" t="s">
        <v>695</v>
      </c>
      <c r="E670" s="114" t="s">
        <v>764</v>
      </c>
      <c r="F670" s="113" t="s">
        <v>701</v>
      </c>
    </row>
    <row r="671" spans="1:6" ht="17.149999999999999" hidden="1" customHeight="1" x14ac:dyDescent="0.3">
      <c r="A671" s="112" t="s">
        <v>638</v>
      </c>
      <c r="B671" s="113" t="e">
        <f>VLOOKUP(A671,[10]Schedule_Invigilators!$A$563:$B$803,2,FALSE)</f>
        <v>#N/A</v>
      </c>
      <c r="C671" s="113" t="e">
        <f>VLOOKUP(A671,'[10]COMBINED_ATTD_INV (3)'!$A$929:$E$953,2,FALSE)</f>
        <v>#N/A</v>
      </c>
      <c r="D671" s="121" t="s">
        <v>694</v>
      </c>
      <c r="E671" s="114" t="s">
        <v>764</v>
      </c>
      <c r="F671" s="113" t="s">
        <v>701</v>
      </c>
    </row>
    <row r="672" spans="1:6" ht="17.149999999999999" customHeight="1" x14ac:dyDescent="0.3">
      <c r="A672" s="112" t="s">
        <v>637</v>
      </c>
      <c r="B672" s="113" t="str">
        <f>VLOOKUP(A672,[10]Schedule_Invigilators!$A$563:$B$803,2,FALSE)</f>
        <v>James Dzisi Gadze / M. Appiah Brempong / Martin Kesse / Dorothy Araba Yakoba Agyapong</v>
      </c>
      <c r="C672" s="113" t="str">
        <f>VLOOKUP(A672,'[10]COMBINED_ATTD_INV (3)'!$A$929:$E$953,2,FALSE)</f>
        <v>Micheal Obbo/Bernard Annan/Victoria Agyenim-Boateng</v>
      </c>
      <c r="D672" s="121" t="s">
        <v>693</v>
      </c>
      <c r="E672" s="114" t="s">
        <v>764</v>
      </c>
      <c r="F672" s="113" t="s">
        <v>701</v>
      </c>
    </row>
    <row r="673" spans="1:6" ht="17.149999999999999" customHeight="1" x14ac:dyDescent="0.3">
      <c r="A673" s="112" t="s">
        <v>636</v>
      </c>
      <c r="B673" s="113" t="str">
        <f>VLOOKUP(A673,[10]Schedule_Invigilators!$A$563:$B$803,2,FALSE)</f>
        <v>Simon Kafui Yawo Gawu / John Wise Divine Ayer / Charles Gyamfi</v>
      </c>
      <c r="C673" s="113" t="str">
        <f>VLOOKUP(A673,'[10]COMBINED_ATTD_INV (3)'!$A$929:$E$953,2,FALSE)</f>
        <v>Rener Oppong/Perseverance Dzikunu/Adom Ebenezer</v>
      </c>
      <c r="D673" s="121" t="s">
        <v>692</v>
      </c>
      <c r="E673" s="114" t="s">
        <v>764</v>
      </c>
      <c r="F673" s="113" t="s">
        <v>701</v>
      </c>
    </row>
    <row r="674" spans="1:6" ht="17.149999999999999" customHeight="1" x14ac:dyDescent="0.3">
      <c r="A674" s="112" t="s">
        <v>635</v>
      </c>
      <c r="B674" s="113" t="str">
        <f>VLOOKUP(A674,[10]Schedule_Invigilators!$A$563:$B$803,2,FALSE)</f>
        <v>Kingsford Sarkodie Obeng Kwakye / Emmanuel Appiah-Adjei / Francisca Adoma Acheampong</v>
      </c>
      <c r="C674" s="113" t="str">
        <f>VLOOKUP(A674,'[10]COMBINED_ATTD_INV (3)'!$A$929:$E$953,2,FALSE)</f>
        <v>Kingsley Kyei Baffour/Linda Berko/</v>
      </c>
      <c r="D674" s="121" t="s">
        <v>691</v>
      </c>
      <c r="E674" s="114" t="s">
        <v>764</v>
      </c>
      <c r="F674" s="113" t="s">
        <v>701</v>
      </c>
    </row>
    <row r="675" spans="1:6" ht="17.149999999999999" customHeight="1" x14ac:dyDescent="0.3">
      <c r="A675" s="112" t="s">
        <v>634</v>
      </c>
      <c r="B675" s="113" t="str">
        <f>VLOOKUP(A675,[10]Schedule_Invigilators!$A$563:$B$803,2,FALSE)</f>
        <v>Eugene Appiah-Effah / Anthony Arko-Adjei</v>
      </c>
      <c r="C675" s="113" t="str">
        <f>VLOOKUP(A675,'[10]COMBINED_ATTD_INV (3)'!$A$929:$E$953,2,FALSE)</f>
        <v>Ernest Dapaah//</v>
      </c>
      <c r="D675" s="121" t="s">
        <v>690</v>
      </c>
      <c r="E675" s="114" t="s">
        <v>764</v>
      </c>
      <c r="F675" s="113" t="s">
        <v>701</v>
      </c>
    </row>
    <row r="676" spans="1:6" ht="17.149999999999999" customHeight="1" x14ac:dyDescent="0.3">
      <c r="A676" s="112"/>
      <c r="B676" s="113"/>
      <c r="C676" s="113"/>
      <c r="D676" s="113"/>
      <c r="E676" s="114"/>
      <c r="F676" s="113"/>
    </row>
    <row r="677" spans="1:6" s="118" customFormat="1" ht="17.149999999999999" customHeight="1" x14ac:dyDescent="0.3">
      <c r="A677" s="119" t="s">
        <v>642</v>
      </c>
      <c r="B677" s="119" t="s">
        <v>526</v>
      </c>
      <c r="C677" s="119" t="s">
        <v>672</v>
      </c>
      <c r="D677" s="119" t="s">
        <v>671</v>
      </c>
      <c r="E677" s="124" t="s">
        <v>641</v>
      </c>
      <c r="F677" s="119" t="s">
        <v>640</v>
      </c>
    </row>
    <row r="678" spans="1:6" ht="17.149999999999999" customHeight="1" x14ac:dyDescent="0.3">
      <c r="A678" s="112" t="s">
        <v>35</v>
      </c>
      <c r="B678" s="113" t="str">
        <f>VLOOKUP(A678,[10]Schedule_Invigilators!$A$589:$B$803,2,FALSE)</f>
        <v>Eric Amoah Asante</v>
      </c>
      <c r="C678" s="113" t="str">
        <f>VLOOKUP(A678,'[10]COMBINED_ATTD_INV (3)'!$A$956:$E$981,2,FALSE)</f>
        <v>Reuben Asare Bediako//</v>
      </c>
      <c r="D678" s="121" t="s">
        <v>689</v>
      </c>
      <c r="E678" s="114" t="s">
        <v>764</v>
      </c>
      <c r="F678" s="113" t="s">
        <v>673</v>
      </c>
    </row>
    <row r="679" spans="1:6" ht="17.149999999999999" customHeight="1" x14ac:dyDescent="0.3">
      <c r="A679" s="112" t="s">
        <v>510</v>
      </c>
      <c r="B679" s="113" t="str">
        <f>VLOOKUP(A679,[10]Schedule_Invigilators!$A$589:$B$803,2,FALSE)</f>
        <v>Efiba Vidda Senkyire Kwarteng</v>
      </c>
      <c r="C679" s="113" t="str">
        <f>VLOOKUP(A679,'[10]COMBINED_ATTD_INV (3)'!$A$956:$E$981,2,FALSE)</f>
        <v>George Ansong//</v>
      </c>
      <c r="D679" s="121" t="s">
        <v>749</v>
      </c>
      <c r="E679" s="114" t="s">
        <v>764</v>
      </c>
      <c r="F679" s="113" t="s">
        <v>673</v>
      </c>
    </row>
    <row r="680" spans="1:6" ht="17.149999999999999" customHeight="1" x14ac:dyDescent="0.3">
      <c r="A680" s="112" t="s">
        <v>508</v>
      </c>
      <c r="B680" s="113" t="str">
        <f>VLOOKUP(A680,[10]Schedule_Invigilators!$A$589:$B$803,2,FALSE)</f>
        <v>Samuel Erzuah</v>
      </c>
      <c r="C680" s="113" t="str">
        <f>VLOOKUP(A680,'[10]COMBINED_ATTD_INV (3)'!$A$956:$E$981,2,FALSE)</f>
        <v>Derrick Owusu Mensah//</v>
      </c>
      <c r="D680" s="121" t="s">
        <v>688</v>
      </c>
      <c r="E680" s="114" t="s">
        <v>764</v>
      </c>
      <c r="F680" s="113" t="s">
        <v>673</v>
      </c>
    </row>
    <row r="681" spans="1:6" ht="17.149999999999999" customHeight="1" x14ac:dyDescent="0.3">
      <c r="A681" s="112" t="s">
        <v>466</v>
      </c>
      <c r="B681" s="113" t="str">
        <f>VLOOKUP(A681,[10]Schedule_Invigilators!$A$589:$B$803,2,FALSE)</f>
        <v xml:space="preserve">Martinson Addo Nartey / C. K. K. Sekyere </v>
      </c>
      <c r="C681" s="113" t="str">
        <f>VLOOKUP(A681,'[10]COMBINED_ATTD_INV (3)'!$A$956:$E$981,2,FALSE)</f>
        <v>Issaka Ali Sambo/Paul Dery/</v>
      </c>
      <c r="D681" s="121" t="s">
        <v>687</v>
      </c>
      <c r="E681" s="114" t="s">
        <v>764</v>
      </c>
      <c r="F681" s="113" t="s">
        <v>673</v>
      </c>
    </row>
    <row r="682" spans="1:6" ht="17.149999999999999" customHeight="1" x14ac:dyDescent="0.3">
      <c r="A682" s="112">
        <v>206</v>
      </c>
      <c r="B682" s="113" t="str">
        <f>VLOOKUP(A682,[10]Schedule_Invigilators!$A$589:$B$803,2,FALSE)</f>
        <v>Samuel Boahen</v>
      </c>
      <c r="C682" s="113" t="str">
        <f>VLOOKUP(A682,'[10]COMBINED_ATTD_INV (3)'!$A$956:$E$981,2,FALSE)</f>
        <v>Edward Kpetege//</v>
      </c>
      <c r="D682" s="121" t="s">
        <v>686</v>
      </c>
      <c r="E682" s="114" t="s">
        <v>764</v>
      </c>
      <c r="F682" s="113" t="s">
        <v>673</v>
      </c>
    </row>
    <row r="683" spans="1:6" ht="17.149999999999999" customHeight="1" x14ac:dyDescent="0.3">
      <c r="A683" s="112">
        <v>303</v>
      </c>
      <c r="B683" s="113" t="str">
        <f>VLOOKUP(A683,[10]Schedule_Invigilators!$A$589:$B$803,2,FALSE)</f>
        <v xml:space="preserve">Samuel Osah / Daniel Oduro Boatey Nuamah </v>
      </c>
      <c r="C683" s="113" t="str">
        <f>VLOOKUP(A683,'[10]COMBINED_ATTD_INV (3)'!$A$956:$E$981,2,FALSE)</f>
        <v>Benjamin Opoku Atuahene//</v>
      </c>
      <c r="D683" s="121" t="s">
        <v>685</v>
      </c>
      <c r="E683" s="114" t="s">
        <v>764</v>
      </c>
      <c r="F683" s="113" t="s">
        <v>673</v>
      </c>
    </row>
    <row r="684" spans="1:6" ht="17.149999999999999" customHeight="1" x14ac:dyDescent="0.3">
      <c r="A684" s="112">
        <v>304</v>
      </c>
      <c r="B684" s="113" t="str">
        <f>VLOOKUP(A684,[10]Schedule_Invigilators!$A$589:$B$803,2,FALSE)</f>
        <v>Faisal Wahib Adam</v>
      </c>
      <c r="C684" s="113" t="str">
        <f>VLOOKUP(A684,'[10]COMBINED_ATTD_INV (3)'!$A$956:$E$981,2,FALSE)</f>
        <v>Eric Soku//</v>
      </c>
      <c r="D684" s="121" t="s">
        <v>684</v>
      </c>
      <c r="E684" s="114" t="s">
        <v>764</v>
      </c>
      <c r="F684" s="113" t="s">
        <v>673</v>
      </c>
    </row>
    <row r="685" spans="1:6" ht="17.149999999999999" customHeight="1" x14ac:dyDescent="0.3">
      <c r="A685" s="112" t="s">
        <v>61</v>
      </c>
      <c r="B685" s="113" t="str">
        <f>VLOOKUP(A685,[10]Schedule_Invigilators!$A$589:$B$803,2,FALSE)</f>
        <v>Theresa-Samuelle Maame Atwemaa Adjaidoo</v>
      </c>
      <c r="C685" s="113" t="str">
        <f>VLOOKUP(A685,'[10]COMBINED_ATTD_INV (3)'!$A$956:$E$981,2,FALSE)</f>
        <v>Marian Bemma//</v>
      </c>
      <c r="D685" s="121" t="s">
        <v>683</v>
      </c>
      <c r="E685" s="114" t="s">
        <v>764</v>
      </c>
      <c r="F685" s="113" t="s">
        <v>673</v>
      </c>
    </row>
    <row r="686" spans="1:6" ht="17.149999999999999" customHeight="1" x14ac:dyDescent="0.3">
      <c r="A686" s="112" t="s">
        <v>467</v>
      </c>
      <c r="B686" s="113" t="str">
        <f>VLOOKUP(A686,[10]Schedule_Invigilators!$A$589:$B$803,2,FALSE)</f>
        <v>Yaw Adubofour Tuffour</v>
      </c>
      <c r="C686" s="113" t="str">
        <f>VLOOKUP(A686,'[10]COMBINED_ATTD_INV (3)'!$A$956:$E$981,2,FALSE)</f>
        <v>Derrick Amoateng//</v>
      </c>
      <c r="D686" s="121" t="s">
        <v>682</v>
      </c>
      <c r="E686" s="114" t="s">
        <v>764</v>
      </c>
      <c r="F686" s="113" t="s">
        <v>673</v>
      </c>
    </row>
    <row r="687" spans="1:6" ht="17.149999999999999" customHeight="1" x14ac:dyDescent="0.3">
      <c r="A687" s="112" t="s">
        <v>468</v>
      </c>
      <c r="B687" s="113" t="str">
        <f>VLOOKUP(A687,[10]Schedule_Invigilators!$A$589:$B$803,2,FALSE)</f>
        <v>Cosmas Yaw Asante / Kofi Owura Amoabeng</v>
      </c>
      <c r="C687" s="113" t="str">
        <f>VLOOKUP(A687,'[10]COMBINED_ATTD_INV (3)'!$A$956:$E$981,2,FALSE)</f>
        <v>Sandra Essel//</v>
      </c>
      <c r="D687" s="121" t="s">
        <v>681</v>
      </c>
      <c r="E687" s="114" t="s">
        <v>764</v>
      </c>
      <c r="F687" s="113" t="s">
        <v>673</v>
      </c>
    </row>
    <row r="688" spans="1:6" ht="17.149999999999999" customHeight="1" x14ac:dyDescent="0.3">
      <c r="A688" s="112" t="s">
        <v>469</v>
      </c>
      <c r="B688" s="113" t="str">
        <f>VLOOKUP(A688,[10]Schedule_Invigilators!$A$589:$B$803,2,FALSE)</f>
        <v>Yesuenyeagbe Fiagbe / Blestmond Afrifa Brako</v>
      </c>
      <c r="C688" s="113" t="str">
        <f>VLOOKUP(A688,'[10]COMBINED_ATTD_INV (3)'!$A$956:$E$981,2,FALSE)</f>
        <v>Owusu Stephen Akuoku/Samuel Osei-Asibey Bonsu/</v>
      </c>
      <c r="D688" s="121" t="s">
        <v>680</v>
      </c>
      <c r="E688" s="114" t="s">
        <v>764</v>
      </c>
      <c r="F688" s="113" t="s">
        <v>673</v>
      </c>
    </row>
    <row r="689" spans="1:6" ht="17.149999999999999" customHeight="1" x14ac:dyDescent="0.3">
      <c r="A689" s="112" t="s">
        <v>42</v>
      </c>
      <c r="B689" s="113" t="str">
        <f>VLOOKUP(A689,[10]Schedule_Invigilators!$A$589:$B$803,2,FALSE)</f>
        <v>Isaac Dadzie / Akwasi Afrifa Acheampong</v>
      </c>
      <c r="C689" s="113" t="str">
        <f>VLOOKUP(A689,'[10]COMBINED_ATTD_INV (3)'!$A$956:$E$981,2,FALSE)</f>
        <v>Kofi Bentum/Fiifi Turkson/</v>
      </c>
      <c r="D689" s="121" t="s">
        <v>679</v>
      </c>
      <c r="E689" s="114" t="s">
        <v>764</v>
      </c>
      <c r="F689" s="113" t="s">
        <v>673</v>
      </c>
    </row>
    <row r="690" spans="1:6" ht="17.149999999999999" customHeight="1" x14ac:dyDescent="0.3">
      <c r="A690" s="112" t="s">
        <v>470</v>
      </c>
      <c r="B690" s="113" t="str">
        <f>VLOOKUP(A690,[10]Schedule_Invigilators!$A$589:$B$803,2,FALSE)</f>
        <v>Albert Amatey Adjaottor / Martina Francisca Baidoo</v>
      </c>
      <c r="C690" s="113" t="str">
        <f>VLOOKUP(A690,'[10]COMBINED_ATTD_INV (3)'!$A$956:$E$981,2,FALSE)</f>
        <v>Richmond Awotwe//</v>
      </c>
      <c r="D690" s="121" t="s">
        <v>677</v>
      </c>
      <c r="E690" s="114" t="s">
        <v>764</v>
      </c>
      <c r="F690" s="113" t="s">
        <v>673</v>
      </c>
    </row>
    <row r="691" spans="1:6" ht="17.149999999999999" customHeight="1" x14ac:dyDescent="0.3">
      <c r="A691" s="112" t="s">
        <v>471</v>
      </c>
      <c r="B691" s="113" t="str">
        <f>VLOOKUP(A691,[10]Schedule_Invigilators!$A$589:$B$803,2,FALSE)</f>
        <v>Albert Kwame Kwaw / Godfred Boahen</v>
      </c>
      <c r="C691" s="113" t="str">
        <f>VLOOKUP(A691,'[10]COMBINED_ATTD_INV (3)'!$A$956:$E$981,2,FALSE)</f>
        <v>Joseph Benneth Kankam//</v>
      </c>
      <c r="D691" s="121" t="s">
        <v>676</v>
      </c>
      <c r="E691" s="114" t="s">
        <v>764</v>
      </c>
      <c r="F691" s="113" t="s">
        <v>673</v>
      </c>
    </row>
    <row r="692" spans="1:6" ht="17.149999999999999" customHeight="1" x14ac:dyDescent="0.3">
      <c r="A692" s="112" t="s">
        <v>472</v>
      </c>
      <c r="B692" s="113" t="str">
        <f>VLOOKUP(A692,[10]Schedule_Invigilators!$A$589:$B$803,2,FALSE)</f>
        <v xml:space="preserve">Casper Adenutsi / S. H. M. Aikins </v>
      </c>
      <c r="C692" s="113" t="str">
        <f>VLOOKUP(A692,'[10]COMBINED_ATTD_INV (3)'!$A$956:$E$981,2,FALSE)</f>
        <v>Bernard Audinada Ampofo/Fatawu Yakubu/</v>
      </c>
      <c r="D692" s="121" t="s">
        <v>675</v>
      </c>
      <c r="E692" s="114" t="s">
        <v>764</v>
      </c>
      <c r="F692" s="113" t="s">
        <v>673</v>
      </c>
    </row>
    <row r="693" spans="1:6" ht="17.149999999999999" customHeight="1" x14ac:dyDescent="0.3">
      <c r="A693" s="112" t="s">
        <v>108</v>
      </c>
      <c r="B693" s="113" t="str">
        <f>VLOOKUP(A693,[10]Schedule_Invigilators!$A$589:$B$803,2,FALSE)</f>
        <v>Henry Nunoo-Mensah</v>
      </c>
      <c r="C693" s="113" t="str">
        <f>VLOOKUP(A693,'[10]COMBINED_ATTD_INV (3)'!$A$956:$E$981,2,FALSE)</f>
        <v>Clement Appiah//</v>
      </c>
      <c r="D693" s="121" t="s">
        <v>674</v>
      </c>
      <c r="E693" s="114" t="s">
        <v>764</v>
      </c>
      <c r="F693" s="113" t="s">
        <v>673</v>
      </c>
    </row>
    <row r="694" spans="1:6" ht="17.149999999999999" customHeight="1" x14ac:dyDescent="0.3">
      <c r="A694" s="112" t="s">
        <v>473</v>
      </c>
      <c r="B694" s="113" t="str">
        <f>VLOOKUP(A694,[10]Schedule_Invigilators!$A$589:$B$803,2,FALSE)</f>
        <v xml:space="preserve">Charles Adrah / Evans Amponsah </v>
      </c>
      <c r="C694" s="113" t="str">
        <f>VLOOKUP(A694,'[10]COMBINED_ATTD_INV (3)'!$A$956:$E$981,2,FALSE)</f>
        <v>Godfred Appiah//</v>
      </c>
      <c r="D694" s="121" t="s">
        <v>670</v>
      </c>
      <c r="E694" s="114" t="s">
        <v>764</v>
      </c>
      <c r="F694" s="113" t="s">
        <v>673</v>
      </c>
    </row>
    <row r="695" spans="1:6" ht="17.149999999999999" customHeight="1" x14ac:dyDescent="0.3">
      <c r="A695" s="112" t="s">
        <v>474</v>
      </c>
      <c r="B695" s="113" t="str">
        <f>VLOOKUP(A695,[10]Schedule_Invigilators!$A$589:$B$803,2,FALSE)</f>
        <v>Vincent Kofi Abaka Acquaah</v>
      </c>
      <c r="C695" s="113" t="str">
        <f>VLOOKUP(A695,'[10]COMBINED_ATTD_INV (3)'!$A$956:$E$981,2,FALSE)</f>
        <v>Ruth Adwubi Sarfo//</v>
      </c>
      <c r="D695" s="121" t="s">
        <v>669</v>
      </c>
      <c r="E695" s="114" t="s">
        <v>764</v>
      </c>
      <c r="F695" s="113" t="s">
        <v>673</v>
      </c>
    </row>
    <row r="696" spans="1:6" ht="17.149999999999999" customHeight="1" x14ac:dyDescent="0.3">
      <c r="A696" s="112" t="s">
        <v>475</v>
      </c>
      <c r="B696" s="113" t="str">
        <f>VLOOKUP(A696,[10]Schedule_Invigilators!$A$589:$B$803,2,FALSE)</f>
        <v>Joseph Aveyire</v>
      </c>
      <c r="C696" s="113" t="str">
        <f>VLOOKUP(A696,'[10]COMBINED_ATTD_INV (3)'!$A$956:$E$981,2,FALSE)</f>
        <v>Abigail Akos Worlanyo//</v>
      </c>
      <c r="D696" s="121" t="s">
        <v>668</v>
      </c>
      <c r="E696" s="114" t="s">
        <v>764</v>
      </c>
      <c r="F696" s="113" t="s">
        <v>673</v>
      </c>
    </row>
    <row r="697" spans="1:6" ht="17.149999999999999" customHeight="1" x14ac:dyDescent="0.3">
      <c r="A697" s="112" t="s">
        <v>476</v>
      </c>
      <c r="B697" s="113" t="str">
        <f>VLOOKUP(A697,[10]Schedule_Invigilators!$A$589:$B$803,2,FALSE)</f>
        <v>William Amponsah / Emmanuel Obuobi Kwame Addo</v>
      </c>
      <c r="C697" s="113" t="str">
        <f>VLOOKUP(A697,'[10]COMBINED_ATTD_INV (3)'!$A$956:$E$981,2,FALSE)</f>
        <v>Kwame Kwarteng Sarpong//</v>
      </c>
      <c r="D697" s="121" t="s">
        <v>748</v>
      </c>
      <c r="E697" s="114" t="s">
        <v>764</v>
      </c>
      <c r="F697" s="113" t="s">
        <v>673</v>
      </c>
    </row>
    <row r="698" spans="1:6" ht="17.149999999999999" customHeight="1" x14ac:dyDescent="0.3">
      <c r="A698" s="112" t="s">
        <v>477</v>
      </c>
      <c r="B698" s="113" t="str">
        <f>VLOOKUP(A698,[10]Schedule_Invigilators!$A$589:$B$803,2,FALSE)</f>
        <v>Alfred Alan Duker / Anthony A. Agyemang</v>
      </c>
      <c r="C698" s="113" t="str">
        <f>VLOOKUP(A698,'[10]COMBINED_ATTD_INV (3)'!$A$956:$E$981,2,FALSE)</f>
        <v>Kwadwo Afful//</v>
      </c>
      <c r="D698" s="121" t="s">
        <v>666</v>
      </c>
      <c r="E698" s="114" t="s">
        <v>764</v>
      </c>
      <c r="F698" s="113" t="s">
        <v>673</v>
      </c>
    </row>
    <row r="699" spans="1:6" ht="17.149999999999999" customHeight="1" x14ac:dyDescent="0.3">
      <c r="A699" s="112" t="s">
        <v>144</v>
      </c>
      <c r="B699" s="113" t="str">
        <f>VLOOKUP(A699,[10]Schedule_Invigilators!$A$589:$B$803,2,FALSE)</f>
        <v>Bright Akowuah / Daniel Kwegyir</v>
      </c>
      <c r="C699" s="113" t="str">
        <f>VLOOKUP(A699,'[10]COMBINED_ATTD_INV (3)'!$A$956:$E$981,2,FALSE)</f>
        <v>Mercy Nimako/Adjatu Busali/</v>
      </c>
      <c r="D699" s="121" t="s">
        <v>665</v>
      </c>
      <c r="E699" s="114" t="s">
        <v>764</v>
      </c>
      <c r="F699" s="113" t="s">
        <v>673</v>
      </c>
    </row>
    <row r="700" spans="1:6" ht="17.149999999999999" hidden="1" customHeight="1" x14ac:dyDescent="0.3">
      <c r="A700" s="112" t="s">
        <v>638</v>
      </c>
      <c r="B700" s="113" t="e">
        <f>VLOOKUP(A700,[10]Schedule_Invigilators!$A$589:$B$803,2,FALSE)</f>
        <v>#N/A</v>
      </c>
      <c r="C700" s="113" t="e">
        <f>VLOOKUP(A700,'[10]COMBINED_ATTD_INV (3)'!$A$956:$E$981,2,FALSE)</f>
        <v>#N/A</v>
      </c>
      <c r="D700" s="121" t="s">
        <v>664</v>
      </c>
      <c r="E700" s="114" t="s">
        <v>764</v>
      </c>
      <c r="F700" s="113" t="s">
        <v>673</v>
      </c>
    </row>
    <row r="701" spans="1:6" ht="17.149999999999999" customHeight="1" x14ac:dyDescent="0.3">
      <c r="A701" s="112" t="s">
        <v>637</v>
      </c>
      <c r="B701" s="113" t="str">
        <f>VLOOKUP(A701,[10]Schedule_Invigilators!$A$589:$B$803,2,FALSE)</f>
        <v>Matthew Coffie Wilson / Daniel Akwei Addo / Stephen Adjei / Sefakor Dogbe</v>
      </c>
      <c r="C701" s="113" t="str">
        <f>VLOOKUP(A701,'[10]COMBINED_ATTD_INV (3)'!$A$956:$E$981,2,FALSE)</f>
        <v>Micheal Obbo/Bernard Annan/Robert Kofi Kyere</v>
      </c>
      <c r="D701" s="121" t="s">
        <v>663</v>
      </c>
      <c r="E701" s="114" t="s">
        <v>764</v>
      </c>
      <c r="F701" s="113" t="s">
        <v>673</v>
      </c>
    </row>
    <row r="702" spans="1:6" ht="17.149999999999999" customHeight="1" x14ac:dyDescent="0.3">
      <c r="A702" s="112" t="s">
        <v>636</v>
      </c>
      <c r="B702" s="113" t="str">
        <f>VLOOKUP(A702,[10]Schedule_Invigilators!$A$589:$B$803,2,FALSE)</f>
        <v>Kwame Agyemang Prempeh Agyekum / Augustus Ababio Donkor / K. O.-B Obour Agyekum</v>
      </c>
      <c r="C702" s="113" t="str">
        <f>VLOOKUP(A702,'[10]COMBINED_ATTD_INV (3)'!$A$956:$E$981,2,FALSE)</f>
        <v>Evans Korletey/Perseverance Dzikunu/Adom Ebenezer</v>
      </c>
      <c r="D702" s="121" t="s">
        <v>746</v>
      </c>
      <c r="E702" s="114" t="s">
        <v>764</v>
      </c>
      <c r="F702" s="113" t="s">
        <v>673</v>
      </c>
    </row>
    <row r="703" spans="1:6" ht="17.149999999999999" customHeight="1" x14ac:dyDescent="0.3">
      <c r="A703" s="112" t="s">
        <v>635</v>
      </c>
      <c r="B703" s="113" t="str">
        <f>VLOOKUP(A703,[10]Schedule_Invigilators!$A$589:$B$803,2,FALSE)</f>
        <v>Nicholas Prah / Ayuba Bene Adam / Prosper Akaba</v>
      </c>
      <c r="C703" s="113" t="str">
        <f>VLOOKUP(A703,'[10]COMBINED_ATTD_INV (3)'!$A$956:$E$981,2,FALSE)</f>
        <v>Kingsley Kyei Baffour/Victoria Agyenim-Boateng/</v>
      </c>
      <c r="D703" s="121" t="s">
        <v>662</v>
      </c>
      <c r="E703" s="114" t="s">
        <v>764</v>
      </c>
      <c r="F703" s="113" t="s">
        <v>673</v>
      </c>
    </row>
    <row r="704" spans="1:6" ht="17.149999999999999" customHeight="1" x14ac:dyDescent="0.3">
      <c r="A704" s="112" t="s">
        <v>634</v>
      </c>
      <c r="B704" s="113" t="str">
        <f>VLOOKUP(A704,[10]Schedule_Invigilators!$A$589:$B$803,2,FALSE)</f>
        <v>Emmanuel Ampoma Affum / Prince Odame</v>
      </c>
      <c r="C704" s="113" t="str">
        <f>VLOOKUP(A704,'[10]COMBINED_ATTD_INV (3)'!$A$956:$E$981,2,FALSE)</f>
        <v>Ernest Dapaah//</v>
      </c>
      <c r="D704" s="121" t="s">
        <v>727</v>
      </c>
      <c r="E704" s="114" t="s">
        <v>764</v>
      </c>
      <c r="F704" s="113" t="s">
        <v>673</v>
      </c>
    </row>
    <row r="705" spans="1:6" ht="17.149999999999999" customHeight="1" x14ac:dyDescent="0.3">
      <c r="A705" s="112"/>
      <c r="B705" s="113"/>
      <c r="C705" s="113"/>
      <c r="D705" s="113"/>
      <c r="E705" s="114"/>
      <c r="F705" s="113"/>
    </row>
    <row r="706" spans="1:6" ht="16.5" customHeight="1" x14ac:dyDescent="0.3">
      <c r="A706" s="112"/>
      <c r="B706" s="113"/>
      <c r="C706" s="113"/>
      <c r="D706" s="113"/>
      <c r="E706" s="114"/>
      <c r="F706" s="113"/>
    </row>
    <row r="707" spans="1:6" s="118" customFormat="1" ht="17.149999999999999" customHeight="1" x14ac:dyDescent="0.3">
      <c r="A707" s="119" t="s">
        <v>642</v>
      </c>
      <c r="B707" s="119" t="s">
        <v>526</v>
      </c>
      <c r="C707" s="119" t="s">
        <v>672</v>
      </c>
      <c r="D707" s="119" t="s">
        <v>671</v>
      </c>
      <c r="E707" s="124" t="s">
        <v>641</v>
      </c>
      <c r="F707" s="119" t="s">
        <v>640</v>
      </c>
    </row>
    <row r="708" spans="1:6" ht="17.149999999999999" customHeight="1" x14ac:dyDescent="0.3">
      <c r="A708" s="112" t="s">
        <v>35</v>
      </c>
      <c r="B708" s="113" t="str">
        <f>VLOOKUP(A708,[10]Schedule_Invigilators!$A$616:$B$803,2,FALSE)</f>
        <v>Charles Gyamfi</v>
      </c>
      <c r="C708" s="113" t="str">
        <f>VLOOKUP(A708,'[10]COMBINED_ATTD_INV (3)'!$A$984:$E$1007458,2,FALSE)</f>
        <v>Reuben Asare Bediako//</v>
      </c>
      <c r="D708" s="121" t="s">
        <v>660</v>
      </c>
      <c r="E708" s="114" t="s">
        <v>764</v>
      </c>
      <c r="F708" s="113" t="s">
        <v>643</v>
      </c>
    </row>
    <row r="709" spans="1:6" ht="17.149999999999999" customHeight="1" x14ac:dyDescent="0.3">
      <c r="A709" s="112" t="s">
        <v>510</v>
      </c>
      <c r="B709" s="113" t="str">
        <f>VLOOKUP(A709,[10]Schedule_Invigilators!$A$616:$B$803,2,FALSE)</f>
        <v>C. K. K. Sekyere</v>
      </c>
      <c r="C709" s="113" t="str">
        <f>VLOOKUP(A709,'[10]COMBINED_ATTD_INV (3)'!$A$984:$E$1007458,2,FALSE)</f>
        <v>George Ansong//</v>
      </c>
      <c r="D709" s="121" t="s">
        <v>763</v>
      </c>
      <c r="E709" s="114" t="s">
        <v>764</v>
      </c>
      <c r="F709" s="113" t="s">
        <v>643</v>
      </c>
    </row>
    <row r="710" spans="1:6" ht="17.149999999999999" customHeight="1" x14ac:dyDescent="0.3">
      <c r="A710" s="112" t="s">
        <v>508</v>
      </c>
      <c r="B710" s="113" t="str">
        <f>VLOOKUP(A710,[10]Schedule_Invigilators!$A$616:$B$803,2,FALSE)</f>
        <v>Martina Francisca Baidoo</v>
      </c>
      <c r="C710" s="113" t="str">
        <f>VLOOKUP(A710,'[10]COMBINED_ATTD_INV (3)'!$A$984:$E$1007458,2,FALSE)</f>
        <v>Derrick Owusu Mensah//</v>
      </c>
      <c r="D710" s="121" t="s">
        <v>659</v>
      </c>
      <c r="E710" s="114" t="s">
        <v>764</v>
      </c>
      <c r="F710" s="113" t="s">
        <v>643</v>
      </c>
    </row>
    <row r="711" spans="1:6" ht="17.149999999999999" customHeight="1" x14ac:dyDescent="0.3">
      <c r="A711" s="112" t="s">
        <v>466</v>
      </c>
      <c r="B711" s="113" t="str">
        <f>VLOOKUP(A711,[10]Schedule_Invigilators!$A$616:$B$803,2,FALSE)</f>
        <v>Prosper Akaba / M. Appiah Brempong</v>
      </c>
      <c r="C711" s="113" t="str">
        <f>VLOOKUP(A711,'[10]COMBINED_ATTD_INV (3)'!$A$984:$E$1007458,2,FALSE)</f>
        <v>Issaka Ali Sambo/Paul Dery/</v>
      </c>
      <c r="D711" s="121" t="s">
        <v>658</v>
      </c>
      <c r="E711" s="114" t="s">
        <v>764</v>
      </c>
      <c r="F711" s="113" t="s">
        <v>643</v>
      </c>
    </row>
    <row r="712" spans="1:6" ht="17.149999999999999" customHeight="1" x14ac:dyDescent="0.3">
      <c r="A712" s="112">
        <v>206</v>
      </c>
      <c r="B712" s="113" t="str">
        <f>VLOOKUP(A712,[10]Schedule_Invigilators!$A$616:$B$803,2,FALSE)</f>
        <v>Yesuenyeagbe Fiagbe</v>
      </c>
      <c r="C712" s="113" t="str">
        <f>VLOOKUP(A712,'[10]COMBINED_ATTD_INV (3)'!$A$984:$E$1007458,2,FALSE)</f>
        <v>Edward Kpetege//</v>
      </c>
      <c r="D712" s="121" t="s">
        <v>657</v>
      </c>
      <c r="E712" s="114" t="s">
        <v>764</v>
      </c>
      <c r="F712" s="113" t="s">
        <v>643</v>
      </c>
    </row>
    <row r="713" spans="1:6" ht="17.149999999999999" customHeight="1" x14ac:dyDescent="0.3">
      <c r="A713" s="112">
        <v>303</v>
      </c>
      <c r="B713" s="113" t="str">
        <f>VLOOKUP(A713,[10]Schedule_Invigilators!$A$616:$B$803,2,FALSE)</f>
        <v>Anthony A. Agyemang / Daniel Kwegyir</v>
      </c>
      <c r="C713" s="113" t="str">
        <f>VLOOKUP(A713,'[10]COMBINED_ATTD_INV (3)'!$A$984:$E$1007458,2,FALSE)</f>
        <v>Benjamin Opoku Atuahene//</v>
      </c>
      <c r="D713" s="121" t="s">
        <v>656</v>
      </c>
      <c r="E713" s="114" t="s">
        <v>764</v>
      </c>
      <c r="F713" s="113" t="s">
        <v>643</v>
      </c>
    </row>
    <row r="714" spans="1:6" ht="17.149999999999999" customHeight="1" x14ac:dyDescent="0.3">
      <c r="A714" s="112">
        <v>304</v>
      </c>
      <c r="B714" s="113" t="str">
        <f>VLOOKUP(A714,[10]Schedule_Invigilators!$A$616:$B$803,2,FALSE)</f>
        <v>Bernard Konadu Amoah</v>
      </c>
      <c r="C714" s="113" t="str">
        <f>VLOOKUP(A714,'[10]COMBINED_ATTD_INV (3)'!$A$984:$E$1007458,2,FALSE)</f>
        <v>Linda Berko//</v>
      </c>
      <c r="D714" s="121" t="s">
        <v>655</v>
      </c>
      <c r="E714" s="114" t="s">
        <v>764</v>
      </c>
      <c r="F714" s="113" t="s">
        <v>643</v>
      </c>
    </row>
    <row r="715" spans="1:6" ht="17.149999999999999" customHeight="1" x14ac:dyDescent="0.3">
      <c r="A715" s="112" t="s">
        <v>61</v>
      </c>
      <c r="B715" s="113" t="str">
        <f>VLOOKUP(A715,[10]Schedule_Invigilators!$A$616:$B$803,2,FALSE)</f>
        <v>Peter Oppong Tawiah</v>
      </c>
      <c r="C715" s="113" t="str">
        <f>VLOOKUP(A715,'[10]COMBINED_ATTD_INV (3)'!$A$984:$E$1007458,2,FALSE)</f>
        <v>Marian Bemma//</v>
      </c>
      <c r="D715" s="121" t="s">
        <v>654</v>
      </c>
      <c r="E715" s="114" t="s">
        <v>764</v>
      </c>
      <c r="F715" s="113" t="s">
        <v>643</v>
      </c>
    </row>
    <row r="716" spans="1:6" ht="17.149999999999999" customHeight="1" x14ac:dyDescent="0.3">
      <c r="A716" s="112" t="s">
        <v>467</v>
      </c>
      <c r="B716" s="113" t="str">
        <f>VLOOKUP(A716,[10]Schedule_Invigilators!$A$616:$B$803,2,FALSE)</f>
        <v>Eliel Keelson</v>
      </c>
      <c r="C716" s="113" t="str">
        <f>VLOOKUP(A716,'[10]COMBINED_ATTD_INV (3)'!$A$984:$E$1007458,2,FALSE)</f>
        <v>Derrick Amoateng//</v>
      </c>
      <c r="D716" s="121" t="s">
        <v>678</v>
      </c>
      <c r="E716" s="114" t="s">
        <v>764</v>
      </c>
      <c r="F716" s="113" t="s">
        <v>643</v>
      </c>
    </row>
    <row r="717" spans="1:6" ht="17.149999999999999" customHeight="1" x14ac:dyDescent="0.3">
      <c r="A717" s="112" t="s">
        <v>468</v>
      </c>
      <c r="B717" s="113" t="str">
        <f>VLOOKUP(A717,[10]Schedule_Invigilators!$A$616:$B$803,2,FALSE)</f>
        <v>Eric Kwame Anokye Asare / Andrew Cudzo Amenuvor</v>
      </c>
      <c r="C717" s="113" t="str">
        <f>VLOOKUP(A717,'[10]COMBINED_ATTD_INV (3)'!$A$984:$E$1007458,2,FALSE)</f>
        <v>John Ofosu//</v>
      </c>
      <c r="D717" s="121" t="s">
        <v>652</v>
      </c>
      <c r="E717" s="114" t="s">
        <v>764</v>
      </c>
      <c r="F717" s="113" t="s">
        <v>643</v>
      </c>
    </row>
    <row r="718" spans="1:6" ht="17.149999999999999" customHeight="1" x14ac:dyDescent="0.3">
      <c r="A718" s="112" t="s">
        <v>469</v>
      </c>
      <c r="B718" s="113" t="str">
        <f>VLOOKUP(A718,[10]Schedule_Invigilators!$A$616:$B$803,2,FALSE)</f>
        <v>James Okae / Daniel Akwei Addo</v>
      </c>
      <c r="C718" s="113" t="str">
        <f>VLOOKUP(A718,'[10]COMBINED_ATTD_INV (3)'!$A$984:$E$1007458,2,FALSE)</f>
        <v>Owusu Stephen Akuoku/Samuel Osei-Asibey Bonsu/</v>
      </c>
      <c r="D718" s="121" t="s">
        <v>651</v>
      </c>
      <c r="E718" s="114" t="s">
        <v>764</v>
      </c>
      <c r="F718" s="113" t="s">
        <v>643</v>
      </c>
    </row>
    <row r="719" spans="1:6" ht="17.149999999999999" customHeight="1" x14ac:dyDescent="0.3">
      <c r="A719" s="112" t="s">
        <v>42</v>
      </c>
      <c r="B719" s="113" t="str">
        <f>VLOOKUP(A719,[10]Schedule_Invigilators!$A$616:$B$803,2,FALSE)</f>
        <v>Stephen Adjei / Daniel Oduro Boatey Nuamah</v>
      </c>
      <c r="C719" s="113" t="str">
        <f>VLOOKUP(A719,'[10]COMBINED_ATTD_INV (3)'!$A$984:$E$1007458,2,FALSE)</f>
        <v>Kofi Bentum/Fiifi Turkson/</v>
      </c>
      <c r="D719" s="121" t="s">
        <v>762</v>
      </c>
      <c r="E719" s="114" t="s">
        <v>764</v>
      </c>
      <c r="F719" s="113" t="s">
        <v>643</v>
      </c>
    </row>
    <row r="720" spans="1:6" ht="17.149999999999999" customHeight="1" x14ac:dyDescent="0.3">
      <c r="A720" s="112" t="s">
        <v>470</v>
      </c>
      <c r="B720" s="113" t="str">
        <f>VLOOKUP(A720,[10]Schedule_Invigilators!$A$616:$B$803,2,FALSE)</f>
        <v>Albert Kwame Kwaw / Blestmond Afrifa Brako</v>
      </c>
      <c r="C720" s="113" t="str">
        <f>VLOOKUP(A720,'[10]COMBINED_ATTD_INV (3)'!$A$984:$E$1007458,2,FALSE)</f>
        <v>Richmond Awotwe//</v>
      </c>
      <c r="D720" s="121" t="s">
        <v>761</v>
      </c>
      <c r="E720" s="114" t="s">
        <v>764</v>
      </c>
      <c r="F720" s="113" t="s">
        <v>643</v>
      </c>
    </row>
    <row r="721" spans="1:6" ht="17.149999999999999" customHeight="1" x14ac:dyDescent="0.3">
      <c r="A721" s="112" t="s">
        <v>471</v>
      </c>
      <c r="B721" s="113" t="str">
        <f>VLOOKUP(A721,[10]Schedule_Invigilators!$A$616:$B$803,2,FALSE)</f>
        <v>James Dzisi Gadze / Akwasi Afrifa Acheampong</v>
      </c>
      <c r="C721" s="113" t="str">
        <f>VLOOKUP(A721,'[10]COMBINED_ATTD_INV (3)'!$A$984:$E$1007458,2,FALSE)</f>
        <v>Mercy Nimako//</v>
      </c>
      <c r="D721" s="121" t="s">
        <v>647</v>
      </c>
      <c r="E721" s="114" t="s">
        <v>764</v>
      </c>
      <c r="F721" s="113" t="s">
        <v>643</v>
      </c>
    </row>
    <row r="722" spans="1:6" ht="17.149999999999999" customHeight="1" x14ac:dyDescent="0.3">
      <c r="A722" s="112" t="s">
        <v>472</v>
      </c>
      <c r="B722" s="113" t="str">
        <f>VLOOKUP(A722,[10]Schedule_Invigilators!$A$616:$B$803,2,FALSE)</f>
        <v>Vincent Kofi Abaka Acquaah / Matthew Coffie Wilson</v>
      </c>
      <c r="C722" s="113" t="str">
        <f>VLOOKUP(A722,'[10]COMBINED_ATTD_INV (3)'!$A$984:$E$1007458,2,FALSE)</f>
        <v>Bernard Audinada Ampofo/Fatawu Yakubu/</v>
      </c>
      <c r="D722" s="121" t="s">
        <v>646</v>
      </c>
      <c r="E722" s="114" t="s">
        <v>764</v>
      </c>
      <c r="F722" s="113" t="s">
        <v>643</v>
      </c>
    </row>
    <row r="723" spans="1:6" ht="17.149999999999999" customHeight="1" x14ac:dyDescent="0.3">
      <c r="A723" s="112" t="s">
        <v>108</v>
      </c>
      <c r="B723" s="113" t="str">
        <f>VLOOKUP(A723,[10]Schedule_Invigilators!$A$616:$B$803,2,FALSE)</f>
        <v>Nicholas Prah</v>
      </c>
      <c r="C723" s="113" t="str">
        <f>VLOOKUP(A723,'[10]COMBINED_ATTD_INV (3)'!$A$984:$E$1007458,2,FALSE)</f>
        <v>Clement Appiah//</v>
      </c>
      <c r="D723" s="121" t="s">
        <v>645</v>
      </c>
      <c r="E723" s="114" t="s">
        <v>764</v>
      </c>
      <c r="F723" s="113" t="s">
        <v>643</v>
      </c>
    </row>
    <row r="724" spans="1:6" ht="17.149999999999999" customHeight="1" x14ac:dyDescent="0.3">
      <c r="A724" s="112" t="s">
        <v>473</v>
      </c>
      <c r="B724" s="113" t="str">
        <f>VLOOKUP(A724,[10]Schedule_Invigilators!$A$616:$B$803,2,FALSE)</f>
        <v>Dorothy Araba Yakoba Agyapong / Felix Jojo Fianko Ayeh</v>
      </c>
      <c r="C724" s="113" t="str">
        <f>VLOOKUP(A724,'[10]COMBINED_ATTD_INV (3)'!$A$984:$E$1007458,2,FALSE)</f>
        <v>Godfred Appiah//</v>
      </c>
      <c r="D724" s="121" t="s">
        <v>760</v>
      </c>
      <c r="E724" s="114" t="s">
        <v>764</v>
      </c>
      <c r="F724" s="113" t="s">
        <v>643</v>
      </c>
    </row>
    <row r="725" spans="1:6" ht="17.149999999999999" customHeight="1" x14ac:dyDescent="0.3">
      <c r="A725" s="112" t="s">
        <v>476</v>
      </c>
      <c r="B725" s="113" t="str">
        <f>VLOOKUP(A725,[10]Schedule_Invigilators!$A$616:$B$803,2,FALSE)</f>
        <v>Jack Osei Banahene / Joshua Ampofo</v>
      </c>
      <c r="C725" s="113" t="str">
        <f>VLOOKUP(A725,'[10]COMBINED_ATTD_INV (3)'!$A$984:$E$1007458,2,FALSE)</f>
        <v>Kwame Kwarteng Sarpong//</v>
      </c>
      <c r="D725" s="121" t="s">
        <v>757</v>
      </c>
      <c r="E725" s="114" t="s">
        <v>764</v>
      </c>
      <c r="F725" s="113" t="s">
        <v>643</v>
      </c>
    </row>
    <row r="726" spans="1:6" ht="17.149999999999999" customHeight="1" x14ac:dyDescent="0.3">
      <c r="A726" s="112" t="s">
        <v>477</v>
      </c>
      <c r="B726" s="113" t="str">
        <f>VLOOKUP(A726,[10]Schedule_Invigilators!$A$616:$B$803,2,FALSE)</f>
        <v>Albert Asare / Ayuba Bene Adam</v>
      </c>
      <c r="C726" s="113" t="str">
        <f>VLOOKUP(A726,'[10]COMBINED_ATTD_INV (3)'!$A$984:$E$1007458,2,FALSE)</f>
        <v>Kwadwo Afful//</v>
      </c>
      <c r="D726" s="121" t="s">
        <v>756</v>
      </c>
      <c r="E726" s="114" t="s">
        <v>764</v>
      </c>
      <c r="F726" s="113" t="s">
        <v>643</v>
      </c>
    </row>
    <row r="727" spans="1:6" ht="17.149999999999999" customHeight="1" x14ac:dyDescent="0.3">
      <c r="A727" s="112" t="s">
        <v>144</v>
      </c>
      <c r="B727" s="113" t="str">
        <f>VLOOKUP(A727,[10]Schedule_Invigilators!$A$616:$B$803,2,FALSE)</f>
        <v>Bright Akowuah / Jones Owusu Twumasi</v>
      </c>
      <c r="C727" s="113" t="str">
        <f>VLOOKUP(A727,'[10]COMBINED_ATTD_INV (3)'!$A$984:$E$1007458,2,FALSE)</f>
        <v>Mohammed Bakang/Adjatu Busali/</v>
      </c>
      <c r="D727" s="121" t="s">
        <v>653</v>
      </c>
      <c r="E727" s="114" t="s">
        <v>764</v>
      </c>
      <c r="F727" s="113" t="s">
        <v>643</v>
      </c>
    </row>
    <row r="728" spans="1:6" ht="17.149999999999999" hidden="1" customHeight="1" x14ac:dyDescent="0.3">
      <c r="A728" s="112" t="s">
        <v>638</v>
      </c>
      <c r="B728" s="113" t="e">
        <f>VLOOKUP(A728,[10]Schedule_Invigilators!$A$616:$B$803,2,FALSE)</f>
        <v>#N/A</v>
      </c>
      <c r="C728" s="113" t="e">
        <f>VLOOKUP(A728,'[10]COMBINED_ATTD_INV (3)'!$A$984:$E$1007458,2,FALSE)</f>
        <v>#N/A</v>
      </c>
      <c r="D728" s="121" t="s">
        <v>754</v>
      </c>
      <c r="E728" s="114" t="s">
        <v>764</v>
      </c>
      <c r="F728" s="113" t="s">
        <v>643</v>
      </c>
    </row>
    <row r="729" spans="1:6" ht="17.149999999999999" customHeight="1" x14ac:dyDescent="0.3">
      <c r="A729" s="112" t="s">
        <v>637</v>
      </c>
      <c r="B729" s="113" t="str">
        <f>VLOOKUP(A729,[10]Schedule_Invigilators!$A$616:$B$803,2,FALSE)</f>
        <v>Anthony Arko-Adjei / Emmanuel Ampoma Affum / Augustus Ababio Donkor / Evans Amponsah</v>
      </c>
      <c r="C729" s="113" t="str">
        <f>VLOOKUP(A729,'[10]COMBINED_ATTD_INV (3)'!$A$984:$E$1007458,2,FALSE)</f>
        <v>Mercy Nimako/Bernard Annan/Robert Kofi Kyere</v>
      </c>
      <c r="D729" s="121" t="s">
        <v>753</v>
      </c>
      <c r="E729" s="114" t="s">
        <v>764</v>
      </c>
      <c r="F729" s="113" t="s">
        <v>643</v>
      </c>
    </row>
    <row r="730" spans="1:6" ht="17.149999999999999" customHeight="1" x14ac:dyDescent="0.3">
      <c r="A730" s="112" t="s">
        <v>636</v>
      </c>
      <c r="B730" s="113" t="str">
        <f>VLOOKUP(A730,[10]Schedule_Invigilators!$A$616:$B$803,2,FALSE)</f>
        <v>Bennetta Koomson / Prince Odame / Kenneth Adomako Tutu</v>
      </c>
      <c r="C730" s="113" t="str">
        <f>VLOOKUP(A730,'[10]COMBINED_ATTD_INV (3)'!$A$984:$E$1007458,2,FALSE)</f>
        <v>Evans Korletey/Perseverance Dzikunu/Adom Ebenezer</v>
      </c>
      <c r="D730" s="121" t="s">
        <v>765</v>
      </c>
      <c r="E730" s="114" t="s">
        <v>764</v>
      </c>
      <c r="F730" s="113" t="s">
        <v>643</v>
      </c>
    </row>
    <row r="731" spans="1:6" ht="17.149999999999999" customHeight="1" x14ac:dyDescent="0.3">
      <c r="A731" s="112" t="s">
        <v>635</v>
      </c>
      <c r="B731" s="113" t="str">
        <f>VLOOKUP(A731,[10]Schedule_Invigilators!$A$616:$B$803,2,FALSE)</f>
        <v>Benjamin Kommey / F. K. A. Nyarko / Jonathan Atuquaye Quaye</v>
      </c>
      <c r="C731" s="113" t="str">
        <f>VLOOKUP(A731,'[10]COMBINED_ATTD_INV (3)'!$A$984:$E$1007458,2,FALSE)</f>
        <v>Kingsley Kyei Baffour/Bright Andoh-Baidoo/</v>
      </c>
      <c r="D731" s="121" t="s">
        <v>752</v>
      </c>
      <c r="E731" s="114" t="s">
        <v>764</v>
      </c>
      <c r="F731" s="113" t="s">
        <v>643</v>
      </c>
    </row>
    <row r="732" spans="1:6" ht="15.75" customHeight="1" x14ac:dyDescent="0.3">
      <c r="A732" s="112" t="s">
        <v>634</v>
      </c>
      <c r="B732" s="113" t="str">
        <f>VLOOKUP(A732,[10]Schedule_Invigilators!$A$616:$B$803,2,FALSE)</f>
        <v>Martin Kesse / Eugene Appiah-Effah</v>
      </c>
      <c r="C732" s="113" t="str">
        <f>VLOOKUP(A732,'[10]COMBINED_ATTD_INV (3)'!$A$984:$E$1007458,2,FALSE)</f>
        <v>Abigail Akos Worlanyo//</v>
      </c>
      <c r="D732" s="121" t="s">
        <v>751</v>
      </c>
      <c r="E732" s="114" t="s">
        <v>764</v>
      </c>
      <c r="F732" s="113" t="s">
        <v>643</v>
      </c>
    </row>
    <row r="733" spans="1:6" ht="17.149999999999999" customHeight="1" x14ac:dyDescent="0.3">
      <c r="A733" s="112"/>
      <c r="B733" s="113"/>
      <c r="C733" s="113"/>
      <c r="D733" s="113"/>
      <c r="E733" s="114"/>
      <c r="F733" s="113"/>
    </row>
    <row r="734" spans="1:6" s="118" customFormat="1" ht="17.149999999999999" customHeight="1" x14ac:dyDescent="0.3">
      <c r="A734" s="119" t="s">
        <v>642</v>
      </c>
      <c r="B734" s="119" t="s">
        <v>526</v>
      </c>
      <c r="C734" s="119" t="s">
        <v>672</v>
      </c>
      <c r="D734" s="119" t="s">
        <v>671</v>
      </c>
      <c r="E734" s="124" t="s">
        <v>641</v>
      </c>
      <c r="F734" s="119" t="s">
        <v>640</v>
      </c>
    </row>
    <row r="735" spans="1:6" ht="17.149999999999999" customHeight="1" x14ac:dyDescent="0.3">
      <c r="A735" s="112" t="s">
        <v>35</v>
      </c>
      <c r="B735" s="113" t="str">
        <f>VLOOKUP(A735,[10]Schedule_Invigilators!$A$641:$B$803,2,FALSE)</f>
        <v>C. K. K. Sekyere</v>
      </c>
      <c r="C735" s="113" t="str">
        <f>VLOOKUP(A735,'[10]COMBINED_ATTD_INV (3)'!$A$1010:$E$1035,2,FALSE)</f>
        <v>Mohammed Bakang//</v>
      </c>
      <c r="D735" s="121" t="s">
        <v>660</v>
      </c>
      <c r="E735" s="114" t="s">
        <v>644</v>
      </c>
      <c r="F735" s="113" t="s">
        <v>750</v>
      </c>
    </row>
    <row r="736" spans="1:6" ht="17.149999999999999" customHeight="1" x14ac:dyDescent="0.3">
      <c r="A736" s="112" t="s">
        <v>510</v>
      </c>
      <c r="B736" s="113" t="str">
        <f>VLOOKUP(A736,[10]Schedule_Invigilators!$A$641:$B$803,2,FALSE)</f>
        <v>Daniel Oduro Boatey Nuamah</v>
      </c>
      <c r="C736" s="113" t="str">
        <f>VLOOKUP(A736,'[10]COMBINED_ATTD_INV (3)'!$A$1010:$E$1035,2,FALSE)</f>
        <v>Mercy Nimako//</v>
      </c>
      <c r="D736" s="121" t="s">
        <v>763</v>
      </c>
      <c r="E736" s="114" t="s">
        <v>644</v>
      </c>
      <c r="F736" s="113" t="s">
        <v>750</v>
      </c>
    </row>
    <row r="737" spans="1:6" ht="17.149999999999999" customHeight="1" x14ac:dyDescent="0.3">
      <c r="A737" s="112" t="s">
        <v>508</v>
      </c>
      <c r="B737" s="113" t="str">
        <f>VLOOKUP(A737,[10]Schedule_Invigilators!$A$641:$B$803,2,FALSE)</f>
        <v>Felix Jojo Fianko Ayeh</v>
      </c>
      <c r="C737" s="113" t="str">
        <f>VLOOKUP(A737,'[10]COMBINED_ATTD_INV (3)'!$A$1010:$E$1035,2,FALSE)</f>
        <v>Derrick Owusu Mensah//</v>
      </c>
      <c r="D737" s="121" t="s">
        <v>659</v>
      </c>
      <c r="E737" s="114" t="s">
        <v>644</v>
      </c>
      <c r="F737" s="113" t="s">
        <v>750</v>
      </c>
    </row>
    <row r="738" spans="1:6" ht="17.149999999999999" customHeight="1" x14ac:dyDescent="0.3">
      <c r="A738" s="112" t="s">
        <v>466</v>
      </c>
      <c r="B738" s="113" t="str">
        <f>VLOOKUP(A738,[10]Schedule_Invigilators!$A$641:$B$803,2,FALSE)</f>
        <v>Eugene Appiah-Effah / M. Appiah Brempong</v>
      </c>
      <c r="C738" s="113" t="str">
        <f>VLOOKUP(A738,'[10]COMBINED_ATTD_INV (3)'!$A$1010:$E$1035,2,FALSE)</f>
        <v>Issaka Ali Sambo/Paul Dery/</v>
      </c>
      <c r="D738" s="121" t="s">
        <v>658</v>
      </c>
      <c r="E738" s="114" t="s">
        <v>644</v>
      </c>
      <c r="F738" s="113" t="s">
        <v>750</v>
      </c>
    </row>
    <row r="739" spans="1:6" ht="17.149999999999999" customHeight="1" x14ac:dyDescent="0.3">
      <c r="A739" s="112">
        <v>206</v>
      </c>
      <c r="B739" s="113" t="str">
        <f>VLOOKUP(A739,[10]Schedule_Invigilators!$A$641:$B$803,2,FALSE)</f>
        <v>Bernard Konadu Amoah</v>
      </c>
      <c r="C739" s="113" t="str">
        <f>VLOOKUP(A739,'[10]COMBINED_ATTD_INV (3)'!$A$1010:$E$1035,2,FALSE)</f>
        <v>Edward Kpetege//</v>
      </c>
      <c r="D739" s="121" t="s">
        <v>657</v>
      </c>
      <c r="E739" s="114" t="s">
        <v>644</v>
      </c>
      <c r="F739" s="113" t="s">
        <v>750</v>
      </c>
    </row>
    <row r="740" spans="1:6" ht="17.149999999999999" customHeight="1" x14ac:dyDescent="0.3">
      <c r="A740" s="112">
        <v>303</v>
      </c>
      <c r="B740" s="113" t="str">
        <f>VLOOKUP(A740,[10]Schedule_Invigilators!$A$641:$B$803,2,FALSE)</f>
        <v xml:space="preserve">Daniel Akwei Addo / Sefakor Dogbe </v>
      </c>
      <c r="C740" s="113" t="str">
        <f>VLOOKUP(A740,'[10]COMBINED_ATTD_INV (3)'!$A$1010:$E$1035,2,FALSE)</f>
        <v>Benjamin Opoku Atuahene//</v>
      </c>
      <c r="D740" s="121" t="s">
        <v>656</v>
      </c>
      <c r="E740" s="114" t="s">
        <v>644</v>
      </c>
      <c r="F740" s="113" t="s">
        <v>750</v>
      </c>
    </row>
    <row r="741" spans="1:6" ht="17.149999999999999" customHeight="1" x14ac:dyDescent="0.3">
      <c r="A741" s="112">
        <v>304</v>
      </c>
      <c r="B741" s="113" t="str">
        <f>VLOOKUP(A741,[10]Schedule_Invigilators!$A$641:$B$803,2,FALSE)</f>
        <v>Godfred Boahen</v>
      </c>
      <c r="C741" s="113" t="str">
        <f>VLOOKUP(A741,'[10]COMBINED_ATTD_INV (3)'!$A$1010:$E$1035,2,FALSE)</f>
        <v>Eric Soku//</v>
      </c>
      <c r="D741" s="121" t="s">
        <v>655</v>
      </c>
      <c r="E741" s="114" t="s">
        <v>644</v>
      </c>
      <c r="F741" s="113" t="s">
        <v>750</v>
      </c>
    </row>
    <row r="742" spans="1:6" ht="17.149999999999999" customHeight="1" x14ac:dyDescent="0.3">
      <c r="A742" s="112" t="s">
        <v>61</v>
      </c>
      <c r="B742" s="113" t="str">
        <f>VLOOKUP(A742,[10]Schedule_Invigilators!$A$641:$B$803,2,FALSE)</f>
        <v>Evans Amponsah</v>
      </c>
      <c r="C742" s="113" t="str">
        <f>VLOOKUP(A742,'[10]COMBINED_ATTD_INV (3)'!$A$1010:$E$1035,2,FALSE)</f>
        <v>Marian Bemma//</v>
      </c>
      <c r="D742" s="121" t="s">
        <v>654</v>
      </c>
      <c r="E742" s="114" t="s">
        <v>644</v>
      </c>
      <c r="F742" s="113" t="s">
        <v>750</v>
      </c>
    </row>
    <row r="743" spans="1:6" ht="17.149999999999999" customHeight="1" x14ac:dyDescent="0.3">
      <c r="A743" s="112" t="s">
        <v>467</v>
      </c>
      <c r="B743" s="113" t="str">
        <f>VLOOKUP(A743,[10]Schedule_Invigilators!$A$641:$B$803,2,FALSE)</f>
        <v>Akwasi Afrifa Acheampong</v>
      </c>
      <c r="C743" s="113" t="str">
        <f>VLOOKUP(A743,'[10]COMBINED_ATTD_INV (3)'!$A$1010:$E$1035,2,FALSE)</f>
        <v>Derrick Amoateng//</v>
      </c>
      <c r="D743" s="121" t="s">
        <v>653</v>
      </c>
      <c r="E743" s="114" t="s">
        <v>644</v>
      </c>
      <c r="F743" s="113" t="s">
        <v>750</v>
      </c>
    </row>
    <row r="744" spans="1:6" ht="17.149999999999999" customHeight="1" x14ac:dyDescent="0.3">
      <c r="A744" s="112" t="s">
        <v>468</v>
      </c>
      <c r="B744" s="113" t="str">
        <f>VLOOKUP(A744,[10]Schedule_Invigilators!$A$641:$B$803,2,FALSE)</f>
        <v xml:space="preserve">Kofi Owura Amoabeng / Nancy Anataba Kyorku Dzikunu-Bansah </v>
      </c>
      <c r="C744" s="113" t="str">
        <f>VLOOKUP(A744,'[10]COMBINED_ATTD_INV (3)'!$A$1010:$E$1035,2,FALSE)</f>
        <v>John Ofosu//</v>
      </c>
      <c r="D744" s="121" t="s">
        <v>652</v>
      </c>
      <c r="E744" s="114" t="s">
        <v>644</v>
      </c>
      <c r="F744" s="113" t="s">
        <v>750</v>
      </c>
    </row>
    <row r="745" spans="1:6" ht="17.149999999999999" customHeight="1" x14ac:dyDescent="0.3">
      <c r="A745" s="112" t="s">
        <v>469</v>
      </c>
      <c r="B745" s="113" t="str">
        <f>VLOOKUP(A745,[10]Schedule_Invigilators!$A$641:$B$803,2,FALSE)</f>
        <v xml:space="preserve">Faisal Wahib Adam / Prince Yaw Andoh </v>
      </c>
      <c r="C745" s="113" t="str">
        <f>VLOOKUP(A745,'[10]COMBINED_ATTD_INV (3)'!$A$1010:$E$1035,2,FALSE)</f>
        <v>Owusu Stephen Akuoku/Samuel Osei-Asibey Bonsu/</v>
      </c>
      <c r="D745" s="121" t="s">
        <v>651</v>
      </c>
      <c r="E745" s="114" t="s">
        <v>644</v>
      </c>
      <c r="F745" s="113" t="s">
        <v>750</v>
      </c>
    </row>
    <row r="746" spans="1:6" ht="17.149999999999999" customHeight="1" x14ac:dyDescent="0.3">
      <c r="A746" s="112" t="s">
        <v>42</v>
      </c>
      <c r="B746" s="113" t="str">
        <f>VLOOKUP(A746,[10]Schedule_Invigilators!$A$641:$B$803,2,FALSE)</f>
        <v>Henry Nunoo-Mensah / Jonathan Arthur Quaye-Ballard</v>
      </c>
      <c r="C746" s="113" t="str">
        <f>VLOOKUP(A746,'[10]COMBINED_ATTD_INV (3)'!$A$1010:$E$1035,2,FALSE)</f>
        <v>Kofi Bentum/Fiifi Turkson/</v>
      </c>
      <c r="D746" s="121" t="s">
        <v>762</v>
      </c>
      <c r="E746" s="114" t="s">
        <v>644</v>
      </c>
      <c r="F746" s="113" t="s">
        <v>750</v>
      </c>
    </row>
    <row r="747" spans="1:6" ht="17.149999999999999" customHeight="1" x14ac:dyDescent="0.3">
      <c r="A747" s="112" t="s">
        <v>470</v>
      </c>
      <c r="B747" s="113" t="str">
        <f>VLOOKUP(A747,[10]Schedule_Invigilators!$A$641:$B$803,2,FALSE)</f>
        <v xml:space="preserve"> Theresa-Samuelle Maame Atwemaa Adjaidoo  / Albert Kwame Kwaw</v>
      </c>
      <c r="C747" s="113" t="str">
        <f>VLOOKUP(A747,'[10]COMBINED_ATTD_INV (3)'!$A$1010:$E$1035,2,FALSE)</f>
        <v>Richmond Awotwe//</v>
      </c>
      <c r="D747" s="121" t="s">
        <v>761</v>
      </c>
      <c r="E747" s="114" t="s">
        <v>644</v>
      </c>
      <c r="F747" s="113" t="s">
        <v>750</v>
      </c>
    </row>
    <row r="748" spans="1:6" ht="17.149999999999999" customHeight="1" x14ac:dyDescent="0.3">
      <c r="A748" s="112" t="s">
        <v>471</v>
      </c>
      <c r="B748" s="113" t="str">
        <f>VLOOKUP(A748,[10]Schedule_Invigilators!$A$641:$B$803,2,FALSE)</f>
        <v>Emmanuel Appiah-Adjei / Stephen Adjei</v>
      </c>
      <c r="C748" s="113" t="str">
        <f>VLOOKUP(A748,'[10]COMBINED_ATTD_INV (3)'!$A$1010:$E$1035,2,FALSE)</f>
        <v>Joseph Benneth Kankam//</v>
      </c>
      <c r="D748" s="121" t="s">
        <v>647</v>
      </c>
      <c r="E748" s="114" t="s">
        <v>644</v>
      </c>
      <c r="F748" s="113" t="s">
        <v>750</v>
      </c>
    </row>
    <row r="749" spans="1:6" ht="17.149999999999999" customHeight="1" x14ac:dyDescent="0.3">
      <c r="A749" s="112" t="s">
        <v>472</v>
      </c>
      <c r="B749" s="113" t="str">
        <f>VLOOKUP(A749,[10]Schedule_Invigilators!$A$641:$B$803,2,FALSE)</f>
        <v>F. K. A. Nyarko /  Charles Adrah</v>
      </c>
      <c r="C749" s="113" t="str">
        <f>VLOOKUP(A749,'[10]COMBINED_ATTD_INV (3)'!$A$1010:$E$1035,2,FALSE)</f>
        <v>Bernard Audinada Ampofo/Fatawu Yakubu/</v>
      </c>
      <c r="D749" s="121" t="s">
        <v>646</v>
      </c>
      <c r="E749" s="114" t="s">
        <v>644</v>
      </c>
      <c r="F749" s="113" t="s">
        <v>750</v>
      </c>
    </row>
    <row r="750" spans="1:6" ht="17.149999999999999" customHeight="1" x14ac:dyDescent="0.3">
      <c r="A750" s="112" t="s">
        <v>108</v>
      </c>
      <c r="B750" s="113" t="str">
        <f>VLOOKUP(A750,[10]Schedule_Invigilators!$A$641:$B$803,2,FALSE)</f>
        <v>Francis Boafo Effah</v>
      </c>
      <c r="C750" s="113" t="str">
        <f>VLOOKUP(A750,'[10]COMBINED_ATTD_INV (3)'!$A$1010:$E$1035,2,FALSE)</f>
        <v>Evans Korletey//</v>
      </c>
      <c r="D750" s="121" t="s">
        <v>645</v>
      </c>
      <c r="E750" s="114" t="s">
        <v>644</v>
      </c>
      <c r="F750" s="113" t="s">
        <v>750</v>
      </c>
    </row>
    <row r="751" spans="1:6" ht="17.149999999999999" customHeight="1" x14ac:dyDescent="0.3">
      <c r="A751" s="112" t="s">
        <v>473</v>
      </c>
      <c r="B751" s="113" t="str">
        <f>VLOOKUP(A751,[10]Schedule_Invigilators!$A$641:$B$803,2,FALSE)</f>
        <v>Y. A. Sokama-Neuyam /  Jones Owusu Twumasi</v>
      </c>
      <c r="C751" s="113" t="str">
        <f>VLOOKUP(A751,'[10]COMBINED_ATTD_INV (3)'!$A$1010:$E$1035,2,FALSE)</f>
        <v>Godfred Appiah//</v>
      </c>
      <c r="D751" s="121" t="s">
        <v>760</v>
      </c>
      <c r="E751" s="114" t="s">
        <v>644</v>
      </c>
      <c r="F751" s="113" t="s">
        <v>750</v>
      </c>
    </row>
    <row r="752" spans="1:6" ht="17.149999999999999" customHeight="1" x14ac:dyDescent="0.3">
      <c r="A752" s="112" t="s">
        <v>474</v>
      </c>
      <c r="B752" s="113" t="str">
        <f>VLOOKUP(A752,[10]Schedule_Invigilators!$A$641:$B$803,2,FALSE)</f>
        <v>Martinson Addo Nartey</v>
      </c>
      <c r="C752" s="113" t="str">
        <f>VLOOKUP(A752,'[10]COMBINED_ATTD_INV (3)'!$A$1010:$E$1035,2,FALSE)</f>
        <v>Ruth Adwubi Sarfo//</v>
      </c>
      <c r="D752" s="121" t="s">
        <v>759</v>
      </c>
      <c r="E752" s="114" t="s">
        <v>644</v>
      </c>
      <c r="F752" s="113" t="s">
        <v>750</v>
      </c>
    </row>
    <row r="753" spans="1:6" ht="17.149999999999999" customHeight="1" x14ac:dyDescent="0.3">
      <c r="A753" s="112" t="s">
        <v>475</v>
      </c>
      <c r="B753" s="113" t="str">
        <f>VLOOKUP(A753,[10]Schedule_Invigilators!$A$641:$B$803,2,FALSE)</f>
        <v>Samuel Osah</v>
      </c>
      <c r="C753" s="113" t="str">
        <f>VLOOKUP(A753,'[10]COMBINED_ATTD_INV (3)'!$A$1010:$E$1035,2,FALSE)</f>
        <v>Sandra Essel//</v>
      </c>
      <c r="D753" s="121" t="s">
        <v>758</v>
      </c>
      <c r="E753" s="114" t="s">
        <v>644</v>
      </c>
      <c r="F753" s="113" t="s">
        <v>750</v>
      </c>
    </row>
    <row r="754" spans="1:6" ht="17.149999999999999" customHeight="1" x14ac:dyDescent="0.3">
      <c r="A754" s="112" t="s">
        <v>476</v>
      </c>
      <c r="B754" s="113" t="str">
        <f>VLOOKUP(A754,[10]Schedule_Invigilators!$A$641:$B$803,2,FALSE)</f>
        <v>Kwame Sarkodie / Kwame Agyemang Prempeh Agyekum</v>
      </c>
      <c r="C754" s="113" t="str">
        <f>VLOOKUP(A754,'[10]COMBINED_ATTD_INV (3)'!$A$1010:$E$1035,2,FALSE)</f>
        <v>Kwame Kwarteng Sarpong//</v>
      </c>
      <c r="D754" s="121" t="s">
        <v>757</v>
      </c>
      <c r="E754" s="114" t="s">
        <v>644</v>
      </c>
      <c r="F754" s="113" t="s">
        <v>750</v>
      </c>
    </row>
    <row r="755" spans="1:6" ht="17.149999999999999" customHeight="1" x14ac:dyDescent="0.3">
      <c r="A755" s="112" t="s">
        <v>477</v>
      </c>
      <c r="B755" s="113" t="str">
        <f>VLOOKUP(A755,[10]Schedule_Invigilators!$A$641:$B$803,2,FALSE)</f>
        <v>Patrick Boakye / K. O.-B Obour Agyekum</v>
      </c>
      <c r="C755" s="113" t="str">
        <f>VLOOKUP(A755,'[10]COMBINED_ATTD_INV (3)'!$A$1010:$E$1035,2,FALSE)</f>
        <v>Kwadwo Afful//</v>
      </c>
      <c r="D755" s="121" t="s">
        <v>756</v>
      </c>
      <c r="E755" s="114" t="s">
        <v>644</v>
      </c>
      <c r="F755" s="113" t="s">
        <v>750</v>
      </c>
    </row>
    <row r="756" spans="1:6" ht="17.149999999999999" customHeight="1" x14ac:dyDescent="0.3">
      <c r="A756" s="112" t="s">
        <v>144</v>
      </c>
      <c r="B756" s="113" t="str">
        <f>VLOOKUP(A756,[10]Schedule_Invigilators!$A$641:$B$803,2,FALSE)</f>
        <v xml:space="preserve">Prince Ebenezer Adjei / Casper Adenutsi </v>
      </c>
      <c r="C756" s="113" t="str">
        <f>VLOOKUP(A756,'[10]COMBINED_ATTD_INV (3)'!$A$1010:$E$1035,2,FALSE)</f>
        <v>Loretta Owusu Ansah/Adjatu Busali/</v>
      </c>
      <c r="D756" s="121" t="s">
        <v>755</v>
      </c>
      <c r="E756" s="114" t="s">
        <v>644</v>
      </c>
      <c r="F756" s="113" t="s">
        <v>750</v>
      </c>
    </row>
    <row r="757" spans="1:6" ht="17.149999999999999" hidden="1" customHeight="1" x14ac:dyDescent="0.3">
      <c r="A757" s="112" t="s">
        <v>638</v>
      </c>
      <c r="B757" s="113" t="e">
        <f>VLOOKUP(A757,[10]Schedule_Invigilators!$A$641:$B$803,2,FALSE)</f>
        <v>#N/A</v>
      </c>
      <c r="C757" s="113" t="e">
        <f>VLOOKUP(A757,'[10]COMBINED_ATTD_INV (3)'!$A$1010:$E$1035,2,FALSE)</f>
        <v>#N/A</v>
      </c>
      <c r="D757" s="121" t="s">
        <v>754</v>
      </c>
      <c r="E757" s="114" t="s">
        <v>644</v>
      </c>
      <c r="F757" s="113" t="s">
        <v>750</v>
      </c>
    </row>
    <row r="758" spans="1:6" ht="17.149999999999999" customHeight="1" x14ac:dyDescent="0.3">
      <c r="A758" s="112" t="s">
        <v>637</v>
      </c>
      <c r="B758" s="113" t="str">
        <f>VLOOKUP(A758,[10]Schedule_Invigilators!$A$641:$B$803,2,FALSE)</f>
        <v>Eric Amoah Asante / James Okae / Benjamin Kommey / Jonathan Atuquaye Quaye</v>
      </c>
      <c r="C758" s="113" t="str">
        <f>VLOOKUP(A758,'[10]COMBINED_ATTD_INV (3)'!$A$1010:$E$1035,2,FALSE)</f>
        <v>Micheal Obbo/Bernard Annan/Robert Kofi Kyere</v>
      </c>
      <c r="D758" s="121" t="s">
        <v>753</v>
      </c>
      <c r="E758" s="114" t="s">
        <v>644</v>
      </c>
      <c r="F758" s="113" t="s">
        <v>750</v>
      </c>
    </row>
    <row r="759" spans="1:6" ht="16.5" customHeight="1" x14ac:dyDescent="0.3">
      <c r="A759" s="112" t="s">
        <v>636</v>
      </c>
      <c r="B759" s="113" t="str">
        <f>VLOOKUP(A759,[10]Schedule_Invigilators!$A$641:$B$803,2,FALSE)</f>
        <v>Jude Bonsu / Efiba Vidda Senkyire Kwarteng / Eric Kwame Anokye Asare</v>
      </c>
      <c r="C759" s="113" t="str">
        <f>VLOOKUP(A759,'[10]COMBINED_ATTD_INV (3)'!$A$1010:$E$1035,2,FALSE)</f>
        <v>Clement Dadzie/Perseverance Dzikunu/Adom Ebenezer</v>
      </c>
      <c r="D759" s="121" t="s">
        <v>704</v>
      </c>
      <c r="E759" s="114" t="s">
        <v>644</v>
      </c>
      <c r="F759" s="113" t="s">
        <v>750</v>
      </c>
    </row>
    <row r="760" spans="1:6" ht="16.5" customHeight="1" x14ac:dyDescent="0.3">
      <c r="A760" s="112" t="s">
        <v>635</v>
      </c>
      <c r="B760" s="113" t="str">
        <f>VLOOKUP(A760,[10]Schedule_Invigilators!$A$641:$B$803,2,FALSE)</f>
        <v>David Oppong / Samuel Boahen / Samuel Erzuah</v>
      </c>
      <c r="C760" s="113" t="str">
        <f>VLOOKUP(A760,'[10]COMBINED_ATTD_INV (3)'!$A$1010:$E$1035,2,FALSE)</f>
        <v>Kingsley Kyei Baffour/Bright Andoh-Baidoo/</v>
      </c>
      <c r="D760" s="121" t="s">
        <v>752</v>
      </c>
      <c r="E760" s="114" t="s">
        <v>644</v>
      </c>
      <c r="F760" s="113" t="s">
        <v>750</v>
      </c>
    </row>
    <row r="761" spans="1:6" ht="17.149999999999999" customHeight="1" x14ac:dyDescent="0.3">
      <c r="A761" s="112" t="s">
        <v>634</v>
      </c>
      <c r="B761" s="113" t="str">
        <f>VLOOKUP(A761,[10]Schedule_Invigilators!$A$641:$B$803,2,FALSE)</f>
        <v>Andrew Cudzo Amenuvor / Jack Osei Banahene</v>
      </c>
      <c r="C761" s="113" t="str">
        <f>VLOOKUP(A761,'[10]COMBINED_ATTD_INV (3)'!$A$1010:$E$1035,2,FALSE)</f>
        <v>Ernest Dapaah//</v>
      </c>
      <c r="D761" s="121" t="s">
        <v>751</v>
      </c>
      <c r="E761" s="114" t="s">
        <v>644</v>
      </c>
      <c r="F761" s="113" t="s">
        <v>750</v>
      </c>
    </row>
    <row r="762" spans="1:6" ht="17.149999999999999" customHeight="1" x14ac:dyDescent="0.3">
      <c r="A762" s="112"/>
      <c r="B762" s="113"/>
      <c r="C762" s="113"/>
      <c r="D762" s="113"/>
      <c r="E762" s="114"/>
      <c r="F762" s="113"/>
    </row>
    <row r="763" spans="1:6" s="122" customFormat="1" ht="17.149999999999999" customHeight="1" x14ac:dyDescent="0.3">
      <c r="A763" s="119" t="s">
        <v>642</v>
      </c>
      <c r="B763" s="119" t="s">
        <v>526</v>
      </c>
      <c r="C763" s="123" t="s">
        <v>672</v>
      </c>
      <c r="D763" s="123" t="s">
        <v>671</v>
      </c>
      <c r="E763" s="120" t="s">
        <v>641</v>
      </c>
      <c r="F763" s="123" t="s">
        <v>640</v>
      </c>
    </row>
    <row r="764" spans="1:6" ht="17.149999999999999" customHeight="1" x14ac:dyDescent="0.3">
      <c r="A764" s="112" t="s">
        <v>35</v>
      </c>
      <c r="B764" s="113" t="str">
        <f>VLOOKUP(A764,[10]Schedule_Invigilators!$A$668:$B$803,2,FALSE)</f>
        <v>Yesuenyeagbe Fiagbe</v>
      </c>
      <c r="C764" s="113" t="str">
        <f>VLOOKUP(A764,'[10]COMBINED_ATTD_INV (3)'!$A$1039:$E$1064,2,FALSE)</f>
        <v>Reuben Asare Bediako//</v>
      </c>
      <c r="D764" s="121" t="s">
        <v>689</v>
      </c>
      <c r="E764" s="114" t="s">
        <v>644</v>
      </c>
      <c r="F764" s="113" t="s">
        <v>745</v>
      </c>
    </row>
    <row r="765" spans="1:6" ht="17.149999999999999" customHeight="1" x14ac:dyDescent="0.3">
      <c r="A765" s="112" t="s">
        <v>510</v>
      </c>
      <c r="B765" s="113" t="str">
        <f>VLOOKUP(A765,[10]Schedule_Invigilators!$A$668:$B$803,2,FALSE)</f>
        <v>Blestmond Afrifa Brako</v>
      </c>
      <c r="C765" s="113" t="str">
        <f>VLOOKUP(A765,'[10]COMBINED_ATTD_INV (3)'!$A$1039:$E$1064,2,FALSE)</f>
        <v>George Ansong//</v>
      </c>
      <c r="D765" s="121" t="s">
        <v>749</v>
      </c>
      <c r="E765" s="114" t="s">
        <v>644</v>
      </c>
      <c r="F765" s="113" t="s">
        <v>745</v>
      </c>
    </row>
    <row r="766" spans="1:6" ht="17.149999999999999" customHeight="1" x14ac:dyDescent="0.3">
      <c r="A766" s="112" t="s">
        <v>508</v>
      </c>
      <c r="B766" s="113" t="str">
        <f>VLOOKUP(A766,[10]Schedule_Invigilators!$A$668:$B$803,2,FALSE)</f>
        <v>Martin Kesse</v>
      </c>
      <c r="C766" s="113" t="str">
        <f>VLOOKUP(A766,'[10]COMBINED_ATTD_INV (3)'!$A$1039:$E$1064,2,FALSE)</f>
        <v>Derrick Owusu Mensah//</v>
      </c>
      <c r="D766" s="121" t="s">
        <v>688</v>
      </c>
      <c r="E766" s="114" t="s">
        <v>644</v>
      </c>
      <c r="F766" s="113" t="s">
        <v>745</v>
      </c>
    </row>
    <row r="767" spans="1:6" ht="17.149999999999999" customHeight="1" x14ac:dyDescent="0.3">
      <c r="A767" s="112" t="s">
        <v>466</v>
      </c>
      <c r="B767" s="113" t="str">
        <f>VLOOKUP(A767,[10]Schedule_Invigilators!$A$668:$B$803,2,FALSE)</f>
        <v>Emmanuel Ampoma Affum / David Oppong</v>
      </c>
      <c r="C767" s="113" t="str">
        <f>VLOOKUP(A767,'[10]COMBINED_ATTD_INV (3)'!$A$1039:$E$1064,2,FALSE)</f>
        <v>Sandra Essel/Paul Dery/</v>
      </c>
      <c r="D767" s="121" t="s">
        <v>687</v>
      </c>
      <c r="E767" s="114" t="s">
        <v>644</v>
      </c>
      <c r="F767" s="113" t="s">
        <v>745</v>
      </c>
    </row>
    <row r="768" spans="1:6" ht="17.149999999999999" customHeight="1" x14ac:dyDescent="0.3">
      <c r="A768" s="112">
        <v>206</v>
      </c>
      <c r="B768" s="113" t="str">
        <f>VLOOKUP(A768,[10]Schedule_Invigilators!$A$668:$B$803,2,FALSE)</f>
        <v>Martina Francisca Baidoo</v>
      </c>
      <c r="C768" s="113" t="str">
        <f>VLOOKUP(A768,'[10]COMBINED_ATTD_INV (3)'!$A$1039:$E$1064,2,FALSE)</f>
        <v>Edward Kpetege//</v>
      </c>
      <c r="D768" s="121" t="s">
        <v>686</v>
      </c>
      <c r="E768" s="114" t="s">
        <v>644</v>
      </c>
      <c r="F768" s="113" t="s">
        <v>745</v>
      </c>
    </row>
    <row r="769" spans="1:6" ht="17.149999999999999" customHeight="1" x14ac:dyDescent="0.3">
      <c r="A769" s="112">
        <v>303</v>
      </c>
      <c r="B769" s="113" t="str">
        <f>VLOOKUP(A769,[10]Schedule_Invigilators!$A$668:$B$803,2,FALSE)</f>
        <v>Prince Odame / Vincent Kofi Abaka Acquaah</v>
      </c>
      <c r="C769" s="113" t="str">
        <f>VLOOKUP(A769,'[10]COMBINED_ATTD_INV (3)'!$A$1039:$E$1064,2,FALSE)</f>
        <v>Benjamin Opoku Atuahene//</v>
      </c>
      <c r="D769" s="121" t="s">
        <v>685</v>
      </c>
      <c r="E769" s="114" t="s">
        <v>644</v>
      </c>
      <c r="F769" s="113" t="s">
        <v>745</v>
      </c>
    </row>
    <row r="770" spans="1:6" ht="17.149999999999999" customHeight="1" x14ac:dyDescent="0.3">
      <c r="A770" s="112">
        <v>304</v>
      </c>
      <c r="B770" s="113" t="str">
        <f>VLOOKUP(A770,[10]Schedule_Invigilators!$A$668:$B$803,2,FALSE)</f>
        <v>Ebenezer Mensah</v>
      </c>
      <c r="C770" s="113" t="str">
        <f>VLOOKUP(A770,'[10]COMBINED_ATTD_INV (3)'!$A$1039:$E$1064,2,FALSE)</f>
        <v>Eric Soku//</v>
      </c>
      <c r="D770" s="121" t="s">
        <v>684</v>
      </c>
      <c r="E770" s="114" t="s">
        <v>644</v>
      </c>
      <c r="F770" s="113" t="s">
        <v>745</v>
      </c>
    </row>
    <row r="771" spans="1:6" ht="17.149999999999999" customHeight="1" x14ac:dyDescent="0.3">
      <c r="A771" s="112" t="s">
        <v>61</v>
      </c>
      <c r="B771" s="113" t="str">
        <f>VLOOKUP(A771,[10]Schedule_Invigilators!$A$668:$B$803,2,FALSE)</f>
        <v>Anthony A. Agyemang</v>
      </c>
      <c r="C771" s="113" t="str">
        <f>VLOOKUP(A771,'[10]COMBINED_ATTD_INV (3)'!$A$1039:$E$1064,2,FALSE)</f>
        <v>Victoria Agyenim-Boateng//</v>
      </c>
      <c r="D771" s="121" t="s">
        <v>683</v>
      </c>
      <c r="E771" s="114" t="s">
        <v>644</v>
      </c>
      <c r="F771" s="113" t="s">
        <v>745</v>
      </c>
    </row>
    <row r="772" spans="1:6" ht="17.149999999999999" customHeight="1" x14ac:dyDescent="0.3">
      <c r="A772" s="112" t="s">
        <v>467</v>
      </c>
      <c r="B772" s="113" t="str">
        <f>VLOOKUP(A772,[10]Schedule_Invigilators!$A$668:$B$803,2,FALSE)</f>
        <v>Ayuba Bene Adam</v>
      </c>
      <c r="C772" s="113" t="str">
        <f>VLOOKUP(A772,'[10]COMBINED_ATTD_INV (3)'!$A$1039:$E$1064,2,FALSE)</f>
        <v>Derrick Amoateng//</v>
      </c>
      <c r="D772" s="121" t="s">
        <v>682</v>
      </c>
      <c r="E772" s="114" t="s">
        <v>644</v>
      </c>
      <c r="F772" s="113" t="s">
        <v>745</v>
      </c>
    </row>
    <row r="773" spans="1:6" ht="17.149999999999999" customHeight="1" x14ac:dyDescent="0.3">
      <c r="A773" s="112" t="s">
        <v>468</v>
      </c>
      <c r="B773" s="113" t="str">
        <f>VLOOKUP(A773,[10]Schedule_Invigilators!$A$668:$B$803,2,FALSE)</f>
        <v>Alfred Alan Duker / Isaac Dadzie</v>
      </c>
      <c r="C773" s="113" t="str">
        <f>VLOOKUP(A773,'[10]COMBINED_ATTD_INV (3)'!$A$1039:$E$1064,2,FALSE)</f>
        <v>John Ofosu//</v>
      </c>
      <c r="D773" s="121" t="s">
        <v>681</v>
      </c>
      <c r="E773" s="114" t="s">
        <v>644</v>
      </c>
      <c r="F773" s="113" t="s">
        <v>745</v>
      </c>
    </row>
    <row r="774" spans="1:6" ht="17.149999999999999" customHeight="1" x14ac:dyDescent="0.3">
      <c r="A774" s="112" t="s">
        <v>469</v>
      </c>
      <c r="B774" s="113" t="str">
        <f>VLOOKUP(A774,[10]Schedule_Invigilators!$A$668:$B$803,2,FALSE)</f>
        <v>S. H. M. Aikins / Albert Amatey Adjaottor</v>
      </c>
      <c r="C774" s="113" t="str">
        <f>VLOOKUP(A774,'[10]COMBINED_ATTD_INV (3)'!$A$1039:$E$1064,2,FALSE)</f>
        <v>Owusu Stephen Akuoku/Michael Owusu/</v>
      </c>
      <c r="D774" s="121" t="s">
        <v>680</v>
      </c>
      <c r="E774" s="114" t="s">
        <v>644</v>
      </c>
      <c r="F774" s="113" t="s">
        <v>745</v>
      </c>
    </row>
    <row r="775" spans="1:6" ht="17.149999999999999" customHeight="1" x14ac:dyDescent="0.3">
      <c r="A775" s="112" t="s">
        <v>42</v>
      </c>
      <c r="B775" s="113" t="str">
        <f>VLOOKUP(A775,[10]Schedule_Invigilators!$A$668:$B$803,2,FALSE)</f>
        <v>Geophrey Kwame Anornu / Gabriel Takyi</v>
      </c>
      <c r="C775" s="113" t="str">
        <f>VLOOKUP(A775,'[10]COMBINED_ATTD_INV (3)'!$A$1039:$E$1064,2,FALSE)</f>
        <v>Rener Oppong/Fiifi Turkson/</v>
      </c>
      <c r="D775" s="121" t="s">
        <v>679</v>
      </c>
      <c r="E775" s="114" t="s">
        <v>644</v>
      </c>
      <c r="F775" s="113" t="s">
        <v>745</v>
      </c>
    </row>
    <row r="776" spans="1:6" ht="17.149999999999999" customHeight="1" x14ac:dyDescent="0.3">
      <c r="A776" s="112" t="s">
        <v>470</v>
      </c>
      <c r="B776" s="113" t="str">
        <f>VLOOKUP(A776,[10]Schedule_Invigilators!$A$668:$B$803,2,FALSE)</f>
        <v>John Wise Divine Ayer / Simon Kafui Yawo Gawu</v>
      </c>
      <c r="C776" s="113" t="str">
        <f>VLOOKUP(A776,'[10]COMBINED_ATTD_INV (3)'!$A$1039:$E$1064,2,FALSE)</f>
        <v>Rebecca Yamoah//</v>
      </c>
      <c r="D776" s="121" t="s">
        <v>677</v>
      </c>
      <c r="E776" s="114" t="s">
        <v>644</v>
      </c>
      <c r="F776" s="113" t="s">
        <v>745</v>
      </c>
    </row>
    <row r="777" spans="1:6" ht="17.149999999999999" customHeight="1" x14ac:dyDescent="0.3">
      <c r="A777" s="112" t="s">
        <v>471</v>
      </c>
      <c r="B777" s="113" t="str">
        <f>VLOOKUP(A777,[10]Schedule_Invigilators!$A$668:$B$803,2,FALSE)</f>
        <v>Charles Gyamfi / Dorothy Araba Yakoba Agyapong</v>
      </c>
      <c r="C777" s="113" t="str">
        <f>VLOOKUP(A777,'[10]COMBINED_ATTD_INV (3)'!$A$1039:$E$1064,2,FALSE)</f>
        <v>Joseph Benneth Kankam//</v>
      </c>
      <c r="D777" s="121" t="s">
        <v>676</v>
      </c>
      <c r="E777" s="114" t="s">
        <v>644</v>
      </c>
      <c r="F777" s="113" t="s">
        <v>745</v>
      </c>
    </row>
    <row r="778" spans="1:6" ht="17.149999999999999" customHeight="1" x14ac:dyDescent="0.3">
      <c r="A778" s="112" t="s">
        <v>472</v>
      </c>
      <c r="B778" s="113" t="str">
        <f>VLOOKUP(A778,[10]Schedule_Invigilators!$A$668:$B$803,2,FALSE)</f>
        <v>Prince Ebenezer Adjei / Bennetta Koomson</v>
      </c>
      <c r="C778" s="113" t="str">
        <f>VLOOKUP(A778,'[10]COMBINED_ATTD_INV (3)'!$A$1039:$E$1064,2,FALSE)</f>
        <v>Bernard Audinada Ampofo/Fatawu Yakubu/</v>
      </c>
      <c r="D778" s="121" t="s">
        <v>675</v>
      </c>
      <c r="E778" s="114" t="s">
        <v>644</v>
      </c>
      <c r="F778" s="113" t="s">
        <v>745</v>
      </c>
    </row>
    <row r="779" spans="1:6" ht="17.149999999999999" customHeight="1" x14ac:dyDescent="0.3">
      <c r="A779" s="112" t="s">
        <v>108</v>
      </c>
      <c r="B779" s="113" t="str">
        <f>VLOOKUP(A779,[10]Schedule_Invigilators!$A$668:$B$803,2,FALSE)</f>
        <v>Peter Oppong Tawiah</v>
      </c>
      <c r="C779" s="113" t="str">
        <f>VLOOKUP(A779,'[10]COMBINED_ATTD_INV (3)'!$A$1039:$E$1064,2,FALSE)</f>
        <v>Clement Appiah//</v>
      </c>
      <c r="D779" s="121" t="s">
        <v>674</v>
      </c>
      <c r="E779" s="114" t="s">
        <v>644</v>
      </c>
      <c r="F779" s="113" t="s">
        <v>745</v>
      </c>
    </row>
    <row r="780" spans="1:6" ht="17.149999999999999" customHeight="1" x14ac:dyDescent="0.3">
      <c r="A780" s="112" t="s">
        <v>473</v>
      </c>
      <c r="B780" s="113" t="str">
        <f>VLOOKUP(A780,[10]Schedule_Invigilators!$A$668:$B$803,2,FALSE)</f>
        <v>Eliel Keelson / Nicholas Prah</v>
      </c>
      <c r="C780" s="113" t="str">
        <f>VLOOKUP(A780,'[10]COMBINED_ATTD_INV (3)'!$A$1039:$E$1064,2,FALSE)</f>
        <v>Godfred Appiah//</v>
      </c>
      <c r="D780" s="121" t="s">
        <v>670</v>
      </c>
      <c r="E780" s="114" t="s">
        <v>644</v>
      </c>
      <c r="F780" s="113" t="s">
        <v>745</v>
      </c>
    </row>
    <row r="781" spans="1:6" ht="17.149999999999999" customHeight="1" x14ac:dyDescent="0.3">
      <c r="A781" s="112" t="s">
        <v>474</v>
      </c>
      <c r="B781" s="113" t="str">
        <f>VLOOKUP(A781,[10]Schedule_Invigilators!$A$668:$B$803,2,FALSE)</f>
        <v>Emmanuel Kwesi Arthur</v>
      </c>
      <c r="C781" s="113" t="str">
        <f>VLOOKUP(A781,'[10]COMBINED_ATTD_INV (3)'!$A$1039:$E$1064,2,FALSE)</f>
        <v>Ruth Adwubi Sarfo//</v>
      </c>
      <c r="D781" s="121" t="s">
        <v>669</v>
      </c>
      <c r="E781" s="114" t="s">
        <v>644</v>
      </c>
      <c r="F781" s="113" t="s">
        <v>745</v>
      </c>
    </row>
    <row r="782" spans="1:6" ht="17.149999999999999" customHeight="1" x14ac:dyDescent="0.3">
      <c r="A782" s="112" t="s">
        <v>475</v>
      </c>
      <c r="B782" s="113" t="str">
        <f>VLOOKUP(A782,[10]Schedule_Invigilators!$A$668:$B$803,2,FALSE)</f>
        <v>Mary Mensah</v>
      </c>
      <c r="C782" s="113" t="str">
        <f>VLOOKUP(A782,'[10]COMBINED_ATTD_INV (3)'!$A$1039:$E$1064,2,FALSE)</f>
        <v>Clement Dadzie//</v>
      </c>
      <c r="D782" s="121" t="s">
        <v>668</v>
      </c>
      <c r="E782" s="114" t="s">
        <v>644</v>
      </c>
      <c r="F782" s="113" t="s">
        <v>745</v>
      </c>
    </row>
    <row r="783" spans="1:6" ht="17.149999999999999" customHeight="1" x14ac:dyDescent="0.3">
      <c r="A783" s="112" t="s">
        <v>476</v>
      </c>
      <c r="B783" s="113" t="str">
        <f>VLOOKUP(A783,[10]Schedule_Invigilators!$A$668:$B$803,2,FALSE)</f>
        <v>Gordon Foli / Godfrey Chiri Amedjoe</v>
      </c>
      <c r="C783" s="113" t="str">
        <f>VLOOKUP(A783,'[10]COMBINED_ATTD_INV (3)'!$A$1039:$E$1064,2,FALSE)</f>
        <v>Kwame Kwarteng Sarpong//</v>
      </c>
      <c r="D783" s="121" t="s">
        <v>748</v>
      </c>
      <c r="E783" s="114" t="s">
        <v>644</v>
      </c>
      <c r="F783" s="113" t="s">
        <v>745</v>
      </c>
    </row>
    <row r="784" spans="1:6" ht="17.149999999999999" customHeight="1" x14ac:dyDescent="0.3">
      <c r="A784" s="112" t="s">
        <v>477</v>
      </c>
      <c r="B784" s="113" t="str">
        <f>VLOOKUP(A784,[10]Schedule_Invigilators!$A$668:$B$803,2,FALSE)</f>
        <v>Cosmas Yaw Asante / Samuel Kwofie</v>
      </c>
      <c r="C784" s="113" t="str">
        <f>VLOOKUP(A784,'[10]COMBINED_ATTD_INV (3)'!$A$1039:$E$1064,2,FALSE)</f>
        <v>Kwadwo Afful//</v>
      </c>
      <c r="D784" s="121" t="s">
        <v>747</v>
      </c>
      <c r="E784" s="114" t="s">
        <v>644</v>
      </c>
      <c r="F784" s="113" t="s">
        <v>745</v>
      </c>
    </row>
    <row r="785" spans="1:6" ht="17.149999999999999" customHeight="1" x14ac:dyDescent="0.3">
      <c r="A785" s="112" t="s">
        <v>144</v>
      </c>
      <c r="B785" s="113" t="str">
        <f>VLOOKUP(A785,[10]Schedule_Invigilators!$A$668:$B$803,2,FALSE)</f>
        <v>Patrick Boakye / Francisca Adoma Acheampong</v>
      </c>
      <c r="C785" s="113" t="str">
        <f>VLOOKUP(A785,'[10]COMBINED_ATTD_INV (3)'!$A$1039:$E$1064,2,FALSE)</f>
        <v>Loretta Owusu Ansah/Adjatu Busali/</v>
      </c>
      <c r="D785" s="121" t="s">
        <v>665</v>
      </c>
      <c r="E785" s="114" t="s">
        <v>644</v>
      </c>
      <c r="F785" s="113" t="s">
        <v>745</v>
      </c>
    </row>
    <row r="786" spans="1:6" ht="17.149999999999999" hidden="1" customHeight="1" x14ac:dyDescent="0.3">
      <c r="A786" s="112" t="s">
        <v>638</v>
      </c>
      <c r="B786" s="113" t="e">
        <f>VLOOKUP(A786,[10]Schedule_Invigilators!$A$668:$B$803,2,FALSE)</f>
        <v>#N/A</v>
      </c>
      <c r="C786" s="113" t="e">
        <f>VLOOKUP(A786,'[10]COMBINED_ATTD_INV (3)'!$A$1039:$E$1064,2,FALSE)</f>
        <v>#N/A</v>
      </c>
      <c r="D786" s="121" t="s">
        <v>664</v>
      </c>
      <c r="E786" s="114" t="s">
        <v>644</v>
      </c>
      <c r="F786" s="113" t="s">
        <v>745</v>
      </c>
    </row>
    <row r="787" spans="1:6" ht="17.149999999999999" customHeight="1" x14ac:dyDescent="0.3">
      <c r="A787" s="112" t="s">
        <v>637</v>
      </c>
      <c r="B787" s="113" t="str">
        <f>VLOOKUP(A787,[10]Schedule_Invigilators!$A$668:$B$803,2,FALSE)</f>
        <v>Nancy Anataba Kyorku Dzikunu-Bansah / Augustus Ababio Donkor / Kwame Sarkodie / Kenneth Adomako Tutu</v>
      </c>
      <c r="C787" s="113" t="str">
        <f>VLOOKUP(A787,'[10]COMBINED_ATTD_INV (3)'!$A$1039:$E$1064,2,FALSE)</f>
        <v>Micheal Obbo/Bernard Annan/Robert Kofi Kyere</v>
      </c>
      <c r="D787" s="121" t="s">
        <v>663</v>
      </c>
      <c r="E787" s="114" t="s">
        <v>644</v>
      </c>
      <c r="F787" s="113" t="s">
        <v>745</v>
      </c>
    </row>
    <row r="788" spans="1:6" ht="17.149999999999999" customHeight="1" x14ac:dyDescent="0.3">
      <c r="A788" s="112" t="s">
        <v>636</v>
      </c>
      <c r="B788" s="113" t="str">
        <f>VLOOKUP(A788,[10]Schedule_Invigilators!$A$668:$B$803,2,FALSE)</f>
        <v>Forkuo Eric Kwabena / Prosper Akaba / Anthony Arko-Adjei</v>
      </c>
      <c r="C788" s="113" t="str">
        <f>VLOOKUP(A788,'[10]COMBINED_ATTD_INV (3)'!$A$1039:$E$1064,2,FALSE)</f>
        <v>Rener Oppong/Perseverance Dzikunu/Adom Ebenezer</v>
      </c>
      <c r="D788" s="121" t="s">
        <v>746</v>
      </c>
      <c r="E788" s="114" t="s">
        <v>644</v>
      </c>
      <c r="F788" s="113" t="s">
        <v>745</v>
      </c>
    </row>
    <row r="789" spans="1:6" ht="17.149999999999999" customHeight="1" x14ac:dyDescent="0.3">
      <c r="A789" s="112" t="s">
        <v>635</v>
      </c>
      <c r="B789" s="113" t="str">
        <f>VLOOKUP(A789,[10]Schedule_Invigilators!$A$668:$B$803,2,FALSE)</f>
        <v>Emmanuel Obuobi Kwame Addo / Emmanuel Offei Akrofi / Joseph Aveyire</v>
      </c>
      <c r="C789" s="113" t="str">
        <f>VLOOKUP(A789,'[10]COMBINED_ATTD_INV (3)'!$A$1039:$E$1064,2,FALSE)</f>
        <v>Kingsley Kyei Baffour/Bright Andoh-Baidoo/</v>
      </c>
      <c r="D789" s="121" t="s">
        <v>662</v>
      </c>
      <c r="E789" s="114" t="s">
        <v>644</v>
      </c>
      <c r="F789" s="113" t="s">
        <v>745</v>
      </c>
    </row>
    <row r="790" spans="1:6" ht="17.149999999999999" customHeight="1" x14ac:dyDescent="0.3">
      <c r="A790" s="112" t="s">
        <v>634</v>
      </c>
      <c r="B790" s="113" t="str">
        <f>VLOOKUP(A790,[10]Schedule_Invigilators!$A$668:$B$803,2,FALSE)</f>
        <v>Matthew Coffie Wilson / Kwame Agyemang Prempeh Agyekum</v>
      </c>
      <c r="C790" s="113" t="str">
        <f>VLOOKUP(A790,'[10]COMBINED_ATTD_INV (3)'!$A$1039:$E$1064,2,FALSE)</f>
        <v>Evans Korletey//</v>
      </c>
      <c r="D790" s="121" t="s">
        <v>661</v>
      </c>
      <c r="E790" s="114" t="s">
        <v>644</v>
      </c>
      <c r="F790" s="113" t="s">
        <v>745</v>
      </c>
    </row>
    <row r="791" spans="1:6" ht="17.149999999999999" customHeight="1" x14ac:dyDescent="0.3">
      <c r="A791" s="112"/>
      <c r="B791" s="113"/>
      <c r="C791" s="113"/>
      <c r="D791" s="113"/>
      <c r="E791" s="114"/>
      <c r="F791" s="113"/>
    </row>
    <row r="792" spans="1:6" s="122" customFormat="1" ht="17.149999999999999" customHeight="1" x14ac:dyDescent="0.3">
      <c r="A792" s="119" t="s">
        <v>642</v>
      </c>
      <c r="B792" s="119" t="s">
        <v>526</v>
      </c>
      <c r="C792" s="123" t="s">
        <v>672</v>
      </c>
      <c r="D792" s="123" t="s">
        <v>671</v>
      </c>
      <c r="E792" s="120" t="s">
        <v>641</v>
      </c>
      <c r="F792" s="123" t="s">
        <v>640</v>
      </c>
    </row>
    <row r="793" spans="1:6" ht="17.149999999999999" customHeight="1" x14ac:dyDescent="0.3">
      <c r="A793" s="112" t="s">
        <v>35</v>
      </c>
      <c r="B793" s="113" t="str">
        <f>VLOOKUP(A793,[10]Schedule_Invigilators!$A$695:$B$803,2,FALSE)</f>
        <v>Charles Adrah</v>
      </c>
      <c r="C793" s="113" t="str">
        <f>VLOOKUP(A793,'[10]COMBINED_ATTD_INV (3)'!$A$1067:$E$1091,2,FALSE)</f>
        <v>Theresa Sarpong Peprah//</v>
      </c>
      <c r="D793" s="121" t="s">
        <v>744</v>
      </c>
      <c r="E793" s="114" t="s">
        <v>644</v>
      </c>
      <c r="F793" s="113" t="s">
        <v>728</v>
      </c>
    </row>
    <row r="794" spans="1:6" ht="17.149999999999999" customHeight="1" x14ac:dyDescent="0.3">
      <c r="A794" s="112" t="s">
        <v>510</v>
      </c>
      <c r="B794" s="113" t="str">
        <f>VLOOKUP(A794,[10]Schedule_Invigilators!$A$695:$B$803,2,FALSE)</f>
        <v>Theresa-Samuelle Maame Atwemaa Adjaidoo</v>
      </c>
      <c r="C794" s="113" t="str">
        <f>VLOOKUP(A794,'[10]COMBINED_ATTD_INV (3)'!$A$1067:$E$1091,2,FALSE)</f>
        <v>George Ansong//</v>
      </c>
      <c r="D794" s="121" t="s">
        <v>743</v>
      </c>
      <c r="E794" s="114" t="s">
        <v>644</v>
      </c>
      <c r="F794" s="113" t="s">
        <v>728</v>
      </c>
    </row>
    <row r="795" spans="1:6" ht="17.149999999999999" customHeight="1" x14ac:dyDescent="0.3">
      <c r="A795" s="112" t="s">
        <v>508</v>
      </c>
      <c r="B795" s="113" t="str">
        <f>VLOOKUP(A795,[10]Schedule_Invigilators!$A$695:$B$803,2,FALSE)</f>
        <v>Samuel Osah</v>
      </c>
      <c r="C795" s="113" t="str">
        <f>VLOOKUP(A795,'[10]COMBINED_ATTD_INV (3)'!$A$1067:$E$1091,2,FALSE)</f>
        <v>Derrick Owusu Mensah//</v>
      </c>
      <c r="D795" s="121" t="s">
        <v>742</v>
      </c>
      <c r="E795" s="114" t="s">
        <v>644</v>
      </c>
      <c r="F795" s="113" t="s">
        <v>728</v>
      </c>
    </row>
    <row r="796" spans="1:6" ht="17.149999999999999" customHeight="1" x14ac:dyDescent="0.3">
      <c r="A796" s="112" t="s">
        <v>466</v>
      </c>
      <c r="B796" s="113" t="str">
        <f>VLOOKUP(A796,[10]Schedule_Invigilators!$A$695:$B$803,2,FALSE)</f>
        <v>Jack Osei Banahene / Samuel Boahen</v>
      </c>
      <c r="C796" s="113" t="str">
        <f>VLOOKUP(A796,'[10]COMBINED_ATTD_INV (3)'!$A$1067:$E$1091,2,FALSE)</f>
        <v>Victoria Agyenim-Boateng/Michael Owusu/</v>
      </c>
      <c r="D796" s="121" t="s">
        <v>741</v>
      </c>
      <c r="E796" s="114" t="s">
        <v>644</v>
      </c>
      <c r="F796" s="113" t="s">
        <v>728</v>
      </c>
    </row>
    <row r="797" spans="1:6" ht="17.149999999999999" customHeight="1" x14ac:dyDescent="0.3">
      <c r="A797" s="112">
        <v>206</v>
      </c>
      <c r="B797" s="113" t="str">
        <f>VLOOKUP(A797,[10]Schedule_Invigilators!$A$695:$B$803,2,FALSE)</f>
        <v>Sefakor Dogbe</v>
      </c>
      <c r="C797" s="113" t="str">
        <f>VLOOKUP(A797,'[10]COMBINED_ATTD_INV (3)'!$A$1067:$E$1091,2,FALSE)</f>
        <v>Edward Kpetege//</v>
      </c>
      <c r="D797" s="121" t="s">
        <v>740</v>
      </c>
      <c r="E797" s="114" t="s">
        <v>644</v>
      </c>
      <c r="F797" s="113" t="s">
        <v>728</v>
      </c>
    </row>
    <row r="798" spans="1:6" ht="17.149999999999999" customHeight="1" x14ac:dyDescent="0.3">
      <c r="A798" s="112">
        <v>303</v>
      </c>
      <c r="B798" s="113" t="str">
        <f>VLOOKUP(A798,[10]Schedule_Invigilators!$A$695:$B$803,2,FALSE)</f>
        <v>Martinson Addo Nartey / Albert Amatey Adjaottor</v>
      </c>
      <c r="C798" s="113" t="str">
        <f>VLOOKUP(A798,'[10]COMBINED_ATTD_INV (3)'!$A$1067:$E$1091,2,FALSE)</f>
        <v>Linda Berko//</v>
      </c>
      <c r="D798" s="121" t="s">
        <v>739</v>
      </c>
      <c r="E798" s="114" t="s">
        <v>644</v>
      </c>
      <c r="F798" s="113" t="s">
        <v>728</v>
      </c>
    </row>
    <row r="799" spans="1:6" ht="17.149999999999999" customHeight="1" x14ac:dyDescent="0.3">
      <c r="A799" s="112">
        <v>304</v>
      </c>
      <c r="B799" s="113" t="str">
        <f>VLOOKUP(A799,[10]Schedule_Invigilators!$A$695:$B$803,2,FALSE)</f>
        <v>Casper Adenutsi</v>
      </c>
      <c r="C799" s="113" t="str">
        <f>VLOOKUP(A799,'[10]COMBINED_ATTD_INV (3)'!$A$1067:$E$1091,2,FALSE)</f>
        <v>Eric Soku//</v>
      </c>
      <c r="D799" s="121" t="s">
        <v>738</v>
      </c>
      <c r="E799" s="114" t="s">
        <v>644</v>
      </c>
      <c r="F799" s="113" t="s">
        <v>728</v>
      </c>
    </row>
    <row r="800" spans="1:6" ht="17.149999999999999" customHeight="1" x14ac:dyDescent="0.3">
      <c r="A800" s="112" t="s">
        <v>61</v>
      </c>
      <c r="B800" s="113" t="str">
        <f>VLOOKUP(A800,[10]Schedule_Invigilators!$A$695:$B$803,2,FALSE)</f>
        <v>Henry Nunoo-Mensah</v>
      </c>
      <c r="C800" s="113" t="str">
        <f>VLOOKUP(A800,'[10]COMBINED_ATTD_INV (3)'!$A$1067:$E$1091,2,FALSE)</f>
        <v>Salamatu Salifu//</v>
      </c>
      <c r="D800" s="121" t="s">
        <v>708</v>
      </c>
      <c r="E800" s="114" t="s">
        <v>644</v>
      </c>
      <c r="F800" s="113" t="s">
        <v>728</v>
      </c>
    </row>
    <row r="801" spans="1:6" ht="17.149999999999999" customHeight="1" x14ac:dyDescent="0.3">
      <c r="A801" s="112" t="s">
        <v>467</v>
      </c>
      <c r="B801" s="113" t="str">
        <f>VLOOKUP(A801,[10]Schedule_Invigilators!$A$695:$B$803,2,FALSE)</f>
        <v>K. O.-B Obour Agyekum</v>
      </c>
      <c r="C801" s="113" t="str">
        <f>VLOOKUP(A801,'[10]COMBINED_ATTD_INV (3)'!$A$1067:$E$1091,2,FALSE)</f>
        <v>Derrick Amoateng//</v>
      </c>
      <c r="D801" s="121" t="s">
        <v>737</v>
      </c>
      <c r="E801" s="114" t="s">
        <v>644</v>
      </c>
      <c r="F801" s="113" t="s">
        <v>728</v>
      </c>
    </row>
    <row r="802" spans="1:6" ht="17.149999999999999" customHeight="1" x14ac:dyDescent="0.3">
      <c r="A802" s="112" t="s">
        <v>468</v>
      </c>
      <c r="B802" s="113" t="str">
        <f>VLOOKUP(A802,[10]Schedule_Invigilators!$A$695:$B$803,2,FALSE)</f>
        <v>Ebenezer Mensah / Emmanuel Offei Akrofi</v>
      </c>
      <c r="C802" s="113" t="str">
        <f>VLOOKUP(A802,'[10]COMBINED_ATTD_INV (3)'!$A$1067:$E$1091,2,FALSE)</f>
        <v>John Ofosu//</v>
      </c>
      <c r="D802" s="121" t="s">
        <v>736</v>
      </c>
      <c r="E802" s="114" t="s">
        <v>644</v>
      </c>
      <c r="F802" s="113" t="s">
        <v>728</v>
      </c>
    </row>
    <row r="803" spans="1:6" ht="17.149999999999999" customHeight="1" x14ac:dyDescent="0.3">
      <c r="A803" s="112" t="s">
        <v>469</v>
      </c>
      <c r="B803" s="113" t="str">
        <f>VLOOKUP(A803,[10]Schedule_Invigilators!$A$695:$B$803,2,FALSE)</f>
        <v>Daniel Kwegyir / Efiba Vidda Senkyire Kwarteng</v>
      </c>
      <c r="C803" s="113" t="str">
        <f>VLOOKUP(A803,'[10]COMBINED_ATTD_INV (3)'!$A$1067:$E$1091,2,FALSE)</f>
        <v>Owusu Stephen Akuoku/Samuel Osei-Asibey Bonsu/</v>
      </c>
      <c r="D803" s="121" t="s">
        <v>735</v>
      </c>
      <c r="E803" s="114" t="s">
        <v>644</v>
      </c>
      <c r="F803" s="113" t="s">
        <v>728</v>
      </c>
    </row>
    <row r="804" spans="1:6" ht="17.149999999999999" customHeight="1" x14ac:dyDescent="0.3">
      <c r="A804" s="112" t="s">
        <v>42</v>
      </c>
      <c r="B804" s="113" t="str">
        <f>VLOOKUP(A804,[10]Schedule_Invigilators!$A$695:$B$803,2,FALSE)</f>
        <v>Kofi Owura Amoabeng / S. H. M. Aikins</v>
      </c>
      <c r="C804" s="113" t="str">
        <f>VLOOKUP(A804,'[10]COMBINED_ATTD_INV (3)'!$A$1067:$E$1091,2,FALSE)</f>
        <v>Kofi Bentum/Gifty Edem Senyaglo/</v>
      </c>
      <c r="D804" s="121" t="s">
        <v>734</v>
      </c>
      <c r="E804" s="114" t="s">
        <v>644</v>
      </c>
      <c r="F804" s="113" t="s">
        <v>728</v>
      </c>
    </row>
    <row r="805" spans="1:6" ht="17.149999999999999" customHeight="1" x14ac:dyDescent="0.3">
      <c r="A805" s="112" t="s">
        <v>470</v>
      </c>
      <c r="B805" s="113" t="str">
        <f>VLOOKUP(A805,[10]Schedule_Invigilators!$A$695:$B$803,2,FALSE)</f>
        <v>Blestmond Afrifa Brako  /  Anthony Arko-Adjei</v>
      </c>
      <c r="C805" s="113" t="str">
        <f>VLOOKUP(A805,'[10]COMBINED_ATTD_INV (3)'!$A$1067:$E$1091,2,FALSE)</f>
        <v>Richmond Awotwe//</v>
      </c>
      <c r="D805" s="121" t="s">
        <v>733</v>
      </c>
      <c r="E805" s="114" t="s">
        <v>644</v>
      </c>
      <c r="F805" s="113" t="s">
        <v>728</v>
      </c>
    </row>
    <row r="806" spans="1:6" ht="17.149999999999999" customHeight="1" x14ac:dyDescent="0.3">
      <c r="A806" s="112" t="s">
        <v>471</v>
      </c>
      <c r="B806" s="113" t="str">
        <f>VLOOKUP(A806,[10]Schedule_Invigilators!$A$695:$B$803,2,FALSE)</f>
        <v xml:space="preserve">Samuel Erzuah / Isaac Dadzie </v>
      </c>
      <c r="C806" s="113" t="str">
        <f>VLOOKUP(A806,'[10]COMBINED_ATTD_INV (3)'!$A$1067:$E$1091,2,FALSE)</f>
        <v>Joseph Benneth Kankam//</v>
      </c>
      <c r="D806" s="121" t="s">
        <v>732</v>
      </c>
      <c r="E806" s="114" t="s">
        <v>644</v>
      </c>
      <c r="F806" s="113" t="s">
        <v>728</v>
      </c>
    </row>
    <row r="807" spans="1:6" ht="17.149999999999999" customHeight="1" x14ac:dyDescent="0.3">
      <c r="A807" s="112" t="s">
        <v>472</v>
      </c>
      <c r="B807" s="113" t="str">
        <f>VLOOKUP(A807,[10]Schedule_Invigilators!$A$695:$B$803,2,FALSE)</f>
        <v>Eric Kwame Anokye Asare / Jonathan Atuquaye Quaye</v>
      </c>
      <c r="C807" s="113" t="str">
        <f>VLOOKUP(A807,'[10]COMBINED_ATTD_INV (3)'!$A$1067:$E$1091,2,FALSE)</f>
        <v>Bernard Audinada Ampofo/Fatawu Yakubu/</v>
      </c>
      <c r="D807" s="121" t="s">
        <v>731</v>
      </c>
      <c r="E807" s="114" t="s">
        <v>644</v>
      </c>
      <c r="F807" s="113" t="s">
        <v>728</v>
      </c>
    </row>
    <row r="808" spans="1:6" ht="17.149999999999999" customHeight="1" x14ac:dyDescent="0.3">
      <c r="A808" s="112" t="s">
        <v>108</v>
      </c>
      <c r="B808" s="113" t="str">
        <f>VLOOKUP(A808,[10]Schedule_Invigilators!$A$695:$B$803,2,FALSE)</f>
        <v>Faisal Wahib Adam</v>
      </c>
      <c r="C808" s="113" t="str">
        <f>VLOOKUP(A808,'[10]COMBINED_ATTD_INV (3)'!$A$1067:$E$1091,2,FALSE)</f>
        <v>Clement Appiah//</v>
      </c>
      <c r="D808" s="121" t="s">
        <v>730</v>
      </c>
      <c r="E808" s="114" t="s">
        <v>644</v>
      </c>
      <c r="F808" s="113" t="s">
        <v>728</v>
      </c>
    </row>
    <row r="809" spans="1:6" ht="17.149999999999999" customHeight="1" x14ac:dyDescent="0.3">
      <c r="A809" s="112" t="s">
        <v>473</v>
      </c>
      <c r="B809" s="113" t="str">
        <f>VLOOKUP(A809,[10]Schedule_Invigilators!$A$695:$B$803,2,FALSE)</f>
        <v>Godfred Boahen / John Wise Divine Ayer</v>
      </c>
      <c r="C809" s="113" t="str">
        <f>VLOOKUP(A809,'[10]COMBINED_ATTD_INV (3)'!$A$1067:$E$1091,2,FALSE)</f>
        <v>Godfred Appiah//</v>
      </c>
      <c r="D809" s="121" t="s">
        <v>700</v>
      </c>
      <c r="E809" s="114" t="s">
        <v>644</v>
      </c>
      <c r="F809" s="113" t="s">
        <v>728</v>
      </c>
    </row>
    <row r="810" spans="1:6" ht="17.149999999999999" customHeight="1" x14ac:dyDescent="0.3">
      <c r="A810" s="112" t="s">
        <v>474</v>
      </c>
      <c r="B810" s="113" t="str">
        <f>VLOOKUP(A810,[10]Schedule_Invigilators!$A$695:$B$803,2,FALSE)</f>
        <v>Gnida Sossou</v>
      </c>
      <c r="C810" s="113" t="str">
        <f>VLOOKUP(A810,'[10]COMBINED_ATTD_INV (3)'!$A$1067:$E$1091,2,FALSE)</f>
        <v>Abigail Akos Worlanyo//</v>
      </c>
      <c r="D810" s="121" t="s">
        <v>699</v>
      </c>
      <c r="E810" s="114" t="s">
        <v>644</v>
      </c>
      <c r="F810" s="113" t="s">
        <v>728</v>
      </c>
    </row>
    <row r="811" spans="1:6" ht="17.149999999999999" customHeight="1" x14ac:dyDescent="0.3">
      <c r="A811" s="112" t="s">
        <v>476</v>
      </c>
      <c r="B811" s="113" t="str">
        <f>VLOOKUP(A811,[10]Schedule_Invigilators!$A$695:$B$803,2,FALSE)</f>
        <v>Mary Mensah / Godfrey Chiri Amedjoe</v>
      </c>
      <c r="C811" s="113" t="str">
        <f>VLOOKUP(A811,'[10]COMBINED_ATTD_INV (3)'!$A$1067:$E$1091,2,FALSE)</f>
        <v>Kwame Kwarteng Sarpong//</v>
      </c>
      <c r="D811" s="121" t="s">
        <v>729</v>
      </c>
      <c r="E811" s="114" t="s">
        <v>644</v>
      </c>
      <c r="F811" s="113" t="s">
        <v>728</v>
      </c>
    </row>
    <row r="812" spans="1:6" ht="17.149999999999999" customHeight="1" x14ac:dyDescent="0.3">
      <c r="A812" s="112" t="s">
        <v>477</v>
      </c>
      <c r="B812" s="113" t="str">
        <f>VLOOKUP(A812,[10]Schedule_Invigilators!$A$695:$B$803,2,FALSE)</f>
        <v>James Dzisi Gadze / Joseph Aveyire</v>
      </c>
      <c r="C812" s="113" t="str">
        <f>VLOOKUP(A812,'[10]COMBINED_ATTD_INV (3)'!$A$1067:$E$1091,2,FALSE)</f>
        <v>Benjamin Nana Oduro Konadu//</v>
      </c>
      <c r="D812" s="121" t="s">
        <v>696</v>
      </c>
      <c r="E812" s="114" t="s">
        <v>644</v>
      </c>
      <c r="F812" s="113" t="s">
        <v>728</v>
      </c>
    </row>
    <row r="813" spans="1:6" ht="17.149999999999999" customHeight="1" x14ac:dyDescent="0.3">
      <c r="A813" s="112" t="s">
        <v>144</v>
      </c>
      <c r="B813" s="113" t="str">
        <f>VLOOKUP(A813,[10]Schedule_Invigilators!$A$695:$B$803,2,FALSE)</f>
        <v>Gordon Foli / Francisca Adoma Acheampong</v>
      </c>
      <c r="C813" s="113" t="str">
        <f>VLOOKUP(A813,'[10]COMBINED_ATTD_INV (3)'!$A$1067:$E$1091,2,FALSE)</f>
        <v>Loretta Owusu Ansah/Desmond Adu-Yeboah/</v>
      </c>
      <c r="D813" s="121" t="s">
        <v>695</v>
      </c>
      <c r="E813" s="114" t="s">
        <v>644</v>
      </c>
      <c r="F813" s="113" t="s">
        <v>728</v>
      </c>
    </row>
    <row r="814" spans="1:6" ht="17.149999999999999" hidden="1" customHeight="1" x14ac:dyDescent="0.3">
      <c r="A814" s="112" t="s">
        <v>638</v>
      </c>
      <c r="B814" s="113" t="e">
        <f>VLOOKUP(A814,[10]Schedule_Invigilators!$A$695:$B$803,2,FALSE)</f>
        <v>#N/A</v>
      </c>
      <c r="C814" s="113" t="e">
        <f>VLOOKUP(A814,'[10]COMBINED_ATTD_INV (3)'!$A$1067:$E$1091,2,FALSE)</f>
        <v>#N/A</v>
      </c>
      <c r="D814" s="121" t="s">
        <v>694</v>
      </c>
      <c r="E814" s="114" t="s">
        <v>644</v>
      </c>
      <c r="F814" s="113" t="s">
        <v>728</v>
      </c>
    </row>
    <row r="815" spans="1:6" ht="17.149999999999999" customHeight="1" x14ac:dyDescent="0.3">
      <c r="A815" s="112" t="s">
        <v>637</v>
      </c>
      <c r="B815" s="113" t="str">
        <f>VLOOKUP(A815,[10]Schedule_Invigilators!$A$695:$B$803,2,FALSE)</f>
        <v>Geophrey Kwame Anornu / Gabriel Takyi / James Okae / Benjamin Kommey</v>
      </c>
      <c r="C815" s="113" t="str">
        <f>VLOOKUP(A815,'[10]COMBINED_ATTD_INV (3)'!$A$1067:$E$1091,2,FALSE)</f>
        <v>Micheal Obbo/Getrude Opoku/Robert Kofi Kyere</v>
      </c>
      <c r="D815" s="121" t="s">
        <v>693</v>
      </c>
      <c r="E815" s="114" t="s">
        <v>644</v>
      </c>
      <c r="F815" s="113" t="s">
        <v>728</v>
      </c>
    </row>
    <row r="816" spans="1:6" ht="17.149999999999999" customHeight="1" x14ac:dyDescent="0.3">
      <c r="A816" s="112" t="s">
        <v>636</v>
      </c>
      <c r="B816" s="113" t="str">
        <f>VLOOKUP(A816,[10]Schedule_Invigilators!$A$695:$B$803,2,FALSE)</f>
        <v>Albert Asare / Simon Kafui Yawo Gawu / Cosmas Yaw Asante</v>
      </c>
      <c r="C816" s="113" t="str">
        <f>VLOOKUP(A816,'[10]COMBINED_ATTD_INV (3)'!$A$1067:$E$1091,2,FALSE)</f>
        <v>Peter Agetinga/Perseverance Dzikunu/Adom Ebenezer</v>
      </c>
      <c r="D816" s="121" t="s">
        <v>692</v>
      </c>
      <c r="E816" s="114" t="s">
        <v>644</v>
      </c>
      <c r="F816" s="113" t="s">
        <v>728</v>
      </c>
    </row>
    <row r="817" spans="1:6" ht="17.149999999999999" customHeight="1" x14ac:dyDescent="0.3">
      <c r="A817" s="112" t="s">
        <v>635</v>
      </c>
      <c r="B817" s="113" t="str">
        <f>VLOOKUP(A817,[10]Schedule_Invigilators!$A$695:$B$803,2,FALSE)</f>
        <v>Emmanuel Obuobi Kwame Addo / Alfred Alan Duker / Jude Bonsu</v>
      </c>
      <c r="C817" s="113" t="str">
        <f>VLOOKUP(A817,'[10]COMBINED_ATTD_INV (3)'!$A$1067:$E$1091,2,FALSE)</f>
        <v>Kingsley Kyei Baffour/Bright Andoh-Baidoo/</v>
      </c>
      <c r="D817" s="121" t="s">
        <v>691</v>
      </c>
      <c r="E817" s="114" t="s">
        <v>644</v>
      </c>
      <c r="F817" s="113" t="s">
        <v>728</v>
      </c>
    </row>
    <row r="818" spans="1:6" ht="17.149999999999999" customHeight="1" x14ac:dyDescent="0.3">
      <c r="A818" s="112" t="s">
        <v>634</v>
      </c>
      <c r="B818" s="113" t="str">
        <f>VLOOKUP(A818,[10]Schedule_Invigilators!$A$695:$B$803,2,FALSE)</f>
        <v>F. K. A. Nyarko / Andrew Cudzo Amenuvor</v>
      </c>
      <c r="C818" s="113" t="str">
        <f>VLOOKUP(A818,'[10]COMBINED_ATTD_INV (3)'!$A$1067:$E$1091,2,FALSE)</f>
        <v>Ernest Dapaah//</v>
      </c>
      <c r="D818" s="121" t="s">
        <v>690</v>
      </c>
      <c r="E818" s="114" t="s">
        <v>644</v>
      </c>
      <c r="F818" s="113" t="s">
        <v>728</v>
      </c>
    </row>
    <row r="819" spans="1:6" ht="17.149999999999999" customHeight="1" x14ac:dyDescent="0.3">
      <c r="A819" s="112"/>
      <c r="B819" s="113"/>
      <c r="C819" s="113"/>
      <c r="D819" s="113"/>
      <c r="E819" s="114"/>
      <c r="F819" s="113"/>
    </row>
    <row r="820" spans="1:6" s="122" customFormat="1" ht="17.149999999999999" customHeight="1" x14ac:dyDescent="0.3">
      <c r="A820" s="119" t="s">
        <v>642</v>
      </c>
      <c r="B820" s="119" t="s">
        <v>526</v>
      </c>
      <c r="C820" s="123" t="s">
        <v>672</v>
      </c>
      <c r="D820" s="123" t="s">
        <v>671</v>
      </c>
      <c r="E820" s="120" t="s">
        <v>641</v>
      </c>
      <c r="F820" s="123" t="s">
        <v>640</v>
      </c>
    </row>
    <row r="821" spans="1:6" ht="17.149999999999999" customHeight="1" x14ac:dyDescent="0.3">
      <c r="A821" s="112" t="s">
        <v>35</v>
      </c>
      <c r="B821" s="113" t="str">
        <f>VLOOKUP(A821,[10]Schedule_Invigilators!$A$722:$B$803,2,FALSE)</f>
        <v>Akwasi Afrifa Acheampong</v>
      </c>
      <c r="C821" s="113" t="str">
        <f>VLOOKUP(A821,'[10]COMBINED_ATTD_INV (3)'!$A$1094:$E$1119,2,FALSE)</f>
        <v>Reuben Asare Bediako//</v>
      </c>
      <c r="D821" s="121" t="s">
        <v>727</v>
      </c>
      <c r="E821" s="114" t="s">
        <v>644</v>
      </c>
      <c r="F821" s="113" t="s">
        <v>701</v>
      </c>
    </row>
    <row r="822" spans="1:6" ht="17.149999999999999" customHeight="1" x14ac:dyDescent="0.3">
      <c r="A822" s="112" t="s">
        <v>510</v>
      </c>
      <c r="B822" s="113" t="str">
        <f>VLOOKUP(A822,[10]Schedule_Invigilators!$A$722:$B$803,2,FALSE)</f>
        <v>Eliel Keelson</v>
      </c>
      <c r="C822" s="113" t="str">
        <f>VLOOKUP(A822,'[10]COMBINED_ATTD_INV (3)'!$A$1094:$E$1119,2,FALSE)</f>
        <v>George Ansong//</v>
      </c>
      <c r="D822" s="121" t="s">
        <v>726</v>
      </c>
      <c r="E822" s="114" t="s">
        <v>644</v>
      </c>
      <c r="F822" s="113" t="s">
        <v>701</v>
      </c>
    </row>
    <row r="823" spans="1:6" ht="17.149999999999999" customHeight="1" x14ac:dyDescent="0.3">
      <c r="A823" s="112" t="s">
        <v>508</v>
      </c>
      <c r="B823" s="113" t="str">
        <f>VLOOKUP(A823,[10]Schedule_Invigilators!$A$722:$B$803,2,FALSE)</f>
        <v>Martin Kesse</v>
      </c>
      <c r="C823" s="113" t="str">
        <f>VLOOKUP(A823,'[10]COMBINED_ATTD_INV (3)'!$A$1094:$E$1119,2,FALSE)</f>
        <v>Derrick Owusu Mensah//</v>
      </c>
      <c r="D823" s="121" t="s">
        <v>725</v>
      </c>
      <c r="E823" s="114" t="s">
        <v>644</v>
      </c>
      <c r="F823" s="113" t="s">
        <v>701</v>
      </c>
    </row>
    <row r="824" spans="1:6" ht="17.149999999999999" customHeight="1" x14ac:dyDescent="0.3">
      <c r="A824" s="112" t="s">
        <v>466</v>
      </c>
      <c r="B824" s="113" t="str">
        <f>VLOOKUP(A824,[10]Schedule_Invigilators!$A$722:$B$803,2,FALSE)</f>
        <v>Emmanuel Ampoma Affum / Anthony A. Agyemang</v>
      </c>
      <c r="C824" s="113" t="str">
        <f>VLOOKUP(A824,'[10]COMBINED_ATTD_INV (3)'!$A$1094:$E$1119,2,FALSE)</f>
        <v>Issaka Ali Sambo/Paul Dery/</v>
      </c>
      <c r="D824" s="121" t="s">
        <v>724</v>
      </c>
      <c r="E824" s="114" t="s">
        <v>644</v>
      </c>
      <c r="F824" s="113" t="s">
        <v>701</v>
      </c>
    </row>
    <row r="825" spans="1:6" ht="17.149999999999999" customHeight="1" x14ac:dyDescent="0.3">
      <c r="A825" s="112">
        <v>206</v>
      </c>
      <c r="B825" s="113" t="str">
        <f>VLOOKUP(A825,[10]Schedule_Invigilators!$A$722:$B$803,2,FALSE)</f>
        <v>Peter Oppong Tawiah</v>
      </c>
      <c r="C825" s="113" t="str">
        <f>VLOOKUP(A825,'[10]COMBINED_ATTD_INV (3)'!$A$1094:$E$1119,2,FALSE)</f>
        <v>Peter Agetinga//</v>
      </c>
      <c r="D825" s="121" t="s">
        <v>723</v>
      </c>
      <c r="E825" s="114" t="s">
        <v>644</v>
      </c>
      <c r="F825" s="113" t="s">
        <v>701</v>
      </c>
    </row>
    <row r="826" spans="1:6" ht="17.149999999999999" customHeight="1" x14ac:dyDescent="0.3">
      <c r="A826" s="112">
        <v>303</v>
      </c>
      <c r="B826" s="113" t="str">
        <f>VLOOKUP(A826,[10]Schedule_Invigilators!$A$722:$B$803,2,FALSE)</f>
        <v>Charles Gyamfi / C. K. K. Sekyere</v>
      </c>
      <c r="C826" s="113" t="str">
        <f>VLOOKUP(A826,'[10]COMBINED_ATTD_INV (3)'!$A$1094:$E$1119,2,FALSE)</f>
        <v>Benjamin Opoku Atuahene//</v>
      </c>
      <c r="D826" s="121" t="s">
        <v>722</v>
      </c>
      <c r="E826" s="114" t="s">
        <v>644</v>
      </c>
      <c r="F826" s="113" t="s">
        <v>701</v>
      </c>
    </row>
    <row r="827" spans="1:6" ht="17.149999999999999" customHeight="1" x14ac:dyDescent="0.3">
      <c r="A827" s="112">
        <v>304</v>
      </c>
      <c r="B827" s="113" t="str">
        <f>VLOOKUP(A827,[10]Schedule_Invigilators!$A$722:$B$803,2,FALSE)</f>
        <v>Andrew Cudzo Amenuvor</v>
      </c>
      <c r="C827" s="113" t="str">
        <f>VLOOKUP(A827,'[10]COMBINED_ATTD_INV (3)'!$A$1094:$E$1119,2,FALSE)</f>
        <v>Eric Soku//</v>
      </c>
      <c r="D827" s="121" t="s">
        <v>721</v>
      </c>
      <c r="E827" s="114" t="s">
        <v>644</v>
      </c>
      <c r="F827" s="113" t="s">
        <v>701</v>
      </c>
    </row>
    <row r="828" spans="1:6" ht="17.149999999999999" customHeight="1" x14ac:dyDescent="0.3">
      <c r="A828" s="112" t="s">
        <v>61</v>
      </c>
      <c r="B828" s="113" t="str">
        <f>VLOOKUP(A828,[10]Schedule_Invigilators!$A$722:$B$803,2,FALSE)</f>
        <v>Daniel Kwegyir</v>
      </c>
      <c r="C828" s="113" t="str">
        <f>VLOOKUP(A828,'[10]COMBINED_ATTD_INV (3)'!$A$1094:$E$1119,2,FALSE)</f>
        <v>Marian Bemma//</v>
      </c>
      <c r="D828" s="121" t="s">
        <v>720</v>
      </c>
      <c r="E828" s="114" t="s">
        <v>644</v>
      </c>
      <c r="F828" s="113" t="s">
        <v>701</v>
      </c>
    </row>
    <row r="829" spans="1:6" ht="17.149999999999999" customHeight="1" x14ac:dyDescent="0.3">
      <c r="A829" s="112" t="s">
        <v>467</v>
      </c>
      <c r="B829" s="113" t="str">
        <f>VLOOKUP(A829,[10]Schedule_Invigilators!$A$722:$B$803,2,FALSE)</f>
        <v>Evans Amponsah</v>
      </c>
      <c r="C829" s="113" t="str">
        <f>VLOOKUP(A829,'[10]COMBINED_ATTD_INV (3)'!$A$1094:$E$1119,2,FALSE)</f>
        <v>Theresa Sarpong Peprah//</v>
      </c>
      <c r="D829" s="121" t="s">
        <v>719</v>
      </c>
      <c r="E829" s="114" t="s">
        <v>644</v>
      </c>
      <c r="F829" s="113" t="s">
        <v>701</v>
      </c>
    </row>
    <row r="830" spans="1:6" ht="17.149999999999999" customHeight="1" x14ac:dyDescent="0.3">
      <c r="A830" s="112" t="s">
        <v>468</v>
      </c>
      <c r="B830" s="113" t="str">
        <f>VLOOKUP(A830,[10]Schedule_Invigilators!$A$722:$B$803,2,FALSE)</f>
        <v>Joshua Ampofo / Jonathan Atuquaye Quaye</v>
      </c>
      <c r="C830" s="113" t="str">
        <f>VLOOKUP(A830,'[10]COMBINED_ATTD_INV (3)'!$A$1094:$E$1119,2,FALSE)</f>
        <v>John Ofosu//</v>
      </c>
      <c r="D830" s="121" t="s">
        <v>718</v>
      </c>
      <c r="E830" s="114" t="s">
        <v>644</v>
      </c>
      <c r="F830" s="113" t="s">
        <v>701</v>
      </c>
    </row>
    <row r="831" spans="1:6" ht="17.149999999999999" customHeight="1" x14ac:dyDescent="0.3">
      <c r="A831" s="112" t="s">
        <v>469</v>
      </c>
      <c r="B831" s="113" t="str">
        <f>VLOOKUP(A831,[10]Schedule_Invigilators!$A$722:$B$803,2,FALSE)</f>
        <v>Benjamin Kommey / James Okae</v>
      </c>
      <c r="C831" s="113" t="str">
        <f>VLOOKUP(A831,'[10]COMBINED_ATTD_INV (3)'!$A$1094:$E$1119,2,FALSE)</f>
        <v>Gifty Edem Senyaglo/Mohammed Bakang/</v>
      </c>
      <c r="D831" s="121" t="s">
        <v>717</v>
      </c>
      <c r="E831" s="114" t="s">
        <v>644</v>
      </c>
      <c r="F831" s="113" t="s">
        <v>701</v>
      </c>
    </row>
    <row r="832" spans="1:6" ht="17.149999999999999" customHeight="1" x14ac:dyDescent="0.3">
      <c r="A832" s="112" t="s">
        <v>42</v>
      </c>
      <c r="B832" s="113" t="str">
        <f>VLOOKUP(A832,[10]Schedule_Invigilators!$A$722:$B$803,2,FALSE)</f>
        <v xml:space="preserve">Kwame Sarkodie  /   Bernard Konadu Amoah  </v>
      </c>
      <c r="C832" s="113" t="str">
        <f>VLOOKUP(A832,'[10]COMBINED_ATTD_INV (3)'!$A$1094:$E$1119,2,FALSE)</f>
        <v>Michael Owusu/Fiifi Turkson/</v>
      </c>
      <c r="D832" s="121" t="s">
        <v>716</v>
      </c>
      <c r="E832" s="114" t="s">
        <v>644</v>
      </c>
      <c r="F832" s="113" t="s">
        <v>701</v>
      </c>
    </row>
    <row r="833" spans="1:6" ht="17.149999999999999" customHeight="1" x14ac:dyDescent="0.3">
      <c r="A833" s="112" t="s">
        <v>470</v>
      </c>
      <c r="B833" s="113" t="str">
        <f>VLOOKUP(A833,[10]Schedule_Invigilators!$A$722:$B$803,2,FALSE)</f>
        <v>F. K. A. Nyarko / Eric Kwame Anokye Asare</v>
      </c>
      <c r="C833" s="113" t="str">
        <f>VLOOKUP(A833,'[10]COMBINED_ATTD_INV (3)'!$A$1094:$E$1119,2,FALSE)</f>
        <v>Richmond Awotwe//</v>
      </c>
      <c r="D833" s="121" t="s">
        <v>715</v>
      </c>
      <c r="E833" s="114" t="s">
        <v>644</v>
      </c>
      <c r="F833" s="113" t="s">
        <v>701</v>
      </c>
    </row>
    <row r="834" spans="1:6" ht="17.149999999999999" customHeight="1" x14ac:dyDescent="0.3">
      <c r="A834" s="112" t="s">
        <v>471</v>
      </c>
      <c r="B834" s="113" t="str">
        <f>VLOOKUP(A834,[10]Schedule_Invigilators!$A$722:$B$803,2,FALSE)</f>
        <v>Eugene Appiah-Effah / Albert Asare</v>
      </c>
      <c r="C834" s="113" t="str">
        <f>VLOOKUP(A834,'[10]COMBINED_ATTD_INV (3)'!$A$1094:$E$1119,2,FALSE)</f>
        <v>Joseph Benneth Kankam//</v>
      </c>
      <c r="D834" s="121" t="s">
        <v>714</v>
      </c>
      <c r="E834" s="114" t="s">
        <v>644</v>
      </c>
      <c r="F834" s="113" t="s">
        <v>701</v>
      </c>
    </row>
    <row r="835" spans="1:6" ht="17.149999999999999" customHeight="1" x14ac:dyDescent="0.3">
      <c r="A835" s="112" t="s">
        <v>472</v>
      </c>
      <c r="B835" s="113" t="str">
        <f>VLOOKUP(A835,[10]Schedule_Invigilators!$A$722:$B$803,2,FALSE)</f>
        <v>Nancy Anataba Kyorku Dzikunu-Bansah / Ayuba Bene Adam</v>
      </c>
      <c r="C835" s="113" t="str">
        <f>VLOOKUP(A835,'[10]COMBINED_ATTD_INV (3)'!$A$1094:$E$1119,2,FALSE)</f>
        <v>Desmond Adu-Yeboah/Benjamin Nana Oduro Konadu/</v>
      </c>
      <c r="D835" s="121" t="s">
        <v>713</v>
      </c>
      <c r="E835" s="114" t="s">
        <v>644</v>
      </c>
      <c r="F835" s="113" t="s">
        <v>701</v>
      </c>
    </row>
    <row r="836" spans="1:6" ht="17.149999999999999" customHeight="1" x14ac:dyDescent="0.3">
      <c r="A836" s="112" t="s">
        <v>108</v>
      </c>
      <c r="B836" s="113" t="str">
        <f>VLOOKUP(A836,[10]Schedule_Invigilators!$A$722:$B$803,2,FALSE)</f>
        <v>Bennetta Koomson</v>
      </c>
      <c r="C836" s="113" t="str">
        <f>VLOOKUP(A836,'[10]COMBINED_ATTD_INV (3)'!$A$1094:$E$1119,2,FALSE)</f>
        <v>Getrude Opoku//</v>
      </c>
      <c r="D836" s="121" t="s">
        <v>712</v>
      </c>
      <c r="E836" s="114" t="s">
        <v>644</v>
      </c>
      <c r="F836" s="113" t="s">
        <v>701</v>
      </c>
    </row>
    <row r="837" spans="1:6" ht="17.149999999999999" customHeight="1" x14ac:dyDescent="0.3">
      <c r="A837" s="112" t="s">
        <v>473</v>
      </c>
      <c r="B837" s="113" t="str">
        <f>VLOOKUP(A837,[10]Schedule_Invigilators!$A$722:$B$803,2,FALSE)</f>
        <v xml:space="preserve">Kenneth Adomako Tutu /   Nicholas Prah   </v>
      </c>
      <c r="C837" s="113" t="str">
        <f>VLOOKUP(A837,'[10]COMBINED_ATTD_INV (3)'!$A$1094:$E$1119,2,FALSE)</f>
        <v>Godfred Appiah//</v>
      </c>
      <c r="D837" s="121" t="s">
        <v>711</v>
      </c>
      <c r="E837" s="114" t="s">
        <v>644</v>
      </c>
      <c r="F837" s="113" t="s">
        <v>701</v>
      </c>
    </row>
    <row r="838" spans="1:6" ht="17.149999999999999" customHeight="1" x14ac:dyDescent="0.3">
      <c r="A838" s="112" t="s">
        <v>474</v>
      </c>
      <c r="B838" s="113" t="str">
        <f>VLOOKUP(A838,[10]Schedule_Invigilators!$A$722:$B$803,2,FALSE)</f>
        <v>Jones Owusu Twumasi</v>
      </c>
      <c r="C838" s="113" t="str">
        <f>VLOOKUP(A838,'[10]COMBINED_ATTD_INV (3)'!$A$1094:$E$1119,2,FALSE)</f>
        <v>Ruth Adwubi Sarfo//</v>
      </c>
      <c r="D838" s="121" t="s">
        <v>710</v>
      </c>
      <c r="E838" s="114" t="s">
        <v>644</v>
      </c>
      <c r="F838" s="113" t="s">
        <v>701</v>
      </c>
    </row>
    <row r="839" spans="1:6" ht="17.149999999999999" customHeight="1" x14ac:dyDescent="0.3">
      <c r="A839" s="112" t="s">
        <v>475</v>
      </c>
      <c r="B839" s="113" t="str">
        <f>VLOOKUP(A839,[10]Schedule_Invigilators!$A$722:$B$803,2,FALSE)</f>
        <v>Gordon Foli</v>
      </c>
      <c r="C839" s="113" t="str">
        <f>VLOOKUP(A839,'[10]COMBINED_ATTD_INV (3)'!$A$1094:$E$1119,2,FALSE)</f>
        <v>Sandra Essel//</v>
      </c>
      <c r="D839" s="121" t="s">
        <v>709</v>
      </c>
      <c r="E839" s="114" t="s">
        <v>644</v>
      </c>
      <c r="F839" s="113" t="s">
        <v>701</v>
      </c>
    </row>
    <row r="840" spans="1:6" ht="17.149999999999999" customHeight="1" x14ac:dyDescent="0.3">
      <c r="A840" s="112" t="s">
        <v>476</v>
      </c>
      <c r="B840" s="113" t="str">
        <f>VLOOKUP(A840,[10]Schedule_Invigilators!$A$722:$B$803,2,FALSE)</f>
        <v>Eric Amoah Asante / Godfrey Chiri Amedjoe</v>
      </c>
      <c r="C840" s="113" t="str">
        <f>VLOOKUP(A840,'[10]COMBINED_ATTD_INV (3)'!$A$1094:$E$1119,2,FALSE)</f>
        <v>Salamatu Salifu//</v>
      </c>
      <c r="D840" s="121" t="s">
        <v>708</v>
      </c>
      <c r="E840" s="114" t="s">
        <v>644</v>
      </c>
      <c r="F840" s="113" t="s">
        <v>701</v>
      </c>
    </row>
    <row r="841" spans="1:6" ht="17.149999999999999" customHeight="1" x14ac:dyDescent="0.3">
      <c r="A841" s="112" t="s">
        <v>477</v>
      </c>
      <c r="B841" s="113" t="str">
        <f>VLOOKUP(A841,[10]Schedule_Invigilators!$A$722:$B$803,2,FALSE)</f>
        <v>Augustus Ababio Donkor / Matthew Coffie Wilson</v>
      </c>
      <c r="C841" s="113" t="str">
        <f>VLOOKUP(A841,'[10]COMBINED_ATTD_INV (3)'!$A$1094:$E$1119,2,FALSE)</f>
        <v>Kwadwo Afful//</v>
      </c>
      <c r="D841" s="121" t="s">
        <v>707</v>
      </c>
      <c r="E841" s="114" t="s">
        <v>644</v>
      </c>
      <c r="F841" s="113" t="s">
        <v>701</v>
      </c>
    </row>
    <row r="842" spans="1:6" ht="17.149999999999999" customHeight="1" x14ac:dyDescent="0.3">
      <c r="A842" s="112" t="s">
        <v>144</v>
      </c>
      <c r="B842" s="113" t="str">
        <f>VLOOKUP(A842,[10]Schedule_Invigilators!$A$722:$B$803,2,FALSE)</f>
        <v>Albert Kwame Kwaw / Daniel Akwei Addo</v>
      </c>
      <c r="C842" s="113" t="str">
        <f>VLOOKUP(A842,'[10]COMBINED_ATTD_INV (3)'!$A$1094:$E$1119,2,FALSE)</f>
        <v>Rebecca Yamoah/Adjatu Busali/</v>
      </c>
      <c r="D842" s="121" t="s">
        <v>706</v>
      </c>
      <c r="E842" s="114" t="s">
        <v>644</v>
      </c>
      <c r="F842" s="113" t="s">
        <v>701</v>
      </c>
    </row>
    <row r="843" spans="1:6" ht="17.149999999999999" customHeight="1" x14ac:dyDescent="0.3">
      <c r="A843" s="112" t="s">
        <v>637</v>
      </c>
      <c r="B843" s="113" t="str">
        <f>VLOOKUP(A843,[10]Schedule_Invigilators!$A$722:$B$803,2,FALSE)</f>
        <v>Felix Jojo Fianko Ayeh / Vincent Kofi Abaka Acquaah / James Dzisi Gadze / M. Appiah Brempong</v>
      </c>
      <c r="C843" s="113" t="str">
        <f>VLOOKUP(A843,'[10]COMBINED_ATTD_INV (3)'!$A$1094:$E$1119,2,FALSE)</f>
        <v>Micheal Obbo/Bernard Annan/Robert Kofi Kyere</v>
      </c>
      <c r="D843" s="121" t="s">
        <v>705</v>
      </c>
      <c r="E843" s="114" t="s">
        <v>644</v>
      </c>
      <c r="F843" s="113" t="s">
        <v>701</v>
      </c>
    </row>
    <row r="844" spans="1:6" ht="17.149999999999999" customHeight="1" x14ac:dyDescent="0.3">
      <c r="A844" s="112" t="s">
        <v>636</v>
      </c>
      <c r="B844" s="113" t="str">
        <f>VLOOKUP(A844,[10]Schedule_Invigilators!$A$722:$B$803,2,FALSE)</f>
        <v>Yesuenyeagbe Fiagbe / Jude Bonsu / Prince Ebenezer Adjei</v>
      </c>
      <c r="C844" s="113" t="str">
        <f>VLOOKUP(A844,'[10]COMBINED_ATTD_INV (3)'!$A$1094:$E$1119,2,FALSE)</f>
        <v>Rener Oppong/Perseverance Dzikunu/Adom Ebenezer</v>
      </c>
      <c r="D844" s="121" t="s">
        <v>704</v>
      </c>
      <c r="E844" s="114" t="s">
        <v>644</v>
      </c>
      <c r="F844" s="113" t="s">
        <v>701</v>
      </c>
    </row>
    <row r="845" spans="1:6" ht="17.149999999999999" customHeight="1" x14ac:dyDescent="0.3">
      <c r="A845" s="112" t="s">
        <v>635</v>
      </c>
      <c r="B845" s="113" t="str">
        <f>VLOOKUP(A845,[10]Schedule_Invigilators!$A$722:$B$803,2,FALSE)</f>
        <v>Daniel Oduro Boatey Nuamah / Stephen Adjei / Yaw Adubofour Tuffour</v>
      </c>
      <c r="C845" s="113" t="str">
        <f>VLOOKUP(A845,'[10]COMBINED_ATTD_INV (3)'!$A$1094:$E$1119,2,FALSE)</f>
        <v>Victoria Agyenim-Boateng/Linda Berko/</v>
      </c>
      <c r="D845" s="121" t="s">
        <v>703</v>
      </c>
      <c r="E845" s="114" t="s">
        <v>644</v>
      </c>
      <c r="F845" s="113" t="s">
        <v>701</v>
      </c>
    </row>
    <row r="846" spans="1:6" ht="17.149999999999999" customHeight="1" x14ac:dyDescent="0.3">
      <c r="A846" s="112" t="s">
        <v>634</v>
      </c>
      <c r="B846" s="113" t="str">
        <f>VLOOKUP(A846,[10]Schedule_Invigilators!$A$722:$B$803,2,FALSE)</f>
        <v>David Oppong / Prince Odame</v>
      </c>
      <c r="C846" s="113" t="str">
        <f>VLOOKUP(A846,'[10]COMBINED_ATTD_INV (3)'!$A$1094:$E$1119,2,FALSE)</f>
        <v>Ernest Dapaah//</v>
      </c>
      <c r="D846" s="121" t="s">
        <v>702</v>
      </c>
      <c r="E846" s="114" t="s">
        <v>644</v>
      </c>
      <c r="F846" s="113" t="s">
        <v>701</v>
      </c>
    </row>
    <row r="847" spans="1:6" ht="17.149999999999999" customHeight="1" x14ac:dyDescent="0.3">
      <c r="A847" s="112"/>
      <c r="B847" s="113"/>
      <c r="C847" s="113"/>
      <c r="D847" s="113"/>
      <c r="E847" s="114"/>
      <c r="F847" s="113"/>
    </row>
    <row r="848" spans="1:6" s="122" customFormat="1" ht="17.149999999999999" customHeight="1" x14ac:dyDescent="0.3">
      <c r="A848" s="119" t="s">
        <v>642</v>
      </c>
      <c r="B848" s="119" t="s">
        <v>526</v>
      </c>
      <c r="C848" s="123" t="s">
        <v>672</v>
      </c>
      <c r="D848" s="123" t="s">
        <v>671</v>
      </c>
      <c r="E848" s="120" t="s">
        <v>641</v>
      </c>
      <c r="F848" s="123" t="s">
        <v>640</v>
      </c>
    </row>
    <row r="849" spans="1:6" ht="17.149999999999999" customHeight="1" x14ac:dyDescent="0.3">
      <c r="A849" s="112" t="s">
        <v>35</v>
      </c>
      <c r="B849" s="113" t="str">
        <f>VLOOKUP(A849,[10]Schedule_Invigilators!$A$749:$B$803,2,FALSE)</f>
        <v>Kofi Owura Amoabeng</v>
      </c>
      <c r="C849" s="113" t="str">
        <f>VLOOKUP(A849,'[10]COMBINED_ATTD_INV (3)'!$A$1122:$E$1147,2,FALSE)</f>
        <v>Reuben Asare Bediako//</v>
      </c>
      <c r="D849" s="121" t="s">
        <v>700</v>
      </c>
      <c r="E849" s="114" t="s">
        <v>644</v>
      </c>
      <c r="F849" s="113" t="s">
        <v>673</v>
      </c>
    </row>
    <row r="850" spans="1:6" ht="17.149999999999999" customHeight="1" x14ac:dyDescent="0.3">
      <c r="A850" s="112" t="s">
        <v>510</v>
      </c>
      <c r="B850" s="113" t="str">
        <f>VLOOKUP(A850,[10]Schedule_Invigilators!$A$749:$B$803,2,FALSE)</f>
        <v>Benjamin Kommey</v>
      </c>
      <c r="C850" s="113" t="str">
        <f>VLOOKUP(A850,'[10]COMBINED_ATTD_INV (3)'!$A$1122:$E$1147,2,FALSE)</f>
        <v>George Ansong//</v>
      </c>
      <c r="D850" s="121" t="s">
        <v>699</v>
      </c>
      <c r="E850" s="114" t="s">
        <v>644</v>
      </c>
      <c r="F850" s="113" t="s">
        <v>673</v>
      </c>
    </row>
    <row r="851" spans="1:6" ht="17.149999999999999" customHeight="1" x14ac:dyDescent="0.3">
      <c r="A851" s="112" t="s">
        <v>508</v>
      </c>
      <c r="B851" s="113" t="str">
        <f>VLOOKUP(A851,[10]Schedule_Invigilators!$A$749:$B$803,2,FALSE)</f>
        <v>Eric Kwame Anokye Asare</v>
      </c>
      <c r="C851" s="113" t="str">
        <f>VLOOKUP(A851,'[10]COMBINED_ATTD_INV (3)'!$A$1122:$E$1147,2,FALSE)</f>
        <v>Derrick Owusu Mensah//</v>
      </c>
      <c r="D851" s="121" t="s">
        <v>698</v>
      </c>
      <c r="E851" s="114" t="s">
        <v>644</v>
      </c>
      <c r="F851" s="113" t="s">
        <v>673</v>
      </c>
    </row>
    <row r="852" spans="1:6" ht="17.149999999999999" customHeight="1" x14ac:dyDescent="0.3">
      <c r="A852" s="112" t="s">
        <v>466</v>
      </c>
      <c r="B852" s="113" t="str">
        <f>VLOOKUP(A852,[10]Schedule_Invigilators!$A$749:$B$803,2,FALSE)</f>
        <v>James Okae / Andrew Cudzo Amenuvor</v>
      </c>
      <c r="C852" s="113" t="str">
        <f>VLOOKUP(A852,'[10]COMBINED_ATTD_INV (3)'!$A$1122:$E$1147,2,FALSE)</f>
        <v>Issaka Ali Sambo/Paul Dery/</v>
      </c>
      <c r="D852" s="121" t="s">
        <v>697</v>
      </c>
      <c r="E852" s="114" t="s">
        <v>644</v>
      </c>
      <c r="F852" s="113" t="s">
        <v>673</v>
      </c>
    </row>
    <row r="853" spans="1:6" ht="17.149999999999999" customHeight="1" x14ac:dyDescent="0.3">
      <c r="A853" s="112">
        <v>206</v>
      </c>
      <c r="B853" s="113" t="str">
        <f>VLOOKUP(A853,[10]Schedule_Invigilators!$A$749:$B$803,2,FALSE)</f>
        <v>Jonathan Atuquaye Quaye</v>
      </c>
      <c r="C853" s="113" t="str">
        <f>VLOOKUP(A853,'[10]COMBINED_ATTD_INV (3)'!$A$1122:$E$1147,2,FALSE)</f>
        <v>Edward Kpetege//</v>
      </c>
      <c r="D853" s="121" t="s">
        <v>696</v>
      </c>
      <c r="E853" s="114" t="s">
        <v>644</v>
      </c>
      <c r="F853" s="113" t="s">
        <v>673</v>
      </c>
    </row>
    <row r="854" spans="1:6" ht="17.149999999999999" customHeight="1" x14ac:dyDescent="0.3">
      <c r="A854" s="112">
        <v>303</v>
      </c>
      <c r="B854" s="113" t="str">
        <f>VLOOKUP(A854,[10]Schedule_Invigilators!$A$749:$B$803,2,FALSE)</f>
        <v>Stephen Adjei / Daniel Akwei Addo</v>
      </c>
      <c r="C854" s="113" t="str">
        <f>VLOOKUP(A854,'[10]COMBINED_ATTD_INV (3)'!$A$1122:$E$1147,2,FALSE)</f>
        <v>Benjamin Opoku Atuahene//</v>
      </c>
      <c r="D854" s="121" t="s">
        <v>695</v>
      </c>
      <c r="E854" s="114" t="s">
        <v>644</v>
      </c>
      <c r="F854" s="113" t="s">
        <v>673</v>
      </c>
    </row>
    <row r="855" spans="1:6" ht="17.149999999999999" customHeight="1" x14ac:dyDescent="0.3">
      <c r="A855" s="112">
        <v>304</v>
      </c>
      <c r="B855" s="113" t="str">
        <f>VLOOKUP(A855,[10]Schedule_Invigilators!$A$749:$B$803,2,FALSE)</f>
        <v>Godfred Boahen</v>
      </c>
      <c r="C855" s="113" t="str">
        <f>VLOOKUP(A855,'[10]COMBINED_ATTD_INV (3)'!$A$1122:$E$1147,2,FALSE)</f>
        <v>Eric Soku//</v>
      </c>
      <c r="D855" s="121" t="s">
        <v>694</v>
      </c>
      <c r="E855" s="114" t="s">
        <v>644</v>
      </c>
      <c r="F855" s="113" t="s">
        <v>673</v>
      </c>
    </row>
    <row r="856" spans="1:6" ht="17.149999999999999" customHeight="1" x14ac:dyDescent="0.3">
      <c r="A856" s="112" t="s">
        <v>61</v>
      </c>
      <c r="B856" s="113" t="str">
        <f>VLOOKUP(A856,[10]Schedule_Invigilators!$A$749:$B$803,2,FALSE)</f>
        <v>Akwasi Afrifa Acheampong</v>
      </c>
      <c r="C856" s="113" t="str">
        <f>VLOOKUP(A856,'[10]COMBINED_ATTD_INV (3)'!$A$1122:$E$1147,2,FALSE)</f>
        <v>Marian Bemma//</v>
      </c>
      <c r="D856" s="121" t="s">
        <v>693</v>
      </c>
      <c r="E856" s="114" t="s">
        <v>644</v>
      </c>
      <c r="F856" s="113" t="s">
        <v>673</v>
      </c>
    </row>
    <row r="857" spans="1:6" ht="17.149999999999999" customHeight="1" x14ac:dyDescent="0.3">
      <c r="A857" s="112" t="s">
        <v>467</v>
      </c>
      <c r="B857" s="113" t="str">
        <f>VLOOKUP(A857,[10]Schedule_Invigilators!$A$749:$B$803,2,FALSE)</f>
        <v>Jack Osei Banahene</v>
      </c>
      <c r="C857" s="113" t="str">
        <f>VLOOKUP(A857,'[10]COMBINED_ATTD_INV (3)'!$A$1122:$E$1147,2,FALSE)</f>
        <v>Derrick Amoateng//</v>
      </c>
      <c r="D857" s="121" t="s">
        <v>692</v>
      </c>
      <c r="E857" s="114" t="s">
        <v>644</v>
      </c>
      <c r="F857" s="113" t="s">
        <v>673</v>
      </c>
    </row>
    <row r="858" spans="1:6" ht="17.149999999999999" customHeight="1" x14ac:dyDescent="0.3">
      <c r="A858" s="112" t="s">
        <v>468</v>
      </c>
      <c r="B858" s="113" t="str">
        <f>VLOOKUP(A858,[10]Schedule_Invigilators!$A$749:$B$803,2,FALSE)</f>
        <v>Prosper Akaba / Samuel Osah</v>
      </c>
      <c r="C858" s="113" t="str">
        <f>VLOOKUP(A858,'[10]COMBINED_ATTD_INV (3)'!$A$1122:$E$1147,2,FALSE)</f>
        <v>John Ofosu//</v>
      </c>
      <c r="D858" s="121" t="s">
        <v>691</v>
      </c>
      <c r="E858" s="114" t="s">
        <v>644</v>
      </c>
      <c r="F858" s="113" t="s">
        <v>673</v>
      </c>
    </row>
    <row r="859" spans="1:6" ht="17.149999999999999" customHeight="1" x14ac:dyDescent="0.3">
      <c r="A859" s="112" t="s">
        <v>469</v>
      </c>
      <c r="B859" s="113" t="str">
        <f>VLOOKUP(A859,[10]Schedule_Invigilators!$A$749:$B$803,2,FALSE)</f>
        <v>Faisal Wahib Adam / David Oppong</v>
      </c>
      <c r="C859" s="113" t="str">
        <f>VLOOKUP(A859,'[10]COMBINED_ATTD_INV (3)'!$A$1122:$E$1147,2,FALSE)</f>
        <v>Owusu Stephen Akuoku/Samuel Osei-Asibey Bonsu/</v>
      </c>
      <c r="D859" s="121" t="s">
        <v>690</v>
      </c>
      <c r="E859" s="114" t="s">
        <v>644</v>
      </c>
      <c r="F859" s="113" t="s">
        <v>673</v>
      </c>
    </row>
    <row r="860" spans="1:6" ht="17.149999999999999" customHeight="1" x14ac:dyDescent="0.3">
      <c r="A860" s="112" t="s">
        <v>42</v>
      </c>
      <c r="B860" s="113" t="str">
        <f>VLOOKUP(A860,[10]Schedule_Invigilators!$A$749:$B$803,2,FALSE)</f>
        <v>Sefakor Dogbe / Nicholas Prah</v>
      </c>
      <c r="C860" s="113" t="str">
        <f>VLOOKUP(A860,'[10]COMBINED_ATTD_INV (3)'!$A$1122:$E$1147,2,FALSE)</f>
        <v>Kofi Bentum/Fiifi Turkson/</v>
      </c>
      <c r="D860" s="121" t="s">
        <v>689</v>
      </c>
      <c r="E860" s="114" t="s">
        <v>644</v>
      </c>
      <c r="F860" s="113" t="s">
        <v>673</v>
      </c>
    </row>
    <row r="861" spans="1:6" ht="17.149999999999999" customHeight="1" x14ac:dyDescent="0.3">
      <c r="A861" s="112" t="s">
        <v>470</v>
      </c>
      <c r="B861" s="113" t="str">
        <f>VLOOKUP(A861,[10]Schedule_Invigilators!$A$749:$B$803,2,FALSE)</f>
        <v>Theresa-Samuelle Maame Atwemaa Adjaidoo / Anthony Arko-Adjei</v>
      </c>
      <c r="C861" s="113" t="str">
        <f>VLOOKUP(A861,'[10]COMBINED_ATTD_INV (3)'!$A$1122:$E$1147,2,FALSE)</f>
        <v>Richmond Awotwe//</v>
      </c>
      <c r="D861" s="121" t="s">
        <v>688</v>
      </c>
      <c r="E861" s="114" t="s">
        <v>644</v>
      </c>
      <c r="F861" s="113" t="s">
        <v>673</v>
      </c>
    </row>
    <row r="862" spans="1:6" ht="17.149999999999999" customHeight="1" x14ac:dyDescent="0.3">
      <c r="A862" s="112" t="s">
        <v>471</v>
      </c>
      <c r="B862" s="113" t="str">
        <f>VLOOKUP(A862,[10]Schedule_Invigilators!$A$749:$B$803,2,FALSE)</f>
        <v>Albert Kwame Kwaw / Daniel Oduro Boatey Nuamah</v>
      </c>
      <c r="C862" s="113" t="str">
        <f>VLOOKUP(A862,'[10]COMBINED_ATTD_INV (3)'!$A$1122:$E$1147,2,FALSE)</f>
        <v>Joseph Benneth Kankam//</v>
      </c>
      <c r="D862" s="121" t="s">
        <v>687</v>
      </c>
      <c r="E862" s="114" t="s">
        <v>644</v>
      </c>
      <c r="F862" s="113" t="s">
        <v>673</v>
      </c>
    </row>
    <row r="863" spans="1:6" ht="17.149999999999999" customHeight="1" x14ac:dyDescent="0.3">
      <c r="A863" s="112" t="s">
        <v>472</v>
      </c>
      <c r="B863" s="113" t="str">
        <f>VLOOKUP(A863,[10]Schedule_Invigilators!$A$749:$B$803,2,FALSE)</f>
        <v xml:space="preserve"> Samuel Erzuah / Forkuo Eric Kwabena</v>
      </c>
      <c r="C863" s="113" t="str">
        <f>VLOOKUP(A863,'[10]COMBINED_ATTD_INV (3)'!$A$1122:$E$1147,2,FALSE)</f>
        <v>Bernard Audinada Ampofo/Fatawu Yakubu/</v>
      </c>
      <c r="D863" s="121" t="s">
        <v>686</v>
      </c>
      <c r="E863" s="114" t="s">
        <v>644</v>
      </c>
      <c r="F863" s="113" t="s">
        <v>673</v>
      </c>
    </row>
    <row r="864" spans="1:6" ht="17.149999999999999" customHeight="1" x14ac:dyDescent="0.3">
      <c r="A864" s="112" t="s">
        <v>108</v>
      </c>
      <c r="B864" s="113" t="str">
        <f>VLOOKUP(A864,[10]Schedule_Invigilators!$A$749:$B$803,2,FALSE)</f>
        <v>Efiba Vidda Senkyire Kwarteng / Martin Kesse</v>
      </c>
      <c r="C864" s="113" t="str">
        <f>VLOOKUP(A864,'[10]COMBINED_ATTD_INV (3)'!$A$1122:$E$1147,2,FALSE)</f>
        <v>Clement Appiah//</v>
      </c>
      <c r="D864" s="121" t="s">
        <v>685</v>
      </c>
      <c r="E864" s="114" t="s">
        <v>644</v>
      </c>
      <c r="F864" s="113" t="s">
        <v>673</v>
      </c>
    </row>
    <row r="865" spans="1:6" ht="17.149999999999999" customHeight="1" x14ac:dyDescent="0.3">
      <c r="A865" s="112" t="s">
        <v>473</v>
      </c>
      <c r="B865" s="113" t="str">
        <f>VLOOKUP(A865,[10]Schedule_Invigilators!$A$749:$B$803,2,FALSE)</f>
        <v>Jonathan Arthur Quaye-Ballard / Prince Yaw Andoh</v>
      </c>
      <c r="C865" s="113" t="str">
        <f>VLOOKUP(A865,'[10]COMBINED_ATTD_INV (3)'!$A$1122:$E$1147,2,FALSE)</f>
        <v>Godfred Appiah//</v>
      </c>
      <c r="D865" s="121" t="s">
        <v>684</v>
      </c>
      <c r="E865" s="114" t="s">
        <v>644</v>
      </c>
      <c r="F865" s="113" t="s">
        <v>673</v>
      </c>
    </row>
    <row r="866" spans="1:6" ht="17.149999999999999" customHeight="1" x14ac:dyDescent="0.3">
      <c r="A866" s="112" t="s">
        <v>474</v>
      </c>
      <c r="B866" s="113" t="str">
        <f>VLOOKUP(A866,[10]Schedule_Invigilators!$A$749:$B$803,2,FALSE)</f>
        <v xml:space="preserve"> Martinson Addo Nartey</v>
      </c>
      <c r="C866" s="113" t="str">
        <f>VLOOKUP(A866,'[10]COMBINED_ATTD_INV (3)'!$A$1122:$E$1147,2,FALSE)</f>
        <v>Ruth Adwubi Sarfo//</v>
      </c>
      <c r="D866" s="121" t="s">
        <v>683</v>
      </c>
      <c r="E866" s="114" t="s">
        <v>644</v>
      </c>
      <c r="F866" s="113" t="s">
        <v>673</v>
      </c>
    </row>
    <row r="867" spans="1:6" ht="17.149999999999999" customHeight="1" x14ac:dyDescent="0.3">
      <c r="A867" s="112" t="s">
        <v>475</v>
      </c>
      <c r="B867" s="113" t="str">
        <f>VLOOKUP(A867,[10]Schedule_Invigilators!$A$749:$B$803,2,FALSE)</f>
        <v>Eric Amoah Asante</v>
      </c>
      <c r="C867" s="113" t="str">
        <f>VLOOKUP(A867,'[10]COMBINED_ATTD_INV (3)'!$A$1122:$E$1147,2,FALSE)</f>
        <v>Abigail Akos Worlanyo//</v>
      </c>
      <c r="D867" s="121" t="s">
        <v>682</v>
      </c>
      <c r="E867" s="114" t="s">
        <v>644</v>
      </c>
      <c r="F867" s="113" t="s">
        <v>673</v>
      </c>
    </row>
    <row r="868" spans="1:6" ht="17.149999999999999" customHeight="1" x14ac:dyDescent="0.3">
      <c r="A868" s="112" t="s">
        <v>476</v>
      </c>
      <c r="B868" s="113" t="str">
        <f>VLOOKUP(A868,[10]Schedule_Invigilators!$A$749:$B$803,2,FALSE)</f>
        <v>Henry Nunoo-Mensah  / Blestmond Afrifa Brako</v>
      </c>
      <c r="C868" s="113" t="str">
        <f>VLOOKUP(A868,'[10]COMBINED_ATTD_INV (3)'!$A$1122:$E$1147,2,FALSE)</f>
        <v>Kwame Kwarteng Sarpong//</v>
      </c>
      <c r="D868" s="121" t="s">
        <v>681</v>
      </c>
      <c r="E868" s="114" t="s">
        <v>644</v>
      </c>
      <c r="F868" s="113" t="s">
        <v>673</v>
      </c>
    </row>
    <row r="869" spans="1:6" ht="17.149999999999999" customHeight="1" x14ac:dyDescent="0.3">
      <c r="A869" s="112" t="s">
        <v>477</v>
      </c>
      <c r="B869" s="113" t="str">
        <f>VLOOKUP(A869,[10]Schedule_Invigilators!$A$749:$B$803,2,FALSE)</f>
        <v>Charles Adrah /  Francis Boafo Effah</v>
      </c>
      <c r="C869" s="113" t="str">
        <f>VLOOKUP(A869,'[10]COMBINED_ATTD_INV (3)'!$A$1122:$E$1147,2,FALSE)</f>
        <v>Kwadwo Afful//</v>
      </c>
      <c r="D869" s="121" t="s">
        <v>680</v>
      </c>
      <c r="E869" s="114" t="s">
        <v>644</v>
      </c>
      <c r="F869" s="113" t="s">
        <v>673</v>
      </c>
    </row>
    <row r="870" spans="1:6" ht="17.149999999999999" customHeight="1" x14ac:dyDescent="0.3">
      <c r="A870" s="112" t="s">
        <v>144</v>
      </c>
      <c r="B870" s="113" t="str">
        <f>VLOOKUP(A870,[10]Schedule_Invigilators!$A$749:$B$803,2,FALSE)</f>
        <v>Bernard Konadu Amoah / K. O.-B Obour Agyekum</v>
      </c>
      <c r="C870" s="113" t="str">
        <f>VLOOKUP(A870,'[10]COMBINED_ATTD_INV (3)'!$A$1122:$E$1147,2,FALSE)</f>
        <v>Mercy Nimako/Adjatu Busali/</v>
      </c>
      <c r="D870" s="121" t="s">
        <v>679</v>
      </c>
      <c r="E870" s="114" t="s">
        <v>644</v>
      </c>
      <c r="F870" s="113" t="s">
        <v>673</v>
      </c>
    </row>
    <row r="871" spans="1:6" ht="17.149999999999999" hidden="1" customHeight="1" x14ac:dyDescent="0.3">
      <c r="A871" s="112" t="s">
        <v>638</v>
      </c>
      <c r="B871" s="113" t="e">
        <f>VLOOKUP(A871,[10]Schedule_Invigilators!$A$749:$B$803,2,FALSE)</f>
        <v>#N/A</v>
      </c>
      <c r="C871" s="113" t="e">
        <f>VLOOKUP(A871,'[10]COMBINED_ATTD_INV (3)'!$A$1122:$E$1147,2,FALSE)</f>
        <v>#N/A</v>
      </c>
      <c r="D871" s="121" t="s">
        <v>678</v>
      </c>
      <c r="E871" s="114" t="s">
        <v>644</v>
      </c>
      <c r="F871" s="113" t="s">
        <v>673</v>
      </c>
    </row>
    <row r="872" spans="1:6" ht="17.149999999999999" customHeight="1" x14ac:dyDescent="0.3">
      <c r="A872" s="112" t="s">
        <v>637</v>
      </c>
      <c r="B872" s="113" t="str">
        <f>VLOOKUP(A872,[10]Schedule_Invigilators!$A$749:$B$803,2,FALSE)</f>
        <v xml:space="preserve"> Y. A. Sokama-Neuyam/ Evans Amponsah / Samuel Boahen / F. K. A. Nyarko</v>
      </c>
      <c r="C872" s="113" t="str">
        <f>VLOOKUP(A872,'[10]COMBINED_ATTD_INV (3)'!$A$1122:$E$1147,2,FALSE)</f>
        <v>Micheal Obbo/Bernard Annan/Robert Kofi Kyere</v>
      </c>
      <c r="D872" s="121" t="s">
        <v>677</v>
      </c>
      <c r="E872" s="114" t="s">
        <v>644</v>
      </c>
      <c r="F872" s="113" t="s">
        <v>673</v>
      </c>
    </row>
    <row r="873" spans="1:6" ht="16.5" customHeight="1" x14ac:dyDescent="0.3">
      <c r="A873" s="112" t="s">
        <v>636</v>
      </c>
      <c r="B873" s="113" t="str">
        <f>VLOOKUP(A873,[10]Schedule_Invigilators!$A$749:$B$803,2,FALSE)</f>
        <v>Jones Owusu Twumasi /Kenneth Adomako Tutu  / Dorothy Araba Yakoba Agyapong</v>
      </c>
      <c r="C873" s="113" t="str">
        <f>VLOOKUP(A873,'[10]COMBINED_ATTD_INV (3)'!$A$1122:$E$1147,2,FALSE)</f>
        <v>Evans Korletey/Perseverance Dzikunu/Adom Ebenezer</v>
      </c>
      <c r="D873" s="121" t="s">
        <v>676</v>
      </c>
      <c r="E873" s="114" t="s">
        <v>644</v>
      </c>
      <c r="F873" s="113" t="s">
        <v>673</v>
      </c>
    </row>
    <row r="874" spans="1:6" ht="16.5" customHeight="1" x14ac:dyDescent="0.3">
      <c r="A874" s="112" t="s">
        <v>635</v>
      </c>
      <c r="B874" s="113" t="str">
        <f>VLOOKUP(A874,[10]Schedule_Invigilators!$A$749:$B$803,2,FALSE)</f>
        <v>Kwame Agyemang Prempeh Agyekum / Kwame Sarkodie / Martina Francisca Baidoo</v>
      </c>
      <c r="C874" s="113" t="str">
        <f>VLOOKUP(A874,'[10]COMBINED_ATTD_INV (3)'!$A$1122:$E$1147,2,FALSE)</f>
        <v>Sandra Essel/Bright Andoh-Baidoo/</v>
      </c>
      <c r="D874" s="121" t="s">
        <v>675</v>
      </c>
      <c r="E874" s="114" t="s">
        <v>644</v>
      </c>
      <c r="F874" s="113" t="s">
        <v>673</v>
      </c>
    </row>
    <row r="875" spans="1:6" ht="17.149999999999999" customHeight="1" x14ac:dyDescent="0.3">
      <c r="A875" s="112" t="s">
        <v>634</v>
      </c>
      <c r="B875" s="113" t="str">
        <f>VLOOKUP(A875,[10]Schedule_Invigilators!$A$749:$B$803,2,FALSE)</f>
        <v>Nicholas Prah / Casper Adenutsi</v>
      </c>
      <c r="C875" s="113" t="str">
        <f>VLOOKUP(A875,'[10]COMBINED_ATTD_INV (3)'!$A$1122:$E$1147,2,FALSE)</f>
        <v>Ernest Dapaah//</v>
      </c>
      <c r="D875" s="121" t="s">
        <v>674</v>
      </c>
      <c r="E875" s="114" t="s">
        <v>644</v>
      </c>
      <c r="F875" s="113" t="s">
        <v>673</v>
      </c>
    </row>
    <row r="876" spans="1:6" ht="17.149999999999999" customHeight="1" x14ac:dyDescent="0.3">
      <c r="A876" s="112"/>
      <c r="B876" s="113"/>
      <c r="C876" s="113"/>
      <c r="D876" s="113"/>
      <c r="E876" s="114"/>
      <c r="F876" s="113"/>
    </row>
    <row r="877" spans="1:6" s="122" customFormat="1" ht="17.149999999999999" customHeight="1" x14ac:dyDescent="0.3">
      <c r="A877" s="119" t="s">
        <v>642</v>
      </c>
      <c r="B877" s="119" t="s">
        <v>526</v>
      </c>
      <c r="C877" s="123" t="s">
        <v>672</v>
      </c>
      <c r="D877" s="123" t="s">
        <v>671</v>
      </c>
      <c r="E877" s="120" t="s">
        <v>641</v>
      </c>
      <c r="F877" s="123" t="s">
        <v>640</v>
      </c>
    </row>
    <row r="878" spans="1:6" ht="17.149999999999999" customHeight="1" x14ac:dyDescent="0.3">
      <c r="A878" s="112" t="s">
        <v>35</v>
      </c>
      <c r="B878" s="113" t="str">
        <f>VLOOKUP(A878,[10]Schedule_Invigilators!$A$778:$B$803,2,FALSE)</f>
        <v>Eric Amoah Asante</v>
      </c>
      <c r="C878" s="113" t="str">
        <f>VLOOKUP(A878,'[10]COMBINED_ATTD_INV (3)'!$A$1150:$E$1175,2,FALSE)</f>
        <v>Reuben Asare Bediako//</v>
      </c>
      <c r="D878" s="121" t="s">
        <v>670</v>
      </c>
      <c r="E878" s="114" t="s">
        <v>644</v>
      </c>
      <c r="F878" s="113" t="s">
        <v>643</v>
      </c>
    </row>
    <row r="879" spans="1:6" ht="17.149999999999999" customHeight="1" x14ac:dyDescent="0.3">
      <c r="A879" s="112" t="s">
        <v>510</v>
      </c>
      <c r="B879" s="113" t="str">
        <f>VLOOKUP(A879,[10]Schedule_Invigilators!$A$778:$B$803,2,FALSE)</f>
        <v>Samuel Erzuah</v>
      </c>
      <c r="C879" s="113" t="str">
        <f>VLOOKUP(A879,'[10]COMBINED_ATTD_INV (3)'!$A$1150:$E$1175,2,FALSE)</f>
        <v>George Ansong//</v>
      </c>
      <c r="D879" s="121" t="s">
        <v>669</v>
      </c>
      <c r="E879" s="114" t="s">
        <v>644</v>
      </c>
      <c r="F879" s="113" t="s">
        <v>643</v>
      </c>
    </row>
    <row r="880" spans="1:6" ht="17.149999999999999" customHeight="1" x14ac:dyDescent="0.3">
      <c r="A880" s="112" t="s">
        <v>508</v>
      </c>
      <c r="B880" s="113" t="str">
        <f>VLOOKUP(A880,[10]Schedule_Invigilators!$A$778:$B$803,2,FALSE)</f>
        <v>Kofi Owura Amoabeng</v>
      </c>
      <c r="C880" s="113" t="str">
        <f>VLOOKUP(A880,'[10]COMBINED_ATTD_INV (3)'!$A$1150:$E$1175,2,FALSE)</f>
        <v>Derrick Owusu Mensah//</v>
      </c>
      <c r="D880" s="121" t="s">
        <v>668</v>
      </c>
      <c r="E880" s="114" t="s">
        <v>644</v>
      </c>
      <c r="F880" s="113" t="s">
        <v>643</v>
      </c>
    </row>
    <row r="881" spans="1:6" ht="17.149999999999999" customHeight="1" x14ac:dyDescent="0.3">
      <c r="A881" s="112" t="s">
        <v>466</v>
      </c>
      <c r="B881" s="113" t="str">
        <f>VLOOKUP(A881,[10]Schedule_Invigilators!$A$778:$B$803,2,FALSE)</f>
        <v>Charles Adrah / Samuel Boahen</v>
      </c>
      <c r="C881" s="113" t="str">
        <f>VLOOKUP(A881,'[10]COMBINED_ATTD_INV (3)'!$A$1150:$E$1175,2,FALSE)</f>
        <v>Issaka Ali Sambo/Paul Dery/</v>
      </c>
      <c r="D881" s="121" t="s">
        <v>667</v>
      </c>
      <c r="E881" s="114" t="s">
        <v>644</v>
      </c>
      <c r="F881" s="113" t="s">
        <v>643</v>
      </c>
    </row>
    <row r="882" spans="1:6" ht="17.149999999999999" customHeight="1" x14ac:dyDescent="0.3">
      <c r="A882" s="112">
        <v>206</v>
      </c>
      <c r="B882" s="113" t="str">
        <f>VLOOKUP(A882,[10]Schedule_Invigilators!$A$778:$B$803,2,FALSE)</f>
        <v>Casper Adenutsi</v>
      </c>
      <c r="C882" s="113" t="str">
        <f>VLOOKUP(A882,'[10]COMBINED_ATTD_INV (3)'!$A$1150:$E$1175,2,FALSE)</f>
        <v>Edward Kpetege//</v>
      </c>
      <c r="D882" s="121" t="s">
        <v>666</v>
      </c>
      <c r="E882" s="114" t="s">
        <v>644</v>
      </c>
      <c r="F882" s="113" t="s">
        <v>643</v>
      </c>
    </row>
    <row r="883" spans="1:6" ht="17.149999999999999" customHeight="1" x14ac:dyDescent="0.3">
      <c r="A883" s="112">
        <v>303</v>
      </c>
      <c r="B883" s="113" t="str">
        <f>VLOOKUP(A883,[10]Schedule_Invigilators!$A$778:$B$803,2,FALSE)</f>
        <v xml:space="preserve">Faisal Wahib Adam / Kwame Agyemang Prempeh Agyekum </v>
      </c>
      <c r="C883" s="113" t="str">
        <f>VLOOKUP(A883,'[10]COMBINED_ATTD_INV (3)'!$A$1150:$E$1175,2,FALSE)</f>
        <v>Benjamin Opoku Atuahene//</v>
      </c>
      <c r="D883" s="121" t="s">
        <v>665</v>
      </c>
      <c r="E883" s="114" t="s">
        <v>644</v>
      </c>
      <c r="F883" s="113" t="s">
        <v>643</v>
      </c>
    </row>
    <row r="884" spans="1:6" ht="17.149999999999999" customHeight="1" x14ac:dyDescent="0.3">
      <c r="A884" s="112">
        <v>304</v>
      </c>
      <c r="B884" s="113" t="str">
        <f>VLOOKUP(A884,[10]Schedule_Invigilators!$A$778:$B$803,2,FALSE)</f>
        <v>Martinson Addo Nartey</v>
      </c>
      <c r="C884" s="113" t="str">
        <f>VLOOKUP(A884,'[10]COMBINED_ATTD_INV (3)'!$A$1150:$E$1175,2,FALSE)</f>
        <v>Linda Berko//</v>
      </c>
      <c r="D884" s="121" t="s">
        <v>664</v>
      </c>
      <c r="E884" s="114" t="s">
        <v>644</v>
      </c>
      <c r="F884" s="113" t="s">
        <v>643</v>
      </c>
    </row>
    <row r="885" spans="1:6" ht="17.149999999999999" customHeight="1" x14ac:dyDescent="0.3">
      <c r="A885" s="112" t="s">
        <v>61</v>
      </c>
      <c r="B885" s="113" t="str">
        <f>VLOOKUP(A885,[10]Schedule_Invigilators!$A$778:$B$803,2,FALSE)</f>
        <v>K. O.-B Obour Agyekum</v>
      </c>
      <c r="C885" s="113" t="str">
        <f>VLOOKUP(A885,'[10]COMBINED_ATTD_INV (3)'!$A$1150:$E$1175,2,FALSE)</f>
        <v>Marian Bemma//</v>
      </c>
      <c r="D885" s="121" t="s">
        <v>663</v>
      </c>
      <c r="E885" s="114" t="s">
        <v>644</v>
      </c>
      <c r="F885" s="113" t="s">
        <v>643</v>
      </c>
    </row>
    <row r="886" spans="1:6" ht="17.149999999999999" customHeight="1" x14ac:dyDescent="0.3">
      <c r="A886" s="112" t="s">
        <v>467</v>
      </c>
      <c r="B886" s="113" t="str">
        <f>VLOOKUP(A886,[10]Schedule_Invigilators!$A$778:$B$803,2,FALSE)</f>
        <v>Jack Osei Banahene</v>
      </c>
      <c r="C886" s="113" t="str">
        <f>VLOOKUP(A886,'[10]COMBINED_ATTD_INV (3)'!$A$1150:$E$1175,2,FALSE)</f>
        <v>Derrick Amoateng//</v>
      </c>
      <c r="D886" s="121"/>
      <c r="E886" s="114" t="s">
        <v>644</v>
      </c>
      <c r="F886" s="113" t="s">
        <v>643</v>
      </c>
    </row>
    <row r="887" spans="1:6" ht="17.149999999999999" customHeight="1" x14ac:dyDescent="0.3">
      <c r="A887" s="112" t="s">
        <v>468</v>
      </c>
      <c r="B887" s="113" t="str">
        <f>VLOOKUP(A887,[10]Schedule_Invigilators!$A$778:$B$803,2,FALSE)</f>
        <v>Nicholas Prah / Anthony A. Agyemang</v>
      </c>
      <c r="C887" s="113" t="str">
        <f>VLOOKUP(A887,'[10]COMBINED_ATTD_INV (3)'!$A$1150:$E$1175,2,FALSE)</f>
        <v>Peter Agetinga//</v>
      </c>
      <c r="D887" s="121" t="s">
        <v>662</v>
      </c>
      <c r="E887" s="114" t="s">
        <v>644</v>
      </c>
      <c r="F887" s="113" t="s">
        <v>643</v>
      </c>
    </row>
    <row r="888" spans="1:6" ht="17.149999999999999" customHeight="1" x14ac:dyDescent="0.3">
      <c r="A888" s="112" t="s">
        <v>469</v>
      </c>
      <c r="B888" s="113" t="str">
        <f>VLOOKUP(A888,[10]Schedule_Invigilators!$A$778:$B$803,2,FALSE)</f>
        <v>Anthony Arko-Adjei / Bernard Konadu Amoah</v>
      </c>
      <c r="C888" s="113" t="str">
        <f>VLOOKUP(A888,'[10]COMBINED_ATTD_INV (3)'!$A$1150:$E$1175,2,FALSE)</f>
        <v>Owusu Stephen Akuoku/Samuel Osei-Asibey Bonsu/</v>
      </c>
      <c r="D888" s="121" t="s">
        <v>661</v>
      </c>
      <c r="E888" s="114" t="s">
        <v>644</v>
      </c>
      <c r="F888" s="113" t="s">
        <v>643</v>
      </c>
    </row>
    <row r="889" spans="1:6" ht="17.149999999999999" customHeight="1" x14ac:dyDescent="0.3">
      <c r="A889" s="112" t="s">
        <v>42</v>
      </c>
      <c r="B889" s="113" t="str">
        <f>VLOOKUP(A889,[10]Schedule_Invigilators!$A$778:$B$803,2,FALSE)</f>
        <v>David Oppong / Charles Gyamfi</v>
      </c>
      <c r="C889" s="113" t="str">
        <f>VLOOKUP(A889,'[10]COMBINED_ATTD_INV (3)'!$A$1150:$E$1175,2,FALSE)</f>
        <v>Kofi Bentum/Fiifi Turkson/</v>
      </c>
      <c r="D889" s="121" t="s">
        <v>660</v>
      </c>
      <c r="E889" s="114" t="s">
        <v>644</v>
      </c>
      <c r="F889" s="113" t="s">
        <v>643</v>
      </c>
    </row>
    <row r="890" spans="1:6" ht="17.149999999999999" customHeight="1" x14ac:dyDescent="0.3">
      <c r="A890" s="112" t="s">
        <v>470</v>
      </c>
      <c r="B890" s="113" t="str">
        <f>VLOOKUP(A890,[10]Schedule_Invigilators!$A$778:$B$803,2,FALSE)</f>
        <v>Godfred Boahen / Eugene Appiah-Effah</v>
      </c>
      <c r="C890" s="113" t="str">
        <f>VLOOKUP(A890,'[10]COMBINED_ATTD_INV (3)'!$A$1150:$E$1175,2,FALSE)</f>
        <v>Richmond Awotwe//</v>
      </c>
      <c r="D890" s="121" t="s">
        <v>659</v>
      </c>
      <c r="E890" s="114" t="s">
        <v>644</v>
      </c>
      <c r="F890" s="113" t="s">
        <v>643</v>
      </c>
    </row>
    <row r="891" spans="1:6" ht="17.149999999999999" customHeight="1" x14ac:dyDescent="0.3">
      <c r="A891" s="112" t="s">
        <v>471</v>
      </c>
      <c r="B891" s="113" t="str">
        <f>VLOOKUP(A891,[10]Schedule_Invigilators!$A$778:$B$803,2,FALSE)</f>
        <v>Efiba Vidda Senkyire Kwarteng / Martin Kesse</v>
      </c>
      <c r="C891" s="113" t="str">
        <f>VLOOKUP(A891,'[10]COMBINED_ATTD_INV (3)'!$A$1150:$E$1175,2,FALSE)</f>
        <v>Mercy Nimako//</v>
      </c>
      <c r="D891" s="121" t="s">
        <v>658</v>
      </c>
      <c r="E891" s="114" t="s">
        <v>644</v>
      </c>
      <c r="F891" s="113" t="s">
        <v>643</v>
      </c>
    </row>
    <row r="892" spans="1:6" ht="17.149999999999999" customHeight="1" x14ac:dyDescent="0.3">
      <c r="A892" s="112" t="s">
        <v>472</v>
      </c>
      <c r="B892" s="113" t="str">
        <f>VLOOKUP(A892,[10]Schedule_Invigilators!$A$778:$B$803,2,FALSE)</f>
        <v>Martina Francisca Baidoo / Prince Odame</v>
      </c>
      <c r="C892" s="113" t="str">
        <f>VLOOKUP(A892,'[10]COMBINED_ATTD_INV (3)'!$A$1150:$E$1175,2,FALSE)</f>
        <v>Bernard Audinada Ampofo/Fatawu Yakubu/</v>
      </c>
      <c r="D892" s="121" t="s">
        <v>657</v>
      </c>
      <c r="E892" s="114" t="s">
        <v>644</v>
      </c>
      <c r="F892" s="113" t="s">
        <v>643</v>
      </c>
    </row>
    <row r="893" spans="1:6" ht="17.149999999999999" customHeight="1" x14ac:dyDescent="0.3">
      <c r="A893" s="112" t="s">
        <v>108</v>
      </c>
      <c r="B893" s="113" t="str">
        <f>VLOOKUP(A893,[10]Schedule_Invigilators!$A$778:$B$803,2,FALSE)</f>
        <v>Eliel Keelson</v>
      </c>
      <c r="C893" s="113" t="str">
        <f>VLOOKUP(A893,'[10]COMBINED_ATTD_INV (3)'!$A$1150:$E$1175,2,FALSE)</f>
        <v>Clement Appiah//</v>
      </c>
      <c r="D893" s="121" t="s">
        <v>656</v>
      </c>
      <c r="E893" s="114" t="s">
        <v>644</v>
      </c>
      <c r="F893" s="113" t="s">
        <v>643</v>
      </c>
    </row>
    <row r="894" spans="1:6" ht="17.149999999999999" customHeight="1" x14ac:dyDescent="0.3">
      <c r="A894" s="112" t="s">
        <v>473</v>
      </c>
      <c r="B894" s="113" t="str">
        <f>VLOOKUP(A894,[10]Schedule_Invigilators!$A$778:$B$803,2,FALSE)</f>
        <v>Yesuenyeagbe Fiagbe / Nancy Anataba Kyorku Dzikunu-Bansah</v>
      </c>
      <c r="C894" s="113" t="str">
        <f>VLOOKUP(A894,'[10]COMBINED_ATTD_INV (3)'!$A$1150:$E$1175,2,FALSE)</f>
        <v>Godfred Appiah//</v>
      </c>
      <c r="D894" s="121" t="s">
        <v>655</v>
      </c>
      <c r="E894" s="114" t="s">
        <v>644</v>
      </c>
      <c r="F894" s="113" t="s">
        <v>643</v>
      </c>
    </row>
    <row r="895" spans="1:6" ht="17.149999999999999" customHeight="1" x14ac:dyDescent="0.3">
      <c r="A895" s="112" t="s">
        <v>474</v>
      </c>
      <c r="B895" s="113" t="str">
        <f>VLOOKUP(A895,[10]Schedule_Invigilators!$A$778:$B$803,2,FALSE)</f>
        <v>Matthew Coffie Wilson</v>
      </c>
      <c r="C895" s="113" t="str">
        <f>VLOOKUP(A895,'[10]COMBINED_ATTD_INV (3)'!$A$1150:$E$1175,2,FALSE)</f>
        <v>Ruth Adwubi Sarfo//</v>
      </c>
      <c r="D895" s="121" t="s">
        <v>654</v>
      </c>
      <c r="E895" s="114" t="s">
        <v>644</v>
      </c>
      <c r="F895" s="113" t="s">
        <v>643</v>
      </c>
    </row>
    <row r="896" spans="1:6" ht="17.149999999999999" customHeight="1" x14ac:dyDescent="0.3">
      <c r="A896" s="112" t="s">
        <v>475</v>
      </c>
      <c r="B896" s="113" t="str">
        <f>VLOOKUP(A896,[10]Schedule_Invigilators!$A$778:$B$803,2,FALSE)</f>
        <v>James Dzisi Gadze</v>
      </c>
      <c r="C896" s="113" t="str">
        <f>VLOOKUP(A896,'[10]COMBINED_ATTD_INV (3)'!$A$1150:$E$1175,2,FALSE)</f>
        <v>Rebecca Yamoah//</v>
      </c>
      <c r="D896" s="121" t="s">
        <v>653</v>
      </c>
      <c r="E896" s="114" t="s">
        <v>644</v>
      </c>
      <c r="F896" s="113" t="s">
        <v>643</v>
      </c>
    </row>
    <row r="897" spans="1:6" ht="17.149999999999999" customHeight="1" x14ac:dyDescent="0.3">
      <c r="A897" s="112" t="s">
        <v>476</v>
      </c>
      <c r="B897" s="113" t="str">
        <f>VLOOKUP(A897,[10]Schedule_Invigilators!$A$778:$B$803,2,FALSE)</f>
        <v>Prince Ebenezer Adjei / Jude Bonsu</v>
      </c>
      <c r="C897" s="113" t="str">
        <f>VLOOKUP(A897,'[10]COMBINED_ATTD_INV (3)'!$A$1150:$E$1175,2,FALSE)</f>
        <v>Kwame Kwarteng Sarpong//</v>
      </c>
      <c r="D897" s="121" t="s">
        <v>652</v>
      </c>
      <c r="E897" s="114" t="s">
        <v>644</v>
      </c>
      <c r="F897" s="113" t="s">
        <v>643</v>
      </c>
    </row>
    <row r="898" spans="1:6" ht="17.149999999999999" customHeight="1" x14ac:dyDescent="0.3">
      <c r="A898" s="112" t="s">
        <v>477</v>
      </c>
      <c r="B898" s="113" t="str">
        <f>VLOOKUP(A898,[10]Schedule_Invigilators!$A$778:$B$803,2,FALSE)</f>
        <v>Emmanuel Ampoma Affum / Kenneth Adomako Tutu</v>
      </c>
      <c r="C898" s="113" t="str">
        <f>VLOOKUP(A898,'[10]COMBINED_ATTD_INV (3)'!$A$1150:$E$1175,2,FALSE)</f>
        <v>Kwadwo Afful//</v>
      </c>
      <c r="D898" s="121" t="s">
        <v>651</v>
      </c>
      <c r="E898" s="114" t="s">
        <v>644</v>
      </c>
      <c r="F898" s="113" t="s">
        <v>643</v>
      </c>
    </row>
    <row r="899" spans="1:6" ht="17.149999999999999" customHeight="1" x14ac:dyDescent="0.3">
      <c r="A899" s="112" t="s">
        <v>144</v>
      </c>
      <c r="B899" s="113" t="str">
        <f>VLOOKUP(A899,[10]Schedule_Invigilators!$A$778:$B$803,2,FALSE)</f>
        <v>Blestmond Afrifa Brako / Prosper Akaba</v>
      </c>
      <c r="C899" s="113" t="str">
        <f>VLOOKUP(A899,'[10]COMBINED_ATTD_INV (3)'!$A$1150:$E$1175,2,FALSE)</f>
        <v>Mohammed Bakang/Adjatu Busali/</v>
      </c>
      <c r="D899" s="121" t="s">
        <v>650</v>
      </c>
      <c r="E899" s="114" t="s">
        <v>644</v>
      </c>
      <c r="F899" s="113" t="s">
        <v>643</v>
      </c>
    </row>
    <row r="900" spans="1:6" ht="17.149999999999999" hidden="1" customHeight="1" x14ac:dyDescent="0.3">
      <c r="A900" s="112" t="s">
        <v>638</v>
      </c>
      <c r="B900" s="113" t="e">
        <f>VLOOKUP(A900,[10]Schedule_Invigilators!$A$778:$B$803,2,FALSE)</f>
        <v>#N/A</v>
      </c>
      <c r="C900" s="113" t="e">
        <f>VLOOKUP(A900,'[10]COMBINED_ATTD_INV (3)'!$A$1150:$E$1175,2,FALSE)</f>
        <v>#N/A</v>
      </c>
      <c r="D900" s="121" t="s">
        <v>649</v>
      </c>
      <c r="E900" s="114" t="s">
        <v>644</v>
      </c>
      <c r="F900" s="113" t="s">
        <v>643</v>
      </c>
    </row>
    <row r="901" spans="1:6" ht="17.149999999999999" customHeight="1" x14ac:dyDescent="0.3">
      <c r="A901" s="112" t="s">
        <v>637</v>
      </c>
      <c r="B901" s="113" t="str">
        <f>VLOOKUP(A901,[10]Schedule_Invigilators!$A$778:$B$803,2,FALSE)</f>
        <v>C. K. K. Sekyere / Felix Jojo Fianko Ayeh / Peter Oppong Tawiah / Albert Asare</v>
      </c>
      <c r="C901" s="113" t="str">
        <f>VLOOKUP(A901,'[10]COMBINED_ATTD_INV (3)'!$A$1150:$E$1175,2,FALSE)</f>
        <v>Micheal Obbo/Bernard Annan/Robert Kofi Kyere</v>
      </c>
      <c r="D901" s="121" t="s">
        <v>648</v>
      </c>
      <c r="E901" s="114" t="s">
        <v>644</v>
      </c>
      <c r="F901" s="113" t="s">
        <v>643</v>
      </c>
    </row>
    <row r="902" spans="1:6" ht="17.149999999999999" customHeight="1" x14ac:dyDescent="0.3">
      <c r="A902" s="112" t="s">
        <v>636</v>
      </c>
      <c r="B902" s="113" t="str">
        <f>VLOOKUP(A902,[10]Schedule_Invigilators!$A$778:$B$803,2,FALSE)</f>
        <v>Vincent Kofi Abaka Acquaah / Ayuba Bene Adam / Daniel Kwegyir</v>
      </c>
      <c r="C902" s="113" t="str">
        <f>VLOOKUP(A902,'[10]COMBINED_ATTD_INV (3)'!$A$1150:$E$1175,2,FALSE)</f>
        <v>Evans Korletey/Perseverance Dzikunu/Adom Ebenezer</v>
      </c>
      <c r="D902" s="121" t="s">
        <v>647</v>
      </c>
      <c r="E902" s="114" t="s">
        <v>644</v>
      </c>
      <c r="F902" s="113" t="s">
        <v>643</v>
      </c>
    </row>
    <row r="903" spans="1:6" ht="17.149999999999999" customHeight="1" x14ac:dyDescent="0.3">
      <c r="A903" s="112" t="s">
        <v>635</v>
      </c>
      <c r="B903" s="113" t="str">
        <f>VLOOKUP(A903,[10]Schedule_Invigilators!$A$778:$B$803,2,FALSE)</f>
        <v>Dorothy Araba Yakoba Agyapong / Bennetta Koomson / M. Appiah Brempong</v>
      </c>
      <c r="C903" s="113" t="str">
        <f>VLOOKUP(A903,'[10]COMBINED_ATTD_INV (3)'!$A$1150:$E$1175,2,FALSE)</f>
        <v>Kingsley Kyei Baffour/Bright Andoh-Baidoo/</v>
      </c>
      <c r="D903" s="121" t="s">
        <v>646</v>
      </c>
      <c r="E903" s="114" t="s">
        <v>644</v>
      </c>
      <c r="F903" s="113" t="s">
        <v>643</v>
      </c>
    </row>
    <row r="904" spans="1:6" ht="17.149999999999999" customHeight="1" x14ac:dyDescent="0.3">
      <c r="A904" s="112" t="s">
        <v>634</v>
      </c>
      <c r="B904" s="113" t="str">
        <f>VLOOKUP(A904,[10]Schedule_Invigilators!$A$778:$B$803,2,FALSE)</f>
        <v>Augustus Ababio Donkor / Kwame Sarkodie</v>
      </c>
      <c r="C904" s="113" t="str">
        <f>VLOOKUP(A904,'[10]COMBINED_ATTD_INV (3)'!$A$1150:$E$1175,2,FALSE)</f>
        <v>Abigail Akos Worlanyo//</v>
      </c>
      <c r="D904" s="121" t="s">
        <v>645</v>
      </c>
      <c r="E904" s="114" t="s">
        <v>644</v>
      </c>
      <c r="F904" s="113" t="s">
        <v>643</v>
      </c>
    </row>
    <row r="905" spans="1:6" ht="17.149999999999999" customHeight="1" x14ac:dyDescent="0.3">
      <c r="A905" s="112"/>
      <c r="B905" s="113"/>
      <c r="C905" s="113"/>
      <c r="D905" s="113"/>
      <c r="E905" s="114"/>
      <c r="F905" s="113"/>
    </row>
    <row r="906" spans="1:6" s="118" customFormat="1" ht="17.149999999999999" customHeight="1" x14ac:dyDescent="0.3">
      <c r="A906" s="119" t="s">
        <v>642</v>
      </c>
      <c r="B906" s="119"/>
      <c r="C906" s="119"/>
      <c r="D906" s="119"/>
      <c r="E906" s="120" t="s">
        <v>641</v>
      </c>
      <c r="F906" s="119" t="s">
        <v>640</v>
      </c>
    </row>
    <row r="907" spans="1:6" ht="17.149999999999999" customHeight="1" x14ac:dyDescent="0.35">
      <c r="A907" s="112" t="s">
        <v>35</v>
      </c>
      <c r="B907" s="113"/>
      <c r="C907" s="113"/>
      <c r="D907" s="117"/>
      <c r="E907" s="114" t="s">
        <v>633</v>
      </c>
      <c r="F907" s="113" t="s">
        <v>632</v>
      </c>
    </row>
    <row r="908" spans="1:6" ht="17.149999999999999" customHeight="1" x14ac:dyDescent="0.35">
      <c r="A908" s="112" t="s">
        <v>510</v>
      </c>
      <c r="B908" s="113"/>
      <c r="C908" s="113"/>
      <c r="D908" s="117"/>
      <c r="E908" s="114" t="s">
        <v>633</v>
      </c>
      <c r="F908" s="113" t="s">
        <v>632</v>
      </c>
    </row>
    <row r="909" spans="1:6" ht="17.149999999999999" customHeight="1" x14ac:dyDescent="0.35">
      <c r="A909" s="112" t="s">
        <v>508</v>
      </c>
      <c r="B909" s="113"/>
      <c r="C909" s="113"/>
      <c r="D909" s="117"/>
      <c r="E909" s="114" t="s">
        <v>633</v>
      </c>
      <c r="F909" s="113" t="s">
        <v>632</v>
      </c>
    </row>
    <row r="910" spans="1:6" ht="17.149999999999999" customHeight="1" x14ac:dyDescent="0.35">
      <c r="A910" s="112" t="s">
        <v>466</v>
      </c>
      <c r="B910" s="113"/>
      <c r="C910" s="113"/>
      <c r="D910" s="117"/>
      <c r="E910" s="114" t="s">
        <v>633</v>
      </c>
      <c r="F910" s="113" t="s">
        <v>632</v>
      </c>
    </row>
    <row r="911" spans="1:6" ht="17.149999999999999" customHeight="1" x14ac:dyDescent="0.35">
      <c r="A911" s="112">
        <v>206</v>
      </c>
      <c r="B911" s="113"/>
      <c r="C911" s="113"/>
      <c r="D911" s="117"/>
      <c r="E911" s="114" t="s">
        <v>633</v>
      </c>
      <c r="F911" s="113" t="s">
        <v>632</v>
      </c>
    </row>
    <row r="912" spans="1:6" ht="17.149999999999999" customHeight="1" x14ac:dyDescent="0.3">
      <c r="A912" s="112">
        <v>303</v>
      </c>
      <c r="B912" s="113"/>
      <c r="C912" s="113"/>
      <c r="D912" s="115"/>
      <c r="E912" s="114" t="s">
        <v>633</v>
      </c>
      <c r="F912" s="113" t="s">
        <v>632</v>
      </c>
    </row>
    <row r="913" spans="1:6" ht="17.149999999999999" customHeight="1" x14ac:dyDescent="0.35">
      <c r="A913" s="112">
        <v>304</v>
      </c>
      <c r="B913" s="113"/>
      <c r="C913" s="113"/>
      <c r="D913" s="116"/>
      <c r="E913" s="114" t="s">
        <v>633</v>
      </c>
      <c r="F913" s="113" t="s">
        <v>632</v>
      </c>
    </row>
    <row r="914" spans="1:6" ht="17.149999999999999" customHeight="1" x14ac:dyDescent="0.35">
      <c r="A914" s="112" t="s">
        <v>61</v>
      </c>
      <c r="B914" s="113"/>
      <c r="C914" s="113"/>
      <c r="D914" s="117"/>
      <c r="E914" s="114" t="s">
        <v>633</v>
      </c>
      <c r="F914" s="113" t="s">
        <v>632</v>
      </c>
    </row>
    <row r="915" spans="1:6" ht="17.149999999999999" customHeight="1" x14ac:dyDescent="0.35">
      <c r="A915" s="112" t="s">
        <v>467</v>
      </c>
      <c r="B915" s="113"/>
      <c r="C915" s="113"/>
      <c r="D915" s="117"/>
      <c r="E915" s="114" t="s">
        <v>633</v>
      </c>
      <c r="F915" s="113" t="s">
        <v>632</v>
      </c>
    </row>
    <row r="916" spans="1:6" ht="17.149999999999999" customHeight="1" x14ac:dyDescent="0.35">
      <c r="A916" s="112" t="s">
        <v>468</v>
      </c>
      <c r="B916" s="113"/>
      <c r="C916" s="113"/>
      <c r="D916" s="117"/>
      <c r="E916" s="114" t="s">
        <v>633</v>
      </c>
      <c r="F916" s="113" t="s">
        <v>632</v>
      </c>
    </row>
    <row r="917" spans="1:6" ht="17.149999999999999" customHeight="1" x14ac:dyDescent="0.35">
      <c r="A917" s="112" t="s">
        <v>469</v>
      </c>
      <c r="B917" s="113"/>
      <c r="C917" s="113"/>
      <c r="D917" s="117"/>
      <c r="E917" s="114" t="s">
        <v>633</v>
      </c>
      <c r="F917" s="113" t="s">
        <v>632</v>
      </c>
    </row>
    <row r="918" spans="1:6" ht="17.149999999999999" customHeight="1" x14ac:dyDescent="0.35">
      <c r="A918" s="112" t="s">
        <v>42</v>
      </c>
      <c r="B918" s="113"/>
      <c r="C918" s="113"/>
      <c r="D918" s="117"/>
      <c r="E918" s="114" t="s">
        <v>633</v>
      </c>
      <c r="F918" s="113" t="s">
        <v>632</v>
      </c>
    </row>
    <row r="919" spans="1:6" ht="17.149999999999999" customHeight="1" x14ac:dyDescent="0.3">
      <c r="A919" s="112" t="s">
        <v>639</v>
      </c>
      <c r="B919" s="113"/>
      <c r="C919" s="113"/>
      <c r="D919" s="115"/>
      <c r="E919" s="114" t="s">
        <v>633</v>
      </c>
      <c r="F919" s="113" t="s">
        <v>632</v>
      </c>
    </row>
    <row r="920" spans="1:6" ht="17.149999999999999" customHeight="1" x14ac:dyDescent="0.35">
      <c r="A920" s="112" t="s">
        <v>470</v>
      </c>
      <c r="B920" s="113"/>
      <c r="C920" s="113"/>
      <c r="D920" s="117"/>
      <c r="E920" s="114" t="s">
        <v>633</v>
      </c>
      <c r="F920" s="113" t="s">
        <v>632</v>
      </c>
    </row>
    <row r="921" spans="1:6" ht="17.149999999999999" customHeight="1" x14ac:dyDescent="0.35">
      <c r="A921" s="112" t="s">
        <v>471</v>
      </c>
      <c r="B921" s="113"/>
      <c r="C921" s="113"/>
      <c r="D921" s="117"/>
      <c r="E921" s="114" t="s">
        <v>633</v>
      </c>
      <c r="F921" s="113" t="s">
        <v>632</v>
      </c>
    </row>
    <row r="922" spans="1:6" ht="17.149999999999999" customHeight="1" x14ac:dyDescent="0.35">
      <c r="A922" s="112" t="s">
        <v>472</v>
      </c>
      <c r="B922" s="113"/>
      <c r="C922" s="113"/>
      <c r="D922" s="117"/>
      <c r="E922" s="114" t="s">
        <v>633</v>
      </c>
      <c r="F922" s="113" t="s">
        <v>632</v>
      </c>
    </row>
    <row r="923" spans="1:6" ht="17.149999999999999" customHeight="1" x14ac:dyDescent="0.3">
      <c r="A923" s="112" t="s">
        <v>108</v>
      </c>
      <c r="B923" s="113"/>
      <c r="C923" s="113"/>
      <c r="D923" s="115"/>
      <c r="E923" s="114" t="s">
        <v>633</v>
      </c>
      <c r="F923" s="113" t="s">
        <v>632</v>
      </c>
    </row>
    <row r="924" spans="1:6" ht="17.149999999999999" customHeight="1" x14ac:dyDescent="0.35">
      <c r="A924" s="112" t="s">
        <v>473</v>
      </c>
      <c r="B924" s="113"/>
      <c r="C924" s="113"/>
      <c r="D924" s="117"/>
      <c r="E924" s="114" t="s">
        <v>633</v>
      </c>
      <c r="F924" s="113" t="s">
        <v>632</v>
      </c>
    </row>
    <row r="925" spans="1:6" ht="17.149999999999999" customHeight="1" x14ac:dyDescent="0.35">
      <c r="A925" s="112" t="s">
        <v>474</v>
      </c>
      <c r="B925" s="113"/>
      <c r="C925" s="113"/>
      <c r="D925" s="117"/>
      <c r="E925" s="114" t="s">
        <v>633</v>
      </c>
      <c r="F925" s="113" t="s">
        <v>632</v>
      </c>
    </row>
    <row r="926" spans="1:6" ht="17.149999999999999" customHeight="1" x14ac:dyDescent="0.35">
      <c r="A926" s="112" t="s">
        <v>475</v>
      </c>
      <c r="B926" s="113"/>
      <c r="C926" s="113"/>
      <c r="D926" s="117"/>
      <c r="E926" s="114" t="s">
        <v>633</v>
      </c>
      <c r="F926" s="113" t="s">
        <v>632</v>
      </c>
    </row>
    <row r="927" spans="1:6" ht="17.149999999999999" customHeight="1" x14ac:dyDescent="0.35">
      <c r="A927" s="112" t="s">
        <v>476</v>
      </c>
      <c r="B927" s="113"/>
      <c r="C927" s="113"/>
      <c r="D927" s="117"/>
      <c r="E927" s="114" t="s">
        <v>633</v>
      </c>
      <c r="F927" s="113" t="s">
        <v>632</v>
      </c>
    </row>
    <row r="928" spans="1:6" ht="17.149999999999999" customHeight="1" x14ac:dyDescent="0.35">
      <c r="A928" s="112" t="s">
        <v>477</v>
      </c>
      <c r="B928" s="113"/>
      <c r="C928" s="113"/>
      <c r="D928" s="117"/>
      <c r="E928" s="114" t="s">
        <v>633</v>
      </c>
      <c r="F928" s="113" t="s">
        <v>632</v>
      </c>
    </row>
    <row r="929" spans="1:6" ht="17.149999999999999" customHeight="1" x14ac:dyDescent="0.35">
      <c r="A929" s="112" t="s">
        <v>144</v>
      </c>
      <c r="B929" s="113"/>
      <c r="C929" s="113"/>
      <c r="D929" s="117"/>
      <c r="E929" s="114" t="s">
        <v>633</v>
      </c>
      <c r="F929" s="113" t="s">
        <v>632</v>
      </c>
    </row>
    <row r="930" spans="1:6" ht="17.149999999999999" customHeight="1" x14ac:dyDescent="0.35">
      <c r="A930" s="112" t="s">
        <v>638</v>
      </c>
      <c r="B930" s="113"/>
      <c r="C930" s="113"/>
      <c r="D930" s="116"/>
      <c r="E930" s="114" t="s">
        <v>633</v>
      </c>
      <c r="F930" s="113" t="s">
        <v>632</v>
      </c>
    </row>
    <row r="931" spans="1:6" ht="17.149999999999999" customHeight="1" x14ac:dyDescent="0.35">
      <c r="A931" s="112" t="s">
        <v>637</v>
      </c>
      <c r="B931" s="113"/>
      <c r="C931" s="113"/>
      <c r="D931" s="116"/>
      <c r="E931" s="114" t="s">
        <v>633</v>
      </c>
      <c r="F931" s="113" t="s">
        <v>632</v>
      </c>
    </row>
    <row r="932" spans="1:6" ht="17.149999999999999" customHeight="1" x14ac:dyDescent="0.35">
      <c r="A932" s="112" t="s">
        <v>636</v>
      </c>
      <c r="B932" s="113"/>
      <c r="C932" s="113"/>
      <c r="D932" s="116"/>
      <c r="E932" s="114" t="s">
        <v>633</v>
      </c>
      <c r="F932" s="113" t="s">
        <v>632</v>
      </c>
    </row>
    <row r="933" spans="1:6" ht="17.149999999999999" customHeight="1" x14ac:dyDescent="0.35">
      <c r="A933" s="112" t="s">
        <v>635</v>
      </c>
      <c r="B933" s="113"/>
      <c r="C933" s="113"/>
      <c r="D933" s="116"/>
      <c r="E933" s="114" t="s">
        <v>633</v>
      </c>
      <c r="F933" s="113" t="s">
        <v>632</v>
      </c>
    </row>
    <row r="934" spans="1:6" ht="17.149999999999999" customHeight="1" x14ac:dyDescent="0.3">
      <c r="A934" s="112" t="s">
        <v>634</v>
      </c>
      <c r="B934" s="113"/>
      <c r="C934" s="113"/>
      <c r="D934" s="115"/>
      <c r="E934" s="114" t="s">
        <v>633</v>
      </c>
      <c r="F934" s="113" t="s">
        <v>632</v>
      </c>
    </row>
    <row r="935" spans="1:6" ht="17.149999999999999" customHeight="1" x14ac:dyDescent="0.3">
      <c r="A935" s="112"/>
    </row>
  </sheetData>
  <pageMargins left="0.25" right="0.25" top="0.75" bottom="0.75" header="0.3" footer="0.3"/>
  <pageSetup paperSize="9" scale="52" fitToHeight="0" orientation="landscape" r:id="rId1"/>
  <rowBreaks count="48" manualBreakCount="48">
    <brk id="27" max="16383" man="1"/>
    <brk id="54" max="5" man="1"/>
    <brk id="82" max="16383" man="1"/>
    <brk id="110" max="16383" man="1"/>
    <brk id="138" max="16383" man="1"/>
    <brk id="166" max="5" man="1"/>
    <brk id="192" max="5" man="1"/>
    <brk id="220" max="5" man="1"/>
    <brk id="249" max="5" man="1"/>
    <brk id="278" max="5" man="1"/>
    <brk id="306" max="5" man="1"/>
    <brk id="365" max="5" man="1"/>
    <brk id="393" max="5" man="1"/>
    <brk id="422" max="5" man="1"/>
    <brk id="451" max="5" man="1"/>
    <brk id="480" max="5" man="1"/>
    <brk id="508" max="5" man="1"/>
    <brk id="537" max="5" man="1"/>
    <brk id="594" max="5" man="1"/>
    <brk id="619" max="5" man="1"/>
    <brk id="647" max="5" man="1"/>
    <brk id="675" max="5" man="1"/>
    <brk id="705" max="5" man="1"/>
    <brk id="165" max="16383" man="1"/>
    <brk id="192" max="16383" man="1"/>
    <brk id="220" max="16383" man="1"/>
    <brk id="249" max="16383" man="1"/>
    <brk id="278" max="16383" man="1"/>
    <brk id="306" max="16383" man="1"/>
    <brk id="335" max="5" man="1"/>
    <brk id="365" max="16383" man="1"/>
    <brk id="393" max="16383" man="1"/>
    <brk id="422" max="16383" man="1"/>
    <brk id="451" max="16383" man="1"/>
    <brk id="480" max="16383" man="1"/>
    <brk id="508" max="16383" man="1"/>
    <brk id="537" max="5" man="1"/>
    <brk id="594" max="16383" man="1"/>
    <brk id="619" max="16383" man="1"/>
    <brk id="647" max="16383" man="1"/>
    <brk id="675" max="16383" man="1"/>
    <brk id="732" max="5" man="1"/>
    <brk id="761" max="5" man="1"/>
    <brk id="790" max="5" man="1"/>
    <brk id="818" max="5" man="1"/>
    <brk id="846" max="5" man="1"/>
    <brk id="875" max="5" man="1"/>
    <brk id="904" max="4" man="1"/>
  </rowBreaks>
  <colBreaks count="1" manualBreakCount="1">
    <brk id="4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C1238-59BE-4036-B6DC-71EAB6A181FC}">
  <dimension ref="A1:E61"/>
  <sheetViews>
    <sheetView workbookViewId="0">
      <selection activeCell="B25" sqref="B25"/>
    </sheetView>
  </sheetViews>
  <sheetFormatPr defaultRowHeight="14.5" x14ac:dyDescent="0.35"/>
  <cols>
    <col min="2" max="2" width="57.54296875" bestFit="1" customWidth="1"/>
    <col min="3" max="3" width="33.54296875" bestFit="1" customWidth="1"/>
    <col min="4" max="4" width="24" bestFit="1" customWidth="1"/>
    <col min="5" max="5" width="29.1796875" bestFit="1" customWidth="1"/>
  </cols>
  <sheetData>
    <row r="1" spans="1:5" x14ac:dyDescent="0.35">
      <c r="A1" s="109" t="s">
        <v>631</v>
      </c>
      <c r="B1" s="109" t="s">
        <v>630</v>
      </c>
      <c r="C1" s="109" t="s">
        <v>629</v>
      </c>
      <c r="D1" s="253" t="s">
        <v>628</v>
      </c>
      <c r="E1" s="109" t="s">
        <v>627</v>
      </c>
    </row>
    <row r="2" spans="1:5" x14ac:dyDescent="0.35">
      <c r="A2" s="109">
        <v>1</v>
      </c>
      <c r="B2" s="109" t="s">
        <v>626</v>
      </c>
      <c r="C2" s="109" t="s">
        <v>537</v>
      </c>
      <c r="D2" s="253">
        <v>1441000158691</v>
      </c>
      <c r="E2" s="109" t="s">
        <v>527</v>
      </c>
    </row>
    <row r="3" spans="1:5" x14ac:dyDescent="0.35">
      <c r="A3" s="109">
        <v>2</v>
      </c>
      <c r="B3" s="109" t="s">
        <v>625</v>
      </c>
      <c r="C3" s="109" t="s">
        <v>533</v>
      </c>
      <c r="D3" s="253">
        <v>4010528168</v>
      </c>
      <c r="E3" s="109" t="s">
        <v>587</v>
      </c>
    </row>
    <row r="4" spans="1:5" x14ac:dyDescent="0.35">
      <c r="A4" s="109">
        <v>3</v>
      </c>
      <c r="B4" s="109" t="s">
        <v>624</v>
      </c>
      <c r="C4" s="109" t="s">
        <v>588</v>
      </c>
      <c r="D4" s="253">
        <v>2051043321590</v>
      </c>
      <c r="E4" s="109" t="s">
        <v>623</v>
      </c>
    </row>
    <row r="5" spans="1:5" x14ac:dyDescent="0.35">
      <c r="A5" s="109">
        <v>4</v>
      </c>
      <c r="B5" s="109" t="s">
        <v>622</v>
      </c>
      <c r="C5" s="109" t="s">
        <v>588</v>
      </c>
      <c r="D5" s="253">
        <v>3041020071590</v>
      </c>
      <c r="E5" s="109" t="s">
        <v>527</v>
      </c>
    </row>
    <row r="6" spans="1:5" x14ac:dyDescent="0.35">
      <c r="A6" s="109">
        <v>6</v>
      </c>
      <c r="B6" s="109" t="s">
        <v>621</v>
      </c>
      <c r="C6" s="109" t="s">
        <v>588</v>
      </c>
      <c r="D6" s="253">
        <v>203103267110</v>
      </c>
      <c r="E6" s="109" t="s">
        <v>620</v>
      </c>
    </row>
    <row r="7" spans="1:5" x14ac:dyDescent="0.35">
      <c r="A7" s="109">
        <v>7</v>
      </c>
      <c r="B7" s="109" t="s">
        <v>619</v>
      </c>
      <c r="C7" s="109" t="s">
        <v>539</v>
      </c>
      <c r="D7" s="253">
        <v>6031010229473</v>
      </c>
      <c r="E7" s="109" t="s">
        <v>527</v>
      </c>
    </row>
    <row r="8" spans="1:5" ht="15" customHeight="1" x14ac:dyDescent="0.35">
      <c r="A8" s="109">
        <v>8</v>
      </c>
      <c r="B8" s="109" t="s">
        <v>618</v>
      </c>
      <c r="C8" s="109" t="s">
        <v>617</v>
      </c>
      <c r="D8" s="253">
        <v>20811212115901</v>
      </c>
      <c r="E8" s="109" t="s">
        <v>616</v>
      </c>
    </row>
    <row r="9" spans="1:5" ht="14.25" customHeight="1" x14ac:dyDescent="0.35">
      <c r="A9" s="109">
        <v>9</v>
      </c>
      <c r="B9" s="109" t="s">
        <v>615</v>
      </c>
      <c r="C9" s="109" t="s">
        <v>614</v>
      </c>
      <c r="D9" s="253">
        <v>1739700100001</v>
      </c>
      <c r="E9" s="109" t="s">
        <v>557</v>
      </c>
    </row>
    <row r="10" spans="1:5" x14ac:dyDescent="0.35">
      <c r="A10" s="109">
        <v>10</v>
      </c>
      <c r="B10" s="109" t="s">
        <v>613</v>
      </c>
      <c r="C10" s="109" t="s">
        <v>577</v>
      </c>
      <c r="D10" s="253">
        <v>2012823101560</v>
      </c>
      <c r="E10" s="109" t="s">
        <v>527</v>
      </c>
    </row>
    <row r="11" spans="1:5" x14ac:dyDescent="0.35">
      <c r="A11" s="109">
        <v>11</v>
      </c>
      <c r="B11" s="109" t="s">
        <v>612</v>
      </c>
      <c r="C11" s="109" t="s">
        <v>539</v>
      </c>
      <c r="D11" s="253">
        <v>6031010188305</v>
      </c>
      <c r="E11" s="109" t="s">
        <v>527</v>
      </c>
    </row>
    <row r="12" spans="1:5" x14ac:dyDescent="0.35">
      <c r="A12" s="109">
        <v>12</v>
      </c>
      <c r="B12" s="109" t="s">
        <v>611</v>
      </c>
      <c r="C12" s="109" t="s">
        <v>610</v>
      </c>
      <c r="D12" s="253">
        <v>101960350600</v>
      </c>
      <c r="E12" s="109" t="s">
        <v>527</v>
      </c>
    </row>
    <row r="13" spans="1:5" x14ac:dyDescent="0.35">
      <c r="A13" s="109">
        <v>13</v>
      </c>
      <c r="B13" s="109" t="s">
        <v>609</v>
      </c>
      <c r="C13" s="109" t="s">
        <v>547</v>
      </c>
      <c r="D13" s="253">
        <v>1400000912699</v>
      </c>
      <c r="E13" s="109" t="s">
        <v>527</v>
      </c>
    </row>
    <row r="14" spans="1:5" x14ac:dyDescent="0.35">
      <c r="A14" s="109">
        <v>14</v>
      </c>
      <c r="B14" s="109" t="s">
        <v>608</v>
      </c>
      <c r="C14" s="109" t="s">
        <v>537</v>
      </c>
      <c r="D14" s="253">
        <v>1441000588532</v>
      </c>
      <c r="E14" s="109" t="s">
        <v>527</v>
      </c>
    </row>
    <row r="15" spans="1:5" x14ac:dyDescent="0.35">
      <c r="A15" s="109">
        <v>15</v>
      </c>
      <c r="B15" s="109" t="s">
        <v>607</v>
      </c>
      <c r="C15" s="109" t="s">
        <v>547</v>
      </c>
      <c r="D15" s="253">
        <v>1400001105193</v>
      </c>
      <c r="E15" s="109" t="s">
        <v>527</v>
      </c>
    </row>
    <row r="16" spans="1:5" x14ac:dyDescent="0.35">
      <c r="A16" s="109">
        <v>16</v>
      </c>
      <c r="B16" s="109" t="s">
        <v>606</v>
      </c>
      <c r="C16" s="109" t="s">
        <v>572</v>
      </c>
      <c r="D16" s="253">
        <v>131562104019</v>
      </c>
      <c r="E16" s="109" t="s">
        <v>527</v>
      </c>
    </row>
    <row r="17" spans="1:5" x14ac:dyDescent="0.35">
      <c r="A17" s="109">
        <v>17</v>
      </c>
      <c r="B17" s="109" t="s">
        <v>605</v>
      </c>
      <c r="C17" s="109" t="s">
        <v>537</v>
      </c>
      <c r="D17" s="253">
        <v>1441002249837</v>
      </c>
      <c r="E17" s="109" t="s">
        <v>527</v>
      </c>
    </row>
    <row r="18" spans="1:5" x14ac:dyDescent="0.35">
      <c r="A18" s="109">
        <v>18</v>
      </c>
      <c r="B18" s="109" t="s">
        <v>604</v>
      </c>
      <c r="C18" s="109" t="s">
        <v>539</v>
      </c>
      <c r="D18" s="253">
        <v>3061010025421</v>
      </c>
      <c r="E18" s="109" t="s">
        <v>603</v>
      </c>
    </row>
    <row r="19" spans="1:5" x14ac:dyDescent="0.35">
      <c r="A19" s="109">
        <v>19</v>
      </c>
      <c r="B19" s="109" t="s">
        <v>602</v>
      </c>
      <c r="C19" s="109" t="s">
        <v>577</v>
      </c>
      <c r="D19" s="253">
        <v>2010355201552</v>
      </c>
      <c r="E19" s="109" t="s">
        <v>527</v>
      </c>
    </row>
    <row r="20" spans="1:5" x14ac:dyDescent="0.35">
      <c r="A20" s="109">
        <v>20</v>
      </c>
      <c r="B20" s="109" t="s">
        <v>601</v>
      </c>
      <c r="C20" s="109" t="s">
        <v>537</v>
      </c>
      <c r="D20" s="253">
        <v>1441001381177</v>
      </c>
      <c r="E20" s="109" t="s">
        <v>562</v>
      </c>
    </row>
    <row r="21" spans="1:5" x14ac:dyDescent="0.35">
      <c r="A21" s="109">
        <v>21</v>
      </c>
      <c r="B21" s="109" t="s">
        <v>600</v>
      </c>
      <c r="C21" s="109" t="s">
        <v>539</v>
      </c>
      <c r="D21" s="253">
        <v>6281120002528</v>
      </c>
      <c r="E21" s="109" t="s">
        <v>552</v>
      </c>
    </row>
    <row r="22" spans="1:5" x14ac:dyDescent="0.35">
      <c r="A22" s="109">
        <v>22</v>
      </c>
      <c r="B22" s="109" t="s">
        <v>599</v>
      </c>
      <c r="C22" s="109" t="s">
        <v>598</v>
      </c>
      <c r="D22" s="253">
        <v>263647600001</v>
      </c>
      <c r="E22" s="109" t="s">
        <v>597</v>
      </c>
    </row>
    <row r="23" spans="1:5" x14ac:dyDescent="0.35">
      <c r="A23" s="109">
        <v>23</v>
      </c>
      <c r="B23" s="109" t="s">
        <v>596</v>
      </c>
      <c r="C23" s="109" t="s">
        <v>539</v>
      </c>
      <c r="D23" s="253">
        <v>6031160000638</v>
      </c>
      <c r="E23" s="109" t="s">
        <v>554</v>
      </c>
    </row>
    <row r="24" spans="1:5" x14ac:dyDescent="0.35">
      <c r="A24" s="109">
        <v>24</v>
      </c>
      <c r="B24" s="109" t="s">
        <v>595</v>
      </c>
      <c r="C24" s="109" t="s">
        <v>594</v>
      </c>
      <c r="D24" s="253">
        <v>1035322260611</v>
      </c>
      <c r="E24" s="109" t="s">
        <v>554</v>
      </c>
    </row>
    <row r="25" spans="1:5" x14ac:dyDescent="0.35">
      <c r="A25" s="109">
        <v>25</v>
      </c>
      <c r="B25" s="109" t="s">
        <v>593</v>
      </c>
      <c r="C25" s="109" t="s">
        <v>537</v>
      </c>
      <c r="D25" s="253">
        <v>1441001849418</v>
      </c>
      <c r="E25" s="109" t="s">
        <v>554</v>
      </c>
    </row>
    <row r="26" spans="1:5" x14ac:dyDescent="0.35">
      <c r="A26" s="109">
        <v>26</v>
      </c>
      <c r="B26" s="109" t="s">
        <v>592</v>
      </c>
      <c r="C26" s="109" t="s">
        <v>591</v>
      </c>
      <c r="D26" s="253">
        <v>9040005891676</v>
      </c>
      <c r="E26" s="109" t="s">
        <v>590</v>
      </c>
    </row>
    <row r="27" spans="1:5" x14ac:dyDescent="0.35">
      <c r="A27" s="109">
        <v>28</v>
      </c>
      <c r="B27" s="109" t="s">
        <v>589</v>
      </c>
      <c r="C27" s="109" t="s">
        <v>588</v>
      </c>
      <c r="D27" s="253">
        <v>3011131611590</v>
      </c>
      <c r="E27" s="109" t="s">
        <v>587</v>
      </c>
    </row>
    <row r="28" spans="1:5" x14ac:dyDescent="0.35">
      <c r="A28" s="109">
        <v>29</v>
      </c>
      <c r="B28" s="109" t="s">
        <v>586</v>
      </c>
      <c r="C28" s="109" t="s">
        <v>537</v>
      </c>
      <c r="D28" s="253">
        <v>1441001112028</v>
      </c>
      <c r="E28" s="109" t="s">
        <v>527</v>
      </c>
    </row>
    <row r="29" spans="1:5" x14ac:dyDescent="0.35">
      <c r="A29" s="109">
        <v>30</v>
      </c>
      <c r="B29" s="109" t="s">
        <v>585</v>
      </c>
      <c r="C29" s="109" t="s">
        <v>535</v>
      </c>
      <c r="D29" s="253">
        <v>1060270898011</v>
      </c>
      <c r="E29" s="109" t="s">
        <v>562</v>
      </c>
    </row>
    <row r="30" spans="1:5" x14ac:dyDescent="0.35">
      <c r="A30" s="109">
        <v>31</v>
      </c>
      <c r="B30" s="109" t="s">
        <v>584</v>
      </c>
      <c r="C30" s="109" t="s">
        <v>539</v>
      </c>
      <c r="D30" s="253">
        <v>6011010125809</v>
      </c>
      <c r="E30" s="109" t="s">
        <v>562</v>
      </c>
    </row>
    <row r="31" spans="1:5" x14ac:dyDescent="0.35">
      <c r="A31" s="109">
        <v>32</v>
      </c>
      <c r="B31" s="109" t="s">
        <v>583</v>
      </c>
      <c r="C31" s="109" t="s">
        <v>539</v>
      </c>
      <c r="D31" s="253">
        <v>6281010027423</v>
      </c>
      <c r="E31" s="109" t="s">
        <v>582</v>
      </c>
    </row>
    <row r="32" spans="1:5" x14ac:dyDescent="0.35">
      <c r="A32" s="109">
        <v>33</v>
      </c>
      <c r="B32" s="109" t="s">
        <v>581</v>
      </c>
      <c r="C32" s="109" t="s">
        <v>580</v>
      </c>
      <c r="D32" s="253">
        <v>763561607</v>
      </c>
      <c r="E32" s="109" t="s">
        <v>527</v>
      </c>
    </row>
    <row r="33" spans="1:5" x14ac:dyDescent="0.35">
      <c r="A33" s="109">
        <v>34</v>
      </c>
      <c r="B33" s="109" t="s">
        <v>579</v>
      </c>
      <c r="C33" s="109" t="s">
        <v>537</v>
      </c>
      <c r="D33" s="253">
        <v>1441002422305</v>
      </c>
      <c r="E33" s="109" t="s">
        <v>527</v>
      </c>
    </row>
    <row r="34" spans="1:5" x14ac:dyDescent="0.35">
      <c r="A34" s="109">
        <v>35</v>
      </c>
      <c r="B34" s="109" t="s">
        <v>578</v>
      </c>
      <c r="C34" s="109" t="s">
        <v>577</v>
      </c>
      <c r="D34" s="253">
        <v>2022599201552</v>
      </c>
      <c r="E34" s="109" t="s">
        <v>527</v>
      </c>
    </row>
    <row r="35" spans="1:5" x14ac:dyDescent="0.35">
      <c r="A35" s="109">
        <v>36</v>
      </c>
      <c r="B35" s="109" t="s">
        <v>576</v>
      </c>
      <c r="C35" s="109" t="s">
        <v>535</v>
      </c>
      <c r="D35" s="253">
        <v>2100431441415</v>
      </c>
      <c r="E35" s="109" t="s">
        <v>527</v>
      </c>
    </row>
    <row r="36" spans="1:5" x14ac:dyDescent="0.35">
      <c r="A36" s="109">
        <v>37</v>
      </c>
      <c r="B36" s="109" t="s">
        <v>575</v>
      </c>
      <c r="C36" s="109" t="s">
        <v>537</v>
      </c>
      <c r="D36" s="253">
        <v>1441001035691</v>
      </c>
      <c r="E36" s="109" t="s">
        <v>527</v>
      </c>
    </row>
    <row r="37" spans="1:5" x14ac:dyDescent="0.35">
      <c r="A37" s="109">
        <v>38</v>
      </c>
      <c r="B37" s="109" t="s">
        <v>574</v>
      </c>
      <c r="C37" s="109" t="s">
        <v>535</v>
      </c>
      <c r="D37" s="253">
        <v>2100431615811</v>
      </c>
      <c r="E37" s="109" t="s">
        <v>527</v>
      </c>
    </row>
    <row r="38" spans="1:5" x14ac:dyDescent="0.35">
      <c r="A38" s="109">
        <v>39</v>
      </c>
      <c r="B38" s="109" t="s">
        <v>573</v>
      </c>
      <c r="C38" s="109" t="s">
        <v>572</v>
      </c>
      <c r="D38" s="253">
        <v>207881964019</v>
      </c>
      <c r="E38" s="109" t="s">
        <v>571</v>
      </c>
    </row>
    <row r="39" spans="1:5" x14ac:dyDescent="0.35">
      <c r="A39" s="109">
        <v>40</v>
      </c>
      <c r="B39" s="109" t="s">
        <v>570</v>
      </c>
      <c r="C39" s="109" t="s">
        <v>543</v>
      </c>
      <c r="D39" s="253">
        <v>1400004200006</v>
      </c>
      <c r="E39" s="109" t="s">
        <v>569</v>
      </c>
    </row>
    <row r="40" spans="1:5" x14ac:dyDescent="0.35">
      <c r="A40" s="109">
        <v>41</v>
      </c>
      <c r="B40" s="109" t="s">
        <v>568</v>
      </c>
      <c r="C40" s="109" t="s">
        <v>528</v>
      </c>
      <c r="D40" s="253">
        <v>2200096600001</v>
      </c>
      <c r="E40" s="109" t="s">
        <v>567</v>
      </c>
    </row>
    <row r="41" spans="1:5" x14ac:dyDescent="0.35">
      <c r="A41" s="109">
        <v>42</v>
      </c>
      <c r="B41" s="109" t="s">
        <v>566</v>
      </c>
      <c r="C41" s="109" t="s">
        <v>543</v>
      </c>
      <c r="D41" s="253">
        <v>1400004749059</v>
      </c>
      <c r="E41" s="109" t="s">
        <v>527</v>
      </c>
    </row>
    <row r="42" spans="1:5" x14ac:dyDescent="0.35">
      <c r="A42" s="109">
        <v>44</v>
      </c>
      <c r="B42" s="109" t="s">
        <v>565</v>
      </c>
      <c r="C42" s="109" t="s">
        <v>535</v>
      </c>
      <c r="D42" s="253">
        <v>2100431877013</v>
      </c>
      <c r="E42" s="109" t="s">
        <v>527</v>
      </c>
    </row>
    <row r="43" spans="1:5" x14ac:dyDescent="0.35">
      <c r="A43" s="109">
        <v>46</v>
      </c>
      <c r="B43" s="109" t="s">
        <v>564</v>
      </c>
      <c r="C43" s="109" t="s">
        <v>547</v>
      </c>
      <c r="D43" s="253">
        <v>1400006756419</v>
      </c>
      <c r="E43" s="109" t="s">
        <v>527</v>
      </c>
    </row>
    <row r="44" spans="1:5" x14ac:dyDescent="0.35">
      <c r="A44" s="109">
        <v>48</v>
      </c>
      <c r="B44" s="109" t="s">
        <v>563</v>
      </c>
      <c r="C44" s="109" t="s">
        <v>537</v>
      </c>
      <c r="D44" s="253">
        <v>1441002337669</v>
      </c>
      <c r="E44" s="109" t="s">
        <v>562</v>
      </c>
    </row>
    <row r="45" spans="1:5" x14ac:dyDescent="0.35">
      <c r="A45" s="109">
        <v>51</v>
      </c>
      <c r="B45" s="109" t="s">
        <v>561</v>
      </c>
      <c r="C45" s="109" t="s">
        <v>547</v>
      </c>
      <c r="D45" s="253">
        <v>1400004403397</v>
      </c>
      <c r="E45" s="109" t="s">
        <v>527</v>
      </c>
    </row>
    <row r="46" spans="1:5" x14ac:dyDescent="0.35">
      <c r="A46" s="109">
        <v>54</v>
      </c>
      <c r="B46" s="109" t="s">
        <v>560</v>
      </c>
      <c r="C46" s="109" t="s">
        <v>559</v>
      </c>
      <c r="D46" s="254" t="s">
        <v>558</v>
      </c>
      <c r="E46" s="109" t="s">
        <v>557</v>
      </c>
    </row>
    <row r="47" spans="1:5" x14ac:dyDescent="0.35">
      <c r="A47" s="109">
        <v>55</v>
      </c>
      <c r="B47" s="109" t="s">
        <v>556</v>
      </c>
      <c r="C47" s="109" t="s">
        <v>547</v>
      </c>
      <c r="D47" s="253">
        <v>1400001033451</v>
      </c>
      <c r="E47" s="109" t="s">
        <v>554</v>
      </c>
    </row>
    <row r="48" spans="1:5" x14ac:dyDescent="0.35">
      <c r="A48" s="109">
        <v>57</v>
      </c>
      <c r="B48" s="109" t="s">
        <v>555</v>
      </c>
      <c r="C48" s="109" t="s">
        <v>535</v>
      </c>
      <c r="D48" s="253">
        <v>2100432434619</v>
      </c>
      <c r="E48" s="109" t="s">
        <v>554</v>
      </c>
    </row>
    <row r="49" spans="1:5" x14ac:dyDescent="0.35">
      <c r="A49" s="109">
        <v>58</v>
      </c>
      <c r="B49" s="109" t="s">
        <v>553</v>
      </c>
      <c r="C49" s="109" t="s">
        <v>539</v>
      </c>
      <c r="D49" s="253">
        <v>6281250011836</v>
      </c>
      <c r="E49" s="109" t="s">
        <v>552</v>
      </c>
    </row>
    <row r="50" spans="1:5" x14ac:dyDescent="0.35">
      <c r="A50" s="109">
        <v>59</v>
      </c>
      <c r="B50" s="109" t="s">
        <v>551</v>
      </c>
      <c r="C50" s="109" t="s">
        <v>550</v>
      </c>
      <c r="D50" s="253">
        <v>62002162395</v>
      </c>
      <c r="E50" s="109" t="s">
        <v>549</v>
      </c>
    </row>
    <row r="51" spans="1:5" x14ac:dyDescent="0.35">
      <c r="A51" s="109">
        <v>60</v>
      </c>
      <c r="B51" s="109" t="s">
        <v>548</v>
      </c>
      <c r="C51" s="109" t="s">
        <v>547</v>
      </c>
      <c r="D51" s="253">
        <v>1400005352381</v>
      </c>
      <c r="E51" s="109" t="s">
        <v>527</v>
      </c>
    </row>
    <row r="52" spans="1:5" x14ac:dyDescent="0.35">
      <c r="A52" s="109">
        <v>61</v>
      </c>
      <c r="B52" s="109" t="s">
        <v>546</v>
      </c>
      <c r="C52" s="109" t="s">
        <v>543</v>
      </c>
      <c r="D52" s="253">
        <v>1400005305798</v>
      </c>
      <c r="E52" s="109" t="s">
        <v>545</v>
      </c>
    </row>
    <row r="53" spans="1:5" x14ac:dyDescent="0.35">
      <c r="A53" s="109">
        <v>62</v>
      </c>
      <c r="B53" s="109" t="s">
        <v>544</v>
      </c>
      <c r="C53" s="109" t="s">
        <v>543</v>
      </c>
      <c r="D53" s="253">
        <v>1400005430684</v>
      </c>
      <c r="E53" s="109" t="s">
        <v>527</v>
      </c>
    </row>
    <row r="54" spans="1:5" x14ac:dyDescent="0.35">
      <c r="A54" s="109">
        <v>63</v>
      </c>
      <c r="B54" s="109" t="s">
        <v>542</v>
      </c>
      <c r="C54" s="109" t="s">
        <v>541</v>
      </c>
      <c r="D54" s="253">
        <v>2600301678417</v>
      </c>
      <c r="E54" s="109" t="s">
        <v>532</v>
      </c>
    </row>
    <row r="55" spans="1:5" x14ac:dyDescent="0.35">
      <c r="A55" s="109">
        <v>64</v>
      </c>
      <c r="B55" s="109" t="s">
        <v>540</v>
      </c>
      <c r="C55" s="109" t="s">
        <v>539</v>
      </c>
      <c r="D55" s="253">
        <v>6031010056939</v>
      </c>
      <c r="E55" s="109" t="s">
        <v>527</v>
      </c>
    </row>
    <row r="56" spans="1:5" x14ac:dyDescent="0.35">
      <c r="A56" s="109">
        <v>65</v>
      </c>
      <c r="B56" s="109" t="s">
        <v>538</v>
      </c>
      <c r="C56" s="109" t="s">
        <v>537</v>
      </c>
      <c r="D56" s="253">
        <v>1441004876662</v>
      </c>
      <c r="E56" s="109" t="s">
        <v>527</v>
      </c>
    </row>
    <row r="57" spans="1:5" x14ac:dyDescent="0.35">
      <c r="A57" s="109">
        <v>66</v>
      </c>
      <c r="B57" s="109" t="s">
        <v>536</v>
      </c>
      <c r="C57" s="109" t="s">
        <v>535</v>
      </c>
      <c r="D57" s="253">
        <v>2100431341410</v>
      </c>
      <c r="E57" s="109" t="s">
        <v>527</v>
      </c>
    </row>
    <row r="58" spans="1:5" x14ac:dyDescent="0.35">
      <c r="A58" s="109">
        <v>67</v>
      </c>
      <c r="B58" s="109" t="s">
        <v>534</v>
      </c>
      <c r="C58" s="109" t="s">
        <v>533</v>
      </c>
      <c r="D58" s="253">
        <v>9060570065</v>
      </c>
      <c r="E58" s="109" t="s">
        <v>532</v>
      </c>
    </row>
    <row r="59" spans="1:5" x14ac:dyDescent="0.35">
      <c r="A59" s="109">
        <v>68</v>
      </c>
      <c r="B59" s="109" t="s">
        <v>531</v>
      </c>
      <c r="C59" s="109" t="s">
        <v>530</v>
      </c>
      <c r="D59" s="253">
        <v>6031010060379</v>
      </c>
      <c r="E59" s="109" t="s">
        <v>527</v>
      </c>
    </row>
    <row r="60" spans="1:5" x14ac:dyDescent="0.35">
      <c r="A60" s="109">
        <v>69</v>
      </c>
      <c r="B60" s="109" t="s">
        <v>529</v>
      </c>
      <c r="C60" s="109" t="s">
        <v>528</v>
      </c>
      <c r="D60" s="253">
        <v>2072930600001</v>
      </c>
      <c r="E60" s="109" t="s">
        <v>527</v>
      </c>
    </row>
    <row r="61" spans="1:5" x14ac:dyDescent="0.35">
      <c r="A61" s="109">
        <v>70</v>
      </c>
      <c r="B61" s="109" t="s">
        <v>832</v>
      </c>
      <c r="C61" s="109" t="s">
        <v>588</v>
      </c>
      <c r="D61" s="253">
        <v>3051110621700</v>
      </c>
      <c r="E61" s="109" t="s">
        <v>527</v>
      </c>
    </row>
  </sheetData>
  <pageMargins left="0.7" right="0.7" top="0.75" bottom="0.75" header="0.3" footer="0.3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F940F8-C15E-47A6-A0A0-C7FFFCD20F9B}">
  <dimension ref="A1:M17"/>
  <sheetViews>
    <sheetView workbookViewId="0">
      <selection activeCell="E16" sqref="E16"/>
    </sheetView>
  </sheetViews>
  <sheetFormatPr defaultRowHeight="14.5" x14ac:dyDescent="0.35"/>
  <cols>
    <col min="1" max="1" width="5.453125" customWidth="1"/>
    <col min="2" max="2" width="34.1796875" customWidth="1"/>
    <col min="3" max="3" width="14.54296875" customWidth="1"/>
    <col min="5" max="7" width="7.1796875" customWidth="1"/>
    <col min="8" max="8" width="11" bestFit="1" customWidth="1"/>
    <col min="9" max="9" width="10.453125" customWidth="1"/>
    <col min="10" max="10" width="17" customWidth="1"/>
  </cols>
  <sheetData>
    <row r="1" spans="1:13" ht="15.5" x14ac:dyDescent="0.35">
      <c r="A1" s="429" t="s">
        <v>985</v>
      </c>
      <c r="B1" s="429"/>
      <c r="C1" s="429"/>
      <c r="D1" s="429"/>
      <c r="E1" s="429"/>
      <c r="F1" s="429"/>
      <c r="G1" s="429"/>
      <c r="H1" s="429"/>
      <c r="I1" s="429"/>
      <c r="J1" s="429"/>
      <c r="K1" s="429"/>
      <c r="L1" s="429"/>
    </row>
    <row r="2" spans="1:13" ht="15.5" x14ac:dyDescent="0.35">
      <c r="A2" s="429" t="s">
        <v>984</v>
      </c>
      <c r="B2" s="429"/>
      <c r="C2" s="429"/>
      <c r="D2" s="429"/>
      <c r="E2" s="429"/>
      <c r="F2" s="429"/>
      <c r="G2" s="429"/>
      <c r="H2" s="429"/>
      <c r="I2" s="429"/>
      <c r="J2" s="429"/>
      <c r="K2" s="429"/>
      <c r="L2" s="429"/>
    </row>
    <row r="3" spans="1:13" ht="15.5" x14ac:dyDescent="0.35">
      <c r="A3" s="429" t="s">
        <v>1061</v>
      </c>
      <c r="B3" s="429"/>
      <c r="C3" s="429"/>
      <c r="D3" s="429"/>
      <c r="E3" s="429"/>
      <c r="F3" s="429"/>
      <c r="G3" s="429"/>
      <c r="H3" s="429"/>
      <c r="I3" s="429"/>
      <c r="J3" s="429"/>
      <c r="K3" s="429"/>
      <c r="L3" s="429"/>
    </row>
    <row r="4" spans="1:13" ht="15.5" x14ac:dyDescent="0.35">
      <c r="A4" s="429" t="s">
        <v>983</v>
      </c>
      <c r="B4" s="429"/>
      <c r="C4" s="429"/>
      <c r="D4" s="429"/>
      <c r="E4" s="429"/>
      <c r="F4" s="429"/>
      <c r="G4" s="429"/>
      <c r="H4" s="429"/>
      <c r="I4" s="429"/>
      <c r="J4" s="429"/>
      <c r="K4" s="429"/>
      <c r="L4" s="429"/>
    </row>
    <row r="5" spans="1:13" x14ac:dyDescent="0.35">
      <c r="A5" s="128"/>
      <c r="B5" s="128"/>
      <c r="C5" s="128"/>
      <c r="D5" s="128"/>
      <c r="E5" s="128"/>
      <c r="F5" s="128"/>
      <c r="G5" s="128"/>
      <c r="H5" s="128"/>
      <c r="I5" s="128"/>
      <c r="J5" s="128"/>
      <c r="L5" s="29"/>
      <c r="M5" s="29"/>
    </row>
    <row r="6" spans="1:13" ht="39" x14ac:dyDescent="0.35">
      <c r="A6" s="171" t="s">
        <v>631</v>
      </c>
      <c r="B6" s="171" t="s">
        <v>982</v>
      </c>
      <c r="C6" s="171" t="s">
        <v>981</v>
      </c>
      <c r="D6" s="171" t="s">
        <v>980</v>
      </c>
      <c r="E6" s="171" t="s">
        <v>979</v>
      </c>
      <c r="F6" s="171" t="s">
        <v>978</v>
      </c>
      <c r="G6" s="171" t="s">
        <v>977</v>
      </c>
      <c r="H6" s="171" t="s">
        <v>976</v>
      </c>
      <c r="I6" s="171" t="s">
        <v>975</v>
      </c>
      <c r="J6" s="171" t="s">
        <v>974</v>
      </c>
      <c r="K6" s="171" t="s">
        <v>973</v>
      </c>
      <c r="L6" s="29"/>
      <c r="M6" s="29"/>
    </row>
    <row r="7" spans="1:13" x14ac:dyDescent="0.35">
      <c r="A7" s="11">
        <v>1</v>
      </c>
      <c r="B7" s="132" t="s">
        <v>1015</v>
      </c>
      <c r="C7" s="132" t="s">
        <v>836</v>
      </c>
      <c r="D7" s="141">
        <v>81</v>
      </c>
      <c r="E7" s="133">
        <v>60</v>
      </c>
      <c r="F7" s="133">
        <f t="shared" ref="F7:F12" si="0">D7*E7</f>
        <v>4860</v>
      </c>
      <c r="G7" s="133">
        <v>500</v>
      </c>
      <c r="H7" s="141">
        <f t="shared" ref="H7:H12" si="1">F7+G7</f>
        <v>5360</v>
      </c>
      <c r="I7" s="132">
        <f t="shared" ref="I7:I12" si="2">H7*0.1</f>
        <v>536</v>
      </c>
      <c r="J7" s="183">
        <f t="shared" ref="J7:J12" si="3">H7-I7</f>
        <v>4824</v>
      </c>
      <c r="K7" s="133" t="s">
        <v>835</v>
      </c>
      <c r="L7" s="29"/>
      <c r="M7" s="29"/>
    </row>
    <row r="8" spans="1:13" x14ac:dyDescent="0.35">
      <c r="A8" s="184">
        <v>2</v>
      </c>
      <c r="B8" s="132" t="s">
        <v>1014</v>
      </c>
      <c r="C8" s="132" t="s">
        <v>836</v>
      </c>
      <c r="D8" s="141">
        <v>54</v>
      </c>
      <c r="E8" s="133">
        <v>60</v>
      </c>
      <c r="F8" s="133">
        <f t="shared" si="0"/>
        <v>3240</v>
      </c>
      <c r="G8" s="133">
        <v>500</v>
      </c>
      <c r="H8" s="141">
        <f t="shared" si="1"/>
        <v>3740</v>
      </c>
      <c r="I8" s="132">
        <f t="shared" si="2"/>
        <v>374</v>
      </c>
      <c r="J8" s="183">
        <f t="shared" si="3"/>
        <v>3366</v>
      </c>
      <c r="K8" s="133" t="s">
        <v>835</v>
      </c>
      <c r="L8" s="29"/>
      <c r="M8" s="29"/>
    </row>
    <row r="9" spans="1:13" x14ac:dyDescent="0.35">
      <c r="A9" s="184">
        <v>3</v>
      </c>
      <c r="B9" s="132" t="s">
        <v>1013</v>
      </c>
      <c r="C9" s="132" t="s">
        <v>836</v>
      </c>
      <c r="D9" s="141">
        <v>54</v>
      </c>
      <c r="E9" s="133">
        <v>60</v>
      </c>
      <c r="F9" s="133">
        <f t="shared" si="0"/>
        <v>3240</v>
      </c>
      <c r="G9" s="133">
        <v>500</v>
      </c>
      <c r="H9" s="141">
        <f t="shared" si="1"/>
        <v>3740</v>
      </c>
      <c r="I9" s="132">
        <f t="shared" si="2"/>
        <v>374</v>
      </c>
      <c r="J9" s="183">
        <f t="shared" si="3"/>
        <v>3366</v>
      </c>
      <c r="K9" s="133" t="s">
        <v>835</v>
      </c>
      <c r="L9" s="29"/>
      <c r="M9" s="29"/>
    </row>
    <row r="10" spans="1:13" x14ac:dyDescent="0.35">
      <c r="A10" s="184">
        <v>4</v>
      </c>
      <c r="B10" s="11" t="s">
        <v>1012</v>
      </c>
      <c r="C10" s="132" t="s">
        <v>1009</v>
      </c>
      <c r="D10" s="141">
        <v>64</v>
      </c>
      <c r="E10" s="133">
        <v>60</v>
      </c>
      <c r="F10" s="133">
        <f t="shared" si="0"/>
        <v>3840</v>
      </c>
      <c r="G10" s="133">
        <v>500</v>
      </c>
      <c r="H10" s="141">
        <f t="shared" si="1"/>
        <v>4340</v>
      </c>
      <c r="I10" s="132">
        <f t="shared" si="2"/>
        <v>434</v>
      </c>
      <c r="J10" s="183">
        <f t="shared" si="3"/>
        <v>3906</v>
      </c>
      <c r="K10" s="133" t="s">
        <v>835</v>
      </c>
      <c r="L10" s="29"/>
      <c r="M10" s="29"/>
    </row>
    <row r="11" spans="1:13" x14ac:dyDescent="0.35">
      <c r="A11" s="11">
        <v>5</v>
      </c>
      <c r="B11" s="11" t="s">
        <v>1011</v>
      </c>
      <c r="C11" s="132" t="s">
        <v>1009</v>
      </c>
      <c r="D11" s="141">
        <v>64</v>
      </c>
      <c r="E11" s="133">
        <v>60</v>
      </c>
      <c r="F11" s="133">
        <f t="shared" si="0"/>
        <v>3840</v>
      </c>
      <c r="G11" s="133">
        <v>500</v>
      </c>
      <c r="H11" s="141">
        <f t="shared" si="1"/>
        <v>4340</v>
      </c>
      <c r="I11" s="132">
        <f t="shared" si="2"/>
        <v>434</v>
      </c>
      <c r="J11" s="183">
        <f t="shared" si="3"/>
        <v>3906</v>
      </c>
      <c r="K11" s="133" t="s">
        <v>835</v>
      </c>
      <c r="L11" s="29"/>
      <c r="M11" s="29"/>
    </row>
    <row r="12" spans="1:13" x14ac:dyDescent="0.35">
      <c r="A12" s="11">
        <v>6</v>
      </c>
      <c r="B12" s="11" t="s">
        <v>1010</v>
      </c>
      <c r="C12" s="132" t="s">
        <v>1009</v>
      </c>
      <c r="D12" s="141">
        <v>64</v>
      </c>
      <c r="E12" s="133">
        <v>60</v>
      </c>
      <c r="F12" s="133">
        <f t="shared" si="0"/>
        <v>3840</v>
      </c>
      <c r="G12" s="133">
        <v>500</v>
      </c>
      <c r="H12" s="141">
        <f t="shared" si="1"/>
        <v>4340</v>
      </c>
      <c r="I12" s="132">
        <f t="shared" si="2"/>
        <v>434</v>
      </c>
      <c r="J12" s="183">
        <f t="shared" si="3"/>
        <v>3906</v>
      </c>
      <c r="K12" s="133" t="s">
        <v>835</v>
      </c>
      <c r="L12" s="29"/>
      <c r="M12" s="29"/>
    </row>
    <row r="13" spans="1:13" x14ac:dyDescent="0.35">
      <c r="A13" s="182"/>
      <c r="E13" s="430" t="s">
        <v>1008</v>
      </c>
      <c r="F13" s="431"/>
      <c r="G13" s="432"/>
      <c r="H13" s="181">
        <f>SUM(H7:H12)</f>
        <v>25860</v>
      </c>
      <c r="I13" s="181">
        <f>SUM(I7:I12)</f>
        <v>2586</v>
      </c>
      <c r="J13" s="181">
        <f>SUM(J7:J12)</f>
        <v>23274</v>
      </c>
      <c r="L13" s="29"/>
      <c r="M13" s="29"/>
    </row>
    <row r="14" spans="1:13" x14ac:dyDescent="0.35">
      <c r="B14" t="s">
        <v>1007</v>
      </c>
      <c r="L14" s="29"/>
      <c r="M14" s="29"/>
    </row>
    <row r="15" spans="1:13" x14ac:dyDescent="0.35">
      <c r="L15" s="29"/>
      <c r="M15" s="29"/>
    </row>
    <row r="16" spans="1:13" x14ac:dyDescent="0.35">
      <c r="L16" s="29"/>
      <c r="M16" s="29"/>
    </row>
    <row r="17" spans="12:13" x14ac:dyDescent="0.35">
      <c r="L17" s="29"/>
      <c r="M17" s="29"/>
    </row>
  </sheetData>
  <mergeCells count="5">
    <mergeCell ref="A1:L1"/>
    <mergeCell ref="A2:L2"/>
    <mergeCell ref="A3:L3"/>
    <mergeCell ref="A4:L4"/>
    <mergeCell ref="E13:G13"/>
  </mergeCells>
  <pageMargins left="0.25" right="0.25" top="0.75" bottom="0.75" header="0.3" footer="0.3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02051-8BD1-48AE-BE1E-87FB9C29569A}">
  <sheetPr>
    <pageSetUpPr fitToPage="1"/>
  </sheetPr>
  <dimension ref="A1:U508"/>
  <sheetViews>
    <sheetView view="pageBreakPreview" topLeftCell="A11" zoomScale="110" zoomScaleNormal="100" zoomScaleSheetLayoutView="110" workbookViewId="0">
      <selection activeCell="J232" sqref="J232"/>
    </sheetView>
  </sheetViews>
  <sheetFormatPr defaultColWidth="9" defaultRowHeight="14.5" x14ac:dyDescent="0.35"/>
  <cols>
    <col min="1" max="1" width="4.81640625" style="132" customWidth="1"/>
    <col min="2" max="2" width="47" style="134" customWidth="1"/>
    <col min="3" max="3" width="15.7265625" style="134" customWidth="1"/>
    <col min="4" max="4" width="9" style="133" customWidth="1"/>
    <col min="5" max="5" width="9" style="128" customWidth="1"/>
    <col min="6" max="6" width="15.7265625" style="128" customWidth="1"/>
    <col min="7" max="7" width="12.54296875" style="132" customWidth="1"/>
    <col min="8" max="8" width="20.26953125" style="131" customWidth="1"/>
    <col min="9" max="9" width="17.26953125" style="130" customWidth="1"/>
    <col min="10" max="10" width="14.54296875" style="129" customWidth="1"/>
    <col min="11" max="11" width="11.26953125" style="128" customWidth="1"/>
    <col min="13" max="13" width="11.54296875" style="129" customWidth="1"/>
    <col min="14" max="16384" width="9" style="128"/>
  </cols>
  <sheetData>
    <row r="1" spans="1:18" ht="24" customHeight="1" x14ac:dyDescent="0.4">
      <c r="A1" s="435" t="s">
        <v>985</v>
      </c>
      <c r="B1" s="435"/>
      <c r="C1" s="435"/>
      <c r="D1" s="435"/>
      <c r="E1" s="435"/>
      <c r="F1" s="435"/>
      <c r="G1" s="435"/>
      <c r="H1" s="435"/>
      <c r="I1" s="435"/>
      <c r="J1" s="435"/>
      <c r="K1" s="435"/>
    </row>
    <row r="2" spans="1:18" ht="19.5" customHeight="1" x14ac:dyDescent="0.4">
      <c r="A2" s="435" t="s">
        <v>984</v>
      </c>
      <c r="B2" s="435"/>
      <c r="C2" s="435"/>
      <c r="D2" s="435"/>
      <c r="E2" s="435"/>
      <c r="F2" s="435"/>
      <c r="G2" s="435"/>
      <c r="H2" s="435"/>
      <c r="I2" s="435"/>
      <c r="J2" s="435"/>
      <c r="K2" s="435"/>
    </row>
    <row r="3" spans="1:18" ht="23.25" customHeight="1" x14ac:dyDescent="0.4">
      <c r="A3" s="435" t="s">
        <v>1061</v>
      </c>
      <c r="B3" s="435"/>
      <c r="C3" s="435"/>
      <c r="D3" s="435"/>
      <c r="E3" s="435"/>
      <c r="F3" s="435"/>
      <c r="G3" s="435"/>
      <c r="H3" s="435"/>
      <c r="I3" s="435"/>
      <c r="J3" s="435"/>
      <c r="K3" s="435"/>
      <c r="R3"/>
    </row>
    <row r="4" spans="1:18" ht="22.5" customHeight="1" x14ac:dyDescent="0.4">
      <c r="A4" s="435" t="s">
        <v>983</v>
      </c>
      <c r="B4" s="435"/>
      <c r="C4" s="435"/>
      <c r="D4" s="435"/>
      <c r="E4" s="435"/>
      <c r="F4" s="435"/>
      <c r="G4" s="435"/>
      <c r="H4" s="435"/>
      <c r="I4" s="435"/>
      <c r="J4" s="435"/>
      <c r="K4" s="435"/>
      <c r="R4"/>
    </row>
    <row r="5" spans="1:18" ht="37.5" customHeight="1" x14ac:dyDescent="0.35">
      <c r="A5" s="171" t="s">
        <v>631</v>
      </c>
      <c r="B5" s="171" t="s">
        <v>982</v>
      </c>
      <c r="C5" s="171" t="s">
        <v>981</v>
      </c>
      <c r="D5" s="171" t="s">
        <v>980</v>
      </c>
      <c r="E5" s="171" t="s">
        <v>979</v>
      </c>
      <c r="F5" s="171" t="s">
        <v>978</v>
      </c>
      <c r="G5" s="171" t="s">
        <v>977</v>
      </c>
      <c r="H5" s="171" t="s">
        <v>976</v>
      </c>
      <c r="I5" s="171" t="s">
        <v>975</v>
      </c>
      <c r="J5" s="171" t="s">
        <v>974</v>
      </c>
      <c r="K5" s="171" t="s">
        <v>973</v>
      </c>
      <c r="R5"/>
    </row>
    <row r="6" spans="1:18" s="190" customFormat="1" x14ac:dyDescent="0.35">
      <c r="A6" s="132">
        <v>1</v>
      </c>
      <c r="B6" s="136" t="s">
        <v>1017</v>
      </c>
      <c r="C6" s="136" t="s">
        <v>970</v>
      </c>
      <c r="D6" s="224">
        <v>10</v>
      </c>
      <c r="E6" s="230">
        <v>30</v>
      </c>
      <c r="F6" s="226">
        <f t="shared" ref="F6:F28" si="0">D6*E6</f>
        <v>300</v>
      </c>
      <c r="G6" s="227">
        <v>150</v>
      </c>
      <c r="H6" s="228">
        <f t="shared" ref="H6:H28" si="1">F6+G6</f>
        <v>450</v>
      </c>
      <c r="I6" s="224">
        <f t="shared" ref="I6:I28" si="2">H6*0.1</f>
        <v>45</v>
      </c>
      <c r="J6" s="225">
        <f t="shared" ref="J6:J28" si="3">H6*0.9</f>
        <v>405</v>
      </c>
      <c r="K6" s="11" t="s">
        <v>931</v>
      </c>
      <c r="L6" s="187"/>
      <c r="M6" s="188">
        <v>30</v>
      </c>
      <c r="N6" s="189">
        <v>10</v>
      </c>
      <c r="O6" s="186"/>
      <c r="P6" s="186"/>
      <c r="Q6" s="186"/>
      <c r="R6" s="4"/>
    </row>
    <row r="7" spans="1:18" s="190" customFormat="1" x14ac:dyDescent="0.35">
      <c r="A7" s="132">
        <v>2</v>
      </c>
      <c r="B7" s="136" t="s">
        <v>1018</v>
      </c>
      <c r="C7" s="136" t="s">
        <v>970</v>
      </c>
      <c r="D7" s="224">
        <v>10</v>
      </c>
      <c r="E7" s="230">
        <v>30</v>
      </c>
      <c r="F7" s="226">
        <f t="shared" si="0"/>
        <v>300</v>
      </c>
      <c r="G7" s="227">
        <v>150</v>
      </c>
      <c r="H7" s="228">
        <f t="shared" si="1"/>
        <v>450</v>
      </c>
      <c r="I7" s="224">
        <f t="shared" si="2"/>
        <v>45</v>
      </c>
      <c r="J7" s="225">
        <f t="shared" si="3"/>
        <v>405</v>
      </c>
      <c r="K7" s="11" t="s">
        <v>931</v>
      </c>
      <c r="L7" s="187"/>
      <c r="M7" s="188">
        <v>30</v>
      </c>
      <c r="N7" s="189">
        <v>10</v>
      </c>
      <c r="O7" s="186"/>
      <c r="P7" s="186"/>
      <c r="Q7" s="186"/>
      <c r="R7" s="4"/>
    </row>
    <row r="8" spans="1:18" s="190" customFormat="1" x14ac:dyDescent="0.35">
      <c r="A8" s="132">
        <v>3</v>
      </c>
      <c r="B8" s="136" t="s">
        <v>1019</v>
      </c>
      <c r="C8" s="136" t="s">
        <v>970</v>
      </c>
      <c r="D8" s="224">
        <v>10</v>
      </c>
      <c r="E8" s="230">
        <v>30</v>
      </c>
      <c r="F8" s="226">
        <f t="shared" si="0"/>
        <v>300</v>
      </c>
      <c r="G8" s="227">
        <v>150</v>
      </c>
      <c r="H8" s="228">
        <f t="shared" si="1"/>
        <v>450</v>
      </c>
      <c r="I8" s="224">
        <f t="shared" si="2"/>
        <v>45</v>
      </c>
      <c r="J8" s="225">
        <f t="shared" si="3"/>
        <v>405</v>
      </c>
      <c r="K8" s="11" t="s">
        <v>931</v>
      </c>
      <c r="L8" s="187"/>
      <c r="M8" s="188">
        <v>30</v>
      </c>
      <c r="N8" s="189">
        <v>10</v>
      </c>
      <c r="O8" s="186"/>
      <c r="P8" s="186"/>
      <c r="Q8" s="186"/>
      <c r="R8" s="4"/>
    </row>
    <row r="9" spans="1:18" s="190" customFormat="1" x14ac:dyDescent="0.35">
      <c r="A9" s="132">
        <v>4</v>
      </c>
      <c r="B9" s="136" t="s">
        <v>1020</v>
      </c>
      <c r="C9" s="136" t="s">
        <v>970</v>
      </c>
      <c r="D9" s="224">
        <v>10</v>
      </c>
      <c r="E9" s="230">
        <v>30</v>
      </c>
      <c r="F9" s="226">
        <f t="shared" si="0"/>
        <v>300</v>
      </c>
      <c r="G9" s="227">
        <v>120</v>
      </c>
      <c r="H9" s="228">
        <f t="shared" si="1"/>
        <v>420</v>
      </c>
      <c r="I9" s="224">
        <f t="shared" si="2"/>
        <v>42</v>
      </c>
      <c r="J9" s="225">
        <f t="shared" si="3"/>
        <v>378</v>
      </c>
      <c r="K9" s="11" t="s">
        <v>931</v>
      </c>
      <c r="L9" s="187"/>
      <c r="M9" s="188">
        <v>30</v>
      </c>
      <c r="N9" s="189">
        <v>10</v>
      </c>
      <c r="O9" s="186"/>
      <c r="P9" s="186"/>
      <c r="Q9" s="186"/>
      <c r="R9" s="4"/>
    </row>
    <row r="10" spans="1:18" s="190" customFormat="1" x14ac:dyDescent="0.35">
      <c r="A10" s="132">
        <v>5</v>
      </c>
      <c r="B10" s="136" t="s">
        <v>1021</v>
      </c>
      <c r="C10" s="136" t="s">
        <v>970</v>
      </c>
      <c r="D10" s="224">
        <v>10</v>
      </c>
      <c r="E10" s="230">
        <v>30</v>
      </c>
      <c r="F10" s="226">
        <f t="shared" si="0"/>
        <v>300</v>
      </c>
      <c r="G10" s="227">
        <v>120</v>
      </c>
      <c r="H10" s="228">
        <f t="shared" si="1"/>
        <v>420</v>
      </c>
      <c r="I10" s="224">
        <f t="shared" si="2"/>
        <v>42</v>
      </c>
      <c r="J10" s="225">
        <f t="shared" si="3"/>
        <v>378</v>
      </c>
      <c r="K10" s="11" t="s">
        <v>931</v>
      </c>
      <c r="L10" s="187"/>
      <c r="M10" s="188">
        <v>30</v>
      </c>
      <c r="N10" s="189">
        <v>12</v>
      </c>
      <c r="O10" s="186"/>
      <c r="P10" s="186"/>
      <c r="Q10" s="186"/>
      <c r="R10" s="4"/>
    </row>
    <row r="11" spans="1:18" s="190" customFormat="1" x14ac:dyDescent="0.35">
      <c r="A11" s="132">
        <v>6</v>
      </c>
      <c r="B11" s="136" t="s">
        <v>1022</v>
      </c>
      <c r="C11" s="136" t="s">
        <v>970</v>
      </c>
      <c r="D11" s="224">
        <v>10</v>
      </c>
      <c r="E11" s="230">
        <v>30</v>
      </c>
      <c r="F11" s="226">
        <f t="shared" si="0"/>
        <v>300</v>
      </c>
      <c r="G11" s="227">
        <v>120</v>
      </c>
      <c r="H11" s="228">
        <f t="shared" si="1"/>
        <v>420</v>
      </c>
      <c r="I11" s="224">
        <f t="shared" si="2"/>
        <v>42</v>
      </c>
      <c r="J11" s="225">
        <f t="shared" si="3"/>
        <v>378</v>
      </c>
      <c r="K11" s="11" t="s">
        <v>931</v>
      </c>
      <c r="L11" s="187"/>
      <c r="M11" s="188">
        <v>30</v>
      </c>
      <c r="N11" s="189">
        <v>12</v>
      </c>
      <c r="O11" s="186"/>
      <c r="P11" s="186"/>
      <c r="Q11" s="186"/>
      <c r="R11" s="4"/>
    </row>
    <row r="12" spans="1:18" s="190" customFormat="1" x14ac:dyDescent="0.35">
      <c r="A12" s="132">
        <v>7</v>
      </c>
      <c r="B12" s="136" t="s">
        <v>1023</v>
      </c>
      <c r="C12" s="136" t="s">
        <v>970</v>
      </c>
      <c r="D12" s="224">
        <v>10</v>
      </c>
      <c r="E12" s="230">
        <v>30</v>
      </c>
      <c r="F12" s="226">
        <f t="shared" si="0"/>
        <v>300</v>
      </c>
      <c r="G12" s="227">
        <v>120</v>
      </c>
      <c r="H12" s="228">
        <f t="shared" si="1"/>
        <v>420</v>
      </c>
      <c r="I12" s="224">
        <f t="shared" si="2"/>
        <v>42</v>
      </c>
      <c r="J12" s="225">
        <f t="shared" si="3"/>
        <v>378</v>
      </c>
      <c r="K12" s="11" t="s">
        <v>931</v>
      </c>
      <c r="L12" s="187"/>
      <c r="M12" s="188">
        <v>30</v>
      </c>
      <c r="N12" s="189">
        <v>15</v>
      </c>
      <c r="O12" s="186"/>
      <c r="P12" s="186"/>
      <c r="Q12" s="186"/>
      <c r="R12" s="4"/>
    </row>
    <row r="13" spans="1:18" s="190" customFormat="1" x14ac:dyDescent="0.35">
      <c r="A13" s="132">
        <v>8</v>
      </c>
      <c r="B13" s="136" t="s">
        <v>972</v>
      </c>
      <c r="C13" s="136" t="s">
        <v>970</v>
      </c>
      <c r="D13" s="224">
        <v>10</v>
      </c>
      <c r="E13" s="230">
        <v>30</v>
      </c>
      <c r="F13" s="226">
        <f t="shared" si="0"/>
        <v>300</v>
      </c>
      <c r="G13" s="227">
        <v>120</v>
      </c>
      <c r="H13" s="228">
        <f t="shared" si="1"/>
        <v>420</v>
      </c>
      <c r="I13" s="224">
        <f t="shared" si="2"/>
        <v>42</v>
      </c>
      <c r="J13" s="225">
        <f t="shared" si="3"/>
        <v>378</v>
      </c>
      <c r="K13" s="11" t="s">
        <v>931</v>
      </c>
      <c r="L13" s="187"/>
      <c r="M13" s="188"/>
      <c r="N13" s="189"/>
      <c r="O13" s="186"/>
      <c r="P13" s="186"/>
      <c r="Q13" s="186"/>
      <c r="R13" s="4"/>
    </row>
    <row r="14" spans="1:18" s="190" customFormat="1" x14ac:dyDescent="0.35">
      <c r="A14" s="132">
        <v>9</v>
      </c>
      <c r="B14" s="136" t="s">
        <v>1024</v>
      </c>
      <c r="C14" s="136" t="s">
        <v>1025</v>
      </c>
      <c r="D14" s="224">
        <v>12</v>
      </c>
      <c r="E14" s="230">
        <v>30</v>
      </c>
      <c r="F14" s="226">
        <f t="shared" si="0"/>
        <v>360</v>
      </c>
      <c r="G14" s="227">
        <v>150</v>
      </c>
      <c r="H14" s="228">
        <f t="shared" si="1"/>
        <v>510</v>
      </c>
      <c r="I14" s="224">
        <f t="shared" si="2"/>
        <v>51</v>
      </c>
      <c r="J14" s="225">
        <f t="shared" si="3"/>
        <v>459</v>
      </c>
      <c r="K14" s="11" t="s">
        <v>931</v>
      </c>
      <c r="L14" s="187"/>
      <c r="M14" s="188"/>
      <c r="N14" s="189"/>
      <c r="O14" s="186"/>
      <c r="P14" s="186"/>
      <c r="Q14" s="186"/>
      <c r="R14" s="4"/>
    </row>
    <row r="15" spans="1:18" s="190" customFormat="1" x14ac:dyDescent="0.35">
      <c r="A15" s="132">
        <v>10</v>
      </c>
      <c r="B15" s="136" t="s">
        <v>1026</v>
      </c>
      <c r="C15" s="136" t="s">
        <v>1025</v>
      </c>
      <c r="D15" s="224">
        <v>12</v>
      </c>
      <c r="E15" s="230">
        <v>30</v>
      </c>
      <c r="F15" s="226">
        <f t="shared" si="0"/>
        <v>360</v>
      </c>
      <c r="G15" s="227">
        <v>150</v>
      </c>
      <c r="H15" s="228">
        <f t="shared" si="1"/>
        <v>510</v>
      </c>
      <c r="I15" s="224">
        <f t="shared" si="2"/>
        <v>51</v>
      </c>
      <c r="J15" s="225">
        <f t="shared" si="3"/>
        <v>459</v>
      </c>
      <c r="K15" s="11" t="s">
        <v>931</v>
      </c>
      <c r="L15" s="187"/>
      <c r="M15" s="188"/>
      <c r="N15" s="189"/>
      <c r="O15" s="186"/>
      <c r="P15" s="186"/>
      <c r="Q15" s="186"/>
      <c r="R15" s="4"/>
    </row>
    <row r="16" spans="1:18" s="190" customFormat="1" x14ac:dyDescent="0.35">
      <c r="A16" s="132">
        <v>11</v>
      </c>
      <c r="B16" s="136" t="s">
        <v>1027</v>
      </c>
      <c r="C16" s="136" t="s">
        <v>1025</v>
      </c>
      <c r="D16" s="224">
        <v>12</v>
      </c>
      <c r="E16" s="230">
        <v>30</v>
      </c>
      <c r="F16" s="226">
        <f t="shared" si="0"/>
        <v>360</v>
      </c>
      <c r="G16" s="227">
        <v>150</v>
      </c>
      <c r="H16" s="228">
        <f t="shared" si="1"/>
        <v>510</v>
      </c>
      <c r="I16" s="224">
        <f t="shared" si="2"/>
        <v>51</v>
      </c>
      <c r="J16" s="225">
        <f t="shared" si="3"/>
        <v>459</v>
      </c>
      <c r="K16" s="11" t="s">
        <v>931</v>
      </c>
      <c r="L16" s="187"/>
      <c r="M16" s="188"/>
      <c r="N16" s="189"/>
      <c r="O16" s="186"/>
      <c r="P16" s="186"/>
      <c r="Q16" s="186"/>
      <c r="R16" s="4"/>
    </row>
    <row r="17" spans="1:18" s="190" customFormat="1" x14ac:dyDescent="0.35">
      <c r="A17" s="132">
        <v>12</v>
      </c>
      <c r="B17" s="136" t="s">
        <v>1028</v>
      </c>
      <c r="C17" s="136" t="s">
        <v>1029</v>
      </c>
      <c r="D17" s="224">
        <v>30</v>
      </c>
      <c r="E17" s="230">
        <v>30</v>
      </c>
      <c r="F17" s="226">
        <f t="shared" si="0"/>
        <v>900</v>
      </c>
      <c r="G17" s="227">
        <v>450</v>
      </c>
      <c r="H17" s="228">
        <f t="shared" si="1"/>
        <v>1350</v>
      </c>
      <c r="I17" s="224">
        <f t="shared" si="2"/>
        <v>135</v>
      </c>
      <c r="J17" s="225">
        <f t="shared" si="3"/>
        <v>1215</v>
      </c>
      <c r="K17" s="11" t="s">
        <v>931</v>
      </c>
      <c r="L17" s="187"/>
      <c r="M17" s="188"/>
      <c r="N17" s="189"/>
      <c r="O17" s="186"/>
      <c r="P17" s="186"/>
      <c r="Q17" s="186"/>
      <c r="R17" s="4"/>
    </row>
    <row r="18" spans="1:18" s="190" customFormat="1" x14ac:dyDescent="0.35">
      <c r="A18" s="132">
        <v>13</v>
      </c>
      <c r="B18" s="136" t="s">
        <v>971</v>
      </c>
      <c r="C18" s="136" t="s">
        <v>1029</v>
      </c>
      <c r="D18" s="224">
        <v>45</v>
      </c>
      <c r="E18" s="230">
        <v>30</v>
      </c>
      <c r="F18" s="226">
        <f t="shared" si="0"/>
        <v>1350</v>
      </c>
      <c r="G18" s="227">
        <v>450</v>
      </c>
      <c r="H18" s="228">
        <f t="shared" si="1"/>
        <v>1800</v>
      </c>
      <c r="I18" s="224">
        <f t="shared" si="2"/>
        <v>180</v>
      </c>
      <c r="J18" s="225">
        <f t="shared" si="3"/>
        <v>1620</v>
      </c>
      <c r="K18" s="11" t="s">
        <v>931</v>
      </c>
      <c r="L18" s="187"/>
      <c r="M18" s="188"/>
      <c r="N18" s="189"/>
      <c r="O18" s="186"/>
      <c r="P18" s="186"/>
      <c r="Q18" s="186"/>
      <c r="R18" s="4"/>
    </row>
    <row r="19" spans="1:18" s="190" customFormat="1" x14ac:dyDescent="0.35">
      <c r="A19" s="132">
        <v>14</v>
      </c>
      <c r="B19" s="136" t="s">
        <v>1030</v>
      </c>
      <c r="C19" s="136" t="s">
        <v>970</v>
      </c>
      <c r="D19" s="224">
        <v>15</v>
      </c>
      <c r="E19" s="230">
        <f>M19</f>
        <v>30</v>
      </c>
      <c r="F19" s="226">
        <f t="shared" si="0"/>
        <v>450</v>
      </c>
      <c r="G19" s="227">
        <v>150</v>
      </c>
      <c r="H19" s="228">
        <f t="shared" si="1"/>
        <v>600</v>
      </c>
      <c r="I19" s="224">
        <f t="shared" si="2"/>
        <v>60</v>
      </c>
      <c r="J19" s="225">
        <f t="shared" si="3"/>
        <v>540</v>
      </c>
      <c r="K19" s="11" t="s">
        <v>931</v>
      </c>
      <c r="L19" s="187"/>
      <c r="M19" s="188">
        <v>30</v>
      </c>
      <c r="N19" s="189">
        <v>10</v>
      </c>
      <c r="O19" s="186"/>
      <c r="P19" s="186"/>
      <c r="Q19" s="186"/>
    </row>
    <row r="20" spans="1:18" s="190" customFormat="1" x14ac:dyDescent="0.35">
      <c r="A20" s="132">
        <v>15</v>
      </c>
      <c r="B20" s="136" t="s">
        <v>1031</v>
      </c>
      <c r="C20" s="136" t="s">
        <v>1032</v>
      </c>
      <c r="D20" s="224">
        <v>35</v>
      </c>
      <c r="E20" s="230">
        <f>M20</f>
        <v>30</v>
      </c>
      <c r="F20" s="226">
        <f t="shared" si="0"/>
        <v>1050</v>
      </c>
      <c r="G20" s="227">
        <v>300</v>
      </c>
      <c r="H20" s="228">
        <f t="shared" si="1"/>
        <v>1350</v>
      </c>
      <c r="I20" s="224">
        <f t="shared" si="2"/>
        <v>135</v>
      </c>
      <c r="J20" s="225">
        <f t="shared" si="3"/>
        <v>1215</v>
      </c>
      <c r="K20" s="11" t="s">
        <v>931</v>
      </c>
      <c r="L20" s="187"/>
      <c r="M20" s="188">
        <v>30</v>
      </c>
      <c r="N20" s="189">
        <v>12</v>
      </c>
      <c r="O20" s="186"/>
      <c r="P20" s="186"/>
      <c r="Q20" s="186"/>
      <c r="R20" s="4"/>
    </row>
    <row r="21" spans="1:18" s="190" customFormat="1" x14ac:dyDescent="0.35">
      <c r="A21" s="132">
        <v>16</v>
      </c>
      <c r="B21" s="136" t="s">
        <v>1033</v>
      </c>
      <c r="C21" s="136" t="s">
        <v>1032</v>
      </c>
      <c r="D21" s="224">
        <v>35</v>
      </c>
      <c r="E21" s="230">
        <f>M21</f>
        <v>30</v>
      </c>
      <c r="F21" s="226">
        <f t="shared" si="0"/>
        <v>1050</v>
      </c>
      <c r="G21" s="227">
        <v>300</v>
      </c>
      <c r="H21" s="228">
        <f t="shared" si="1"/>
        <v>1350</v>
      </c>
      <c r="I21" s="224">
        <f t="shared" si="2"/>
        <v>135</v>
      </c>
      <c r="J21" s="225">
        <f t="shared" si="3"/>
        <v>1215</v>
      </c>
      <c r="K21" s="11" t="s">
        <v>931</v>
      </c>
      <c r="L21" s="187"/>
      <c r="M21" s="188">
        <v>30</v>
      </c>
      <c r="N21" s="189">
        <v>12</v>
      </c>
      <c r="O21" s="186"/>
      <c r="P21" s="186"/>
      <c r="Q21" s="186"/>
    </row>
    <row r="22" spans="1:18" s="190" customFormat="1" x14ac:dyDescent="0.35">
      <c r="A22" s="132">
        <v>17</v>
      </c>
      <c r="B22" s="136" t="s">
        <v>1034</v>
      </c>
      <c r="C22" s="136" t="s">
        <v>1032</v>
      </c>
      <c r="D22" s="224">
        <v>35</v>
      </c>
      <c r="E22" s="230">
        <v>30</v>
      </c>
      <c r="F22" s="226">
        <f t="shared" si="0"/>
        <v>1050</v>
      </c>
      <c r="G22" s="227">
        <v>300</v>
      </c>
      <c r="H22" s="228">
        <f t="shared" si="1"/>
        <v>1350</v>
      </c>
      <c r="I22" s="224">
        <f t="shared" si="2"/>
        <v>135</v>
      </c>
      <c r="J22" s="225">
        <f t="shared" si="3"/>
        <v>1215</v>
      </c>
      <c r="K22" s="11" t="s">
        <v>931</v>
      </c>
      <c r="L22" s="187"/>
      <c r="M22" s="188">
        <v>30</v>
      </c>
      <c r="N22" s="189"/>
      <c r="O22" s="186"/>
      <c r="P22" s="186"/>
      <c r="Q22" s="186"/>
    </row>
    <row r="23" spans="1:18" s="190" customFormat="1" x14ac:dyDescent="0.35">
      <c r="A23" s="132">
        <v>18</v>
      </c>
      <c r="B23" s="136" t="s">
        <v>969</v>
      </c>
      <c r="C23" s="136" t="s">
        <v>968</v>
      </c>
      <c r="D23" s="224">
        <v>35</v>
      </c>
      <c r="E23" s="230">
        <f>M23</f>
        <v>30</v>
      </c>
      <c r="F23" s="226">
        <f t="shared" si="0"/>
        <v>1050</v>
      </c>
      <c r="G23" s="227">
        <v>300</v>
      </c>
      <c r="H23" s="228">
        <f t="shared" si="1"/>
        <v>1350</v>
      </c>
      <c r="I23" s="224">
        <f t="shared" si="2"/>
        <v>135</v>
      </c>
      <c r="J23" s="225">
        <f t="shared" si="3"/>
        <v>1215</v>
      </c>
      <c r="K23" s="11" t="s">
        <v>931</v>
      </c>
      <c r="L23" s="187"/>
      <c r="M23" s="188">
        <v>30</v>
      </c>
      <c r="N23" s="189">
        <v>12</v>
      </c>
      <c r="O23" s="186"/>
      <c r="P23" s="186"/>
      <c r="Q23" s="186"/>
    </row>
    <row r="24" spans="1:18" s="7" customFormat="1" x14ac:dyDescent="0.35">
      <c r="A24" s="132">
        <v>19</v>
      </c>
      <c r="B24" s="231" t="s">
        <v>1062</v>
      </c>
      <c r="C24" s="136" t="s">
        <v>967</v>
      </c>
      <c r="D24" s="224">
        <v>37</v>
      </c>
      <c r="E24" s="230">
        <f>M24</f>
        <v>30</v>
      </c>
      <c r="F24" s="226">
        <f t="shared" si="0"/>
        <v>1110</v>
      </c>
      <c r="G24" s="227">
        <v>215</v>
      </c>
      <c r="H24" s="228">
        <f t="shared" si="1"/>
        <v>1325</v>
      </c>
      <c r="I24" s="224">
        <f t="shared" si="2"/>
        <v>132.5</v>
      </c>
      <c r="J24" s="225">
        <f t="shared" si="3"/>
        <v>1192.5</v>
      </c>
      <c r="K24" s="11" t="s">
        <v>931</v>
      </c>
      <c r="L24" s="24"/>
      <c r="M24" s="188">
        <v>30</v>
      </c>
      <c r="N24" s="179"/>
      <c r="O24" s="177"/>
      <c r="P24" s="177"/>
      <c r="Q24" s="177"/>
    </row>
    <row r="25" spans="1:18" s="7" customFormat="1" x14ac:dyDescent="0.35">
      <c r="A25" s="132">
        <v>20</v>
      </c>
      <c r="B25" s="231" t="s">
        <v>1063</v>
      </c>
      <c r="C25" s="136" t="s">
        <v>967</v>
      </c>
      <c r="D25" s="224">
        <v>35</v>
      </c>
      <c r="E25" s="230">
        <v>30</v>
      </c>
      <c r="F25" s="226">
        <f t="shared" si="0"/>
        <v>1050</v>
      </c>
      <c r="G25" s="227">
        <v>200</v>
      </c>
      <c r="H25" s="228">
        <f t="shared" si="1"/>
        <v>1250</v>
      </c>
      <c r="I25" s="224">
        <f t="shared" si="2"/>
        <v>125</v>
      </c>
      <c r="J25" s="225">
        <f t="shared" si="3"/>
        <v>1125</v>
      </c>
      <c r="K25" s="11" t="s">
        <v>931</v>
      </c>
      <c r="L25" s="24"/>
      <c r="M25" s="188">
        <v>30</v>
      </c>
      <c r="N25" s="179"/>
      <c r="O25" s="177"/>
      <c r="P25" s="177"/>
      <c r="Q25" s="177"/>
    </row>
    <row r="26" spans="1:18" s="7" customFormat="1" x14ac:dyDescent="0.35">
      <c r="A26" s="132">
        <v>21</v>
      </c>
      <c r="B26" s="231" t="s">
        <v>1064</v>
      </c>
      <c r="C26" s="136" t="s">
        <v>967</v>
      </c>
      <c r="D26" s="224">
        <v>35</v>
      </c>
      <c r="E26" s="230">
        <v>30</v>
      </c>
      <c r="F26" s="226">
        <f t="shared" si="0"/>
        <v>1050</v>
      </c>
      <c r="G26" s="227">
        <v>200</v>
      </c>
      <c r="H26" s="228">
        <f t="shared" si="1"/>
        <v>1250</v>
      </c>
      <c r="I26" s="224">
        <f t="shared" si="2"/>
        <v>125</v>
      </c>
      <c r="J26" s="225">
        <f t="shared" si="3"/>
        <v>1125</v>
      </c>
      <c r="K26" s="11" t="s">
        <v>931</v>
      </c>
      <c r="L26" s="24"/>
      <c r="M26" s="188">
        <v>30</v>
      </c>
      <c r="N26" s="179"/>
      <c r="O26" s="177"/>
      <c r="P26" s="177"/>
      <c r="Q26" s="177"/>
    </row>
    <row r="27" spans="1:18" s="7" customFormat="1" ht="15.75" customHeight="1" x14ac:dyDescent="0.35">
      <c r="A27" s="132">
        <v>22</v>
      </c>
      <c r="B27" s="136" t="s">
        <v>1041</v>
      </c>
      <c r="C27" s="136" t="s">
        <v>966</v>
      </c>
      <c r="D27" s="224">
        <v>55</v>
      </c>
      <c r="E27" s="230">
        <f>M27</f>
        <v>30</v>
      </c>
      <c r="F27" s="226">
        <f t="shared" si="0"/>
        <v>1650</v>
      </c>
      <c r="G27" s="227">
        <v>450</v>
      </c>
      <c r="H27" s="228">
        <f t="shared" si="1"/>
        <v>2100</v>
      </c>
      <c r="I27" s="224">
        <f t="shared" si="2"/>
        <v>210</v>
      </c>
      <c r="J27" s="225">
        <f t="shared" si="3"/>
        <v>1890</v>
      </c>
      <c r="K27" s="11" t="s">
        <v>931</v>
      </c>
      <c r="L27" s="24"/>
      <c r="M27" s="188">
        <v>30</v>
      </c>
      <c r="N27" s="179">
        <v>55</v>
      </c>
      <c r="O27" s="177"/>
      <c r="P27" s="177"/>
      <c r="Q27" s="177"/>
    </row>
    <row r="28" spans="1:18" s="7" customFormat="1" x14ac:dyDescent="0.35">
      <c r="A28" s="132">
        <v>23</v>
      </c>
      <c r="B28" s="136" t="s">
        <v>1042</v>
      </c>
      <c r="C28" s="136" t="s">
        <v>966</v>
      </c>
      <c r="D28" s="224">
        <v>55</v>
      </c>
      <c r="E28" s="230">
        <f>M28</f>
        <v>30</v>
      </c>
      <c r="F28" s="226">
        <f t="shared" si="0"/>
        <v>1650</v>
      </c>
      <c r="G28" s="227">
        <v>450</v>
      </c>
      <c r="H28" s="228">
        <f t="shared" si="1"/>
        <v>2100</v>
      </c>
      <c r="I28" s="224">
        <f t="shared" si="2"/>
        <v>210</v>
      </c>
      <c r="J28" s="225">
        <f t="shared" si="3"/>
        <v>1890</v>
      </c>
      <c r="K28" s="11" t="s">
        <v>931</v>
      </c>
      <c r="L28" s="24"/>
      <c r="M28" s="178">
        <v>30</v>
      </c>
      <c r="N28" s="179"/>
      <c r="O28" s="177"/>
      <c r="P28" s="177"/>
      <c r="Q28" s="177"/>
      <c r="R28" s="3"/>
    </row>
    <row r="29" spans="1:18" s="216" customFormat="1" x14ac:dyDescent="0.35">
      <c r="A29" s="132">
        <v>24</v>
      </c>
      <c r="B29" s="232" t="s">
        <v>1209</v>
      </c>
      <c r="C29" s="233" t="s">
        <v>962</v>
      </c>
      <c r="D29" s="227">
        <v>18</v>
      </c>
      <c r="E29" s="230">
        <v>30</v>
      </c>
      <c r="F29" s="226">
        <v>540</v>
      </c>
      <c r="G29" s="227">
        <v>270</v>
      </c>
      <c r="H29" s="228">
        <v>810</v>
      </c>
      <c r="I29" s="224">
        <v>81</v>
      </c>
      <c r="J29" s="225">
        <v>729</v>
      </c>
      <c r="K29" s="11" t="s">
        <v>931</v>
      </c>
      <c r="L29" s="212"/>
      <c r="M29" s="213">
        <v>30</v>
      </c>
      <c r="N29" s="214">
        <v>55</v>
      </c>
      <c r="O29" s="211"/>
      <c r="P29" s="211"/>
      <c r="Q29" s="211"/>
      <c r="R29" s="215"/>
    </row>
    <row r="30" spans="1:18" s="216" customFormat="1" x14ac:dyDescent="0.35">
      <c r="A30" s="132">
        <v>25</v>
      </c>
      <c r="B30" s="232" t="s">
        <v>1210</v>
      </c>
      <c r="C30" s="233" t="s">
        <v>962</v>
      </c>
      <c r="D30" s="227">
        <v>18</v>
      </c>
      <c r="E30" s="230">
        <v>30</v>
      </c>
      <c r="F30" s="226">
        <v>540</v>
      </c>
      <c r="G30" s="227">
        <v>270</v>
      </c>
      <c r="H30" s="228">
        <v>810</v>
      </c>
      <c r="I30" s="224">
        <v>81</v>
      </c>
      <c r="J30" s="225">
        <v>729</v>
      </c>
      <c r="K30" s="11" t="s">
        <v>931</v>
      </c>
      <c r="L30" s="212"/>
      <c r="M30" s="213">
        <v>30</v>
      </c>
      <c r="N30" s="214">
        <v>55</v>
      </c>
      <c r="O30" s="211">
        <v>15</v>
      </c>
      <c r="P30" s="211"/>
      <c r="Q30" s="211"/>
      <c r="R30" s="215"/>
    </row>
    <row r="31" spans="1:18" s="216" customFormat="1" x14ac:dyDescent="0.35">
      <c r="A31" s="132">
        <v>26</v>
      </c>
      <c r="B31" s="232" t="s">
        <v>1211</v>
      </c>
      <c r="C31" s="233" t="s">
        <v>962</v>
      </c>
      <c r="D31" s="227">
        <v>16</v>
      </c>
      <c r="E31" s="230">
        <v>30</v>
      </c>
      <c r="F31" s="226">
        <v>480</v>
      </c>
      <c r="G31" s="227">
        <v>240</v>
      </c>
      <c r="H31" s="228">
        <v>720</v>
      </c>
      <c r="I31" s="224">
        <v>72</v>
      </c>
      <c r="J31" s="225">
        <v>648</v>
      </c>
      <c r="K31" s="11" t="s">
        <v>931</v>
      </c>
      <c r="L31" s="212"/>
      <c r="M31" s="213">
        <v>30</v>
      </c>
      <c r="N31" s="214">
        <v>62</v>
      </c>
      <c r="O31" s="211"/>
      <c r="P31" s="211"/>
      <c r="Q31" s="211"/>
      <c r="R31" s="215"/>
    </row>
    <row r="32" spans="1:18" s="216" customFormat="1" x14ac:dyDescent="0.35">
      <c r="A32" s="132">
        <v>27</v>
      </c>
      <c r="B32" s="232" t="s">
        <v>1212</v>
      </c>
      <c r="C32" s="233" t="s">
        <v>962</v>
      </c>
      <c r="D32" s="227">
        <v>16</v>
      </c>
      <c r="E32" s="230">
        <v>30</v>
      </c>
      <c r="F32" s="226">
        <v>480</v>
      </c>
      <c r="G32" s="227">
        <v>240</v>
      </c>
      <c r="H32" s="228">
        <v>720</v>
      </c>
      <c r="I32" s="224">
        <v>72</v>
      </c>
      <c r="J32" s="225">
        <v>648</v>
      </c>
      <c r="K32" s="11" t="s">
        <v>931</v>
      </c>
      <c r="L32" s="212"/>
      <c r="M32" s="213">
        <v>30</v>
      </c>
      <c r="N32" s="214">
        <v>62</v>
      </c>
      <c r="O32" s="211"/>
      <c r="P32" s="211"/>
      <c r="Q32" s="211"/>
      <c r="R32" s="215"/>
    </row>
    <row r="33" spans="1:18" s="216" customFormat="1" x14ac:dyDescent="0.35">
      <c r="A33" s="132">
        <v>28</v>
      </c>
      <c r="B33" s="232" t="s">
        <v>753</v>
      </c>
      <c r="C33" s="233" t="s">
        <v>962</v>
      </c>
      <c r="D33" s="227">
        <v>19</v>
      </c>
      <c r="E33" s="230">
        <v>30</v>
      </c>
      <c r="F33" s="226">
        <v>570</v>
      </c>
      <c r="G33" s="227">
        <v>285</v>
      </c>
      <c r="H33" s="228">
        <v>855</v>
      </c>
      <c r="I33" s="224">
        <v>85.5</v>
      </c>
      <c r="J33" s="225">
        <v>769.5</v>
      </c>
      <c r="K33" s="11" t="s">
        <v>931</v>
      </c>
      <c r="L33" s="212"/>
      <c r="M33" s="213">
        <v>30</v>
      </c>
      <c r="N33" s="214">
        <v>62</v>
      </c>
      <c r="O33" s="211"/>
      <c r="P33" s="211"/>
      <c r="Q33" s="211"/>
      <c r="R33" s="215"/>
    </row>
    <row r="34" spans="1:18" s="216" customFormat="1" x14ac:dyDescent="0.35">
      <c r="A34" s="132">
        <v>29</v>
      </c>
      <c r="B34" s="232" t="s">
        <v>1213</v>
      </c>
      <c r="C34" s="233" t="s">
        <v>962</v>
      </c>
      <c r="D34" s="227">
        <v>20</v>
      </c>
      <c r="E34" s="230">
        <v>30</v>
      </c>
      <c r="F34" s="226">
        <v>600</v>
      </c>
      <c r="G34" s="227">
        <v>300</v>
      </c>
      <c r="H34" s="228">
        <v>900</v>
      </c>
      <c r="I34" s="224">
        <v>90</v>
      </c>
      <c r="J34" s="225">
        <v>810</v>
      </c>
      <c r="K34" s="11" t="s">
        <v>931</v>
      </c>
      <c r="L34" s="212"/>
      <c r="M34" s="213">
        <v>30</v>
      </c>
      <c r="N34" s="214">
        <v>62</v>
      </c>
      <c r="O34" s="211"/>
      <c r="P34" s="211"/>
      <c r="Q34" s="211"/>
      <c r="R34" s="215"/>
    </row>
    <row r="35" spans="1:18" s="216" customFormat="1" x14ac:dyDescent="0.35">
      <c r="A35" s="132">
        <v>30</v>
      </c>
      <c r="B35" s="232" t="s">
        <v>700</v>
      </c>
      <c r="C35" s="233" t="s">
        <v>962</v>
      </c>
      <c r="D35" s="227">
        <v>20</v>
      </c>
      <c r="E35" s="230">
        <v>30</v>
      </c>
      <c r="F35" s="226">
        <v>600</v>
      </c>
      <c r="G35" s="227">
        <v>300</v>
      </c>
      <c r="H35" s="228">
        <v>900</v>
      </c>
      <c r="I35" s="224">
        <v>90</v>
      </c>
      <c r="J35" s="225">
        <v>810</v>
      </c>
      <c r="K35" s="11" t="s">
        <v>931</v>
      </c>
      <c r="L35" s="212"/>
      <c r="M35" s="213">
        <v>30</v>
      </c>
      <c r="N35" s="217">
        <v>10</v>
      </c>
      <c r="O35" s="211"/>
      <c r="P35" s="211"/>
      <c r="Q35" s="211"/>
      <c r="R35" s="215"/>
    </row>
    <row r="36" spans="1:18" s="216" customFormat="1" x14ac:dyDescent="0.35">
      <c r="A36" s="132">
        <v>31</v>
      </c>
      <c r="B36" s="232" t="s">
        <v>1214</v>
      </c>
      <c r="C36" s="233" t="s">
        <v>962</v>
      </c>
      <c r="D36" s="227">
        <v>18</v>
      </c>
      <c r="E36" s="230">
        <v>30</v>
      </c>
      <c r="F36" s="226">
        <v>540</v>
      </c>
      <c r="G36" s="227">
        <v>270</v>
      </c>
      <c r="H36" s="228">
        <v>810</v>
      </c>
      <c r="I36" s="224">
        <v>81</v>
      </c>
      <c r="J36" s="225">
        <v>729</v>
      </c>
      <c r="K36" s="11" t="s">
        <v>931</v>
      </c>
      <c r="L36" s="212"/>
      <c r="M36" s="213">
        <v>30</v>
      </c>
      <c r="N36" s="217">
        <v>10</v>
      </c>
      <c r="O36" s="211"/>
      <c r="P36" s="211"/>
      <c r="Q36" s="211"/>
      <c r="R36" s="215"/>
    </row>
    <row r="37" spans="1:18" s="216" customFormat="1" x14ac:dyDescent="0.35">
      <c r="A37" s="132">
        <v>32</v>
      </c>
      <c r="B37" s="232" t="s">
        <v>1215</v>
      </c>
      <c r="C37" s="233" t="s">
        <v>962</v>
      </c>
      <c r="D37" s="227">
        <v>17</v>
      </c>
      <c r="E37" s="230">
        <v>30</v>
      </c>
      <c r="F37" s="226">
        <v>510</v>
      </c>
      <c r="G37" s="227">
        <v>255</v>
      </c>
      <c r="H37" s="228">
        <v>765</v>
      </c>
      <c r="I37" s="224">
        <v>76.5</v>
      </c>
      <c r="J37" s="225">
        <v>688.5</v>
      </c>
      <c r="K37" s="11" t="s">
        <v>931</v>
      </c>
      <c r="L37" s="212"/>
      <c r="M37" s="213">
        <v>30</v>
      </c>
      <c r="N37" s="217">
        <v>9</v>
      </c>
      <c r="O37" s="211"/>
      <c r="P37" s="211"/>
      <c r="Q37" s="211"/>
      <c r="R37" s="215"/>
    </row>
    <row r="38" spans="1:18" s="216" customFormat="1" x14ac:dyDescent="0.35">
      <c r="A38" s="132">
        <v>33</v>
      </c>
      <c r="B38" s="232" t="s">
        <v>1358</v>
      </c>
      <c r="C38" s="233" t="s">
        <v>962</v>
      </c>
      <c r="D38" s="227">
        <v>2</v>
      </c>
      <c r="E38" s="230">
        <v>30</v>
      </c>
      <c r="F38" s="226">
        <v>60</v>
      </c>
      <c r="G38" s="227">
        <v>15</v>
      </c>
      <c r="H38" s="228">
        <v>75</v>
      </c>
      <c r="I38" s="224">
        <v>7.5</v>
      </c>
      <c r="J38" s="225">
        <f>H38*0.9</f>
        <v>67.5</v>
      </c>
      <c r="K38" s="11" t="s">
        <v>931</v>
      </c>
      <c r="L38" s="212"/>
      <c r="M38" s="213">
        <v>30</v>
      </c>
      <c r="N38" s="217"/>
      <c r="O38" s="211"/>
      <c r="P38" s="211"/>
      <c r="Q38" s="211"/>
      <c r="R38" s="215"/>
    </row>
    <row r="39" spans="1:18" s="216" customFormat="1" x14ac:dyDescent="0.35">
      <c r="A39" s="132">
        <v>34</v>
      </c>
      <c r="B39" s="232" t="s">
        <v>1359</v>
      </c>
      <c r="C39" s="233" t="s">
        <v>962</v>
      </c>
      <c r="D39" s="227">
        <v>2</v>
      </c>
      <c r="E39" s="230">
        <v>30</v>
      </c>
      <c r="F39" s="226">
        <v>60</v>
      </c>
      <c r="G39" s="227">
        <v>15</v>
      </c>
      <c r="H39" s="228">
        <v>75</v>
      </c>
      <c r="I39" s="224">
        <v>7.5</v>
      </c>
      <c r="J39" s="225">
        <f>H39*0.9</f>
        <v>67.5</v>
      </c>
      <c r="K39" s="11" t="s">
        <v>931</v>
      </c>
      <c r="L39" s="212"/>
      <c r="M39" s="213">
        <v>30</v>
      </c>
      <c r="N39" s="217"/>
      <c r="O39" s="211"/>
      <c r="P39" s="211"/>
      <c r="Q39" s="211"/>
      <c r="R39" s="215"/>
    </row>
    <row r="40" spans="1:18" s="216" customFormat="1" x14ac:dyDescent="0.35">
      <c r="A40" s="132">
        <v>35</v>
      </c>
      <c r="B40" s="232" t="s">
        <v>1216</v>
      </c>
      <c r="C40" s="233" t="s">
        <v>962</v>
      </c>
      <c r="D40" s="227">
        <v>17</v>
      </c>
      <c r="E40" s="230">
        <v>30</v>
      </c>
      <c r="F40" s="226">
        <v>510</v>
      </c>
      <c r="G40" s="227">
        <v>255</v>
      </c>
      <c r="H40" s="228">
        <v>765</v>
      </c>
      <c r="I40" s="224">
        <v>76.5</v>
      </c>
      <c r="J40" s="225">
        <v>688.5</v>
      </c>
      <c r="K40" s="11" t="s">
        <v>931</v>
      </c>
      <c r="L40" s="212"/>
      <c r="M40" s="213">
        <v>30</v>
      </c>
      <c r="N40" s="217"/>
      <c r="O40" s="211"/>
      <c r="P40" s="211"/>
      <c r="Q40" s="211"/>
      <c r="R40" s="215"/>
    </row>
    <row r="41" spans="1:18" s="216" customFormat="1" x14ac:dyDescent="0.35">
      <c r="A41" s="132">
        <v>36</v>
      </c>
      <c r="B41" s="232" t="s">
        <v>1217</v>
      </c>
      <c r="C41" s="233" t="s">
        <v>962</v>
      </c>
      <c r="D41" s="227">
        <v>18</v>
      </c>
      <c r="E41" s="230">
        <v>30</v>
      </c>
      <c r="F41" s="226">
        <v>540</v>
      </c>
      <c r="G41" s="227">
        <v>255</v>
      </c>
      <c r="H41" s="228">
        <v>810</v>
      </c>
      <c r="I41" s="224">
        <v>81</v>
      </c>
      <c r="J41" s="225">
        <v>729</v>
      </c>
      <c r="K41" s="11" t="s">
        <v>931</v>
      </c>
      <c r="L41" s="212"/>
      <c r="M41" s="213">
        <v>30</v>
      </c>
      <c r="N41" s="217">
        <v>15</v>
      </c>
      <c r="O41" s="211"/>
      <c r="P41" s="211"/>
      <c r="Q41" s="211"/>
      <c r="R41" s="215"/>
    </row>
    <row r="42" spans="1:18" s="216" customFormat="1" x14ac:dyDescent="0.35">
      <c r="A42" s="132">
        <v>37</v>
      </c>
      <c r="B42" s="232" t="s">
        <v>1218</v>
      </c>
      <c r="C42" s="233" t="s">
        <v>962</v>
      </c>
      <c r="D42" s="227">
        <v>17</v>
      </c>
      <c r="E42" s="230">
        <v>30</v>
      </c>
      <c r="F42" s="226">
        <v>510</v>
      </c>
      <c r="G42" s="227">
        <v>255</v>
      </c>
      <c r="H42" s="228">
        <v>765</v>
      </c>
      <c r="I42" s="224">
        <v>76.5</v>
      </c>
      <c r="J42" s="225">
        <v>688.5</v>
      </c>
      <c r="K42" s="11" t="s">
        <v>931</v>
      </c>
      <c r="L42" s="212"/>
      <c r="M42" s="213">
        <v>30</v>
      </c>
      <c r="N42" s="217">
        <v>11</v>
      </c>
      <c r="O42" s="211"/>
      <c r="P42" s="211"/>
      <c r="Q42" s="211"/>
      <c r="R42" s="215"/>
    </row>
    <row r="43" spans="1:18" s="216" customFormat="1" x14ac:dyDescent="0.35">
      <c r="A43" s="132">
        <v>38</v>
      </c>
      <c r="B43" s="232" t="s">
        <v>1219</v>
      </c>
      <c r="C43" s="233" t="s">
        <v>962</v>
      </c>
      <c r="D43" s="227">
        <v>17</v>
      </c>
      <c r="E43" s="230">
        <v>30</v>
      </c>
      <c r="F43" s="226">
        <v>510</v>
      </c>
      <c r="G43" s="227">
        <v>255</v>
      </c>
      <c r="H43" s="228">
        <v>765</v>
      </c>
      <c r="I43" s="224">
        <v>76.5</v>
      </c>
      <c r="J43" s="225">
        <v>688.5</v>
      </c>
      <c r="K43" s="11" t="s">
        <v>931</v>
      </c>
      <c r="L43" s="212"/>
      <c r="M43" s="213">
        <v>30</v>
      </c>
      <c r="N43" s="217">
        <v>21</v>
      </c>
      <c r="O43" s="211"/>
      <c r="P43" s="211"/>
      <c r="Q43" s="211"/>
      <c r="R43" s="215"/>
    </row>
    <row r="44" spans="1:18" s="216" customFormat="1" x14ac:dyDescent="0.35">
      <c r="A44" s="132">
        <v>39</v>
      </c>
      <c r="B44" s="232" t="s">
        <v>1220</v>
      </c>
      <c r="C44" s="233" t="s">
        <v>962</v>
      </c>
      <c r="D44" s="227">
        <v>21</v>
      </c>
      <c r="E44" s="230">
        <v>30</v>
      </c>
      <c r="F44" s="226">
        <v>630</v>
      </c>
      <c r="G44" s="227">
        <v>315</v>
      </c>
      <c r="H44" s="228">
        <v>945</v>
      </c>
      <c r="I44" s="224">
        <v>94.5</v>
      </c>
      <c r="J44" s="225">
        <v>850.5</v>
      </c>
      <c r="K44" s="11" t="s">
        <v>931</v>
      </c>
      <c r="L44" s="212"/>
      <c r="M44" s="213">
        <v>30</v>
      </c>
      <c r="N44" s="217"/>
      <c r="O44" s="211"/>
      <c r="P44" s="211"/>
      <c r="Q44" s="211"/>
      <c r="R44" s="215"/>
    </row>
    <row r="45" spans="1:18" s="216" customFormat="1" x14ac:dyDescent="0.35">
      <c r="A45" s="132">
        <v>40</v>
      </c>
      <c r="B45" s="232" t="s">
        <v>1221</v>
      </c>
      <c r="C45" s="233" t="s">
        <v>962</v>
      </c>
      <c r="D45" s="227">
        <v>22</v>
      </c>
      <c r="E45" s="230">
        <v>30</v>
      </c>
      <c r="F45" s="226">
        <v>660</v>
      </c>
      <c r="G45" s="227">
        <v>330</v>
      </c>
      <c r="H45" s="228">
        <v>990</v>
      </c>
      <c r="I45" s="224">
        <v>99</v>
      </c>
      <c r="J45" s="225">
        <v>891</v>
      </c>
      <c r="K45" s="11" t="s">
        <v>931</v>
      </c>
      <c r="L45" s="212"/>
      <c r="M45" s="213">
        <v>30</v>
      </c>
      <c r="N45" s="217">
        <v>14</v>
      </c>
      <c r="O45" s="211"/>
      <c r="P45" s="211"/>
      <c r="Q45" s="211"/>
      <c r="R45" s="215"/>
    </row>
    <row r="46" spans="1:18" s="216" customFormat="1" x14ac:dyDescent="0.35">
      <c r="A46" s="132">
        <v>41</v>
      </c>
      <c r="B46" s="232" t="s">
        <v>1222</v>
      </c>
      <c r="C46" s="233" t="s">
        <v>962</v>
      </c>
      <c r="D46" s="227">
        <v>18</v>
      </c>
      <c r="E46" s="230">
        <v>30</v>
      </c>
      <c r="F46" s="226">
        <v>540</v>
      </c>
      <c r="G46" s="227">
        <v>270</v>
      </c>
      <c r="H46" s="228">
        <v>810</v>
      </c>
      <c r="I46" s="224">
        <v>81</v>
      </c>
      <c r="J46" s="225">
        <v>729</v>
      </c>
      <c r="K46" s="11" t="s">
        <v>931</v>
      </c>
      <c r="L46" s="212"/>
      <c r="M46" s="213">
        <v>30</v>
      </c>
      <c r="N46" s="217">
        <v>10</v>
      </c>
      <c r="O46" s="211"/>
      <c r="P46" s="211"/>
      <c r="Q46" s="211"/>
      <c r="R46" s="215"/>
    </row>
    <row r="47" spans="1:18" s="216" customFormat="1" x14ac:dyDescent="0.35">
      <c r="A47" s="132">
        <v>42</v>
      </c>
      <c r="B47" s="232" t="s">
        <v>1223</v>
      </c>
      <c r="C47" s="233" t="s">
        <v>962</v>
      </c>
      <c r="D47" s="227">
        <v>18</v>
      </c>
      <c r="E47" s="230">
        <v>30</v>
      </c>
      <c r="F47" s="226">
        <v>540</v>
      </c>
      <c r="G47" s="227">
        <v>270</v>
      </c>
      <c r="H47" s="228">
        <v>810</v>
      </c>
      <c r="I47" s="224">
        <v>81</v>
      </c>
      <c r="J47" s="225">
        <v>729</v>
      </c>
      <c r="K47" s="11" t="s">
        <v>931</v>
      </c>
      <c r="L47" s="212"/>
      <c r="M47" s="213">
        <v>30</v>
      </c>
      <c r="N47" s="217">
        <v>11</v>
      </c>
      <c r="O47" s="211"/>
      <c r="P47" s="211"/>
      <c r="Q47" s="211"/>
      <c r="R47" s="215"/>
    </row>
    <row r="48" spans="1:18" s="216" customFormat="1" x14ac:dyDescent="0.35">
      <c r="A48" s="132">
        <v>43</v>
      </c>
      <c r="B48" s="232" t="s">
        <v>1224</v>
      </c>
      <c r="C48" s="233" t="s">
        <v>962</v>
      </c>
      <c r="D48" s="227">
        <v>18</v>
      </c>
      <c r="E48" s="230">
        <v>30</v>
      </c>
      <c r="F48" s="226">
        <v>540</v>
      </c>
      <c r="G48" s="227">
        <v>270</v>
      </c>
      <c r="H48" s="228">
        <v>810</v>
      </c>
      <c r="I48" s="224">
        <v>81</v>
      </c>
      <c r="J48" s="225">
        <v>729</v>
      </c>
      <c r="K48" s="11" t="s">
        <v>931</v>
      </c>
      <c r="L48" s="212"/>
      <c r="M48" s="213">
        <v>30</v>
      </c>
      <c r="N48" s="217">
        <v>10</v>
      </c>
      <c r="O48" s="211"/>
      <c r="P48" s="211"/>
      <c r="Q48" s="211"/>
      <c r="R48" s="215"/>
    </row>
    <row r="49" spans="1:21" s="216" customFormat="1" x14ac:dyDescent="0.35">
      <c r="A49" s="132">
        <v>44</v>
      </c>
      <c r="B49" s="232" t="s">
        <v>1225</v>
      </c>
      <c r="C49" s="233" t="s">
        <v>962</v>
      </c>
      <c r="D49" s="227">
        <v>19</v>
      </c>
      <c r="E49" s="230">
        <v>30</v>
      </c>
      <c r="F49" s="226">
        <v>570</v>
      </c>
      <c r="G49" s="227">
        <v>285</v>
      </c>
      <c r="H49" s="228">
        <v>855</v>
      </c>
      <c r="I49" s="224">
        <v>85.5</v>
      </c>
      <c r="J49" s="225">
        <v>769.5</v>
      </c>
      <c r="K49" s="11" t="s">
        <v>931</v>
      </c>
      <c r="L49" s="212"/>
      <c r="M49" s="213">
        <v>30</v>
      </c>
      <c r="N49" s="217">
        <v>8</v>
      </c>
      <c r="O49" s="211"/>
      <c r="P49" s="211"/>
      <c r="Q49" s="211"/>
      <c r="R49" s="215"/>
    </row>
    <row r="50" spans="1:21" s="216" customFormat="1" x14ac:dyDescent="0.35">
      <c r="A50" s="132">
        <v>45</v>
      </c>
      <c r="B50" s="232" t="s">
        <v>1226</v>
      </c>
      <c r="C50" s="233" t="s">
        <v>962</v>
      </c>
      <c r="D50" s="227">
        <v>21</v>
      </c>
      <c r="E50" s="230">
        <v>30</v>
      </c>
      <c r="F50" s="226">
        <v>630</v>
      </c>
      <c r="G50" s="227">
        <v>315</v>
      </c>
      <c r="H50" s="228">
        <v>945</v>
      </c>
      <c r="I50" s="224">
        <v>94.5</v>
      </c>
      <c r="J50" s="225">
        <v>850.5</v>
      </c>
      <c r="K50" s="11" t="s">
        <v>931</v>
      </c>
      <c r="L50" s="212"/>
      <c r="M50" s="213">
        <v>30</v>
      </c>
      <c r="N50" s="217">
        <v>6</v>
      </c>
      <c r="O50" s="211"/>
      <c r="P50" s="211"/>
      <c r="Q50" s="211"/>
      <c r="R50" s="215"/>
    </row>
    <row r="51" spans="1:21" s="216" customFormat="1" x14ac:dyDescent="0.35">
      <c r="A51" s="132">
        <v>46</v>
      </c>
      <c r="B51" s="232" t="s">
        <v>1227</v>
      </c>
      <c r="C51" s="233" t="s">
        <v>962</v>
      </c>
      <c r="D51" s="227">
        <v>16</v>
      </c>
      <c r="E51" s="230">
        <v>30</v>
      </c>
      <c r="F51" s="226">
        <v>480</v>
      </c>
      <c r="G51" s="227">
        <v>240</v>
      </c>
      <c r="H51" s="228">
        <v>720</v>
      </c>
      <c r="I51" s="224">
        <v>72</v>
      </c>
      <c r="J51" s="225">
        <v>648</v>
      </c>
      <c r="K51" s="11" t="s">
        <v>931</v>
      </c>
      <c r="L51" s="212"/>
      <c r="M51" s="213">
        <v>30</v>
      </c>
      <c r="N51" s="217">
        <v>8</v>
      </c>
      <c r="O51" s="211"/>
      <c r="P51" s="211"/>
      <c r="Q51" s="211"/>
      <c r="R51" s="215"/>
    </row>
    <row r="52" spans="1:21" s="216" customFormat="1" x14ac:dyDescent="0.35">
      <c r="A52" s="132">
        <v>47</v>
      </c>
      <c r="B52" s="232" t="s">
        <v>1228</v>
      </c>
      <c r="C52" s="233" t="s">
        <v>962</v>
      </c>
      <c r="D52" s="227">
        <v>16</v>
      </c>
      <c r="E52" s="230">
        <v>30</v>
      </c>
      <c r="F52" s="226">
        <v>480</v>
      </c>
      <c r="G52" s="227">
        <v>240</v>
      </c>
      <c r="H52" s="228">
        <v>720</v>
      </c>
      <c r="I52" s="224">
        <v>72</v>
      </c>
      <c r="J52" s="225">
        <v>648</v>
      </c>
      <c r="K52" s="11" t="s">
        <v>931</v>
      </c>
      <c r="L52" s="212"/>
      <c r="M52" s="213">
        <v>30</v>
      </c>
      <c r="N52" s="217">
        <v>8</v>
      </c>
      <c r="O52" s="211"/>
      <c r="P52" s="211"/>
      <c r="Q52" s="211"/>
      <c r="R52" s="215"/>
    </row>
    <row r="53" spans="1:21" s="216" customFormat="1" x14ac:dyDescent="0.35">
      <c r="A53" s="132">
        <v>48</v>
      </c>
      <c r="B53" s="232" t="s">
        <v>1229</v>
      </c>
      <c r="C53" s="233" t="s">
        <v>962</v>
      </c>
      <c r="D53" s="227">
        <v>18</v>
      </c>
      <c r="E53" s="230">
        <v>30</v>
      </c>
      <c r="F53" s="226">
        <v>540</v>
      </c>
      <c r="G53" s="227">
        <v>270</v>
      </c>
      <c r="H53" s="228">
        <v>810</v>
      </c>
      <c r="I53" s="224">
        <v>81</v>
      </c>
      <c r="J53" s="225">
        <v>729</v>
      </c>
      <c r="K53" s="11" t="s">
        <v>931</v>
      </c>
      <c r="L53" s="212"/>
      <c r="M53" s="213">
        <v>30</v>
      </c>
      <c r="N53" s="217">
        <v>8</v>
      </c>
      <c r="O53" s="211"/>
      <c r="P53" s="211"/>
      <c r="Q53" s="211"/>
      <c r="R53" s="215"/>
    </row>
    <row r="54" spans="1:21" s="216" customFormat="1" x14ac:dyDescent="0.35">
      <c r="A54" s="132">
        <v>49</v>
      </c>
      <c r="B54" s="232" t="s">
        <v>1230</v>
      </c>
      <c r="C54" s="233" t="s">
        <v>962</v>
      </c>
      <c r="D54" s="227">
        <v>17</v>
      </c>
      <c r="E54" s="230">
        <v>30</v>
      </c>
      <c r="F54" s="226">
        <v>510</v>
      </c>
      <c r="G54" s="227">
        <v>255</v>
      </c>
      <c r="H54" s="228">
        <v>765</v>
      </c>
      <c r="I54" s="224">
        <v>76.5</v>
      </c>
      <c r="J54" s="225">
        <v>688.5</v>
      </c>
      <c r="K54" s="11" t="s">
        <v>931</v>
      </c>
      <c r="L54" s="212"/>
      <c r="M54" s="213">
        <v>30</v>
      </c>
      <c r="N54" s="217">
        <v>8</v>
      </c>
      <c r="O54" s="211"/>
      <c r="P54" s="211"/>
      <c r="Q54" s="211"/>
      <c r="R54" s="215"/>
    </row>
    <row r="55" spans="1:21" s="216" customFormat="1" x14ac:dyDescent="0.35">
      <c r="A55" s="132">
        <v>50</v>
      </c>
      <c r="B55" s="232" t="s">
        <v>1231</v>
      </c>
      <c r="C55" s="233" t="s">
        <v>962</v>
      </c>
      <c r="D55" s="227">
        <v>17</v>
      </c>
      <c r="E55" s="230">
        <v>30</v>
      </c>
      <c r="F55" s="226">
        <v>510</v>
      </c>
      <c r="G55" s="227">
        <v>255</v>
      </c>
      <c r="H55" s="228">
        <v>765</v>
      </c>
      <c r="I55" s="224">
        <v>76.5</v>
      </c>
      <c r="J55" s="225">
        <v>688.5</v>
      </c>
      <c r="K55" s="11" t="s">
        <v>931</v>
      </c>
      <c r="L55" s="212"/>
      <c r="M55" s="213">
        <v>30</v>
      </c>
      <c r="N55" s="217">
        <v>8</v>
      </c>
      <c r="O55" s="211"/>
      <c r="P55" s="211"/>
      <c r="Q55" s="211"/>
      <c r="R55" s="215"/>
    </row>
    <row r="56" spans="1:21" s="216" customFormat="1" x14ac:dyDescent="0.35">
      <c r="A56" s="132">
        <v>51</v>
      </c>
      <c r="B56" s="232" t="s">
        <v>1232</v>
      </c>
      <c r="C56" s="233" t="s">
        <v>962</v>
      </c>
      <c r="D56" s="227">
        <v>18</v>
      </c>
      <c r="E56" s="230">
        <v>30</v>
      </c>
      <c r="F56" s="226">
        <v>540</v>
      </c>
      <c r="G56" s="227">
        <v>270</v>
      </c>
      <c r="H56" s="228">
        <v>810</v>
      </c>
      <c r="I56" s="224">
        <v>81</v>
      </c>
      <c r="J56" s="225">
        <v>729</v>
      </c>
      <c r="K56" s="11" t="s">
        <v>931</v>
      </c>
      <c r="L56" s="212"/>
      <c r="M56" s="213">
        <v>30</v>
      </c>
      <c r="N56" s="217">
        <v>7</v>
      </c>
      <c r="O56" s="211"/>
      <c r="P56" s="211"/>
      <c r="Q56" s="211"/>
      <c r="R56" s="215"/>
    </row>
    <row r="57" spans="1:21" s="216" customFormat="1" x14ac:dyDescent="0.35">
      <c r="A57" s="132">
        <v>52</v>
      </c>
      <c r="B57" s="232" t="s">
        <v>1233</v>
      </c>
      <c r="C57" s="233" t="s">
        <v>962</v>
      </c>
      <c r="D57" s="227">
        <v>15</v>
      </c>
      <c r="E57" s="230">
        <v>30</v>
      </c>
      <c r="F57" s="226">
        <v>450</v>
      </c>
      <c r="G57" s="227">
        <v>225</v>
      </c>
      <c r="H57" s="228">
        <v>675</v>
      </c>
      <c r="I57" s="224">
        <v>67.5</v>
      </c>
      <c r="J57" s="225">
        <v>607.5</v>
      </c>
      <c r="K57" s="11" t="s">
        <v>931</v>
      </c>
      <c r="L57" s="212"/>
      <c r="M57" s="213">
        <v>30</v>
      </c>
      <c r="N57" s="217">
        <v>8</v>
      </c>
      <c r="O57" s="211"/>
      <c r="P57" s="211"/>
      <c r="Q57" s="211"/>
      <c r="R57" s="215"/>
    </row>
    <row r="58" spans="1:21" s="216" customFormat="1" x14ac:dyDescent="0.35">
      <c r="A58" s="132">
        <v>53</v>
      </c>
      <c r="B58" s="232" t="s">
        <v>1234</v>
      </c>
      <c r="C58" s="233" t="s">
        <v>962</v>
      </c>
      <c r="D58" s="227">
        <v>15</v>
      </c>
      <c r="E58" s="230">
        <v>30</v>
      </c>
      <c r="F58" s="226">
        <v>450</v>
      </c>
      <c r="G58" s="227">
        <v>225</v>
      </c>
      <c r="H58" s="228">
        <v>675</v>
      </c>
      <c r="I58" s="224">
        <v>67.5</v>
      </c>
      <c r="J58" s="225">
        <v>607.5</v>
      </c>
      <c r="K58" s="11" t="s">
        <v>931</v>
      </c>
      <c r="L58" s="212"/>
      <c r="M58" s="213">
        <v>30</v>
      </c>
      <c r="N58" s="217">
        <v>6</v>
      </c>
      <c r="O58" s="211"/>
      <c r="P58" s="211"/>
      <c r="Q58" s="211"/>
      <c r="R58" s="215"/>
    </row>
    <row r="59" spans="1:21" s="216" customFormat="1" x14ac:dyDescent="0.35">
      <c r="A59" s="132">
        <v>54</v>
      </c>
      <c r="B59" s="234" t="s">
        <v>1235</v>
      </c>
      <c r="C59" s="235" t="s">
        <v>962</v>
      </c>
      <c r="D59" s="236">
        <v>15</v>
      </c>
      <c r="E59" s="237">
        <v>30</v>
      </c>
      <c r="F59" s="226">
        <v>450</v>
      </c>
      <c r="G59" s="236">
        <v>225</v>
      </c>
      <c r="H59" s="228">
        <v>675</v>
      </c>
      <c r="I59" s="224">
        <v>67.5</v>
      </c>
      <c r="J59" s="225">
        <v>607.5</v>
      </c>
      <c r="K59" s="238" t="s">
        <v>931</v>
      </c>
      <c r="L59" s="218"/>
      <c r="M59" s="219">
        <v>30</v>
      </c>
      <c r="N59" s="220">
        <v>6</v>
      </c>
      <c r="O59" s="221"/>
      <c r="P59" s="221"/>
      <c r="Q59" s="221"/>
      <c r="R59" s="215"/>
    </row>
    <row r="60" spans="1:21" s="211" customFormat="1" x14ac:dyDescent="0.35">
      <c r="A60" s="132">
        <v>55</v>
      </c>
      <c r="B60" s="229" t="s">
        <v>1236</v>
      </c>
      <c r="C60" s="239" t="s">
        <v>962</v>
      </c>
      <c r="D60" s="227">
        <v>15</v>
      </c>
      <c r="E60" s="225">
        <v>30</v>
      </c>
      <c r="F60" s="226">
        <v>450</v>
      </c>
      <c r="G60" s="227">
        <v>225</v>
      </c>
      <c r="H60" s="228">
        <v>675</v>
      </c>
      <c r="I60" s="224">
        <v>67.5</v>
      </c>
      <c r="J60" s="225">
        <v>607.5</v>
      </c>
      <c r="K60" s="11" t="s">
        <v>931</v>
      </c>
      <c r="L60" s="212"/>
      <c r="M60" s="213">
        <v>30</v>
      </c>
      <c r="N60" s="217">
        <v>7</v>
      </c>
      <c r="R60" s="212"/>
      <c r="U60" s="222"/>
    </row>
    <row r="61" spans="1:21" s="211" customFormat="1" x14ac:dyDescent="0.35">
      <c r="A61" s="132">
        <v>56</v>
      </c>
      <c r="B61" s="229" t="s">
        <v>1237</v>
      </c>
      <c r="C61" s="239" t="s">
        <v>962</v>
      </c>
      <c r="D61" s="227">
        <v>16</v>
      </c>
      <c r="E61" s="225">
        <v>30</v>
      </c>
      <c r="F61" s="226">
        <v>480</v>
      </c>
      <c r="G61" s="227">
        <v>240</v>
      </c>
      <c r="H61" s="228">
        <v>720</v>
      </c>
      <c r="I61" s="224">
        <v>72</v>
      </c>
      <c r="J61" s="225">
        <v>648</v>
      </c>
      <c r="K61" s="11" t="s">
        <v>931</v>
      </c>
      <c r="L61" s="212"/>
      <c r="M61" s="213">
        <v>30</v>
      </c>
      <c r="N61" s="217">
        <v>7</v>
      </c>
      <c r="R61" s="212"/>
      <c r="U61" s="222"/>
    </row>
    <row r="62" spans="1:21" s="211" customFormat="1" x14ac:dyDescent="0.35">
      <c r="A62" s="132">
        <v>57</v>
      </c>
      <c r="B62" s="229" t="s">
        <v>1238</v>
      </c>
      <c r="C62" s="239" t="s">
        <v>962</v>
      </c>
      <c r="D62" s="227">
        <v>17</v>
      </c>
      <c r="E62" s="225">
        <v>30</v>
      </c>
      <c r="F62" s="226">
        <v>510</v>
      </c>
      <c r="G62" s="227">
        <v>255</v>
      </c>
      <c r="H62" s="228">
        <v>765</v>
      </c>
      <c r="I62" s="224">
        <v>76.5</v>
      </c>
      <c r="J62" s="225">
        <v>688.5</v>
      </c>
      <c r="K62" s="11" t="s">
        <v>931</v>
      </c>
      <c r="L62" s="212"/>
      <c r="M62" s="213">
        <v>30</v>
      </c>
      <c r="N62" s="217">
        <v>6</v>
      </c>
      <c r="R62" s="212"/>
      <c r="U62" s="222"/>
    </row>
    <row r="63" spans="1:21" s="211" customFormat="1" x14ac:dyDescent="0.35">
      <c r="A63" s="132">
        <v>58</v>
      </c>
      <c r="B63" s="229" t="s">
        <v>1239</v>
      </c>
      <c r="C63" s="239" t="s">
        <v>962</v>
      </c>
      <c r="D63" s="227">
        <v>22</v>
      </c>
      <c r="E63" s="225">
        <v>30</v>
      </c>
      <c r="F63" s="226">
        <v>660</v>
      </c>
      <c r="G63" s="227">
        <v>330</v>
      </c>
      <c r="H63" s="228">
        <v>990</v>
      </c>
      <c r="I63" s="224">
        <v>99</v>
      </c>
      <c r="J63" s="225">
        <v>891</v>
      </c>
      <c r="K63" s="11" t="s">
        <v>931</v>
      </c>
      <c r="L63" s="212"/>
      <c r="M63" s="213">
        <v>30</v>
      </c>
      <c r="N63" s="217">
        <v>6</v>
      </c>
      <c r="R63" s="212"/>
      <c r="U63" s="222"/>
    </row>
    <row r="64" spans="1:21" s="211" customFormat="1" x14ac:dyDescent="0.35">
      <c r="A64" s="132">
        <v>59</v>
      </c>
      <c r="B64" s="229" t="s">
        <v>1240</v>
      </c>
      <c r="C64" s="239" t="s">
        <v>962</v>
      </c>
      <c r="D64" s="227">
        <v>10</v>
      </c>
      <c r="E64" s="225">
        <v>30</v>
      </c>
      <c r="F64" s="226">
        <v>300</v>
      </c>
      <c r="G64" s="227">
        <v>150</v>
      </c>
      <c r="H64" s="228">
        <v>450</v>
      </c>
      <c r="I64" s="224">
        <v>45</v>
      </c>
      <c r="J64" s="225">
        <v>405</v>
      </c>
      <c r="K64" s="11" t="s">
        <v>931</v>
      </c>
      <c r="L64" s="212"/>
      <c r="M64" s="213">
        <v>30</v>
      </c>
      <c r="N64" s="217">
        <v>6</v>
      </c>
      <c r="R64" s="212"/>
      <c r="U64" s="222"/>
    </row>
    <row r="65" spans="1:21" s="211" customFormat="1" x14ac:dyDescent="0.35">
      <c r="A65" s="132">
        <v>60</v>
      </c>
      <c r="B65" s="229" t="s">
        <v>1241</v>
      </c>
      <c r="C65" s="239" t="s">
        <v>962</v>
      </c>
      <c r="D65" s="227">
        <v>9</v>
      </c>
      <c r="E65" s="225">
        <v>30</v>
      </c>
      <c r="F65" s="226">
        <v>270</v>
      </c>
      <c r="G65" s="227">
        <v>135</v>
      </c>
      <c r="H65" s="228">
        <v>405</v>
      </c>
      <c r="I65" s="224">
        <v>40.5</v>
      </c>
      <c r="J65" s="225">
        <v>364.5</v>
      </c>
      <c r="K65" s="11" t="s">
        <v>931</v>
      </c>
      <c r="L65" s="212"/>
      <c r="M65" s="213">
        <v>30</v>
      </c>
      <c r="N65" s="217"/>
      <c r="R65" s="212"/>
      <c r="U65" s="222"/>
    </row>
    <row r="66" spans="1:21" s="211" customFormat="1" x14ac:dyDescent="0.35">
      <c r="A66" s="132">
        <v>61</v>
      </c>
      <c r="B66" s="229" t="s">
        <v>1242</v>
      </c>
      <c r="C66" s="239" t="s">
        <v>962</v>
      </c>
      <c r="D66" s="227">
        <v>5</v>
      </c>
      <c r="E66" s="225">
        <v>30</v>
      </c>
      <c r="F66" s="226">
        <v>150</v>
      </c>
      <c r="G66" s="227">
        <v>75</v>
      </c>
      <c r="H66" s="228">
        <v>225</v>
      </c>
      <c r="I66" s="224">
        <v>22.5</v>
      </c>
      <c r="J66" s="225">
        <v>202.5</v>
      </c>
      <c r="K66" s="11" t="s">
        <v>931</v>
      </c>
      <c r="L66" s="212"/>
      <c r="M66" s="213">
        <v>30</v>
      </c>
      <c r="N66" s="214">
        <v>35</v>
      </c>
      <c r="R66" s="212"/>
      <c r="U66" s="222"/>
    </row>
    <row r="67" spans="1:21" s="211" customFormat="1" x14ac:dyDescent="0.35">
      <c r="A67" s="132">
        <v>62</v>
      </c>
      <c r="B67" s="229" t="s">
        <v>1243</v>
      </c>
      <c r="C67" s="239" t="s">
        <v>962</v>
      </c>
      <c r="D67" s="227">
        <v>9</v>
      </c>
      <c r="E67" s="225">
        <v>30</v>
      </c>
      <c r="F67" s="226">
        <v>270</v>
      </c>
      <c r="G67" s="227">
        <v>135</v>
      </c>
      <c r="H67" s="228">
        <v>405</v>
      </c>
      <c r="I67" s="224">
        <v>40.5</v>
      </c>
      <c r="J67" s="225">
        <v>364.5</v>
      </c>
      <c r="K67" s="11" t="s">
        <v>931</v>
      </c>
      <c r="L67" s="212"/>
      <c r="M67" s="213">
        <v>30</v>
      </c>
      <c r="N67" s="214">
        <v>35</v>
      </c>
      <c r="R67" s="212"/>
      <c r="U67" s="222"/>
    </row>
    <row r="68" spans="1:21" s="211" customFormat="1" x14ac:dyDescent="0.35">
      <c r="A68" s="132">
        <v>63</v>
      </c>
      <c r="B68" s="229" t="s">
        <v>1244</v>
      </c>
      <c r="C68" s="239" t="s">
        <v>962</v>
      </c>
      <c r="D68" s="227">
        <v>6</v>
      </c>
      <c r="E68" s="225">
        <v>30</v>
      </c>
      <c r="F68" s="226">
        <v>180</v>
      </c>
      <c r="G68" s="227">
        <v>90</v>
      </c>
      <c r="H68" s="228">
        <v>270</v>
      </c>
      <c r="I68" s="224">
        <v>27</v>
      </c>
      <c r="J68" s="225">
        <v>243</v>
      </c>
      <c r="K68" s="11" t="s">
        <v>931</v>
      </c>
      <c r="L68" s="212"/>
      <c r="M68" s="213">
        <v>30</v>
      </c>
      <c r="N68" s="214">
        <v>25</v>
      </c>
      <c r="R68" s="212"/>
      <c r="U68" s="222"/>
    </row>
    <row r="69" spans="1:21" s="211" customFormat="1" x14ac:dyDescent="0.35">
      <c r="A69" s="132">
        <v>64</v>
      </c>
      <c r="B69" s="229" t="s">
        <v>1245</v>
      </c>
      <c r="C69" s="239" t="s">
        <v>962</v>
      </c>
      <c r="D69" s="227">
        <v>9</v>
      </c>
      <c r="E69" s="225">
        <v>30</v>
      </c>
      <c r="F69" s="226">
        <v>270</v>
      </c>
      <c r="G69" s="227">
        <v>135</v>
      </c>
      <c r="H69" s="228">
        <v>405</v>
      </c>
      <c r="I69" s="224">
        <v>40.5</v>
      </c>
      <c r="J69" s="225">
        <v>364.5</v>
      </c>
      <c r="K69" s="11" t="s">
        <v>931</v>
      </c>
      <c r="L69" s="212"/>
      <c r="M69" s="213">
        <v>30</v>
      </c>
      <c r="N69" s="214">
        <v>25</v>
      </c>
      <c r="R69" s="212"/>
      <c r="U69" s="222"/>
    </row>
    <row r="70" spans="1:21" s="211" customFormat="1" x14ac:dyDescent="0.35">
      <c r="A70" s="132">
        <v>65</v>
      </c>
      <c r="B70" s="229" t="s">
        <v>1246</v>
      </c>
      <c r="C70" s="239" t="s">
        <v>962</v>
      </c>
      <c r="D70" s="227">
        <v>5</v>
      </c>
      <c r="E70" s="225">
        <v>30</v>
      </c>
      <c r="F70" s="226">
        <v>150</v>
      </c>
      <c r="G70" s="227">
        <v>75</v>
      </c>
      <c r="H70" s="228">
        <v>225</v>
      </c>
      <c r="I70" s="224">
        <v>22.5</v>
      </c>
      <c r="J70" s="225">
        <v>202.5</v>
      </c>
      <c r="K70" s="11" t="s">
        <v>931</v>
      </c>
      <c r="L70" s="212"/>
      <c r="M70" s="213">
        <v>30</v>
      </c>
      <c r="N70" s="214">
        <v>25</v>
      </c>
      <c r="R70" s="212"/>
      <c r="U70" s="222"/>
    </row>
    <row r="71" spans="1:21" s="211" customFormat="1" x14ac:dyDescent="0.35">
      <c r="A71" s="132">
        <v>66</v>
      </c>
      <c r="B71" s="229" t="s">
        <v>1247</v>
      </c>
      <c r="C71" s="239" t="s">
        <v>962</v>
      </c>
      <c r="D71" s="227">
        <v>2</v>
      </c>
      <c r="E71" s="225">
        <v>30</v>
      </c>
      <c r="F71" s="226">
        <v>60</v>
      </c>
      <c r="G71" s="227">
        <v>30</v>
      </c>
      <c r="H71" s="228">
        <v>90</v>
      </c>
      <c r="I71" s="224">
        <v>9</v>
      </c>
      <c r="J71" s="225">
        <v>81</v>
      </c>
      <c r="K71" s="11" t="s">
        <v>931</v>
      </c>
      <c r="L71" s="212"/>
      <c r="M71" s="213">
        <v>30</v>
      </c>
      <c r="N71" s="214">
        <v>25</v>
      </c>
      <c r="R71" s="212"/>
      <c r="U71" s="222"/>
    </row>
    <row r="72" spans="1:21" s="211" customFormat="1" x14ac:dyDescent="0.35">
      <c r="A72" s="132">
        <v>67</v>
      </c>
      <c r="B72" s="229" t="s">
        <v>1248</v>
      </c>
      <c r="C72" s="239" t="s">
        <v>962</v>
      </c>
      <c r="D72" s="227">
        <v>2</v>
      </c>
      <c r="E72" s="225">
        <v>30</v>
      </c>
      <c r="F72" s="226">
        <v>60</v>
      </c>
      <c r="G72" s="227">
        <v>30</v>
      </c>
      <c r="H72" s="228">
        <v>90</v>
      </c>
      <c r="I72" s="224">
        <v>9</v>
      </c>
      <c r="J72" s="225">
        <v>81</v>
      </c>
      <c r="K72" s="11" t="s">
        <v>931</v>
      </c>
      <c r="L72" s="212"/>
      <c r="M72" s="213">
        <v>30</v>
      </c>
      <c r="N72" s="214">
        <v>25</v>
      </c>
      <c r="R72" s="212"/>
      <c r="U72" s="222"/>
    </row>
    <row r="73" spans="1:21" s="211" customFormat="1" x14ac:dyDescent="0.35">
      <c r="A73" s="132">
        <v>68</v>
      </c>
      <c r="B73" s="229" t="s">
        <v>1249</v>
      </c>
      <c r="C73" s="239" t="s">
        <v>962</v>
      </c>
      <c r="D73" s="227">
        <v>1</v>
      </c>
      <c r="E73" s="225">
        <v>30</v>
      </c>
      <c r="F73" s="226">
        <v>30</v>
      </c>
      <c r="G73" s="227">
        <v>15</v>
      </c>
      <c r="H73" s="228">
        <v>45</v>
      </c>
      <c r="I73" s="224">
        <v>4.5</v>
      </c>
      <c r="J73" s="225">
        <v>40.5</v>
      </c>
      <c r="K73" s="11" t="s">
        <v>931</v>
      </c>
      <c r="L73" s="212"/>
      <c r="M73" s="213">
        <v>30</v>
      </c>
      <c r="N73" s="214">
        <v>25</v>
      </c>
      <c r="R73" s="212"/>
      <c r="U73" s="222"/>
    </row>
    <row r="74" spans="1:21" s="211" customFormat="1" x14ac:dyDescent="0.35">
      <c r="A74" s="132">
        <v>69</v>
      </c>
      <c r="B74" s="229" t="s">
        <v>1250</v>
      </c>
      <c r="C74" s="239" t="s">
        <v>962</v>
      </c>
      <c r="D74" s="227">
        <v>5</v>
      </c>
      <c r="E74" s="225">
        <v>30</v>
      </c>
      <c r="F74" s="226">
        <v>150</v>
      </c>
      <c r="G74" s="227">
        <v>75</v>
      </c>
      <c r="H74" s="228">
        <v>225</v>
      </c>
      <c r="I74" s="224">
        <v>22.5</v>
      </c>
      <c r="J74" s="225">
        <v>202.5</v>
      </c>
      <c r="K74" s="11" t="s">
        <v>931</v>
      </c>
      <c r="L74" s="212"/>
      <c r="M74" s="213">
        <v>30</v>
      </c>
      <c r="N74" s="214">
        <v>25</v>
      </c>
      <c r="R74" s="212"/>
      <c r="U74" s="222"/>
    </row>
    <row r="75" spans="1:21" s="211" customFormat="1" x14ac:dyDescent="0.35">
      <c r="A75" s="132">
        <v>70</v>
      </c>
      <c r="B75" s="229" t="s">
        <v>1251</v>
      </c>
      <c r="C75" s="239" t="s">
        <v>962</v>
      </c>
      <c r="D75" s="227">
        <v>6</v>
      </c>
      <c r="E75" s="225">
        <v>30</v>
      </c>
      <c r="F75" s="226">
        <v>180</v>
      </c>
      <c r="G75" s="227">
        <v>90</v>
      </c>
      <c r="H75" s="228">
        <v>270</v>
      </c>
      <c r="I75" s="224">
        <v>27</v>
      </c>
      <c r="J75" s="225">
        <v>243</v>
      </c>
      <c r="K75" s="11" t="s">
        <v>931</v>
      </c>
      <c r="L75" s="212"/>
      <c r="M75" s="213">
        <v>30</v>
      </c>
      <c r="N75" s="214">
        <v>25</v>
      </c>
      <c r="R75" s="212"/>
      <c r="U75" s="222"/>
    </row>
    <row r="76" spans="1:21" s="211" customFormat="1" x14ac:dyDescent="0.35">
      <c r="A76" s="132">
        <v>71</v>
      </c>
      <c r="B76" s="229" t="s">
        <v>1252</v>
      </c>
      <c r="C76" s="239" t="s">
        <v>962</v>
      </c>
      <c r="D76" s="227">
        <v>8</v>
      </c>
      <c r="E76" s="225">
        <v>30</v>
      </c>
      <c r="F76" s="226">
        <v>240</v>
      </c>
      <c r="G76" s="227">
        <v>120</v>
      </c>
      <c r="H76" s="228">
        <v>360</v>
      </c>
      <c r="I76" s="224">
        <v>36</v>
      </c>
      <c r="J76" s="225">
        <v>324</v>
      </c>
      <c r="K76" s="11" t="s">
        <v>931</v>
      </c>
      <c r="L76" s="212"/>
      <c r="M76" s="213">
        <v>30</v>
      </c>
      <c r="N76" s="214">
        <v>25</v>
      </c>
      <c r="R76" s="212"/>
    </row>
    <row r="77" spans="1:21" s="211" customFormat="1" x14ac:dyDescent="0.35">
      <c r="A77" s="132">
        <v>72</v>
      </c>
      <c r="B77" s="229" t="s">
        <v>1253</v>
      </c>
      <c r="C77" s="239" t="s">
        <v>962</v>
      </c>
      <c r="D77" s="227">
        <v>6</v>
      </c>
      <c r="E77" s="225">
        <v>30</v>
      </c>
      <c r="F77" s="226">
        <v>180</v>
      </c>
      <c r="G77" s="227">
        <v>90</v>
      </c>
      <c r="H77" s="228">
        <v>270</v>
      </c>
      <c r="I77" s="224">
        <v>27</v>
      </c>
      <c r="J77" s="225">
        <v>243</v>
      </c>
      <c r="K77" s="11" t="s">
        <v>931</v>
      </c>
      <c r="L77" s="212"/>
      <c r="M77" s="213">
        <v>30</v>
      </c>
      <c r="N77" s="214">
        <v>25</v>
      </c>
      <c r="R77" s="212"/>
    </row>
    <row r="78" spans="1:21" s="211" customFormat="1" x14ac:dyDescent="0.35">
      <c r="A78" s="132">
        <v>73</v>
      </c>
      <c r="B78" s="229" t="s">
        <v>1254</v>
      </c>
      <c r="C78" s="239" t="s">
        <v>962</v>
      </c>
      <c r="D78" s="227">
        <v>1</v>
      </c>
      <c r="E78" s="225">
        <v>30</v>
      </c>
      <c r="F78" s="226">
        <v>30</v>
      </c>
      <c r="G78" s="227">
        <v>15</v>
      </c>
      <c r="H78" s="228">
        <v>45</v>
      </c>
      <c r="I78" s="224">
        <v>4.5</v>
      </c>
      <c r="J78" s="225">
        <v>40.5</v>
      </c>
      <c r="K78" s="11" t="s">
        <v>931</v>
      </c>
      <c r="L78" s="212"/>
      <c r="M78" s="213">
        <v>30</v>
      </c>
      <c r="N78" s="214">
        <v>25</v>
      </c>
      <c r="R78" s="212"/>
    </row>
    <row r="79" spans="1:21" s="211" customFormat="1" x14ac:dyDescent="0.35">
      <c r="A79" s="132">
        <v>74</v>
      </c>
      <c r="B79" s="229" t="s">
        <v>1255</v>
      </c>
      <c r="C79" s="239" t="s">
        <v>962</v>
      </c>
      <c r="D79" s="227">
        <v>5</v>
      </c>
      <c r="E79" s="225">
        <v>30</v>
      </c>
      <c r="F79" s="226">
        <v>150</v>
      </c>
      <c r="G79" s="227">
        <v>75</v>
      </c>
      <c r="H79" s="228">
        <v>225</v>
      </c>
      <c r="I79" s="224">
        <v>22.5</v>
      </c>
      <c r="J79" s="225">
        <v>202.5</v>
      </c>
      <c r="K79" s="11" t="s">
        <v>931</v>
      </c>
      <c r="L79" s="212"/>
      <c r="M79" s="213">
        <v>30</v>
      </c>
      <c r="N79" s="214">
        <v>25</v>
      </c>
      <c r="R79" s="212"/>
    </row>
    <row r="80" spans="1:21" s="211" customFormat="1" x14ac:dyDescent="0.35">
      <c r="A80" s="132">
        <v>75</v>
      </c>
      <c r="B80" s="229" t="s">
        <v>826</v>
      </c>
      <c r="C80" s="239" t="s">
        <v>962</v>
      </c>
      <c r="D80" s="227">
        <v>7</v>
      </c>
      <c r="E80" s="225">
        <v>30</v>
      </c>
      <c r="F80" s="226">
        <v>210</v>
      </c>
      <c r="G80" s="227">
        <v>105</v>
      </c>
      <c r="H80" s="228">
        <v>315</v>
      </c>
      <c r="I80" s="224">
        <v>31.5</v>
      </c>
      <c r="J80" s="225">
        <v>283.5</v>
      </c>
      <c r="K80" s="11" t="s">
        <v>931</v>
      </c>
      <c r="L80" s="212"/>
      <c r="M80" s="213">
        <v>30</v>
      </c>
      <c r="N80" s="214">
        <v>25</v>
      </c>
      <c r="R80" s="212"/>
    </row>
    <row r="81" spans="1:21" s="211" customFormat="1" x14ac:dyDescent="0.35">
      <c r="A81" s="132">
        <v>76</v>
      </c>
      <c r="B81" s="229" t="s">
        <v>1256</v>
      </c>
      <c r="C81" s="239" t="s">
        <v>962</v>
      </c>
      <c r="D81" s="227">
        <v>10</v>
      </c>
      <c r="E81" s="225">
        <v>30</v>
      </c>
      <c r="F81" s="226">
        <v>300</v>
      </c>
      <c r="G81" s="227">
        <v>150</v>
      </c>
      <c r="H81" s="228">
        <v>450</v>
      </c>
      <c r="I81" s="224">
        <v>45</v>
      </c>
      <c r="J81" s="225">
        <v>405</v>
      </c>
      <c r="K81" s="11" t="s">
        <v>931</v>
      </c>
      <c r="L81" s="212"/>
      <c r="M81" s="213">
        <v>30</v>
      </c>
      <c r="N81" s="214">
        <v>25</v>
      </c>
      <c r="R81" s="212"/>
    </row>
    <row r="82" spans="1:21" s="211" customFormat="1" x14ac:dyDescent="0.35">
      <c r="A82" s="132">
        <v>77</v>
      </c>
      <c r="B82" s="229" t="s">
        <v>1257</v>
      </c>
      <c r="C82" s="239" t="s">
        <v>962</v>
      </c>
      <c r="D82" s="227">
        <v>7</v>
      </c>
      <c r="E82" s="225">
        <v>30</v>
      </c>
      <c r="F82" s="226">
        <v>210</v>
      </c>
      <c r="G82" s="227">
        <v>105</v>
      </c>
      <c r="H82" s="228">
        <v>315</v>
      </c>
      <c r="I82" s="224">
        <v>31.5</v>
      </c>
      <c r="J82" s="225">
        <v>283.5</v>
      </c>
      <c r="K82" s="11" t="s">
        <v>931</v>
      </c>
      <c r="L82" s="212"/>
      <c r="M82" s="213">
        <v>30</v>
      </c>
      <c r="N82" s="214">
        <v>25</v>
      </c>
      <c r="R82" s="212"/>
      <c r="U82" s="222"/>
    </row>
    <row r="83" spans="1:21" s="211" customFormat="1" x14ac:dyDescent="0.35">
      <c r="A83" s="132">
        <v>78</v>
      </c>
      <c r="B83" s="229" t="s">
        <v>1258</v>
      </c>
      <c r="C83" s="239" t="s">
        <v>962</v>
      </c>
      <c r="D83" s="227">
        <v>7</v>
      </c>
      <c r="E83" s="225">
        <v>30</v>
      </c>
      <c r="F83" s="226">
        <v>210</v>
      </c>
      <c r="G83" s="227">
        <v>105</v>
      </c>
      <c r="H83" s="228">
        <v>315</v>
      </c>
      <c r="I83" s="224">
        <v>31.5</v>
      </c>
      <c r="J83" s="225">
        <v>283.5</v>
      </c>
      <c r="K83" s="11" t="s">
        <v>931</v>
      </c>
      <c r="L83" s="212"/>
      <c r="M83" s="213">
        <v>30</v>
      </c>
      <c r="N83" s="214">
        <v>25</v>
      </c>
      <c r="R83" s="212"/>
      <c r="U83" s="222"/>
    </row>
    <row r="84" spans="1:21" s="211" customFormat="1" x14ac:dyDescent="0.35">
      <c r="A84" s="132">
        <v>79</v>
      </c>
      <c r="B84" s="229" t="s">
        <v>1259</v>
      </c>
      <c r="C84" s="239" t="s">
        <v>962</v>
      </c>
      <c r="D84" s="227">
        <v>14</v>
      </c>
      <c r="E84" s="225">
        <v>30</v>
      </c>
      <c r="F84" s="226">
        <v>420</v>
      </c>
      <c r="G84" s="227">
        <v>210</v>
      </c>
      <c r="H84" s="228">
        <v>630</v>
      </c>
      <c r="I84" s="224">
        <v>63</v>
      </c>
      <c r="J84" s="225">
        <v>567</v>
      </c>
      <c r="K84" s="11" t="s">
        <v>931</v>
      </c>
      <c r="M84" s="213">
        <v>30</v>
      </c>
      <c r="N84" s="214">
        <v>25</v>
      </c>
      <c r="R84" s="212"/>
      <c r="U84" s="222"/>
    </row>
    <row r="85" spans="1:21" s="211" customFormat="1" x14ac:dyDescent="0.35">
      <c r="A85" s="132">
        <v>80</v>
      </c>
      <c r="B85" s="229" t="s">
        <v>1260</v>
      </c>
      <c r="C85" s="239" t="s">
        <v>962</v>
      </c>
      <c r="D85" s="227">
        <v>6</v>
      </c>
      <c r="E85" s="225">
        <v>30</v>
      </c>
      <c r="F85" s="226">
        <v>180</v>
      </c>
      <c r="G85" s="227">
        <v>90</v>
      </c>
      <c r="H85" s="228">
        <v>270</v>
      </c>
      <c r="I85" s="224">
        <v>27</v>
      </c>
      <c r="J85" s="225">
        <v>243</v>
      </c>
      <c r="K85" s="11" t="s">
        <v>931</v>
      </c>
      <c r="L85" s="212"/>
      <c r="M85" s="213">
        <v>30</v>
      </c>
      <c r="N85" s="214">
        <v>25</v>
      </c>
      <c r="R85" s="212"/>
      <c r="U85" s="222"/>
    </row>
    <row r="86" spans="1:21" s="211" customFormat="1" x14ac:dyDescent="0.35">
      <c r="A86" s="132">
        <v>81</v>
      </c>
      <c r="B86" s="229" t="s">
        <v>1261</v>
      </c>
      <c r="C86" s="239" t="s">
        <v>962</v>
      </c>
      <c r="D86" s="227">
        <v>1</v>
      </c>
      <c r="E86" s="225">
        <v>30</v>
      </c>
      <c r="F86" s="226">
        <v>30</v>
      </c>
      <c r="G86" s="227">
        <v>15</v>
      </c>
      <c r="H86" s="228">
        <v>45</v>
      </c>
      <c r="I86" s="224">
        <v>4.5</v>
      </c>
      <c r="J86" s="225">
        <v>40.5</v>
      </c>
      <c r="K86" s="11" t="s">
        <v>931</v>
      </c>
      <c r="L86" s="212"/>
      <c r="M86" s="213">
        <v>30</v>
      </c>
      <c r="N86" s="214">
        <v>25</v>
      </c>
      <c r="R86" s="212"/>
      <c r="U86" s="222"/>
    </row>
    <row r="87" spans="1:21" s="211" customFormat="1" x14ac:dyDescent="0.35">
      <c r="A87" s="132">
        <v>82</v>
      </c>
      <c r="B87" s="229" t="s">
        <v>1262</v>
      </c>
      <c r="C87" s="239" t="s">
        <v>962</v>
      </c>
      <c r="D87" s="227">
        <v>10</v>
      </c>
      <c r="E87" s="225">
        <v>30</v>
      </c>
      <c r="F87" s="226">
        <v>300</v>
      </c>
      <c r="G87" s="227">
        <v>150</v>
      </c>
      <c r="H87" s="228">
        <v>450</v>
      </c>
      <c r="I87" s="224">
        <v>45</v>
      </c>
      <c r="J87" s="225">
        <v>405</v>
      </c>
      <c r="K87" s="11" t="s">
        <v>931</v>
      </c>
      <c r="L87" s="212"/>
      <c r="M87" s="213">
        <v>30</v>
      </c>
      <c r="N87" s="214">
        <v>25</v>
      </c>
      <c r="R87" s="212"/>
      <c r="U87" s="222"/>
    </row>
    <row r="88" spans="1:21" s="211" customFormat="1" x14ac:dyDescent="0.35">
      <c r="A88" s="132">
        <v>83</v>
      </c>
      <c r="B88" s="229" t="s">
        <v>1263</v>
      </c>
      <c r="C88" s="239" t="s">
        <v>962</v>
      </c>
      <c r="D88" s="227">
        <v>8</v>
      </c>
      <c r="E88" s="225">
        <v>30</v>
      </c>
      <c r="F88" s="226">
        <v>240</v>
      </c>
      <c r="G88" s="227">
        <v>120</v>
      </c>
      <c r="H88" s="228">
        <v>360</v>
      </c>
      <c r="I88" s="224">
        <v>36</v>
      </c>
      <c r="J88" s="225">
        <v>324</v>
      </c>
      <c r="K88" s="11" t="s">
        <v>931</v>
      </c>
      <c r="L88" s="212"/>
      <c r="M88" s="213">
        <v>30</v>
      </c>
      <c r="N88" s="214">
        <v>25</v>
      </c>
      <c r="R88" s="212"/>
      <c r="U88" s="222"/>
    </row>
    <row r="89" spans="1:21" s="211" customFormat="1" x14ac:dyDescent="0.35">
      <c r="A89" s="132">
        <v>84</v>
      </c>
      <c r="B89" s="229" t="s">
        <v>1264</v>
      </c>
      <c r="C89" s="239" t="s">
        <v>962</v>
      </c>
      <c r="D89" s="227">
        <v>7</v>
      </c>
      <c r="E89" s="225">
        <v>30</v>
      </c>
      <c r="F89" s="226">
        <v>210</v>
      </c>
      <c r="G89" s="227">
        <v>105</v>
      </c>
      <c r="H89" s="228">
        <v>315</v>
      </c>
      <c r="I89" s="224">
        <v>31.5</v>
      </c>
      <c r="J89" s="225">
        <v>283.5</v>
      </c>
      <c r="K89" s="11" t="s">
        <v>931</v>
      </c>
      <c r="L89" s="212"/>
      <c r="M89" s="213">
        <v>30</v>
      </c>
      <c r="N89" s="214">
        <v>25</v>
      </c>
      <c r="R89" s="212"/>
      <c r="U89" s="222"/>
    </row>
    <row r="90" spans="1:21" s="211" customFormat="1" x14ac:dyDescent="0.35">
      <c r="A90" s="132">
        <v>85</v>
      </c>
      <c r="B90" s="229" t="s">
        <v>1265</v>
      </c>
      <c r="C90" s="239" t="s">
        <v>962</v>
      </c>
      <c r="D90" s="227">
        <v>8</v>
      </c>
      <c r="E90" s="225">
        <v>30</v>
      </c>
      <c r="F90" s="226">
        <v>240</v>
      </c>
      <c r="G90" s="227">
        <v>120</v>
      </c>
      <c r="H90" s="228">
        <v>360</v>
      </c>
      <c r="I90" s="224">
        <v>36</v>
      </c>
      <c r="J90" s="225">
        <v>324</v>
      </c>
      <c r="K90" s="11" t="s">
        <v>931</v>
      </c>
      <c r="L90" s="212"/>
      <c r="M90" s="213">
        <v>30</v>
      </c>
      <c r="N90" s="214">
        <v>25</v>
      </c>
      <c r="R90" s="212"/>
      <c r="U90" s="222"/>
    </row>
    <row r="91" spans="1:21" s="211" customFormat="1" x14ac:dyDescent="0.35">
      <c r="A91" s="132">
        <v>86</v>
      </c>
      <c r="B91" s="229" t="s">
        <v>1266</v>
      </c>
      <c r="C91" s="239" t="s">
        <v>962</v>
      </c>
      <c r="D91" s="227">
        <v>1</v>
      </c>
      <c r="E91" s="225">
        <v>30</v>
      </c>
      <c r="F91" s="226">
        <v>30</v>
      </c>
      <c r="G91" s="227">
        <v>15</v>
      </c>
      <c r="H91" s="228">
        <v>45</v>
      </c>
      <c r="I91" s="224">
        <v>4.5</v>
      </c>
      <c r="J91" s="225">
        <v>40.5</v>
      </c>
      <c r="K91" s="11" t="s">
        <v>931</v>
      </c>
      <c r="L91" s="212"/>
      <c r="M91" s="213">
        <v>30</v>
      </c>
      <c r="N91" s="214">
        <v>25</v>
      </c>
      <c r="R91" s="212"/>
      <c r="U91" s="222"/>
    </row>
    <row r="92" spans="1:21" s="211" customFormat="1" x14ac:dyDescent="0.35">
      <c r="A92" s="132">
        <v>87</v>
      </c>
      <c r="B92" s="229" t="s">
        <v>1267</v>
      </c>
      <c r="C92" s="239" t="s">
        <v>962</v>
      </c>
      <c r="D92" s="227">
        <v>5</v>
      </c>
      <c r="E92" s="225">
        <v>30</v>
      </c>
      <c r="F92" s="226">
        <v>150</v>
      </c>
      <c r="G92" s="227">
        <v>75</v>
      </c>
      <c r="H92" s="228">
        <v>225</v>
      </c>
      <c r="I92" s="224">
        <v>22.5</v>
      </c>
      <c r="J92" s="225">
        <v>202.5</v>
      </c>
      <c r="K92" s="11" t="s">
        <v>931</v>
      </c>
      <c r="L92" s="212"/>
      <c r="M92" s="213">
        <v>30</v>
      </c>
      <c r="N92" s="214">
        <v>25</v>
      </c>
      <c r="R92" s="212"/>
      <c r="U92" s="222"/>
    </row>
    <row r="93" spans="1:21" s="211" customFormat="1" x14ac:dyDescent="0.35">
      <c r="A93" s="132">
        <v>88</v>
      </c>
      <c r="B93" s="229" t="s">
        <v>1268</v>
      </c>
      <c r="C93" s="239" t="s">
        <v>962</v>
      </c>
      <c r="D93" s="227">
        <v>8</v>
      </c>
      <c r="E93" s="225">
        <v>30</v>
      </c>
      <c r="F93" s="226">
        <v>240</v>
      </c>
      <c r="G93" s="227">
        <v>120</v>
      </c>
      <c r="H93" s="228">
        <v>360</v>
      </c>
      <c r="I93" s="224">
        <v>36</v>
      </c>
      <c r="J93" s="225">
        <v>324</v>
      </c>
      <c r="K93" s="11" t="s">
        <v>931</v>
      </c>
      <c r="L93" s="212"/>
      <c r="M93" s="213">
        <v>30</v>
      </c>
      <c r="N93" s="214">
        <v>25</v>
      </c>
      <c r="R93" s="212"/>
      <c r="U93" s="222"/>
    </row>
    <row r="94" spans="1:21" s="211" customFormat="1" x14ac:dyDescent="0.35">
      <c r="A94" s="132">
        <v>89</v>
      </c>
      <c r="B94" s="229" t="s">
        <v>1269</v>
      </c>
      <c r="C94" s="239" t="s">
        <v>962</v>
      </c>
      <c r="D94" s="227">
        <v>8</v>
      </c>
      <c r="E94" s="225">
        <v>30</v>
      </c>
      <c r="F94" s="226">
        <v>240</v>
      </c>
      <c r="G94" s="227">
        <v>120</v>
      </c>
      <c r="H94" s="228">
        <v>360</v>
      </c>
      <c r="I94" s="224">
        <v>36</v>
      </c>
      <c r="J94" s="225">
        <v>324</v>
      </c>
      <c r="K94" s="11" t="s">
        <v>931</v>
      </c>
      <c r="L94" s="212"/>
      <c r="M94" s="213">
        <v>30</v>
      </c>
      <c r="N94" s="214">
        <v>25</v>
      </c>
      <c r="R94" s="212"/>
      <c r="U94" s="222"/>
    </row>
    <row r="95" spans="1:21" s="211" customFormat="1" x14ac:dyDescent="0.35">
      <c r="A95" s="132">
        <v>90</v>
      </c>
      <c r="B95" s="229" t="s">
        <v>1270</v>
      </c>
      <c r="C95" s="239" t="s">
        <v>962</v>
      </c>
      <c r="D95" s="227">
        <v>3</v>
      </c>
      <c r="E95" s="225">
        <v>30</v>
      </c>
      <c r="F95" s="226">
        <v>90</v>
      </c>
      <c r="G95" s="227">
        <v>45</v>
      </c>
      <c r="H95" s="228">
        <v>135</v>
      </c>
      <c r="I95" s="224">
        <v>13.5</v>
      </c>
      <c r="J95" s="225">
        <v>121.5</v>
      </c>
      <c r="K95" s="11" t="s">
        <v>931</v>
      </c>
      <c r="L95" s="212"/>
      <c r="M95" s="213">
        <v>30</v>
      </c>
      <c r="N95" s="214">
        <v>25</v>
      </c>
      <c r="R95" s="212"/>
      <c r="U95" s="222"/>
    </row>
    <row r="96" spans="1:21" s="211" customFormat="1" x14ac:dyDescent="0.35">
      <c r="A96" s="132">
        <v>91</v>
      </c>
      <c r="B96" s="229" t="s">
        <v>1271</v>
      </c>
      <c r="C96" s="239" t="s">
        <v>962</v>
      </c>
      <c r="D96" s="227">
        <v>4</v>
      </c>
      <c r="E96" s="225">
        <v>30</v>
      </c>
      <c r="F96" s="226">
        <v>120</v>
      </c>
      <c r="G96" s="227">
        <v>60</v>
      </c>
      <c r="H96" s="228">
        <v>180</v>
      </c>
      <c r="I96" s="224">
        <v>18</v>
      </c>
      <c r="J96" s="225">
        <v>162</v>
      </c>
      <c r="K96" s="11" t="s">
        <v>931</v>
      </c>
      <c r="L96" s="212"/>
      <c r="M96" s="213">
        <v>30</v>
      </c>
      <c r="N96" s="214">
        <v>25</v>
      </c>
      <c r="R96" s="212"/>
      <c r="U96" s="222"/>
    </row>
    <row r="97" spans="1:21" s="211" customFormat="1" x14ac:dyDescent="0.35">
      <c r="A97" s="132">
        <v>92</v>
      </c>
      <c r="B97" s="229" t="s">
        <v>1272</v>
      </c>
      <c r="C97" s="239" t="s">
        <v>962</v>
      </c>
      <c r="D97" s="227">
        <v>12</v>
      </c>
      <c r="E97" s="225">
        <v>30</v>
      </c>
      <c r="F97" s="226">
        <v>360</v>
      </c>
      <c r="G97" s="227">
        <v>180</v>
      </c>
      <c r="H97" s="228">
        <v>540</v>
      </c>
      <c r="I97" s="224">
        <v>54</v>
      </c>
      <c r="J97" s="225">
        <v>486</v>
      </c>
      <c r="K97" s="11" t="s">
        <v>931</v>
      </c>
      <c r="L97" s="212"/>
      <c r="M97" s="213">
        <v>30</v>
      </c>
      <c r="N97" s="214">
        <v>25</v>
      </c>
      <c r="R97" s="212"/>
      <c r="U97" s="222"/>
    </row>
    <row r="98" spans="1:21" s="211" customFormat="1" x14ac:dyDescent="0.35">
      <c r="A98" s="132">
        <v>93</v>
      </c>
      <c r="B98" s="229" t="s">
        <v>1273</v>
      </c>
      <c r="C98" s="239" t="s">
        <v>962</v>
      </c>
      <c r="D98" s="227">
        <v>7</v>
      </c>
      <c r="E98" s="225">
        <v>30</v>
      </c>
      <c r="F98" s="226">
        <v>210</v>
      </c>
      <c r="G98" s="227">
        <v>105</v>
      </c>
      <c r="H98" s="228">
        <v>315</v>
      </c>
      <c r="I98" s="224">
        <v>31.5</v>
      </c>
      <c r="J98" s="225">
        <v>283.5</v>
      </c>
      <c r="K98" s="11" t="s">
        <v>931</v>
      </c>
      <c r="L98" s="212"/>
      <c r="M98" s="213">
        <v>30</v>
      </c>
      <c r="N98" s="214">
        <v>25</v>
      </c>
      <c r="R98" s="212"/>
      <c r="U98" s="222"/>
    </row>
    <row r="99" spans="1:21" s="211" customFormat="1" x14ac:dyDescent="0.35">
      <c r="A99" s="132">
        <v>94</v>
      </c>
      <c r="B99" s="229" t="s">
        <v>965</v>
      </c>
      <c r="C99" s="239" t="s">
        <v>962</v>
      </c>
      <c r="D99" s="227">
        <v>1</v>
      </c>
      <c r="E99" s="225">
        <v>30</v>
      </c>
      <c r="F99" s="226">
        <v>30</v>
      </c>
      <c r="G99" s="227">
        <v>15</v>
      </c>
      <c r="H99" s="228">
        <v>45</v>
      </c>
      <c r="I99" s="224">
        <v>4.5</v>
      </c>
      <c r="J99" s="225">
        <v>40.5</v>
      </c>
      <c r="K99" s="11" t="s">
        <v>931</v>
      </c>
      <c r="L99" s="212"/>
      <c r="M99" s="213">
        <v>30</v>
      </c>
      <c r="N99" s="214">
        <v>25</v>
      </c>
      <c r="R99" s="212"/>
      <c r="U99" s="222"/>
    </row>
    <row r="100" spans="1:21" s="211" customFormat="1" x14ac:dyDescent="0.35">
      <c r="A100" s="132">
        <v>95</v>
      </c>
      <c r="B100" s="229" t="s">
        <v>1274</v>
      </c>
      <c r="C100" s="239" t="s">
        <v>962</v>
      </c>
      <c r="D100" s="227">
        <v>11</v>
      </c>
      <c r="E100" s="225">
        <v>30</v>
      </c>
      <c r="F100" s="226">
        <v>330</v>
      </c>
      <c r="G100" s="227">
        <v>165</v>
      </c>
      <c r="H100" s="228">
        <v>495</v>
      </c>
      <c r="I100" s="224">
        <v>49.5</v>
      </c>
      <c r="J100" s="225">
        <v>445.5</v>
      </c>
      <c r="K100" s="11" t="s">
        <v>931</v>
      </c>
      <c r="L100" s="212"/>
      <c r="M100" s="213">
        <v>30</v>
      </c>
      <c r="N100" s="214">
        <v>25</v>
      </c>
      <c r="R100" s="212"/>
      <c r="U100" s="222"/>
    </row>
    <row r="101" spans="1:21" s="211" customFormat="1" x14ac:dyDescent="0.35">
      <c r="A101" s="132">
        <v>96</v>
      </c>
      <c r="B101" s="229" t="s">
        <v>1275</v>
      </c>
      <c r="C101" s="239" t="s">
        <v>962</v>
      </c>
      <c r="D101" s="227">
        <v>7</v>
      </c>
      <c r="E101" s="225">
        <v>30</v>
      </c>
      <c r="F101" s="226">
        <v>210</v>
      </c>
      <c r="G101" s="227">
        <v>105</v>
      </c>
      <c r="H101" s="228">
        <v>315</v>
      </c>
      <c r="I101" s="224">
        <v>31.5</v>
      </c>
      <c r="J101" s="225">
        <v>283.5</v>
      </c>
      <c r="K101" s="11" t="s">
        <v>931</v>
      </c>
      <c r="L101" s="212"/>
      <c r="M101" s="213">
        <v>30</v>
      </c>
      <c r="N101" s="214">
        <v>25</v>
      </c>
      <c r="R101" s="212"/>
      <c r="U101" s="222"/>
    </row>
    <row r="102" spans="1:21" s="211" customFormat="1" x14ac:dyDescent="0.35">
      <c r="A102" s="132">
        <v>97</v>
      </c>
      <c r="B102" s="229" t="s">
        <v>1276</v>
      </c>
      <c r="C102" s="239" t="s">
        <v>962</v>
      </c>
      <c r="D102" s="227">
        <v>8</v>
      </c>
      <c r="E102" s="225">
        <v>30</v>
      </c>
      <c r="F102" s="226">
        <v>240</v>
      </c>
      <c r="G102" s="227">
        <v>120</v>
      </c>
      <c r="H102" s="228">
        <v>360</v>
      </c>
      <c r="I102" s="224">
        <v>36</v>
      </c>
      <c r="J102" s="225">
        <v>324</v>
      </c>
      <c r="K102" s="11" t="s">
        <v>931</v>
      </c>
      <c r="L102" s="212"/>
      <c r="M102" s="213">
        <v>30</v>
      </c>
      <c r="N102" s="214">
        <v>25</v>
      </c>
      <c r="R102" s="212"/>
      <c r="U102" s="222"/>
    </row>
    <row r="103" spans="1:21" s="211" customFormat="1" x14ac:dyDescent="0.35">
      <c r="A103" s="132">
        <v>98</v>
      </c>
      <c r="B103" s="229" t="s">
        <v>1277</v>
      </c>
      <c r="C103" s="239" t="s">
        <v>962</v>
      </c>
      <c r="D103" s="227">
        <v>8</v>
      </c>
      <c r="E103" s="225">
        <v>30</v>
      </c>
      <c r="F103" s="226">
        <v>240</v>
      </c>
      <c r="G103" s="227">
        <v>120</v>
      </c>
      <c r="H103" s="228">
        <v>360</v>
      </c>
      <c r="I103" s="224">
        <v>36</v>
      </c>
      <c r="J103" s="225">
        <v>324</v>
      </c>
      <c r="K103" s="11" t="s">
        <v>931</v>
      </c>
      <c r="L103" s="212"/>
      <c r="M103" s="213">
        <v>30</v>
      </c>
      <c r="N103" s="214">
        <v>25</v>
      </c>
      <c r="R103" s="212"/>
    </row>
    <row r="104" spans="1:21" s="211" customFormat="1" x14ac:dyDescent="0.35">
      <c r="A104" s="132">
        <v>99</v>
      </c>
      <c r="B104" s="229" t="s">
        <v>1278</v>
      </c>
      <c r="C104" s="239" t="s">
        <v>962</v>
      </c>
      <c r="D104" s="227">
        <v>6</v>
      </c>
      <c r="E104" s="225">
        <v>30</v>
      </c>
      <c r="F104" s="226">
        <v>180</v>
      </c>
      <c r="G104" s="227">
        <v>90</v>
      </c>
      <c r="H104" s="228">
        <v>270</v>
      </c>
      <c r="I104" s="224">
        <v>27</v>
      </c>
      <c r="J104" s="225">
        <v>243</v>
      </c>
      <c r="K104" s="11" t="s">
        <v>931</v>
      </c>
      <c r="L104" s="212"/>
      <c r="M104" s="213">
        <v>30</v>
      </c>
      <c r="N104" s="214">
        <v>25</v>
      </c>
      <c r="R104" s="212"/>
    </row>
    <row r="105" spans="1:21" s="211" customFormat="1" x14ac:dyDescent="0.35">
      <c r="A105" s="132">
        <v>100</v>
      </c>
      <c r="B105" s="229" t="s">
        <v>1279</v>
      </c>
      <c r="C105" s="239" t="s">
        <v>962</v>
      </c>
      <c r="D105" s="227">
        <v>8</v>
      </c>
      <c r="E105" s="225">
        <v>30</v>
      </c>
      <c r="F105" s="226">
        <v>240</v>
      </c>
      <c r="G105" s="227">
        <v>120</v>
      </c>
      <c r="H105" s="228">
        <v>360</v>
      </c>
      <c r="I105" s="224">
        <v>36</v>
      </c>
      <c r="J105" s="225">
        <v>324</v>
      </c>
      <c r="K105" s="11" t="s">
        <v>931</v>
      </c>
      <c r="L105" s="212"/>
      <c r="M105" s="213">
        <v>30</v>
      </c>
      <c r="N105" s="214">
        <v>25</v>
      </c>
      <c r="R105" s="212"/>
    </row>
    <row r="106" spans="1:21" s="211" customFormat="1" x14ac:dyDescent="0.35">
      <c r="A106" s="132">
        <v>101</v>
      </c>
      <c r="B106" s="229" t="s">
        <v>1280</v>
      </c>
      <c r="C106" s="239" t="s">
        <v>962</v>
      </c>
      <c r="D106" s="227">
        <v>6</v>
      </c>
      <c r="E106" s="225">
        <v>30</v>
      </c>
      <c r="F106" s="226">
        <v>180</v>
      </c>
      <c r="G106" s="227">
        <v>90</v>
      </c>
      <c r="H106" s="228">
        <v>270</v>
      </c>
      <c r="I106" s="224">
        <v>27</v>
      </c>
      <c r="J106" s="225">
        <v>243</v>
      </c>
      <c r="K106" s="11" t="s">
        <v>931</v>
      </c>
      <c r="L106" s="212"/>
      <c r="M106" s="213">
        <v>30</v>
      </c>
      <c r="N106" s="214">
        <v>25</v>
      </c>
      <c r="R106" s="212"/>
    </row>
    <row r="107" spans="1:21" s="211" customFormat="1" x14ac:dyDescent="0.35">
      <c r="A107" s="132">
        <v>102</v>
      </c>
      <c r="B107" s="229" t="s">
        <v>1281</v>
      </c>
      <c r="C107" s="239" t="s">
        <v>962</v>
      </c>
      <c r="D107" s="227">
        <v>3</v>
      </c>
      <c r="E107" s="225">
        <v>30</v>
      </c>
      <c r="F107" s="226">
        <v>90</v>
      </c>
      <c r="G107" s="227">
        <v>45</v>
      </c>
      <c r="H107" s="228">
        <v>135</v>
      </c>
      <c r="I107" s="224">
        <v>13.5</v>
      </c>
      <c r="J107" s="225">
        <v>121.5</v>
      </c>
      <c r="K107" s="11" t="s">
        <v>931</v>
      </c>
      <c r="L107" s="212"/>
      <c r="M107" s="213">
        <v>30</v>
      </c>
      <c r="N107" s="214"/>
      <c r="R107" s="212"/>
    </row>
    <row r="108" spans="1:21" s="211" customFormat="1" x14ac:dyDescent="0.35">
      <c r="A108" s="132">
        <v>103</v>
      </c>
      <c r="B108" s="229" t="s">
        <v>1282</v>
      </c>
      <c r="C108" s="239" t="s">
        <v>962</v>
      </c>
      <c r="D108" s="227">
        <v>7</v>
      </c>
      <c r="E108" s="225">
        <v>30</v>
      </c>
      <c r="F108" s="226">
        <v>210</v>
      </c>
      <c r="G108" s="227">
        <v>105</v>
      </c>
      <c r="H108" s="228">
        <v>315</v>
      </c>
      <c r="I108" s="224">
        <v>31.5</v>
      </c>
      <c r="J108" s="225">
        <v>283.5</v>
      </c>
      <c r="K108" s="11" t="s">
        <v>931</v>
      </c>
      <c r="L108" s="212"/>
      <c r="M108" s="213">
        <v>30</v>
      </c>
      <c r="N108" s="214">
        <v>25</v>
      </c>
      <c r="R108" s="212"/>
    </row>
    <row r="109" spans="1:21" s="211" customFormat="1" x14ac:dyDescent="0.35">
      <c r="A109" s="132">
        <v>104</v>
      </c>
      <c r="B109" s="229" t="s">
        <v>1283</v>
      </c>
      <c r="C109" s="239" t="s">
        <v>962</v>
      </c>
      <c r="D109" s="227">
        <v>6</v>
      </c>
      <c r="E109" s="225">
        <v>30</v>
      </c>
      <c r="F109" s="226">
        <v>180</v>
      </c>
      <c r="G109" s="227">
        <v>90</v>
      </c>
      <c r="H109" s="228">
        <v>270</v>
      </c>
      <c r="I109" s="224">
        <v>27</v>
      </c>
      <c r="J109" s="225">
        <v>243</v>
      </c>
      <c r="K109" s="11" t="s">
        <v>931</v>
      </c>
      <c r="L109" s="212"/>
      <c r="M109" s="213">
        <v>30</v>
      </c>
      <c r="N109" s="214">
        <v>25</v>
      </c>
      <c r="R109" s="212"/>
      <c r="U109" s="222"/>
    </row>
    <row r="110" spans="1:21" s="211" customFormat="1" x14ac:dyDescent="0.35">
      <c r="A110" s="132">
        <v>105</v>
      </c>
      <c r="B110" s="229" t="s">
        <v>1284</v>
      </c>
      <c r="C110" s="239" t="s">
        <v>962</v>
      </c>
      <c r="D110" s="227">
        <v>8</v>
      </c>
      <c r="E110" s="225">
        <v>30</v>
      </c>
      <c r="F110" s="226">
        <v>240</v>
      </c>
      <c r="G110" s="227">
        <v>120</v>
      </c>
      <c r="H110" s="228">
        <v>360</v>
      </c>
      <c r="I110" s="224">
        <v>36</v>
      </c>
      <c r="J110" s="225">
        <v>324</v>
      </c>
      <c r="K110" s="11" t="s">
        <v>931</v>
      </c>
      <c r="L110" s="212"/>
      <c r="M110" s="213">
        <v>30</v>
      </c>
      <c r="N110" s="211">
        <v>14</v>
      </c>
      <c r="R110" s="212"/>
      <c r="U110" s="222"/>
    </row>
    <row r="111" spans="1:21" s="211" customFormat="1" x14ac:dyDescent="0.35">
      <c r="A111" s="132">
        <v>106</v>
      </c>
      <c r="B111" s="229" t="s">
        <v>1285</v>
      </c>
      <c r="C111" s="239" t="s">
        <v>962</v>
      </c>
      <c r="D111" s="227">
        <v>7</v>
      </c>
      <c r="E111" s="225">
        <v>30</v>
      </c>
      <c r="F111" s="226">
        <v>210</v>
      </c>
      <c r="G111" s="227">
        <v>105</v>
      </c>
      <c r="H111" s="228">
        <v>315</v>
      </c>
      <c r="I111" s="224">
        <v>31.5</v>
      </c>
      <c r="J111" s="225">
        <v>283.5</v>
      </c>
      <c r="K111" s="11" t="s">
        <v>931</v>
      </c>
      <c r="L111" s="212"/>
      <c r="M111" s="213">
        <v>30</v>
      </c>
      <c r="R111" s="212"/>
      <c r="U111" s="222"/>
    </row>
    <row r="112" spans="1:21" s="211" customFormat="1" x14ac:dyDescent="0.35">
      <c r="A112" s="132">
        <v>107</v>
      </c>
      <c r="B112" s="229" t="s">
        <v>1286</v>
      </c>
      <c r="C112" s="239" t="s">
        <v>962</v>
      </c>
      <c r="D112" s="227">
        <v>7</v>
      </c>
      <c r="E112" s="225">
        <v>30</v>
      </c>
      <c r="F112" s="226">
        <v>210</v>
      </c>
      <c r="G112" s="227">
        <v>105</v>
      </c>
      <c r="H112" s="228">
        <v>315</v>
      </c>
      <c r="I112" s="224">
        <v>31.5</v>
      </c>
      <c r="J112" s="225">
        <v>283.5</v>
      </c>
      <c r="K112" s="11" t="s">
        <v>931</v>
      </c>
      <c r="L112" s="212"/>
      <c r="M112" s="213">
        <v>30</v>
      </c>
      <c r="N112" s="211">
        <v>30</v>
      </c>
      <c r="R112" s="212"/>
      <c r="U112" s="222"/>
    </row>
    <row r="113" spans="1:21" s="211" customFormat="1" x14ac:dyDescent="0.35">
      <c r="A113" s="132">
        <v>108</v>
      </c>
      <c r="B113" s="229" t="s">
        <v>1287</v>
      </c>
      <c r="C113" s="239" t="s">
        <v>962</v>
      </c>
      <c r="D113" s="227">
        <v>6</v>
      </c>
      <c r="E113" s="225">
        <v>30</v>
      </c>
      <c r="F113" s="226">
        <v>180</v>
      </c>
      <c r="G113" s="227">
        <v>90</v>
      </c>
      <c r="H113" s="228">
        <v>270</v>
      </c>
      <c r="I113" s="224">
        <v>27</v>
      </c>
      <c r="J113" s="225">
        <v>243</v>
      </c>
      <c r="K113" s="11" t="s">
        <v>931</v>
      </c>
      <c r="L113" s="212"/>
      <c r="M113" s="213">
        <v>30</v>
      </c>
      <c r="N113" s="211">
        <v>16</v>
      </c>
      <c r="R113" s="212"/>
      <c r="U113" s="222"/>
    </row>
    <row r="114" spans="1:21" s="211" customFormat="1" x14ac:dyDescent="0.35">
      <c r="A114" s="132">
        <v>109</v>
      </c>
      <c r="B114" s="229" t="s">
        <v>1288</v>
      </c>
      <c r="C114" s="239" t="s">
        <v>962</v>
      </c>
      <c r="D114" s="227">
        <v>9</v>
      </c>
      <c r="E114" s="225">
        <v>30</v>
      </c>
      <c r="F114" s="226">
        <v>270</v>
      </c>
      <c r="G114" s="227">
        <v>135</v>
      </c>
      <c r="H114" s="228">
        <v>405</v>
      </c>
      <c r="I114" s="224">
        <v>40.5</v>
      </c>
      <c r="J114" s="225">
        <v>364.5</v>
      </c>
      <c r="K114" s="11" t="s">
        <v>931</v>
      </c>
      <c r="L114" s="212"/>
      <c r="M114" s="213">
        <v>30</v>
      </c>
      <c r="N114" s="211">
        <v>18</v>
      </c>
      <c r="R114" s="212"/>
      <c r="U114" s="222"/>
    </row>
    <row r="115" spans="1:21" s="211" customFormat="1" x14ac:dyDescent="0.35">
      <c r="A115" s="132">
        <v>110</v>
      </c>
      <c r="B115" s="229" t="s">
        <v>1289</v>
      </c>
      <c r="C115" s="239" t="s">
        <v>962</v>
      </c>
      <c r="D115" s="227">
        <v>6</v>
      </c>
      <c r="E115" s="225">
        <v>30</v>
      </c>
      <c r="F115" s="226">
        <v>180</v>
      </c>
      <c r="G115" s="227">
        <v>90</v>
      </c>
      <c r="H115" s="228">
        <v>270</v>
      </c>
      <c r="I115" s="224">
        <v>27</v>
      </c>
      <c r="J115" s="225">
        <v>243</v>
      </c>
      <c r="K115" s="11" t="s">
        <v>931</v>
      </c>
      <c r="L115" s="212"/>
      <c r="M115" s="213">
        <v>30</v>
      </c>
      <c r="N115" s="211">
        <v>14</v>
      </c>
      <c r="R115" s="212"/>
      <c r="U115" s="222"/>
    </row>
    <row r="116" spans="1:21" s="211" customFormat="1" x14ac:dyDescent="0.35">
      <c r="A116" s="132">
        <v>111</v>
      </c>
      <c r="B116" s="229" t="s">
        <v>1290</v>
      </c>
      <c r="C116" s="239" t="s">
        <v>962</v>
      </c>
      <c r="D116" s="227">
        <v>10</v>
      </c>
      <c r="E116" s="225">
        <v>30</v>
      </c>
      <c r="F116" s="226">
        <v>300</v>
      </c>
      <c r="G116" s="227">
        <v>150</v>
      </c>
      <c r="H116" s="228">
        <v>450</v>
      </c>
      <c r="I116" s="224">
        <v>45</v>
      </c>
      <c r="J116" s="225">
        <v>405</v>
      </c>
      <c r="K116" s="11" t="s">
        <v>931</v>
      </c>
      <c r="L116" s="212"/>
      <c r="M116" s="213">
        <v>30</v>
      </c>
      <c r="R116" s="212"/>
      <c r="U116" s="222"/>
    </row>
    <row r="117" spans="1:21" s="211" customFormat="1" x14ac:dyDescent="0.35">
      <c r="A117" s="132">
        <v>112</v>
      </c>
      <c r="B117" s="229" t="s">
        <v>1291</v>
      </c>
      <c r="C117" s="239" t="s">
        <v>962</v>
      </c>
      <c r="D117" s="227">
        <v>7</v>
      </c>
      <c r="E117" s="225">
        <v>30</v>
      </c>
      <c r="F117" s="226">
        <v>210</v>
      </c>
      <c r="G117" s="227">
        <v>105</v>
      </c>
      <c r="H117" s="228">
        <v>315</v>
      </c>
      <c r="I117" s="224">
        <v>31.5</v>
      </c>
      <c r="J117" s="225">
        <v>283.5</v>
      </c>
      <c r="K117" s="11" t="s">
        <v>931</v>
      </c>
      <c r="L117" s="212"/>
      <c r="M117" s="213">
        <v>30</v>
      </c>
      <c r="N117" s="211">
        <v>18</v>
      </c>
      <c r="R117" s="212"/>
      <c r="U117" s="222"/>
    </row>
    <row r="118" spans="1:21" s="211" customFormat="1" x14ac:dyDescent="0.35">
      <c r="A118" s="132">
        <v>113</v>
      </c>
      <c r="B118" s="229" t="s">
        <v>1292</v>
      </c>
      <c r="C118" s="239" t="s">
        <v>962</v>
      </c>
      <c r="D118" s="227">
        <v>7</v>
      </c>
      <c r="E118" s="225">
        <v>30</v>
      </c>
      <c r="F118" s="226">
        <v>210</v>
      </c>
      <c r="G118" s="227">
        <v>105</v>
      </c>
      <c r="H118" s="228">
        <v>315</v>
      </c>
      <c r="I118" s="224">
        <v>31.5</v>
      </c>
      <c r="J118" s="225">
        <v>283.5</v>
      </c>
      <c r="K118" s="11" t="s">
        <v>931</v>
      </c>
      <c r="L118" s="212"/>
      <c r="M118" s="213">
        <v>30</v>
      </c>
      <c r="N118" s="211">
        <v>16</v>
      </c>
      <c r="R118" s="212"/>
      <c r="U118" s="222"/>
    </row>
    <row r="119" spans="1:21" s="211" customFormat="1" x14ac:dyDescent="0.35">
      <c r="A119" s="132">
        <v>114</v>
      </c>
      <c r="B119" s="229" t="s">
        <v>1293</v>
      </c>
      <c r="C119" s="239" t="s">
        <v>962</v>
      </c>
      <c r="D119" s="227">
        <v>7</v>
      </c>
      <c r="E119" s="225">
        <v>30</v>
      </c>
      <c r="F119" s="226">
        <v>210</v>
      </c>
      <c r="G119" s="227">
        <v>105</v>
      </c>
      <c r="H119" s="228">
        <v>315</v>
      </c>
      <c r="I119" s="224">
        <v>31.5</v>
      </c>
      <c r="J119" s="225">
        <v>283.5</v>
      </c>
      <c r="K119" s="11" t="s">
        <v>931</v>
      </c>
      <c r="L119" s="212"/>
      <c r="M119" s="213">
        <v>30</v>
      </c>
      <c r="N119" s="212"/>
      <c r="O119" s="212"/>
      <c r="P119" s="212"/>
      <c r="Q119" s="212"/>
      <c r="R119" s="212"/>
      <c r="U119" s="222"/>
    </row>
    <row r="120" spans="1:21" s="211" customFormat="1" x14ac:dyDescent="0.35">
      <c r="A120" s="132">
        <v>115</v>
      </c>
      <c r="B120" s="229" t="s">
        <v>1294</v>
      </c>
      <c r="C120" s="239" t="s">
        <v>962</v>
      </c>
      <c r="D120" s="227">
        <v>12</v>
      </c>
      <c r="E120" s="225">
        <v>30</v>
      </c>
      <c r="F120" s="226">
        <v>360</v>
      </c>
      <c r="G120" s="227">
        <v>180</v>
      </c>
      <c r="H120" s="228">
        <v>540</v>
      </c>
      <c r="I120" s="224">
        <v>54</v>
      </c>
      <c r="J120" s="225">
        <v>486</v>
      </c>
      <c r="K120" s="11" t="s">
        <v>931</v>
      </c>
      <c r="L120" s="212"/>
      <c r="M120" s="213">
        <v>30</v>
      </c>
      <c r="N120" s="212"/>
      <c r="O120" s="212"/>
      <c r="P120" s="212"/>
      <c r="Q120" s="212"/>
      <c r="R120" s="212"/>
      <c r="U120" s="222"/>
    </row>
    <row r="121" spans="1:21" s="211" customFormat="1" x14ac:dyDescent="0.35">
      <c r="A121" s="132">
        <v>116</v>
      </c>
      <c r="B121" s="229" t="s">
        <v>1295</v>
      </c>
      <c r="C121" s="239" t="s">
        <v>962</v>
      </c>
      <c r="D121" s="227">
        <v>9</v>
      </c>
      <c r="E121" s="225">
        <v>30</v>
      </c>
      <c r="F121" s="226">
        <v>270</v>
      </c>
      <c r="G121" s="227">
        <v>135</v>
      </c>
      <c r="H121" s="228">
        <v>405</v>
      </c>
      <c r="I121" s="224">
        <v>40.5</v>
      </c>
      <c r="J121" s="225">
        <v>364.5</v>
      </c>
      <c r="K121" s="11" t="s">
        <v>931</v>
      </c>
      <c r="L121" s="212"/>
      <c r="M121" s="213">
        <v>30</v>
      </c>
      <c r="N121" s="211">
        <v>10</v>
      </c>
      <c r="R121" s="212"/>
      <c r="U121" s="222"/>
    </row>
    <row r="122" spans="1:21" s="211" customFormat="1" x14ac:dyDescent="0.35">
      <c r="A122" s="132">
        <v>117</v>
      </c>
      <c r="B122" s="229" t="s">
        <v>1296</v>
      </c>
      <c r="C122" s="239" t="s">
        <v>962</v>
      </c>
      <c r="D122" s="227">
        <v>6</v>
      </c>
      <c r="E122" s="225">
        <v>30</v>
      </c>
      <c r="F122" s="226">
        <v>180</v>
      </c>
      <c r="G122" s="227">
        <v>90</v>
      </c>
      <c r="H122" s="228">
        <v>270</v>
      </c>
      <c r="I122" s="224">
        <v>27</v>
      </c>
      <c r="J122" s="225">
        <v>243</v>
      </c>
      <c r="K122" s="11" t="s">
        <v>931</v>
      </c>
      <c r="L122" s="212"/>
      <c r="M122" s="213">
        <v>30</v>
      </c>
      <c r="N122" s="211">
        <v>10</v>
      </c>
      <c r="R122" s="212"/>
      <c r="U122" s="222"/>
    </row>
    <row r="123" spans="1:21" s="211" customFormat="1" x14ac:dyDescent="0.35">
      <c r="A123" s="132">
        <v>118</v>
      </c>
      <c r="B123" s="229" t="s">
        <v>1297</v>
      </c>
      <c r="C123" s="239" t="s">
        <v>962</v>
      </c>
      <c r="D123" s="227">
        <v>11</v>
      </c>
      <c r="E123" s="225">
        <v>30</v>
      </c>
      <c r="F123" s="226">
        <v>330</v>
      </c>
      <c r="G123" s="227">
        <v>165</v>
      </c>
      <c r="H123" s="228">
        <v>495</v>
      </c>
      <c r="I123" s="224">
        <v>49.5</v>
      </c>
      <c r="J123" s="225">
        <v>445.5</v>
      </c>
      <c r="K123" s="11" t="s">
        <v>931</v>
      </c>
      <c r="L123" s="212"/>
      <c r="M123" s="213">
        <v>30</v>
      </c>
      <c r="R123" s="212"/>
      <c r="U123" s="222"/>
    </row>
    <row r="124" spans="1:21" s="211" customFormat="1" x14ac:dyDescent="0.35">
      <c r="A124" s="132">
        <v>119</v>
      </c>
      <c r="B124" s="229" t="s">
        <v>1298</v>
      </c>
      <c r="C124" s="239" t="s">
        <v>962</v>
      </c>
      <c r="D124" s="227">
        <v>6</v>
      </c>
      <c r="E124" s="225">
        <v>30</v>
      </c>
      <c r="F124" s="226">
        <v>180</v>
      </c>
      <c r="G124" s="227">
        <v>90</v>
      </c>
      <c r="H124" s="228">
        <v>270</v>
      </c>
      <c r="I124" s="224">
        <v>27</v>
      </c>
      <c r="J124" s="225">
        <v>243</v>
      </c>
      <c r="K124" s="11" t="s">
        <v>931</v>
      </c>
      <c r="L124" s="212"/>
      <c r="M124" s="213">
        <v>30</v>
      </c>
      <c r="R124" s="212"/>
      <c r="U124" s="222"/>
    </row>
    <row r="125" spans="1:21" s="211" customFormat="1" x14ac:dyDescent="0.35">
      <c r="A125" s="132">
        <v>120</v>
      </c>
      <c r="B125" s="229" t="s">
        <v>1299</v>
      </c>
      <c r="C125" s="239" t="s">
        <v>962</v>
      </c>
      <c r="D125" s="227">
        <v>7</v>
      </c>
      <c r="E125" s="225">
        <v>30</v>
      </c>
      <c r="F125" s="226">
        <v>210</v>
      </c>
      <c r="G125" s="227">
        <v>105</v>
      </c>
      <c r="H125" s="228">
        <v>315</v>
      </c>
      <c r="I125" s="224">
        <v>31.5</v>
      </c>
      <c r="J125" s="225">
        <v>283.5</v>
      </c>
      <c r="K125" s="11" t="s">
        <v>931</v>
      </c>
      <c r="L125" s="212"/>
      <c r="M125" s="213">
        <v>30</v>
      </c>
      <c r="R125" s="212"/>
      <c r="U125" s="222"/>
    </row>
    <row r="126" spans="1:21" s="211" customFormat="1" x14ac:dyDescent="0.35">
      <c r="A126" s="132">
        <v>121</v>
      </c>
      <c r="B126" s="229" t="s">
        <v>1300</v>
      </c>
      <c r="C126" s="239" t="s">
        <v>962</v>
      </c>
      <c r="D126" s="227">
        <v>8</v>
      </c>
      <c r="E126" s="225">
        <v>30</v>
      </c>
      <c r="F126" s="226">
        <v>240</v>
      </c>
      <c r="G126" s="227">
        <v>120</v>
      </c>
      <c r="H126" s="228">
        <v>360</v>
      </c>
      <c r="I126" s="224">
        <v>36</v>
      </c>
      <c r="J126" s="225">
        <v>324</v>
      </c>
      <c r="K126" s="11" t="s">
        <v>931</v>
      </c>
      <c r="L126" s="212"/>
      <c r="M126" s="213">
        <v>30</v>
      </c>
      <c r="N126" s="211">
        <v>14</v>
      </c>
      <c r="R126" s="212"/>
      <c r="U126" s="222"/>
    </row>
    <row r="127" spans="1:21" s="211" customFormat="1" x14ac:dyDescent="0.35">
      <c r="A127" s="132">
        <v>122</v>
      </c>
      <c r="B127" s="229" t="s">
        <v>1301</v>
      </c>
      <c r="C127" s="239" t="s">
        <v>962</v>
      </c>
      <c r="D127" s="227">
        <v>6</v>
      </c>
      <c r="E127" s="225">
        <v>30</v>
      </c>
      <c r="F127" s="226">
        <v>180</v>
      </c>
      <c r="G127" s="227">
        <v>90</v>
      </c>
      <c r="H127" s="228">
        <v>270</v>
      </c>
      <c r="I127" s="224">
        <v>27</v>
      </c>
      <c r="J127" s="225">
        <v>243</v>
      </c>
      <c r="K127" s="11" t="s">
        <v>931</v>
      </c>
      <c r="L127" s="212"/>
      <c r="M127" s="213">
        <v>30</v>
      </c>
      <c r="N127" s="211">
        <v>14</v>
      </c>
      <c r="R127" s="212"/>
      <c r="U127" s="222"/>
    </row>
    <row r="128" spans="1:21" s="211" customFormat="1" x14ac:dyDescent="0.35">
      <c r="A128" s="132">
        <v>123</v>
      </c>
      <c r="B128" s="229" t="s">
        <v>1302</v>
      </c>
      <c r="C128" s="239" t="s">
        <v>962</v>
      </c>
      <c r="D128" s="227">
        <v>7</v>
      </c>
      <c r="E128" s="225">
        <v>30</v>
      </c>
      <c r="F128" s="226">
        <v>210</v>
      </c>
      <c r="G128" s="227">
        <v>105</v>
      </c>
      <c r="H128" s="228">
        <v>315</v>
      </c>
      <c r="I128" s="224">
        <v>31.5</v>
      </c>
      <c r="J128" s="225">
        <v>283.5</v>
      </c>
      <c r="K128" s="11" t="s">
        <v>931</v>
      </c>
      <c r="L128" s="212"/>
      <c r="M128" s="213">
        <v>30</v>
      </c>
      <c r="N128" s="211">
        <v>2</v>
      </c>
      <c r="R128" s="212"/>
      <c r="U128" s="222"/>
    </row>
    <row r="129" spans="1:21" s="211" customFormat="1" x14ac:dyDescent="0.35">
      <c r="A129" s="132">
        <v>124</v>
      </c>
      <c r="B129" s="229" t="s">
        <v>1353</v>
      </c>
      <c r="C129" s="239" t="s">
        <v>962</v>
      </c>
      <c r="D129" s="227">
        <v>10</v>
      </c>
      <c r="E129" s="225">
        <v>30</v>
      </c>
      <c r="F129" s="226">
        <v>300</v>
      </c>
      <c r="G129" s="227">
        <v>130</v>
      </c>
      <c r="H129" s="228">
        <v>430</v>
      </c>
      <c r="I129" s="224">
        <f>H129*0.1</f>
        <v>43</v>
      </c>
      <c r="J129" s="225">
        <f>H129*0.9</f>
        <v>387</v>
      </c>
      <c r="K129" s="11" t="s">
        <v>931</v>
      </c>
      <c r="L129" s="212"/>
      <c r="M129" s="213">
        <v>30</v>
      </c>
      <c r="R129" s="212"/>
      <c r="U129" s="222"/>
    </row>
    <row r="130" spans="1:21" s="211" customFormat="1" x14ac:dyDescent="0.35">
      <c r="A130" s="132">
        <v>125</v>
      </c>
      <c r="B130" s="229" t="s">
        <v>1303</v>
      </c>
      <c r="C130" s="239" t="s">
        <v>962</v>
      </c>
      <c r="D130" s="227">
        <v>8</v>
      </c>
      <c r="E130" s="225">
        <v>30</v>
      </c>
      <c r="F130" s="226">
        <v>240</v>
      </c>
      <c r="G130" s="227">
        <v>120</v>
      </c>
      <c r="H130" s="228">
        <v>360</v>
      </c>
      <c r="I130" s="224">
        <v>36</v>
      </c>
      <c r="J130" s="225">
        <v>324</v>
      </c>
      <c r="K130" s="11" t="s">
        <v>931</v>
      </c>
      <c r="L130" s="212"/>
      <c r="M130" s="213">
        <v>30</v>
      </c>
      <c r="R130" s="212"/>
    </row>
    <row r="131" spans="1:21" s="211" customFormat="1" x14ac:dyDescent="0.35">
      <c r="A131" s="132">
        <v>126</v>
      </c>
      <c r="B131" s="229" t="s">
        <v>1304</v>
      </c>
      <c r="C131" s="239" t="s">
        <v>962</v>
      </c>
      <c r="D131" s="227">
        <v>10</v>
      </c>
      <c r="E131" s="225">
        <v>30</v>
      </c>
      <c r="F131" s="226">
        <v>300</v>
      </c>
      <c r="G131" s="227">
        <v>150</v>
      </c>
      <c r="H131" s="228">
        <v>450</v>
      </c>
      <c r="I131" s="224">
        <v>45</v>
      </c>
      <c r="J131" s="225">
        <v>405</v>
      </c>
      <c r="K131" s="11" t="s">
        <v>931</v>
      </c>
      <c r="L131" s="212"/>
      <c r="M131" s="213">
        <v>30</v>
      </c>
      <c r="R131" s="212"/>
    </row>
    <row r="132" spans="1:21" s="211" customFormat="1" x14ac:dyDescent="0.35">
      <c r="A132" s="132">
        <v>127</v>
      </c>
      <c r="B132" s="229" t="s">
        <v>1305</v>
      </c>
      <c r="C132" s="239" t="s">
        <v>962</v>
      </c>
      <c r="D132" s="227">
        <v>10</v>
      </c>
      <c r="E132" s="225">
        <v>30</v>
      </c>
      <c r="F132" s="226">
        <v>300</v>
      </c>
      <c r="G132" s="227">
        <v>150</v>
      </c>
      <c r="H132" s="228">
        <v>450</v>
      </c>
      <c r="I132" s="224">
        <v>45</v>
      </c>
      <c r="J132" s="225">
        <v>405</v>
      </c>
      <c r="K132" s="11" t="s">
        <v>931</v>
      </c>
      <c r="L132" s="212"/>
      <c r="M132" s="213">
        <v>30</v>
      </c>
      <c r="R132" s="212"/>
    </row>
    <row r="133" spans="1:21" s="211" customFormat="1" x14ac:dyDescent="0.35">
      <c r="A133" s="132">
        <v>128</v>
      </c>
      <c r="B133" s="229" t="s">
        <v>1306</v>
      </c>
      <c r="C133" s="239" t="s">
        <v>962</v>
      </c>
      <c r="D133" s="227">
        <v>10</v>
      </c>
      <c r="E133" s="225">
        <v>30</v>
      </c>
      <c r="F133" s="226">
        <v>300</v>
      </c>
      <c r="G133" s="227">
        <v>150</v>
      </c>
      <c r="H133" s="228">
        <v>450</v>
      </c>
      <c r="I133" s="224">
        <v>45</v>
      </c>
      <c r="J133" s="225">
        <v>405</v>
      </c>
      <c r="K133" s="11" t="s">
        <v>931</v>
      </c>
      <c r="L133" s="212"/>
      <c r="M133" s="213">
        <v>30</v>
      </c>
      <c r="R133" s="212"/>
    </row>
    <row r="134" spans="1:21" s="211" customFormat="1" x14ac:dyDescent="0.35">
      <c r="A134" s="132">
        <v>129</v>
      </c>
      <c r="B134" s="229" t="s">
        <v>1307</v>
      </c>
      <c r="C134" s="239" t="s">
        <v>962</v>
      </c>
      <c r="D134" s="227">
        <v>12</v>
      </c>
      <c r="E134" s="225">
        <v>30</v>
      </c>
      <c r="F134" s="226">
        <v>360</v>
      </c>
      <c r="G134" s="227">
        <v>180</v>
      </c>
      <c r="H134" s="228">
        <v>540</v>
      </c>
      <c r="I134" s="224">
        <v>54</v>
      </c>
      <c r="J134" s="225">
        <v>486</v>
      </c>
      <c r="K134" s="11" t="s">
        <v>931</v>
      </c>
      <c r="L134" s="212"/>
      <c r="M134" s="213">
        <v>30</v>
      </c>
      <c r="R134" s="212"/>
    </row>
    <row r="135" spans="1:21" s="211" customFormat="1" x14ac:dyDescent="0.35">
      <c r="A135" s="132">
        <v>130</v>
      </c>
      <c r="B135" s="229" t="s">
        <v>1308</v>
      </c>
      <c r="C135" s="239" t="s">
        <v>962</v>
      </c>
      <c r="D135" s="227">
        <v>1</v>
      </c>
      <c r="E135" s="225">
        <v>30</v>
      </c>
      <c r="F135" s="226">
        <v>30</v>
      </c>
      <c r="G135" s="227">
        <v>15</v>
      </c>
      <c r="H135" s="228">
        <v>45</v>
      </c>
      <c r="I135" s="224">
        <v>4.5</v>
      </c>
      <c r="J135" s="225">
        <v>40.5</v>
      </c>
      <c r="K135" s="11" t="s">
        <v>931</v>
      </c>
      <c r="L135" s="212"/>
      <c r="M135" s="213">
        <v>30</v>
      </c>
      <c r="R135" s="212"/>
    </row>
    <row r="136" spans="1:21" s="211" customFormat="1" x14ac:dyDescent="0.35">
      <c r="A136" s="132">
        <v>131</v>
      </c>
      <c r="B136" s="229" t="s">
        <v>1309</v>
      </c>
      <c r="C136" s="239" t="s">
        <v>962</v>
      </c>
      <c r="D136" s="227">
        <v>8</v>
      </c>
      <c r="E136" s="225">
        <v>30</v>
      </c>
      <c r="F136" s="226">
        <v>240</v>
      </c>
      <c r="G136" s="227">
        <v>120</v>
      </c>
      <c r="H136" s="228">
        <v>360</v>
      </c>
      <c r="I136" s="224">
        <v>36</v>
      </c>
      <c r="J136" s="225">
        <v>324</v>
      </c>
      <c r="K136" s="11" t="s">
        <v>931</v>
      </c>
      <c r="L136" s="212"/>
      <c r="M136" s="213">
        <v>30</v>
      </c>
      <c r="N136" s="211">
        <v>14</v>
      </c>
      <c r="O136" s="222"/>
      <c r="R136" s="212"/>
      <c r="U136" s="222"/>
    </row>
    <row r="137" spans="1:21" s="211" customFormat="1" x14ac:dyDescent="0.35">
      <c r="A137" s="132">
        <v>132</v>
      </c>
      <c r="B137" s="229" t="s">
        <v>1310</v>
      </c>
      <c r="C137" s="239" t="s">
        <v>962</v>
      </c>
      <c r="D137" s="227">
        <v>9</v>
      </c>
      <c r="E137" s="225">
        <v>30</v>
      </c>
      <c r="F137" s="226">
        <v>270</v>
      </c>
      <c r="G137" s="227">
        <v>135</v>
      </c>
      <c r="H137" s="228">
        <v>405</v>
      </c>
      <c r="I137" s="224">
        <v>40.5</v>
      </c>
      <c r="J137" s="225">
        <v>364.5</v>
      </c>
      <c r="K137" s="11" t="s">
        <v>931</v>
      </c>
      <c r="L137" s="212"/>
      <c r="M137" s="213">
        <v>30</v>
      </c>
      <c r="O137" s="222"/>
      <c r="R137" s="212"/>
      <c r="U137" s="222"/>
    </row>
    <row r="138" spans="1:21" s="211" customFormat="1" x14ac:dyDescent="0.35">
      <c r="A138" s="132">
        <v>133</v>
      </c>
      <c r="B138" s="229" t="s">
        <v>1311</v>
      </c>
      <c r="C138" s="239" t="s">
        <v>962</v>
      </c>
      <c r="D138" s="227">
        <v>8</v>
      </c>
      <c r="E138" s="225">
        <v>30</v>
      </c>
      <c r="F138" s="226">
        <v>240</v>
      </c>
      <c r="G138" s="227">
        <v>120</v>
      </c>
      <c r="H138" s="228">
        <v>360</v>
      </c>
      <c r="I138" s="224">
        <v>36</v>
      </c>
      <c r="J138" s="225">
        <v>324</v>
      </c>
      <c r="K138" s="11" t="s">
        <v>931</v>
      </c>
      <c r="L138" s="212"/>
      <c r="M138" s="213">
        <v>30</v>
      </c>
      <c r="N138" s="211">
        <v>18</v>
      </c>
      <c r="O138" s="222"/>
      <c r="R138" s="212"/>
      <c r="U138" s="222"/>
    </row>
    <row r="139" spans="1:21" s="211" customFormat="1" x14ac:dyDescent="0.35">
      <c r="A139" s="132">
        <v>134</v>
      </c>
      <c r="B139" s="229" t="s">
        <v>1312</v>
      </c>
      <c r="C139" s="239" t="s">
        <v>962</v>
      </c>
      <c r="D139" s="227">
        <v>9</v>
      </c>
      <c r="E139" s="225">
        <v>30</v>
      </c>
      <c r="F139" s="226">
        <v>270</v>
      </c>
      <c r="G139" s="227">
        <v>135</v>
      </c>
      <c r="H139" s="228">
        <v>405</v>
      </c>
      <c r="I139" s="224">
        <v>40.5</v>
      </c>
      <c r="J139" s="225">
        <v>364.5</v>
      </c>
      <c r="K139" s="11" t="s">
        <v>931</v>
      </c>
      <c r="L139" s="212"/>
      <c r="M139" s="213">
        <v>30</v>
      </c>
      <c r="N139" s="211">
        <v>14</v>
      </c>
      <c r="O139" s="222"/>
      <c r="R139" s="212"/>
      <c r="U139" s="222"/>
    </row>
    <row r="140" spans="1:21" s="211" customFormat="1" x14ac:dyDescent="0.35">
      <c r="A140" s="132">
        <v>135</v>
      </c>
      <c r="B140" s="229" t="s">
        <v>1313</v>
      </c>
      <c r="C140" s="239" t="s">
        <v>962</v>
      </c>
      <c r="D140" s="227">
        <v>9</v>
      </c>
      <c r="E140" s="225">
        <v>30</v>
      </c>
      <c r="F140" s="226">
        <v>270</v>
      </c>
      <c r="G140" s="227">
        <v>135</v>
      </c>
      <c r="H140" s="228">
        <v>405</v>
      </c>
      <c r="I140" s="224">
        <v>40.5</v>
      </c>
      <c r="J140" s="225">
        <v>364.5</v>
      </c>
      <c r="K140" s="11" t="s">
        <v>931</v>
      </c>
      <c r="L140" s="212"/>
      <c r="M140" s="213">
        <v>30</v>
      </c>
      <c r="N140" s="211">
        <v>14</v>
      </c>
      <c r="O140" s="222"/>
      <c r="R140" s="212"/>
      <c r="U140" s="222"/>
    </row>
    <row r="141" spans="1:21" s="211" customFormat="1" x14ac:dyDescent="0.35">
      <c r="A141" s="132">
        <v>136</v>
      </c>
      <c r="B141" s="229" t="s">
        <v>1314</v>
      </c>
      <c r="C141" s="239" t="s">
        <v>962</v>
      </c>
      <c r="D141" s="227">
        <v>7</v>
      </c>
      <c r="E141" s="225">
        <v>30</v>
      </c>
      <c r="F141" s="226">
        <v>210</v>
      </c>
      <c r="G141" s="227">
        <v>105</v>
      </c>
      <c r="H141" s="228">
        <v>315</v>
      </c>
      <c r="I141" s="224">
        <v>31.5</v>
      </c>
      <c r="J141" s="225">
        <v>283.5</v>
      </c>
      <c r="K141" s="11" t="s">
        <v>931</v>
      </c>
      <c r="L141" s="212"/>
      <c r="M141" s="213">
        <v>30</v>
      </c>
      <c r="N141" s="211">
        <v>16</v>
      </c>
      <c r="O141" s="222"/>
      <c r="R141" s="212"/>
      <c r="U141" s="222"/>
    </row>
    <row r="142" spans="1:21" s="211" customFormat="1" x14ac:dyDescent="0.35">
      <c r="A142" s="132">
        <v>137</v>
      </c>
      <c r="B142" s="229" t="s">
        <v>1315</v>
      </c>
      <c r="C142" s="239" t="s">
        <v>962</v>
      </c>
      <c r="D142" s="227">
        <v>10</v>
      </c>
      <c r="E142" s="225">
        <v>30</v>
      </c>
      <c r="F142" s="226">
        <v>300</v>
      </c>
      <c r="G142" s="227">
        <v>150</v>
      </c>
      <c r="H142" s="228">
        <v>450</v>
      </c>
      <c r="I142" s="224">
        <v>45</v>
      </c>
      <c r="J142" s="225">
        <v>405</v>
      </c>
      <c r="K142" s="11" t="s">
        <v>931</v>
      </c>
      <c r="L142" s="212"/>
      <c r="M142" s="213">
        <v>30</v>
      </c>
      <c r="O142" s="222"/>
      <c r="R142" s="212"/>
      <c r="U142" s="222"/>
    </row>
    <row r="143" spans="1:21" s="211" customFormat="1" x14ac:dyDescent="0.35">
      <c r="A143" s="132">
        <v>138</v>
      </c>
      <c r="B143" s="229" t="s">
        <v>1316</v>
      </c>
      <c r="C143" s="239" t="s">
        <v>962</v>
      </c>
      <c r="D143" s="227">
        <v>2</v>
      </c>
      <c r="E143" s="225">
        <v>30</v>
      </c>
      <c r="F143" s="226">
        <v>60</v>
      </c>
      <c r="G143" s="227">
        <v>30</v>
      </c>
      <c r="H143" s="228">
        <v>90</v>
      </c>
      <c r="I143" s="224">
        <v>9</v>
      </c>
      <c r="J143" s="225">
        <v>81</v>
      </c>
      <c r="K143" s="11" t="s">
        <v>931</v>
      </c>
      <c r="L143" s="212"/>
      <c r="M143" s="213">
        <v>30</v>
      </c>
      <c r="N143" s="211">
        <v>16</v>
      </c>
      <c r="O143" s="222"/>
      <c r="R143" s="212"/>
      <c r="U143" s="222"/>
    </row>
    <row r="144" spans="1:21" s="211" customFormat="1" x14ac:dyDescent="0.35">
      <c r="A144" s="132">
        <v>139</v>
      </c>
      <c r="B144" s="229" t="s">
        <v>1317</v>
      </c>
      <c r="C144" s="239" t="s">
        <v>962</v>
      </c>
      <c r="D144" s="227">
        <v>8</v>
      </c>
      <c r="E144" s="225">
        <v>30</v>
      </c>
      <c r="F144" s="226">
        <v>240</v>
      </c>
      <c r="G144" s="227">
        <v>120</v>
      </c>
      <c r="H144" s="228">
        <v>360</v>
      </c>
      <c r="I144" s="224">
        <v>36</v>
      </c>
      <c r="J144" s="225">
        <v>324</v>
      </c>
      <c r="K144" s="11" t="s">
        <v>931</v>
      </c>
      <c r="L144" s="212"/>
      <c r="M144" s="213">
        <v>30</v>
      </c>
      <c r="O144" s="222"/>
      <c r="R144" s="212"/>
      <c r="U144" s="222"/>
    </row>
    <row r="145" spans="1:21" s="211" customFormat="1" x14ac:dyDescent="0.35">
      <c r="A145" s="132">
        <v>140</v>
      </c>
      <c r="B145" s="229" t="s">
        <v>1318</v>
      </c>
      <c r="C145" s="239" t="s">
        <v>962</v>
      </c>
      <c r="D145" s="227">
        <v>16</v>
      </c>
      <c r="E145" s="225">
        <v>30</v>
      </c>
      <c r="F145" s="226">
        <v>480</v>
      </c>
      <c r="G145" s="227">
        <v>240</v>
      </c>
      <c r="H145" s="228">
        <v>720</v>
      </c>
      <c r="I145" s="224">
        <v>72</v>
      </c>
      <c r="J145" s="225">
        <v>648</v>
      </c>
      <c r="K145" s="11" t="s">
        <v>931</v>
      </c>
      <c r="L145" s="212"/>
      <c r="M145" s="213">
        <v>30</v>
      </c>
      <c r="N145" s="211">
        <v>28</v>
      </c>
      <c r="O145" s="222"/>
      <c r="R145" s="212"/>
      <c r="U145" s="222"/>
    </row>
    <row r="146" spans="1:21" s="211" customFormat="1" x14ac:dyDescent="0.35">
      <c r="A146" s="132">
        <v>141</v>
      </c>
      <c r="B146" s="229" t="s">
        <v>1319</v>
      </c>
      <c r="C146" s="239" t="s">
        <v>962</v>
      </c>
      <c r="D146" s="227">
        <v>9</v>
      </c>
      <c r="E146" s="225">
        <v>30</v>
      </c>
      <c r="F146" s="226">
        <v>270</v>
      </c>
      <c r="G146" s="227">
        <v>135</v>
      </c>
      <c r="H146" s="228">
        <v>405</v>
      </c>
      <c r="I146" s="224">
        <v>40.5</v>
      </c>
      <c r="J146" s="225">
        <v>364.5</v>
      </c>
      <c r="K146" s="11" t="s">
        <v>931</v>
      </c>
      <c r="L146" s="212"/>
      <c r="M146" s="213">
        <v>30</v>
      </c>
      <c r="N146" s="211">
        <v>10</v>
      </c>
      <c r="O146" s="222"/>
      <c r="R146" s="212"/>
      <c r="U146" s="222"/>
    </row>
    <row r="147" spans="1:21" s="211" customFormat="1" x14ac:dyDescent="0.35">
      <c r="A147" s="132">
        <v>142</v>
      </c>
      <c r="B147" s="229" t="s">
        <v>1320</v>
      </c>
      <c r="C147" s="239" t="s">
        <v>962</v>
      </c>
      <c r="D147" s="227">
        <v>7</v>
      </c>
      <c r="E147" s="225">
        <v>30</v>
      </c>
      <c r="F147" s="226">
        <v>210</v>
      </c>
      <c r="G147" s="227">
        <v>105</v>
      </c>
      <c r="H147" s="228">
        <v>315</v>
      </c>
      <c r="I147" s="224">
        <v>31.5</v>
      </c>
      <c r="J147" s="225">
        <v>283.5</v>
      </c>
      <c r="K147" s="11" t="s">
        <v>931</v>
      </c>
      <c r="L147" s="212"/>
      <c r="M147" s="213">
        <v>30</v>
      </c>
      <c r="N147" s="211">
        <v>10</v>
      </c>
      <c r="O147" s="222"/>
      <c r="R147" s="212"/>
      <c r="U147" s="222"/>
    </row>
    <row r="148" spans="1:21" s="211" customFormat="1" x14ac:dyDescent="0.35">
      <c r="A148" s="132">
        <v>143</v>
      </c>
      <c r="B148" s="229" t="s">
        <v>1321</v>
      </c>
      <c r="C148" s="239" t="s">
        <v>962</v>
      </c>
      <c r="D148" s="227">
        <v>10</v>
      </c>
      <c r="E148" s="225">
        <v>30</v>
      </c>
      <c r="F148" s="226">
        <v>300</v>
      </c>
      <c r="G148" s="227">
        <v>150</v>
      </c>
      <c r="H148" s="228">
        <v>450</v>
      </c>
      <c r="I148" s="224">
        <v>45</v>
      </c>
      <c r="J148" s="225">
        <v>405</v>
      </c>
      <c r="K148" s="11" t="s">
        <v>931</v>
      </c>
      <c r="L148" s="212"/>
      <c r="M148" s="213">
        <v>30</v>
      </c>
      <c r="N148" s="211">
        <v>12</v>
      </c>
      <c r="O148" s="222"/>
      <c r="R148" s="212"/>
      <c r="U148" s="222"/>
    </row>
    <row r="149" spans="1:21" s="211" customFormat="1" x14ac:dyDescent="0.35">
      <c r="A149" s="132">
        <v>144</v>
      </c>
      <c r="B149" s="229" t="s">
        <v>1322</v>
      </c>
      <c r="C149" s="239" t="s">
        <v>962</v>
      </c>
      <c r="D149" s="227">
        <v>8</v>
      </c>
      <c r="E149" s="225">
        <v>30</v>
      </c>
      <c r="F149" s="226">
        <v>240</v>
      </c>
      <c r="G149" s="227">
        <v>120</v>
      </c>
      <c r="H149" s="228">
        <v>360</v>
      </c>
      <c r="I149" s="224">
        <v>36</v>
      </c>
      <c r="J149" s="225">
        <v>324</v>
      </c>
      <c r="K149" s="11" t="s">
        <v>931</v>
      </c>
      <c r="L149" s="212"/>
      <c r="M149" s="213">
        <v>30</v>
      </c>
      <c r="N149" s="211">
        <v>12</v>
      </c>
      <c r="O149" s="222"/>
      <c r="R149" s="212"/>
      <c r="U149" s="222"/>
    </row>
    <row r="150" spans="1:21" s="211" customFormat="1" x14ac:dyDescent="0.35">
      <c r="A150" s="132">
        <v>145</v>
      </c>
      <c r="B150" s="229" t="s">
        <v>1323</v>
      </c>
      <c r="C150" s="239" t="s">
        <v>962</v>
      </c>
      <c r="D150" s="227">
        <v>11</v>
      </c>
      <c r="E150" s="225">
        <v>30</v>
      </c>
      <c r="F150" s="226">
        <v>330</v>
      </c>
      <c r="G150" s="227">
        <v>165</v>
      </c>
      <c r="H150" s="228">
        <v>495</v>
      </c>
      <c r="I150" s="224">
        <v>49.5</v>
      </c>
      <c r="J150" s="225">
        <v>445.5</v>
      </c>
      <c r="K150" s="11" t="s">
        <v>931</v>
      </c>
      <c r="L150" s="212"/>
      <c r="M150" s="213">
        <v>30</v>
      </c>
      <c r="N150" s="211">
        <v>14</v>
      </c>
      <c r="O150" s="222"/>
      <c r="R150" s="212"/>
      <c r="U150" s="222"/>
    </row>
    <row r="151" spans="1:21" s="211" customFormat="1" x14ac:dyDescent="0.35">
      <c r="A151" s="132">
        <v>146</v>
      </c>
      <c r="B151" s="229" t="s">
        <v>1324</v>
      </c>
      <c r="C151" s="239" t="s">
        <v>962</v>
      </c>
      <c r="D151" s="227">
        <v>5</v>
      </c>
      <c r="E151" s="225">
        <v>30</v>
      </c>
      <c r="F151" s="226">
        <v>150</v>
      </c>
      <c r="G151" s="227">
        <v>75</v>
      </c>
      <c r="H151" s="228">
        <v>225</v>
      </c>
      <c r="I151" s="224">
        <v>22.5</v>
      </c>
      <c r="J151" s="225">
        <v>202.5</v>
      </c>
      <c r="K151" s="11" t="s">
        <v>931</v>
      </c>
      <c r="L151" s="212"/>
      <c r="M151" s="213">
        <v>30</v>
      </c>
      <c r="N151" s="211">
        <v>16</v>
      </c>
      <c r="O151" s="222"/>
      <c r="R151" s="212"/>
      <c r="U151" s="222"/>
    </row>
    <row r="152" spans="1:21" s="211" customFormat="1" x14ac:dyDescent="0.35">
      <c r="A152" s="132">
        <v>147</v>
      </c>
      <c r="B152" s="229" t="s">
        <v>1325</v>
      </c>
      <c r="C152" s="239" t="s">
        <v>962</v>
      </c>
      <c r="D152" s="227">
        <v>7</v>
      </c>
      <c r="E152" s="225">
        <v>30</v>
      </c>
      <c r="F152" s="226">
        <v>210</v>
      </c>
      <c r="G152" s="227">
        <v>105</v>
      </c>
      <c r="H152" s="228">
        <v>315</v>
      </c>
      <c r="I152" s="224">
        <v>31.5</v>
      </c>
      <c r="J152" s="225">
        <v>283.5</v>
      </c>
      <c r="K152" s="11" t="s">
        <v>931</v>
      </c>
      <c r="L152" s="212"/>
      <c r="M152" s="213">
        <v>30</v>
      </c>
      <c r="N152" s="211">
        <v>6</v>
      </c>
      <c r="O152" s="222"/>
      <c r="R152" s="212"/>
      <c r="U152" s="222"/>
    </row>
    <row r="153" spans="1:21" s="211" customFormat="1" x14ac:dyDescent="0.35">
      <c r="A153" s="132">
        <v>148</v>
      </c>
      <c r="B153" s="229" t="s">
        <v>1326</v>
      </c>
      <c r="C153" s="239" t="s">
        <v>962</v>
      </c>
      <c r="D153" s="227">
        <v>6</v>
      </c>
      <c r="E153" s="225">
        <v>30</v>
      </c>
      <c r="F153" s="226">
        <v>180</v>
      </c>
      <c r="G153" s="227">
        <v>90</v>
      </c>
      <c r="H153" s="228">
        <v>270</v>
      </c>
      <c r="I153" s="224">
        <v>27</v>
      </c>
      <c r="J153" s="225">
        <v>243</v>
      </c>
      <c r="K153" s="11" t="s">
        <v>931</v>
      </c>
      <c r="L153" s="212"/>
      <c r="M153" s="213">
        <v>30</v>
      </c>
      <c r="N153" s="211">
        <v>3</v>
      </c>
      <c r="O153" s="222"/>
      <c r="R153" s="212"/>
      <c r="U153" s="222"/>
    </row>
    <row r="154" spans="1:21" s="211" customFormat="1" x14ac:dyDescent="0.35">
      <c r="A154" s="132">
        <v>149</v>
      </c>
      <c r="B154" s="229" t="s">
        <v>1327</v>
      </c>
      <c r="C154" s="239" t="s">
        <v>962</v>
      </c>
      <c r="D154" s="227">
        <v>8</v>
      </c>
      <c r="E154" s="225">
        <v>30</v>
      </c>
      <c r="F154" s="226">
        <v>240</v>
      </c>
      <c r="G154" s="227">
        <v>120</v>
      </c>
      <c r="H154" s="228">
        <v>360</v>
      </c>
      <c r="I154" s="224">
        <v>36</v>
      </c>
      <c r="J154" s="225">
        <v>324</v>
      </c>
      <c r="K154" s="11" t="s">
        <v>931</v>
      </c>
      <c r="L154" s="212"/>
      <c r="M154" s="213">
        <v>30</v>
      </c>
      <c r="N154" s="211">
        <v>4</v>
      </c>
      <c r="O154" s="222"/>
      <c r="R154" s="212"/>
      <c r="U154" s="222"/>
    </row>
    <row r="155" spans="1:21" s="211" customFormat="1" x14ac:dyDescent="0.35">
      <c r="A155" s="132">
        <v>150</v>
      </c>
      <c r="B155" s="229" t="s">
        <v>1328</v>
      </c>
      <c r="C155" s="239" t="s">
        <v>962</v>
      </c>
      <c r="D155" s="227">
        <v>8</v>
      </c>
      <c r="E155" s="225">
        <v>30</v>
      </c>
      <c r="F155" s="226">
        <v>240</v>
      </c>
      <c r="G155" s="227">
        <v>120</v>
      </c>
      <c r="H155" s="228">
        <v>360</v>
      </c>
      <c r="I155" s="224">
        <v>36</v>
      </c>
      <c r="J155" s="225">
        <v>324</v>
      </c>
      <c r="K155" s="11" t="s">
        <v>931</v>
      </c>
      <c r="L155" s="212"/>
      <c r="M155" s="213">
        <v>30</v>
      </c>
      <c r="N155" s="211">
        <v>4</v>
      </c>
      <c r="O155" s="222"/>
      <c r="R155" s="212"/>
      <c r="U155" s="222"/>
    </row>
    <row r="156" spans="1:21" s="211" customFormat="1" x14ac:dyDescent="0.35">
      <c r="A156" s="132">
        <v>151</v>
      </c>
      <c r="B156" s="229" t="s">
        <v>1329</v>
      </c>
      <c r="C156" s="239" t="s">
        <v>962</v>
      </c>
      <c r="D156" s="227">
        <v>8</v>
      </c>
      <c r="E156" s="225">
        <v>30</v>
      </c>
      <c r="F156" s="226">
        <v>240</v>
      </c>
      <c r="G156" s="227">
        <v>120</v>
      </c>
      <c r="H156" s="228">
        <v>360</v>
      </c>
      <c r="I156" s="224">
        <v>36</v>
      </c>
      <c r="J156" s="225">
        <v>324</v>
      </c>
      <c r="K156" s="11" t="s">
        <v>931</v>
      </c>
      <c r="L156" s="212"/>
      <c r="M156" s="213">
        <v>30</v>
      </c>
      <c r="N156" s="211">
        <v>3</v>
      </c>
      <c r="O156" s="222"/>
      <c r="R156" s="212"/>
      <c r="U156" s="222"/>
    </row>
    <row r="157" spans="1:21" s="211" customFormat="1" x14ac:dyDescent="0.35">
      <c r="A157" s="132">
        <v>152</v>
      </c>
      <c r="B157" s="229" t="s">
        <v>1330</v>
      </c>
      <c r="C157" s="239" t="s">
        <v>962</v>
      </c>
      <c r="D157" s="227">
        <v>8</v>
      </c>
      <c r="E157" s="225">
        <v>30</v>
      </c>
      <c r="F157" s="226">
        <v>240</v>
      </c>
      <c r="G157" s="227">
        <v>120</v>
      </c>
      <c r="H157" s="228">
        <v>360</v>
      </c>
      <c r="I157" s="224">
        <v>36</v>
      </c>
      <c r="J157" s="225">
        <v>324</v>
      </c>
      <c r="K157" s="11" t="s">
        <v>931</v>
      </c>
      <c r="L157" s="212"/>
      <c r="M157" s="213">
        <v>30</v>
      </c>
      <c r="N157" s="211">
        <v>3</v>
      </c>
      <c r="O157" s="222"/>
      <c r="R157" s="212"/>
      <c r="U157" s="222"/>
    </row>
    <row r="158" spans="1:21" s="211" customFormat="1" x14ac:dyDescent="0.35">
      <c r="A158" s="132">
        <v>153</v>
      </c>
      <c r="B158" s="229" t="s">
        <v>963</v>
      </c>
      <c r="C158" s="239" t="s">
        <v>962</v>
      </c>
      <c r="D158" s="227">
        <v>1</v>
      </c>
      <c r="E158" s="225">
        <v>30</v>
      </c>
      <c r="F158" s="226">
        <v>30</v>
      </c>
      <c r="G158" s="227">
        <v>15</v>
      </c>
      <c r="H158" s="228">
        <v>45</v>
      </c>
      <c r="I158" s="224">
        <v>4.5</v>
      </c>
      <c r="J158" s="225">
        <v>40.5</v>
      </c>
      <c r="K158" s="11" t="s">
        <v>931</v>
      </c>
      <c r="L158" s="212"/>
      <c r="M158" s="213">
        <v>30</v>
      </c>
      <c r="N158" s="211">
        <v>3</v>
      </c>
      <c r="O158" s="222"/>
      <c r="R158" s="212"/>
    </row>
    <row r="159" spans="1:21" s="211" customFormat="1" x14ac:dyDescent="0.35">
      <c r="A159" s="132">
        <v>154</v>
      </c>
      <c r="B159" s="229" t="s">
        <v>1331</v>
      </c>
      <c r="C159" s="239" t="s">
        <v>962</v>
      </c>
      <c r="D159" s="227">
        <v>7</v>
      </c>
      <c r="E159" s="225">
        <v>30</v>
      </c>
      <c r="F159" s="226">
        <v>210</v>
      </c>
      <c r="G159" s="227">
        <v>105</v>
      </c>
      <c r="H159" s="228">
        <v>315</v>
      </c>
      <c r="I159" s="224">
        <v>31.5</v>
      </c>
      <c r="J159" s="225">
        <v>283.5</v>
      </c>
      <c r="K159" s="11" t="s">
        <v>931</v>
      </c>
      <c r="L159" s="212"/>
      <c r="M159" s="213">
        <v>30</v>
      </c>
      <c r="N159" s="211">
        <v>16</v>
      </c>
      <c r="O159" s="222"/>
      <c r="R159" s="212"/>
    </row>
    <row r="160" spans="1:21" s="211" customFormat="1" x14ac:dyDescent="0.35">
      <c r="A160" s="132">
        <v>155</v>
      </c>
      <c r="B160" s="229" t="s">
        <v>1332</v>
      </c>
      <c r="C160" s="239" t="s">
        <v>962</v>
      </c>
      <c r="D160" s="227">
        <v>7</v>
      </c>
      <c r="E160" s="225">
        <v>30</v>
      </c>
      <c r="F160" s="226">
        <v>210</v>
      </c>
      <c r="G160" s="227">
        <v>105</v>
      </c>
      <c r="H160" s="228">
        <v>315</v>
      </c>
      <c r="I160" s="224">
        <v>31.5</v>
      </c>
      <c r="J160" s="225">
        <v>283.5</v>
      </c>
      <c r="K160" s="11" t="s">
        <v>931</v>
      </c>
      <c r="L160" s="212"/>
      <c r="M160" s="213">
        <v>30</v>
      </c>
      <c r="N160" s="211">
        <v>19</v>
      </c>
      <c r="O160" s="222"/>
      <c r="R160" s="212"/>
    </row>
    <row r="161" spans="1:21" s="211" customFormat="1" x14ac:dyDescent="0.35">
      <c r="A161" s="132">
        <v>156</v>
      </c>
      <c r="B161" s="229" t="s">
        <v>1333</v>
      </c>
      <c r="C161" s="239" t="s">
        <v>962</v>
      </c>
      <c r="D161" s="227">
        <v>9</v>
      </c>
      <c r="E161" s="225">
        <v>30</v>
      </c>
      <c r="F161" s="226">
        <v>270</v>
      </c>
      <c r="G161" s="227">
        <v>135</v>
      </c>
      <c r="H161" s="228">
        <v>405</v>
      </c>
      <c r="I161" s="224">
        <v>40.5</v>
      </c>
      <c r="J161" s="225">
        <v>364.5</v>
      </c>
      <c r="K161" s="11" t="s">
        <v>931</v>
      </c>
      <c r="L161" s="212"/>
      <c r="M161" s="213">
        <v>30</v>
      </c>
      <c r="N161" s="211">
        <v>21</v>
      </c>
      <c r="O161" s="222"/>
      <c r="R161" s="212"/>
    </row>
    <row r="162" spans="1:21" s="211" customFormat="1" x14ac:dyDescent="0.35">
      <c r="A162" s="132">
        <v>157</v>
      </c>
      <c r="B162" s="229" t="s">
        <v>1334</v>
      </c>
      <c r="C162" s="239" t="s">
        <v>962</v>
      </c>
      <c r="D162" s="227">
        <v>7</v>
      </c>
      <c r="E162" s="225">
        <v>30</v>
      </c>
      <c r="F162" s="226">
        <v>210</v>
      </c>
      <c r="G162" s="227">
        <v>105</v>
      </c>
      <c r="H162" s="228">
        <v>315</v>
      </c>
      <c r="I162" s="224">
        <v>31.5</v>
      </c>
      <c r="J162" s="225">
        <v>283.5</v>
      </c>
      <c r="K162" s="11" t="s">
        <v>931</v>
      </c>
      <c r="L162" s="212"/>
      <c r="M162" s="213">
        <v>30</v>
      </c>
      <c r="N162" s="211">
        <v>27</v>
      </c>
      <c r="O162" s="222"/>
      <c r="R162" s="212"/>
    </row>
    <row r="163" spans="1:21" s="211" customFormat="1" x14ac:dyDescent="0.35">
      <c r="A163" s="132">
        <v>158</v>
      </c>
      <c r="B163" s="229" t="s">
        <v>1335</v>
      </c>
      <c r="C163" s="239" t="s">
        <v>962</v>
      </c>
      <c r="D163" s="227">
        <v>8</v>
      </c>
      <c r="E163" s="225">
        <v>30</v>
      </c>
      <c r="F163" s="226">
        <v>240</v>
      </c>
      <c r="G163" s="227">
        <v>120</v>
      </c>
      <c r="H163" s="228">
        <v>360</v>
      </c>
      <c r="I163" s="224">
        <v>36</v>
      </c>
      <c r="J163" s="225">
        <v>324</v>
      </c>
      <c r="K163" s="11" t="s">
        <v>931</v>
      </c>
      <c r="L163" s="212"/>
      <c r="M163" s="213">
        <v>30</v>
      </c>
      <c r="N163" s="211">
        <v>25</v>
      </c>
      <c r="O163" s="222"/>
      <c r="R163" s="212"/>
    </row>
    <row r="164" spans="1:21" s="211" customFormat="1" x14ac:dyDescent="0.35">
      <c r="A164" s="132">
        <v>159</v>
      </c>
      <c r="B164" s="229" t="s">
        <v>1336</v>
      </c>
      <c r="C164" s="239" t="s">
        <v>962</v>
      </c>
      <c r="D164" s="227">
        <v>7</v>
      </c>
      <c r="E164" s="225">
        <v>30</v>
      </c>
      <c r="F164" s="226">
        <v>210</v>
      </c>
      <c r="G164" s="227">
        <v>105</v>
      </c>
      <c r="H164" s="228">
        <v>315</v>
      </c>
      <c r="I164" s="224">
        <v>31.5</v>
      </c>
      <c r="J164" s="225">
        <v>283.5</v>
      </c>
      <c r="K164" s="11" t="s">
        <v>931</v>
      </c>
      <c r="L164" s="212"/>
      <c r="M164" s="213">
        <v>30</v>
      </c>
      <c r="N164" s="211">
        <v>26</v>
      </c>
      <c r="O164" s="222"/>
      <c r="R164" s="212"/>
      <c r="U164" s="222"/>
    </row>
    <row r="165" spans="1:21" s="211" customFormat="1" x14ac:dyDescent="0.35">
      <c r="A165" s="132">
        <v>160</v>
      </c>
      <c r="B165" s="229" t="s">
        <v>1337</v>
      </c>
      <c r="C165" s="239" t="s">
        <v>962</v>
      </c>
      <c r="D165" s="227">
        <v>8</v>
      </c>
      <c r="E165" s="225">
        <v>30</v>
      </c>
      <c r="F165" s="226">
        <v>240</v>
      </c>
      <c r="G165" s="227">
        <v>120</v>
      </c>
      <c r="H165" s="228">
        <v>360</v>
      </c>
      <c r="I165" s="224">
        <v>36</v>
      </c>
      <c r="J165" s="225">
        <v>324</v>
      </c>
      <c r="K165" s="11" t="s">
        <v>931</v>
      </c>
      <c r="L165" s="212"/>
      <c r="M165" s="213">
        <v>30</v>
      </c>
      <c r="N165" s="211">
        <v>26</v>
      </c>
      <c r="O165" s="222"/>
      <c r="R165" s="212"/>
      <c r="U165" s="222"/>
    </row>
    <row r="166" spans="1:21" s="211" customFormat="1" x14ac:dyDescent="0.35">
      <c r="A166" s="132">
        <v>161</v>
      </c>
      <c r="B166" s="229" t="s">
        <v>1338</v>
      </c>
      <c r="C166" s="239" t="s">
        <v>962</v>
      </c>
      <c r="D166" s="227">
        <v>8</v>
      </c>
      <c r="E166" s="225">
        <v>30</v>
      </c>
      <c r="F166" s="226">
        <v>240</v>
      </c>
      <c r="G166" s="227">
        <v>120</v>
      </c>
      <c r="H166" s="228">
        <v>360</v>
      </c>
      <c r="I166" s="224">
        <v>36</v>
      </c>
      <c r="J166" s="225">
        <v>324</v>
      </c>
      <c r="K166" s="11" t="s">
        <v>931</v>
      </c>
      <c r="L166" s="212"/>
      <c r="M166" s="213">
        <v>30</v>
      </c>
      <c r="N166" s="211">
        <v>27</v>
      </c>
      <c r="O166" s="222"/>
      <c r="R166" s="212"/>
      <c r="U166" s="222"/>
    </row>
    <row r="167" spans="1:21" s="211" customFormat="1" x14ac:dyDescent="0.35">
      <c r="A167" s="132">
        <v>162</v>
      </c>
      <c r="B167" s="229" t="s">
        <v>1339</v>
      </c>
      <c r="C167" s="239" t="s">
        <v>962</v>
      </c>
      <c r="D167" s="227">
        <v>10</v>
      </c>
      <c r="E167" s="225">
        <v>30</v>
      </c>
      <c r="F167" s="226">
        <v>300</v>
      </c>
      <c r="G167" s="227">
        <v>150</v>
      </c>
      <c r="H167" s="228">
        <v>450</v>
      </c>
      <c r="I167" s="224">
        <v>45</v>
      </c>
      <c r="J167" s="225">
        <v>405</v>
      </c>
      <c r="K167" s="11" t="s">
        <v>931</v>
      </c>
      <c r="L167" s="212"/>
      <c r="M167" s="213">
        <v>30</v>
      </c>
      <c r="N167" s="212"/>
      <c r="O167" s="212"/>
      <c r="P167" s="212"/>
      <c r="Q167" s="212"/>
      <c r="R167" s="212"/>
      <c r="U167" s="222"/>
    </row>
    <row r="168" spans="1:21" s="211" customFormat="1" x14ac:dyDescent="0.35">
      <c r="A168" s="132">
        <v>163</v>
      </c>
      <c r="B168" s="229" t="s">
        <v>1340</v>
      </c>
      <c r="C168" s="239" t="s">
        <v>962</v>
      </c>
      <c r="D168" s="227">
        <v>7</v>
      </c>
      <c r="E168" s="225">
        <v>30</v>
      </c>
      <c r="F168" s="226">
        <v>210</v>
      </c>
      <c r="G168" s="227">
        <v>105</v>
      </c>
      <c r="H168" s="228">
        <v>315</v>
      </c>
      <c r="I168" s="224">
        <v>31.5</v>
      </c>
      <c r="J168" s="225">
        <v>283.5</v>
      </c>
      <c r="K168" s="11" t="s">
        <v>931</v>
      </c>
      <c r="L168" s="212"/>
      <c r="M168" s="213">
        <v>30</v>
      </c>
      <c r="N168" s="212"/>
      <c r="O168" s="212"/>
      <c r="P168" s="212"/>
      <c r="Q168" s="212"/>
      <c r="R168" s="212"/>
      <c r="U168" s="222"/>
    </row>
    <row r="169" spans="1:21" s="211" customFormat="1" x14ac:dyDescent="0.35">
      <c r="A169" s="132">
        <v>164</v>
      </c>
      <c r="B169" s="229" t="s">
        <v>1341</v>
      </c>
      <c r="C169" s="239" t="s">
        <v>962</v>
      </c>
      <c r="D169" s="227">
        <v>9</v>
      </c>
      <c r="E169" s="225">
        <v>30</v>
      </c>
      <c r="F169" s="226">
        <v>270</v>
      </c>
      <c r="G169" s="227">
        <v>135</v>
      </c>
      <c r="H169" s="228">
        <v>405</v>
      </c>
      <c r="I169" s="224">
        <v>40.5</v>
      </c>
      <c r="J169" s="225">
        <v>364.5</v>
      </c>
      <c r="K169" s="11" t="s">
        <v>931</v>
      </c>
      <c r="L169" s="212"/>
      <c r="M169" s="213">
        <v>30</v>
      </c>
      <c r="N169" s="212"/>
      <c r="O169" s="212"/>
      <c r="P169" s="212"/>
      <c r="Q169" s="212"/>
      <c r="R169" s="212"/>
      <c r="U169" s="222"/>
    </row>
    <row r="170" spans="1:21" s="211" customFormat="1" x14ac:dyDescent="0.35">
      <c r="A170" s="132">
        <v>165</v>
      </c>
      <c r="B170" s="229" t="s">
        <v>1342</v>
      </c>
      <c r="C170" s="239" t="s">
        <v>962</v>
      </c>
      <c r="D170" s="227">
        <v>7</v>
      </c>
      <c r="E170" s="225">
        <v>30</v>
      </c>
      <c r="F170" s="226">
        <v>210</v>
      </c>
      <c r="G170" s="227">
        <v>105</v>
      </c>
      <c r="H170" s="228">
        <v>315</v>
      </c>
      <c r="I170" s="224">
        <v>31.5</v>
      </c>
      <c r="J170" s="225">
        <v>283.5</v>
      </c>
      <c r="K170" s="11" t="s">
        <v>931</v>
      </c>
      <c r="L170" s="212"/>
      <c r="M170" s="213">
        <v>30</v>
      </c>
      <c r="N170" s="211">
        <v>27</v>
      </c>
      <c r="O170" s="222"/>
      <c r="R170" s="212"/>
      <c r="U170" s="222"/>
    </row>
    <row r="171" spans="1:21" s="211" customFormat="1" x14ac:dyDescent="0.35">
      <c r="A171" s="132">
        <v>166</v>
      </c>
      <c r="B171" s="229" t="s">
        <v>1343</v>
      </c>
      <c r="C171" s="239" t="s">
        <v>962</v>
      </c>
      <c r="D171" s="227">
        <v>7</v>
      </c>
      <c r="E171" s="225">
        <v>30</v>
      </c>
      <c r="F171" s="226">
        <v>210</v>
      </c>
      <c r="G171" s="227">
        <v>105</v>
      </c>
      <c r="H171" s="228">
        <v>315</v>
      </c>
      <c r="I171" s="224">
        <v>31.5</v>
      </c>
      <c r="J171" s="225">
        <v>283.5</v>
      </c>
      <c r="K171" s="11" t="s">
        <v>931</v>
      </c>
      <c r="L171" s="212"/>
      <c r="M171" s="213">
        <v>30</v>
      </c>
      <c r="N171" s="211">
        <v>31</v>
      </c>
      <c r="O171" s="222"/>
      <c r="R171" s="212"/>
      <c r="U171" s="222"/>
    </row>
    <row r="172" spans="1:21" s="211" customFormat="1" x14ac:dyDescent="0.35">
      <c r="A172" s="132">
        <v>167</v>
      </c>
      <c r="B172" s="229" t="s">
        <v>1344</v>
      </c>
      <c r="C172" s="239" t="s">
        <v>962</v>
      </c>
      <c r="D172" s="227">
        <v>8</v>
      </c>
      <c r="E172" s="225">
        <v>30</v>
      </c>
      <c r="F172" s="226">
        <v>240</v>
      </c>
      <c r="G172" s="227">
        <v>120</v>
      </c>
      <c r="H172" s="228">
        <v>360</v>
      </c>
      <c r="I172" s="224">
        <v>36</v>
      </c>
      <c r="J172" s="225">
        <v>324</v>
      </c>
      <c r="K172" s="11" t="s">
        <v>931</v>
      </c>
      <c r="L172" s="212"/>
      <c r="M172" s="213">
        <v>30</v>
      </c>
      <c r="N172" s="211">
        <v>50</v>
      </c>
      <c r="O172" s="222"/>
      <c r="R172" s="212"/>
      <c r="U172" s="222"/>
    </row>
    <row r="173" spans="1:21" s="211" customFormat="1" x14ac:dyDescent="0.35">
      <c r="A173" s="132">
        <v>168</v>
      </c>
      <c r="B173" s="229" t="s">
        <v>1345</v>
      </c>
      <c r="C173" s="239" t="s">
        <v>962</v>
      </c>
      <c r="D173" s="227">
        <v>12</v>
      </c>
      <c r="E173" s="225">
        <v>30</v>
      </c>
      <c r="F173" s="226">
        <v>360</v>
      </c>
      <c r="G173" s="227">
        <v>180</v>
      </c>
      <c r="H173" s="228">
        <v>540</v>
      </c>
      <c r="I173" s="224">
        <v>54</v>
      </c>
      <c r="J173" s="225">
        <v>486</v>
      </c>
      <c r="K173" s="11" t="s">
        <v>931</v>
      </c>
      <c r="L173" s="212"/>
      <c r="M173" s="213">
        <v>30</v>
      </c>
      <c r="N173" s="211">
        <v>28</v>
      </c>
      <c r="O173" s="222"/>
      <c r="R173" s="212"/>
      <c r="U173" s="222"/>
    </row>
    <row r="174" spans="1:21" s="211" customFormat="1" x14ac:dyDescent="0.35">
      <c r="A174" s="132">
        <v>169</v>
      </c>
      <c r="B174" s="229" t="s">
        <v>825</v>
      </c>
      <c r="C174" s="239" t="s">
        <v>962</v>
      </c>
      <c r="D174" s="227">
        <v>16</v>
      </c>
      <c r="E174" s="225">
        <v>30</v>
      </c>
      <c r="F174" s="226">
        <v>480</v>
      </c>
      <c r="G174" s="227">
        <v>240</v>
      </c>
      <c r="H174" s="228">
        <v>720</v>
      </c>
      <c r="I174" s="224">
        <v>72</v>
      </c>
      <c r="J174" s="225">
        <v>648</v>
      </c>
      <c r="K174" s="11" t="s">
        <v>931</v>
      </c>
      <c r="L174" s="212"/>
      <c r="M174" s="213">
        <v>30</v>
      </c>
      <c r="N174" s="211">
        <v>28</v>
      </c>
      <c r="O174" s="222"/>
      <c r="R174" s="212"/>
      <c r="U174" s="222"/>
    </row>
    <row r="175" spans="1:21" s="211" customFormat="1" x14ac:dyDescent="0.35">
      <c r="A175" s="132">
        <v>170</v>
      </c>
      <c r="B175" s="229" t="s">
        <v>1346</v>
      </c>
      <c r="C175" s="239" t="s">
        <v>962</v>
      </c>
      <c r="D175" s="227">
        <v>13</v>
      </c>
      <c r="E175" s="225">
        <v>30</v>
      </c>
      <c r="F175" s="226">
        <v>390</v>
      </c>
      <c r="G175" s="227">
        <v>195</v>
      </c>
      <c r="H175" s="228">
        <v>585</v>
      </c>
      <c r="I175" s="224">
        <v>58.5</v>
      </c>
      <c r="J175" s="225">
        <v>526.5</v>
      </c>
      <c r="K175" s="11" t="s">
        <v>931</v>
      </c>
      <c r="L175" s="212"/>
      <c r="M175" s="213">
        <v>30</v>
      </c>
      <c r="N175" s="211">
        <v>28</v>
      </c>
      <c r="O175" s="222"/>
      <c r="R175" s="212"/>
      <c r="U175" s="222"/>
    </row>
    <row r="176" spans="1:21" s="211" customFormat="1" x14ac:dyDescent="0.35">
      <c r="A176" s="132">
        <v>171</v>
      </c>
      <c r="B176" s="229" t="s">
        <v>1347</v>
      </c>
      <c r="C176" s="239" t="s">
        <v>962</v>
      </c>
      <c r="D176" s="227">
        <v>10</v>
      </c>
      <c r="E176" s="225">
        <v>30</v>
      </c>
      <c r="F176" s="226">
        <v>300</v>
      </c>
      <c r="G176" s="227">
        <v>150</v>
      </c>
      <c r="H176" s="228">
        <v>450</v>
      </c>
      <c r="I176" s="224">
        <v>45</v>
      </c>
      <c r="J176" s="225">
        <v>405</v>
      </c>
      <c r="K176" s="11" t="s">
        <v>931</v>
      </c>
      <c r="L176" s="212"/>
      <c r="M176" s="213">
        <v>30</v>
      </c>
      <c r="N176" s="211">
        <v>29</v>
      </c>
      <c r="O176" s="222"/>
      <c r="R176" s="212"/>
      <c r="U176" s="222"/>
    </row>
    <row r="177" spans="1:21" s="211" customFormat="1" x14ac:dyDescent="0.35">
      <c r="A177" s="132">
        <v>172</v>
      </c>
      <c r="B177" s="229" t="s">
        <v>1348</v>
      </c>
      <c r="C177" s="239" t="s">
        <v>962</v>
      </c>
      <c r="D177" s="227">
        <v>15</v>
      </c>
      <c r="E177" s="225">
        <v>30</v>
      </c>
      <c r="F177" s="226">
        <v>450</v>
      </c>
      <c r="G177" s="227">
        <v>225</v>
      </c>
      <c r="H177" s="228">
        <v>675</v>
      </c>
      <c r="I177" s="224">
        <v>67.5</v>
      </c>
      <c r="J177" s="225">
        <v>607.5</v>
      </c>
      <c r="K177" s="11" t="s">
        <v>931</v>
      </c>
      <c r="L177" s="212"/>
      <c r="M177" s="213">
        <v>30</v>
      </c>
      <c r="N177" s="211">
        <v>29</v>
      </c>
      <c r="O177" s="222"/>
      <c r="R177" s="212"/>
      <c r="U177" s="222"/>
    </row>
    <row r="178" spans="1:21" s="177" customFormat="1" x14ac:dyDescent="0.35">
      <c r="A178" s="132">
        <v>226</v>
      </c>
      <c r="B178" s="229" t="s">
        <v>959</v>
      </c>
      <c r="C178" s="132" t="s">
        <v>939</v>
      </c>
      <c r="D178" s="240">
        <v>30</v>
      </c>
      <c r="E178" s="225">
        <f t="shared" ref="E178:E203" si="4">M178</f>
        <v>30</v>
      </c>
      <c r="F178" s="226">
        <f t="shared" ref="F178:F209" si="5">D178*E178</f>
        <v>900</v>
      </c>
      <c r="G178" s="240">
        <v>300</v>
      </c>
      <c r="H178" s="228">
        <f t="shared" ref="H178:H209" si="6">F178+G178</f>
        <v>1200</v>
      </c>
      <c r="I178" s="224">
        <f t="shared" ref="I178:I209" si="7">H178*0.1</f>
        <v>120</v>
      </c>
      <c r="J178" s="225">
        <f t="shared" ref="J178:J209" si="8">H178*0.9</f>
        <v>1080</v>
      </c>
      <c r="K178" s="11" t="s">
        <v>931</v>
      </c>
      <c r="L178" s="24"/>
      <c r="M178" s="178">
        <v>30</v>
      </c>
      <c r="N178" s="24"/>
      <c r="O178" s="24"/>
      <c r="P178" s="24"/>
      <c r="Q178" s="24"/>
      <c r="R178" s="24"/>
    </row>
    <row r="179" spans="1:21" s="177" customFormat="1" x14ac:dyDescent="0.35">
      <c r="A179" s="132">
        <v>227</v>
      </c>
      <c r="B179" s="229" t="s">
        <v>958</v>
      </c>
      <c r="C179" s="132" t="s">
        <v>939</v>
      </c>
      <c r="D179" s="240">
        <v>30</v>
      </c>
      <c r="E179" s="225">
        <f t="shared" si="4"/>
        <v>30</v>
      </c>
      <c r="F179" s="226">
        <f t="shared" si="5"/>
        <v>900</v>
      </c>
      <c r="G179" s="240">
        <v>300</v>
      </c>
      <c r="H179" s="228">
        <f t="shared" si="6"/>
        <v>1200</v>
      </c>
      <c r="I179" s="224">
        <f t="shared" si="7"/>
        <v>120</v>
      </c>
      <c r="J179" s="225">
        <f t="shared" si="8"/>
        <v>1080</v>
      </c>
      <c r="K179" s="11" t="s">
        <v>931</v>
      </c>
      <c r="L179" s="24"/>
      <c r="M179" s="178">
        <v>30</v>
      </c>
      <c r="N179" s="24"/>
      <c r="O179" s="24"/>
      <c r="P179" s="24"/>
      <c r="Q179" s="24"/>
      <c r="R179" s="24"/>
    </row>
    <row r="180" spans="1:21" s="177" customFormat="1" x14ac:dyDescent="0.35">
      <c r="A180" s="132">
        <v>228</v>
      </c>
      <c r="B180" s="229" t="s">
        <v>957</v>
      </c>
      <c r="C180" s="132" t="s">
        <v>939</v>
      </c>
      <c r="D180" s="240">
        <v>30</v>
      </c>
      <c r="E180" s="225">
        <f t="shared" si="4"/>
        <v>30</v>
      </c>
      <c r="F180" s="226">
        <f t="shared" si="5"/>
        <v>900</v>
      </c>
      <c r="G180" s="240">
        <v>300</v>
      </c>
      <c r="H180" s="228">
        <f t="shared" si="6"/>
        <v>1200</v>
      </c>
      <c r="I180" s="224">
        <f t="shared" si="7"/>
        <v>120</v>
      </c>
      <c r="J180" s="225">
        <f t="shared" si="8"/>
        <v>1080</v>
      </c>
      <c r="K180" s="11" t="s">
        <v>931</v>
      </c>
      <c r="L180" s="24"/>
      <c r="M180" s="178">
        <v>30</v>
      </c>
      <c r="N180" s="24"/>
      <c r="O180" s="24"/>
      <c r="P180" s="24"/>
      <c r="Q180" s="24"/>
      <c r="R180" s="24"/>
    </row>
    <row r="181" spans="1:21" s="177" customFormat="1" x14ac:dyDescent="0.35">
      <c r="A181" s="132">
        <v>229</v>
      </c>
      <c r="B181" s="229" t="s">
        <v>956</v>
      </c>
      <c r="C181" s="132" t="s">
        <v>939</v>
      </c>
      <c r="D181" s="240">
        <v>30</v>
      </c>
      <c r="E181" s="225">
        <f t="shared" si="4"/>
        <v>30</v>
      </c>
      <c r="F181" s="226">
        <f t="shared" si="5"/>
        <v>900</v>
      </c>
      <c r="G181" s="240">
        <v>300</v>
      </c>
      <c r="H181" s="228">
        <f t="shared" si="6"/>
        <v>1200</v>
      </c>
      <c r="I181" s="224">
        <f t="shared" si="7"/>
        <v>120</v>
      </c>
      <c r="J181" s="225">
        <f t="shared" si="8"/>
        <v>1080</v>
      </c>
      <c r="K181" s="11" t="s">
        <v>931</v>
      </c>
      <c r="L181" s="24"/>
      <c r="M181" s="178">
        <v>30</v>
      </c>
      <c r="N181" s="24"/>
      <c r="O181" s="24"/>
      <c r="P181" s="24"/>
      <c r="Q181" s="24"/>
      <c r="R181" s="24"/>
    </row>
    <row r="182" spans="1:21" s="7" customFormat="1" x14ac:dyDescent="0.35">
      <c r="A182" s="132">
        <v>230</v>
      </c>
      <c r="B182" s="241" t="s">
        <v>955</v>
      </c>
      <c r="C182" s="242" t="s">
        <v>939</v>
      </c>
      <c r="D182" s="240">
        <v>30</v>
      </c>
      <c r="E182" s="243">
        <f t="shared" si="4"/>
        <v>30</v>
      </c>
      <c r="F182" s="226">
        <f t="shared" si="5"/>
        <v>900</v>
      </c>
      <c r="G182" s="240">
        <v>300</v>
      </c>
      <c r="H182" s="228">
        <f t="shared" si="6"/>
        <v>1200</v>
      </c>
      <c r="I182" s="224">
        <f t="shared" si="7"/>
        <v>120</v>
      </c>
      <c r="J182" s="225">
        <f t="shared" si="8"/>
        <v>1080</v>
      </c>
      <c r="K182" s="163" t="s">
        <v>931</v>
      </c>
      <c r="L182" s="196"/>
      <c r="M182" s="197">
        <v>30</v>
      </c>
      <c r="N182" s="196"/>
      <c r="O182" s="196"/>
      <c r="P182" s="196"/>
      <c r="Q182" s="196"/>
      <c r="R182" s="3"/>
    </row>
    <row r="183" spans="1:21" s="7" customFormat="1" x14ac:dyDescent="0.35">
      <c r="A183" s="132">
        <v>231</v>
      </c>
      <c r="B183" s="232" t="s">
        <v>1035</v>
      </c>
      <c r="C183" s="134" t="s">
        <v>939</v>
      </c>
      <c r="D183" s="240">
        <v>30</v>
      </c>
      <c r="E183" s="230">
        <f t="shared" si="4"/>
        <v>30</v>
      </c>
      <c r="F183" s="226">
        <f t="shared" si="5"/>
        <v>900</v>
      </c>
      <c r="G183" s="240">
        <v>300</v>
      </c>
      <c r="H183" s="228">
        <f t="shared" si="6"/>
        <v>1200</v>
      </c>
      <c r="I183" s="224">
        <f t="shared" si="7"/>
        <v>120</v>
      </c>
      <c r="J183" s="225">
        <f t="shared" si="8"/>
        <v>1080</v>
      </c>
      <c r="K183" s="11" t="s">
        <v>931</v>
      </c>
      <c r="L183" s="24"/>
      <c r="M183" s="178">
        <v>30</v>
      </c>
      <c r="N183" s="24"/>
      <c r="O183" s="24"/>
      <c r="P183" s="24"/>
      <c r="Q183" s="24"/>
      <c r="R183" s="3"/>
    </row>
    <row r="184" spans="1:21" s="7" customFormat="1" x14ac:dyDescent="0.35">
      <c r="A184" s="132">
        <v>232</v>
      </c>
      <c r="B184" s="232" t="s">
        <v>1036</v>
      </c>
      <c r="C184" s="134" t="s">
        <v>939</v>
      </c>
      <c r="D184" s="240">
        <v>30</v>
      </c>
      <c r="E184" s="230">
        <f t="shared" si="4"/>
        <v>30</v>
      </c>
      <c r="F184" s="226">
        <f t="shared" si="5"/>
        <v>900</v>
      </c>
      <c r="G184" s="240">
        <v>300</v>
      </c>
      <c r="H184" s="228">
        <f t="shared" si="6"/>
        <v>1200</v>
      </c>
      <c r="I184" s="224">
        <f t="shared" si="7"/>
        <v>120</v>
      </c>
      <c r="J184" s="225">
        <f t="shared" si="8"/>
        <v>1080</v>
      </c>
      <c r="K184" s="11" t="s">
        <v>931</v>
      </c>
      <c r="L184" s="24"/>
      <c r="M184" s="178">
        <v>30</v>
      </c>
      <c r="N184" s="24"/>
      <c r="O184" s="24"/>
      <c r="P184" s="24"/>
      <c r="Q184" s="24"/>
      <c r="R184" s="3"/>
    </row>
    <row r="185" spans="1:21" s="7" customFormat="1" x14ac:dyDescent="0.35">
      <c r="A185" s="132">
        <v>233</v>
      </c>
      <c r="B185" s="232" t="s">
        <v>954</v>
      </c>
      <c r="C185" s="134" t="s">
        <v>939</v>
      </c>
      <c r="D185" s="240">
        <v>30</v>
      </c>
      <c r="E185" s="230">
        <f t="shared" si="4"/>
        <v>30</v>
      </c>
      <c r="F185" s="226">
        <f t="shared" si="5"/>
        <v>900</v>
      </c>
      <c r="G185" s="240">
        <v>300</v>
      </c>
      <c r="H185" s="228">
        <f t="shared" si="6"/>
        <v>1200</v>
      </c>
      <c r="I185" s="224">
        <f t="shared" si="7"/>
        <v>120</v>
      </c>
      <c r="J185" s="225">
        <f t="shared" si="8"/>
        <v>1080</v>
      </c>
      <c r="K185" s="11" t="s">
        <v>931</v>
      </c>
      <c r="L185" s="24"/>
      <c r="M185" s="178">
        <v>30</v>
      </c>
      <c r="N185" s="24"/>
      <c r="O185" s="24"/>
      <c r="P185" s="24"/>
      <c r="Q185" s="24"/>
      <c r="R185" s="3"/>
    </row>
    <row r="186" spans="1:21" s="192" customFormat="1" x14ac:dyDescent="0.35">
      <c r="A186" s="132">
        <v>234</v>
      </c>
      <c r="B186" s="229" t="s">
        <v>1037</v>
      </c>
      <c r="C186" s="132" t="s">
        <v>939</v>
      </c>
      <c r="D186" s="240">
        <v>30</v>
      </c>
      <c r="E186" s="225">
        <f t="shared" si="4"/>
        <v>30</v>
      </c>
      <c r="F186" s="226">
        <f t="shared" si="5"/>
        <v>900</v>
      </c>
      <c r="G186" s="240">
        <v>300</v>
      </c>
      <c r="H186" s="228">
        <f t="shared" si="6"/>
        <v>1200</v>
      </c>
      <c r="I186" s="224">
        <f t="shared" si="7"/>
        <v>120</v>
      </c>
      <c r="J186" s="225">
        <f t="shared" si="8"/>
        <v>1080</v>
      </c>
      <c r="K186" s="11" t="s">
        <v>931</v>
      </c>
      <c r="L186" s="24"/>
      <c r="M186" s="178">
        <v>30</v>
      </c>
      <c r="N186" s="24"/>
      <c r="O186" s="24"/>
      <c r="P186" s="24"/>
      <c r="Q186" s="24"/>
      <c r="R186" s="191"/>
    </row>
    <row r="187" spans="1:21" s="192" customFormat="1" x14ac:dyDescent="0.35">
      <c r="A187" s="132">
        <v>235</v>
      </c>
      <c r="B187" s="229" t="s">
        <v>953</v>
      </c>
      <c r="C187" s="132" t="s">
        <v>939</v>
      </c>
      <c r="D187" s="240">
        <v>30</v>
      </c>
      <c r="E187" s="225">
        <f t="shared" si="4"/>
        <v>30</v>
      </c>
      <c r="F187" s="226">
        <f t="shared" si="5"/>
        <v>900</v>
      </c>
      <c r="G187" s="240">
        <v>300</v>
      </c>
      <c r="H187" s="228">
        <f t="shared" si="6"/>
        <v>1200</v>
      </c>
      <c r="I187" s="224">
        <f t="shared" si="7"/>
        <v>120</v>
      </c>
      <c r="J187" s="225">
        <f t="shared" si="8"/>
        <v>1080</v>
      </c>
      <c r="K187" s="11" t="s">
        <v>931</v>
      </c>
      <c r="L187" s="24"/>
      <c r="M187" s="178">
        <v>30</v>
      </c>
      <c r="N187" s="24"/>
      <c r="O187" s="24"/>
      <c r="P187" s="24"/>
      <c r="Q187" s="24"/>
      <c r="R187" s="191"/>
    </row>
    <row r="188" spans="1:21" s="192" customFormat="1" x14ac:dyDescent="0.35">
      <c r="A188" s="132">
        <v>236</v>
      </c>
      <c r="B188" s="229" t="s">
        <v>952</v>
      </c>
      <c r="C188" s="132" t="s">
        <v>939</v>
      </c>
      <c r="D188" s="240">
        <v>30</v>
      </c>
      <c r="E188" s="225">
        <f t="shared" si="4"/>
        <v>30</v>
      </c>
      <c r="F188" s="226">
        <f t="shared" si="5"/>
        <v>900</v>
      </c>
      <c r="G188" s="240">
        <v>300</v>
      </c>
      <c r="H188" s="228">
        <f t="shared" si="6"/>
        <v>1200</v>
      </c>
      <c r="I188" s="224">
        <f t="shared" si="7"/>
        <v>120</v>
      </c>
      <c r="J188" s="225">
        <f t="shared" si="8"/>
        <v>1080</v>
      </c>
      <c r="K188" s="11" t="s">
        <v>931</v>
      </c>
      <c r="L188" s="24"/>
      <c r="M188" s="178">
        <v>30</v>
      </c>
      <c r="N188" s="24"/>
      <c r="O188" s="24"/>
      <c r="P188" s="24"/>
      <c r="Q188" s="24"/>
      <c r="R188" s="191"/>
    </row>
    <row r="189" spans="1:21" s="192" customFormat="1" x14ac:dyDescent="0.35">
      <c r="A189" s="132">
        <v>237</v>
      </c>
      <c r="B189" s="229" t="s">
        <v>951</v>
      </c>
      <c r="C189" s="132" t="s">
        <v>939</v>
      </c>
      <c r="D189" s="240">
        <v>30</v>
      </c>
      <c r="E189" s="225">
        <f t="shared" si="4"/>
        <v>30</v>
      </c>
      <c r="F189" s="226">
        <f t="shared" si="5"/>
        <v>900</v>
      </c>
      <c r="G189" s="240">
        <v>300</v>
      </c>
      <c r="H189" s="228">
        <f t="shared" si="6"/>
        <v>1200</v>
      </c>
      <c r="I189" s="224">
        <f t="shared" si="7"/>
        <v>120</v>
      </c>
      <c r="J189" s="225">
        <f t="shared" si="8"/>
        <v>1080</v>
      </c>
      <c r="K189" s="11" t="s">
        <v>931</v>
      </c>
      <c r="L189" s="24"/>
      <c r="M189" s="178">
        <v>30</v>
      </c>
      <c r="N189" s="24"/>
      <c r="O189" s="24"/>
      <c r="P189" s="24"/>
      <c r="Q189" s="24"/>
      <c r="R189" s="191"/>
    </row>
    <row r="190" spans="1:21" s="192" customFormat="1" x14ac:dyDescent="0.35">
      <c r="A190" s="132">
        <v>238</v>
      </c>
      <c r="B190" s="229" t="s">
        <v>950</v>
      </c>
      <c r="C190" s="132" t="s">
        <v>939</v>
      </c>
      <c r="D190" s="240">
        <v>30</v>
      </c>
      <c r="E190" s="225">
        <f t="shared" si="4"/>
        <v>30</v>
      </c>
      <c r="F190" s="226">
        <f t="shared" si="5"/>
        <v>900</v>
      </c>
      <c r="G190" s="240">
        <v>300</v>
      </c>
      <c r="H190" s="228">
        <f t="shared" si="6"/>
        <v>1200</v>
      </c>
      <c r="I190" s="224">
        <f t="shared" si="7"/>
        <v>120</v>
      </c>
      <c r="J190" s="225">
        <f t="shared" si="8"/>
        <v>1080</v>
      </c>
      <c r="K190" s="11" t="s">
        <v>931</v>
      </c>
      <c r="L190" s="24"/>
      <c r="M190" s="178">
        <v>30</v>
      </c>
      <c r="N190" s="24"/>
      <c r="O190" s="24"/>
      <c r="P190" s="24"/>
      <c r="Q190" s="24"/>
      <c r="R190" s="191"/>
    </row>
    <row r="191" spans="1:21" s="192" customFormat="1" x14ac:dyDescent="0.35">
      <c r="A191" s="132">
        <v>239</v>
      </c>
      <c r="B191" s="229" t="s">
        <v>949</v>
      </c>
      <c r="C191" s="132" t="s">
        <v>939</v>
      </c>
      <c r="D191" s="240">
        <v>30</v>
      </c>
      <c r="E191" s="225">
        <f t="shared" si="4"/>
        <v>30</v>
      </c>
      <c r="F191" s="226">
        <f t="shared" si="5"/>
        <v>900</v>
      </c>
      <c r="G191" s="240">
        <v>300</v>
      </c>
      <c r="H191" s="228">
        <f t="shared" si="6"/>
        <v>1200</v>
      </c>
      <c r="I191" s="224">
        <f t="shared" si="7"/>
        <v>120</v>
      </c>
      <c r="J191" s="225">
        <f t="shared" si="8"/>
        <v>1080</v>
      </c>
      <c r="K191" s="11" t="s">
        <v>931</v>
      </c>
      <c r="L191" s="24"/>
      <c r="M191" s="178">
        <v>30</v>
      </c>
      <c r="N191" s="24"/>
      <c r="O191" s="24"/>
      <c r="P191" s="24"/>
      <c r="Q191" s="24"/>
      <c r="R191" s="191"/>
    </row>
    <row r="192" spans="1:21" s="192" customFormat="1" x14ac:dyDescent="0.35">
      <c r="A192" s="132">
        <v>240</v>
      </c>
      <c r="B192" s="229" t="s">
        <v>948</v>
      </c>
      <c r="C192" s="132" t="s">
        <v>939</v>
      </c>
      <c r="D192" s="240">
        <v>30</v>
      </c>
      <c r="E192" s="225">
        <f t="shared" si="4"/>
        <v>30</v>
      </c>
      <c r="F192" s="226">
        <f t="shared" si="5"/>
        <v>900</v>
      </c>
      <c r="G192" s="240">
        <v>300</v>
      </c>
      <c r="H192" s="228">
        <f t="shared" si="6"/>
        <v>1200</v>
      </c>
      <c r="I192" s="224">
        <f t="shared" si="7"/>
        <v>120</v>
      </c>
      <c r="J192" s="225">
        <f t="shared" si="8"/>
        <v>1080</v>
      </c>
      <c r="K192" s="11" t="s">
        <v>931</v>
      </c>
      <c r="L192" s="24"/>
      <c r="M192" s="178">
        <v>30</v>
      </c>
      <c r="N192" s="24"/>
      <c r="O192" s="24"/>
      <c r="P192" s="24"/>
      <c r="Q192" s="24"/>
      <c r="R192" s="191"/>
    </row>
    <row r="193" spans="1:18" s="192" customFormat="1" x14ac:dyDescent="0.35">
      <c r="A193" s="132">
        <v>241</v>
      </c>
      <c r="B193" s="229" t="s">
        <v>947</v>
      </c>
      <c r="C193" s="132" t="s">
        <v>939</v>
      </c>
      <c r="D193" s="240">
        <v>30</v>
      </c>
      <c r="E193" s="225">
        <f t="shared" si="4"/>
        <v>30</v>
      </c>
      <c r="F193" s="226">
        <f t="shared" si="5"/>
        <v>900</v>
      </c>
      <c r="G193" s="240">
        <v>300</v>
      </c>
      <c r="H193" s="228">
        <f t="shared" si="6"/>
        <v>1200</v>
      </c>
      <c r="I193" s="224">
        <f t="shared" si="7"/>
        <v>120</v>
      </c>
      <c r="J193" s="225">
        <f t="shared" si="8"/>
        <v>1080</v>
      </c>
      <c r="K193" s="11" t="s">
        <v>931</v>
      </c>
      <c r="L193" s="24"/>
      <c r="M193" s="178">
        <v>30</v>
      </c>
      <c r="N193" s="24"/>
      <c r="O193" s="24"/>
      <c r="P193" s="24"/>
      <c r="Q193" s="24"/>
      <c r="R193" s="191"/>
    </row>
    <row r="194" spans="1:18" s="192" customFormat="1" x14ac:dyDescent="0.35">
      <c r="A194" s="132">
        <v>242</v>
      </c>
      <c r="B194" s="229" t="s">
        <v>946</v>
      </c>
      <c r="C194" s="132" t="s">
        <v>939</v>
      </c>
      <c r="D194" s="240">
        <v>30</v>
      </c>
      <c r="E194" s="225">
        <f t="shared" si="4"/>
        <v>30</v>
      </c>
      <c r="F194" s="226">
        <f t="shared" si="5"/>
        <v>900</v>
      </c>
      <c r="G194" s="240">
        <v>300</v>
      </c>
      <c r="H194" s="228">
        <f t="shared" si="6"/>
        <v>1200</v>
      </c>
      <c r="I194" s="224">
        <f t="shared" si="7"/>
        <v>120</v>
      </c>
      <c r="J194" s="225">
        <f t="shared" si="8"/>
        <v>1080</v>
      </c>
      <c r="K194" s="11" t="s">
        <v>931</v>
      </c>
      <c r="L194" s="24"/>
      <c r="M194" s="178">
        <v>30</v>
      </c>
      <c r="N194" s="24"/>
      <c r="O194" s="24"/>
      <c r="P194" s="24"/>
      <c r="Q194" s="24"/>
      <c r="R194" s="191"/>
    </row>
    <row r="195" spans="1:18" s="192" customFormat="1" x14ac:dyDescent="0.35">
      <c r="A195" s="132">
        <v>243</v>
      </c>
      <c r="B195" s="229" t="s">
        <v>945</v>
      </c>
      <c r="C195" s="132" t="s">
        <v>939</v>
      </c>
      <c r="D195" s="240">
        <v>30</v>
      </c>
      <c r="E195" s="225">
        <f t="shared" si="4"/>
        <v>30</v>
      </c>
      <c r="F195" s="226">
        <f t="shared" si="5"/>
        <v>900</v>
      </c>
      <c r="G195" s="240">
        <v>300</v>
      </c>
      <c r="H195" s="228">
        <f t="shared" si="6"/>
        <v>1200</v>
      </c>
      <c r="I195" s="224">
        <f t="shared" si="7"/>
        <v>120</v>
      </c>
      <c r="J195" s="225">
        <f t="shared" si="8"/>
        <v>1080</v>
      </c>
      <c r="K195" s="11" t="s">
        <v>931</v>
      </c>
      <c r="L195" s="24"/>
      <c r="M195" s="178">
        <v>30</v>
      </c>
      <c r="N195" s="24"/>
      <c r="O195" s="24"/>
      <c r="P195" s="24"/>
      <c r="Q195" s="24"/>
      <c r="R195" s="191"/>
    </row>
    <row r="196" spans="1:18" s="192" customFormat="1" x14ac:dyDescent="0.35">
      <c r="A196" s="132">
        <v>244</v>
      </c>
      <c r="B196" s="229" t="s">
        <v>1038</v>
      </c>
      <c r="C196" s="132" t="s">
        <v>939</v>
      </c>
      <c r="D196" s="240">
        <v>30</v>
      </c>
      <c r="E196" s="225">
        <f t="shared" si="4"/>
        <v>30</v>
      </c>
      <c r="F196" s="226">
        <f t="shared" si="5"/>
        <v>900</v>
      </c>
      <c r="G196" s="240">
        <v>300</v>
      </c>
      <c r="H196" s="228">
        <f t="shared" si="6"/>
        <v>1200</v>
      </c>
      <c r="I196" s="224">
        <f t="shared" si="7"/>
        <v>120</v>
      </c>
      <c r="J196" s="225">
        <f t="shared" si="8"/>
        <v>1080</v>
      </c>
      <c r="K196" s="11" t="s">
        <v>931</v>
      </c>
      <c r="L196" s="24"/>
      <c r="M196" s="178">
        <v>30</v>
      </c>
      <c r="N196" s="24"/>
      <c r="O196" s="24"/>
      <c r="P196" s="24"/>
      <c r="Q196" s="24"/>
      <c r="R196" s="191"/>
    </row>
    <row r="197" spans="1:18" s="192" customFormat="1" x14ac:dyDescent="0.35">
      <c r="A197" s="132">
        <v>245</v>
      </c>
      <c r="B197" s="229" t="s">
        <v>944</v>
      </c>
      <c r="C197" s="132" t="s">
        <v>939</v>
      </c>
      <c r="D197" s="240">
        <v>45</v>
      </c>
      <c r="E197" s="225">
        <f t="shared" si="4"/>
        <v>30</v>
      </c>
      <c r="F197" s="226">
        <f t="shared" si="5"/>
        <v>1350</v>
      </c>
      <c r="G197" s="240">
        <v>300</v>
      </c>
      <c r="H197" s="228">
        <f t="shared" si="6"/>
        <v>1650</v>
      </c>
      <c r="I197" s="224">
        <f t="shared" si="7"/>
        <v>165</v>
      </c>
      <c r="J197" s="225">
        <f t="shared" si="8"/>
        <v>1485</v>
      </c>
      <c r="K197" s="11" t="s">
        <v>931</v>
      </c>
      <c r="L197" s="24"/>
      <c r="M197" s="178">
        <v>30</v>
      </c>
      <c r="N197" s="24"/>
      <c r="O197" s="24"/>
      <c r="P197" s="24"/>
      <c r="Q197" s="24"/>
      <c r="R197" s="191"/>
    </row>
    <row r="198" spans="1:18" s="192" customFormat="1" x14ac:dyDescent="0.35">
      <c r="A198" s="132">
        <v>246</v>
      </c>
      <c r="B198" s="229" t="s">
        <v>943</v>
      </c>
      <c r="C198" s="132" t="s">
        <v>939</v>
      </c>
      <c r="D198" s="240">
        <v>30</v>
      </c>
      <c r="E198" s="225">
        <f t="shared" si="4"/>
        <v>30</v>
      </c>
      <c r="F198" s="226">
        <f t="shared" si="5"/>
        <v>900</v>
      </c>
      <c r="G198" s="240">
        <v>300</v>
      </c>
      <c r="H198" s="228">
        <f t="shared" si="6"/>
        <v>1200</v>
      </c>
      <c r="I198" s="224">
        <f t="shared" si="7"/>
        <v>120</v>
      </c>
      <c r="J198" s="225">
        <f t="shared" si="8"/>
        <v>1080</v>
      </c>
      <c r="K198" s="11" t="s">
        <v>931</v>
      </c>
      <c r="L198" s="24"/>
      <c r="M198" s="178">
        <v>30</v>
      </c>
      <c r="N198" s="24"/>
      <c r="O198" s="24"/>
      <c r="P198" s="24"/>
      <c r="Q198" s="24"/>
      <c r="R198" s="191"/>
    </row>
    <row r="199" spans="1:18" s="192" customFormat="1" x14ac:dyDescent="0.35">
      <c r="A199" s="132">
        <v>247</v>
      </c>
      <c r="B199" s="229" t="s">
        <v>942</v>
      </c>
      <c r="C199" s="132" t="s">
        <v>939</v>
      </c>
      <c r="D199" s="240">
        <v>30</v>
      </c>
      <c r="E199" s="225">
        <f t="shared" si="4"/>
        <v>30</v>
      </c>
      <c r="F199" s="226">
        <f t="shared" si="5"/>
        <v>900</v>
      </c>
      <c r="G199" s="240">
        <v>300</v>
      </c>
      <c r="H199" s="228">
        <f t="shared" si="6"/>
        <v>1200</v>
      </c>
      <c r="I199" s="224">
        <f t="shared" si="7"/>
        <v>120</v>
      </c>
      <c r="J199" s="225">
        <f t="shared" si="8"/>
        <v>1080</v>
      </c>
      <c r="K199" s="11" t="s">
        <v>931</v>
      </c>
      <c r="L199" s="24"/>
      <c r="M199" s="178">
        <v>30</v>
      </c>
      <c r="N199" s="24"/>
      <c r="O199" s="24"/>
      <c r="P199" s="24"/>
      <c r="Q199" s="24"/>
      <c r="R199" s="191"/>
    </row>
    <row r="200" spans="1:18" s="192" customFormat="1" x14ac:dyDescent="0.35">
      <c r="A200" s="132">
        <v>248</v>
      </c>
      <c r="B200" s="229" t="s">
        <v>1039</v>
      </c>
      <c r="C200" s="132" t="s">
        <v>939</v>
      </c>
      <c r="D200" s="240">
        <v>30</v>
      </c>
      <c r="E200" s="225">
        <f t="shared" si="4"/>
        <v>30</v>
      </c>
      <c r="F200" s="226">
        <f t="shared" si="5"/>
        <v>900</v>
      </c>
      <c r="G200" s="240">
        <v>300</v>
      </c>
      <c r="H200" s="228">
        <f t="shared" si="6"/>
        <v>1200</v>
      </c>
      <c r="I200" s="224">
        <f t="shared" si="7"/>
        <v>120</v>
      </c>
      <c r="J200" s="225">
        <f t="shared" si="8"/>
        <v>1080</v>
      </c>
      <c r="K200" s="11" t="s">
        <v>931</v>
      </c>
      <c r="L200" s="24"/>
      <c r="M200" s="178">
        <v>30</v>
      </c>
      <c r="N200" s="24"/>
      <c r="O200" s="24"/>
      <c r="P200" s="24"/>
      <c r="Q200" s="24"/>
      <c r="R200" s="191"/>
    </row>
    <row r="201" spans="1:18" s="192" customFormat="1" x14ac:dyDescent="0.35">
      <c r="A201" s="132">
        <v>249</v>
      </c>
      <c r="B201" s="229" t="s">
        <v>941</v>
      </c>
      <c r="C201" s="132" t="s">
        <v>939</v>
      </c>
      <c r="D201" s="240">
        <v>30</v>
      </c>
      <c r="E201" s="225">
        <f t="shared" si="4"/>
        <v>30</v>
      </c>
      <c r="F201" s="226">
        <f t="shared" si="5"/>
        <v>900</v>
      </c>
      <c r="G201" s="240">
        <v>300</v>
      </c>
      <c r="H201" s="228">
        <f t="shared" si="6"/>
        <v>1200</v>
      </c>
      <c r="I201" s="224">
        <f t="shared" si="7"/>
        <v>120</v>
      </c>
      <c r="J201" s="225">
        <f t="shared" si="8"/>
        <v>1080</v>
      </c>
      <c r="K201" s="11" t="s">
        <v>931</v>
      </c>
      <c r="L201" s="24"/>
      <c r="M201" s="178">
        <v>30</v>
      </c>
      <c r="N201" s="24"/>
      <c r="O201" s="24"/>
      <c r="P201" s="24"/>
      <c r="Q201" s="24"/>
      <c r="R201" s="191"/>
    </row>
    <row r="202" spans="1:18" s="192" customFormat="1" x14ac:dyDescent="0.35">
      <c r="A202" s="132">
        <v>250</v>
      </c>
      <c r="B202" s="229" t="s">
        <v>940</v>
      </c>
      <c r="C202" s="132" t="s">
        <v>939</v>
      </c>
      <c r="D202" s="240">
        <v>30</v>
      </c>
      <c r="E202" s="225">
        <f t="shared" si="4"/>
        <v>30</v>
      </c>
      <c r="F202" s="226">
        <f t="shared" si="5"/>
        <v>900</v>
      </c>
      <c r="G202" s="240">
        <v>300</v>
      </c>
      <c r="H202" s="228">
        <f t="shared" si="6"/>
        <v>1200</v>
      </c>
      <c r="I202" s="224">
        <f t="shared" si="7"/>
        <v>120</v>
      </c>
      <c r="J202" s="225">
        <f t="shared" si="8"/>
        <v>1080</v>
      </c>
      <c r="K202" s="11" t="s">
        <v>931</v>
      </c>
      <c r="L202" s="24"/>
      <c r="M202" s="178">
        <v>30</v>
      </c>
      <c r="N202" s="24"/>
      <c r="O202" s="24"/>
      <c r="P202" s="24"/>
      <c r="Q202" s="24"/>
      <c r="R202" s="191"/>
    </row>
    <row r="203" spans="1:18" s="192" customFormat="1" x14ac:dyDescent="0.35">
      <c r="A203" s="132">
        <v>251</v>
      </c>
      <c r="B203" s="229" t="s">
        <v>938</v>
      </c>
      <c r="C203" s="132" t="s">
        <v>861</v>
      </c>
      <c r="D203" s="240">
        <v>50</v>
      </c>
      <c r="E203" s="225">
        <f t="shared" si="4"/>
        <v>30</v>
      </c>
      <c r="F203" s="226">
        <f t="shared" si="5"/>
        <v>1500</v>
      </c>
      <c r="G203" s="240">
        <v>450</v>
      </c>
      <c r="H203" s="228">
        <f t="shared" si="6"/>
        <v>1950</v>
      </c>
      <c r="I203" s="224">
        <f t="shared" si="7"/>
        <v>195</v>
      </c>
      <c r="J203" s="225">
        <f t="shared" si="8"/>
        <v>1755</v>
      </c>
      <c r="K203" s="11" t="s">
        <v>931</v>
      </c>
      <c r="L203" s="24"/>
      <c r="M203" s="178">
        <v>30</v>
      </c>
      <c r="N203" s="24"/>
      <c r="O203" s="24"/>
      <c r="P203" s="24"/>
      <c r="Q203" s="24"/>
      <c r="R203" s="191"/>
    </row>
    <row r="204" spans="1:18" s="192" customFormat="1" x14ac:dyDescent="0.35">
      <c r="A204" s="132">
        <v>252</v>
      </c>
      <c r="B204" s="229" t="s">
        <v>1040</v>
      </c>
      <c r="C204" s="132" t="s">
        <v>860</v>
      </c>
      <c r="D204" s="240">
        <v>45</v>
      </c>
      <c r="E204" s="225">
        <v>60</v>
      </c>
      <c r="F204" s="226">
        <f t="shared" si="5"/>
        <v>2700</v>
      </c>
      <c r="G204" s="240">
        <v>500</v>
      </c>
      <c r="H204" s="228">
        <f t="shared" si="6"/>
        <v>3200</v>
      </c>
      <c r="I204" s="224">
        <f t="shared" si="7"/>
        <v>320</v>
      </c>
      <c r="J204" s="225">
        <f t="shared" si="8"/>
        <v>2880</v>
      </c>
      <c r="K204" s="11" t="s">
        <v>931</v>
      </c>
      <c r="L204" s="24"/>
      <c r="M204" s="178"/>
      <c r="N204" s="24"/>
      <c r="O204" s="24"/>
      <c r="P204" s="24"/>
      <c r="Q204" s="24"/>
      <c r="R204" s="191"/>
    </row>
    <row r="205" spans="1:18" s="177" customFormat="1" x14ac:dyDescent="0.35">
      <c r="A205" s="132">
        <v>425</v>
      </c>
      <c r="B205" s="11" t="s">
        <v>1357</v>
      </c>
      <c r="C205" s="132" t="s">
        <v>836</v>
      </c>
      <c r="D205" s="244">
        <v>2</v>
      </c>
      <c r="E205" s="225">
        <v>60</v>
      </c>
      <c r="F205" s="226">
        <f t="shared" si="5"/>
        <v>120</v>
      </c>
      <c r="G205" s="245">
        <v>20</v>
      </c>
      <c r="H205" s="228">
        <f t="shared" si="6"/>
        <v>140</v>
      </c>
      <c r="I205" s="224">
        <f t="shared" si="7"/>
        <v>14</v>
      </c>
      <c r="J205" s="225">
        <f t="shared" si="8"/>
        <v>126</v>
      </c>
      <c r="K205" s="132" t="s">
        <v>931</v>
      </c>
      <c r="L205" s="24"/>
      <c r="M205" s="178">
        <v>60</v>
      </c>
    </row>
    <row r="206" spans="1:18" s="177" customFormat="1" x14ac:dyDescent="0.35">
      <c r="A206" s="132">
        <v>426</v>
      </c>
      <c r="B206" s="11" t="s">
        <v>1356</v>
      </c>
      <c r="C206" s="132" t="s">
        <v>836</v>
      </c>
      <c r="D206" s="244">
        <v>2</v>
      </c>
      <c r="E206" s="225">
        <v>60</v>
      </c>
      <c r="F206" s="226">
        <f t="shared" si="5"/>
        <v>120</v>
      </c>
      <c r="G206" s="245">
        <v>20</v>
      </c>
      <c r="H206" s="228">
        <f t="shared" si="6"/>
        <v>140</v>
      </c>
      <c r="I206" s="224">
        <f t="shared" si="7"/>
        <v>14</v>
      </c>
      <c r="J206" s="225">
        <f t="shared" si="8"/>
        <v>126</v>
      </c>
      <c r="K206" s="132" t="s">
        <v>931</v>
      </c>
      <c r="L206" s="24"/>
      <c r="M206" s="178">
        <v>60</v>
      </c>
    </row>
    <row r="207" spans="1:18" s="192" customFormat="1" x14ac:dyDescent="0.35">
      <c r="A207" s="132">
        <v>253</v>
      </c>
      <c r="B207" s="229" t="s">
        <v>862</v>
      </c>
      <c r="C207" s="132" t="s">
        <v>861</v>
      </c>
      <c r="D207" s="240">
        <v>50</v>
      </c>
      <c r="E207" s="225">
        <v>30</v>
      </c>
      <c r="F207" s="226">
        <f t="shared" si="5"/>
        <v>1500</v>
      </c>
      <c r="G207" s="240">
        <v>450</v>
      </c>
      <c r="H207" s="228">
        <f t="shared" si="6"/>
        <v>1950</v>
      </c>
      <c r="I207" s="224">
        <f t="shared" si="7"/>
        <v>195</v>
      </c>
      <c r="J207" s="225">
        <f t="shared" si="8"/>
        <v>1755</v>
      </c>
      <c r="K207" s="11" t="s">
        <v>931</v>
      </c>
      <c r="L207" s="24"/>
      <c r="M207" s="178"/>
      <c r="N207" s="24"/>
      <c r="O207" s="24"/>
      <c r="P207" s="24"/>
      <c r="Q207" s="24"/>
      <c r="R207" s="191"/>
    </row>
    <row r="208" spans="1:18" s="177" customFormat="1" x14ac:dyDescent="0.35">
      <c r="A208" s="132">
        <v>463</v>
      </c>
      <c r="B208" s="11" t="s">
        <v>1083</v>
      </c>
      <c r="C208" s="132" t="s">
        <v>837</v>
      </c>
      <c r="D208" s="240">
        <v>7.5</v>
      </c>
      <c r="E208" s="225">
        <v>30</v>
      </c>
      <c r="F208" s="226">
        <f t="shared" si="5"/>
        <v>225</v>
      </c>
      <c r="G208" s="245">
        <v>75</v>
      </c>
      <c r="H208" s="228">
        <f t="shared" si="6"/>
        <v>300</v>
      </c>
      <c r="I208" s="224">
        <f t="shared" si="7"/>
        <v>30</v>
      </c>
      <c r="J208" s="225">
        <f t="shared" si="8"/>
        <v>270</v>
      </c>
      <c r="K208" s="132" t="s">
        <v>931</v>
      </c>
      <c r="L208" s="24"/>
      <c r="M208" s="178"/>
      <c r="O208" s="180"/>
      <c r="R208" s="24"/>
    </row>
    <row r="209" spans="1:18" s="177" customFormat="1" x14ac:dyDescent="0.35">
      <c r="A209" s="132">
        <v>464</v>
      </c>
      <c r="B209" s="11" t="s">
        <v>1084</v>
      </c>
      <c r="C209" s="132" t="s">
        <v>837</v>
      </c>
      <c r="D209" s="240">
        <v>7.5</v>
      </c>
      <c r="E209" s="225">
        <v>30</v>
      </c>
      <c r="F209" s="226">
        <f t="shared" si="5"/>
        <v>225</v>
      </c>
      <c r="G209" s="245">
        <v>75</v>
      </c>
      <c r="H209" s="228">
        <f t="shared" si="6"/>
        <v>300</v>
      </c>
      <c r="I209" s="224">
        <f t="shared" si="7"/>
        <v>30</v>
      </c>
      <c r="J209" s="225">
        <f t="shared" si="8"/>
        <v>270</v>
      </c>
      <c r="K209" s="132" t="s">
        <v>931</v>
      </c>
      <c r="L209" s="24"/>
      <c r="M209" s="178"/>
      <c r="O209" s="180"/>
      <c r="R209" s="24"/>
    </row>
    <row r="210" spans="1:18" s="172" customFormat="1" x14ac:dyDescent="0.35">
      <c r="A210" s="132">
        <v>467</v>
      </c>
      <c r="B210" s="229" t="s">
        <v>1145</v>
      </c>
      <c r="C210" s="132" t="s">
        <v>836</v>
      </c>
      <c r="D210" s="227">
        <v>2</v>
      </c>
      <c r="E210" s="225">
        <v>60</v>
      </c>
      <c r="F210" s="226">
        <v>120</v>
      </c>
      <c r="G210" s="227">
        <v>20</v>
      </c>
      <c r="H210" s="225">
        <v>140</v>
      </c>
      <c r="I210" s="224">
        <f t="shared" ref="I210:I241" si="9">H210*0.1</f>
        <v>14</v>
      </c>
      <c r="J210" s="225">
        <f t="shared" ref="J210:J241" si="10">H210*0.9</f>
        <v>126</v>
      </c>
      <c r="K210" s="132" t="s">
        <v>931</v>
      </c>
      <c r="M210" s="174"/>
      <c r="N210" s="173"/>
      <c r="O210" s="173"/>
      <c r="P210" s="173"/>
      <c r="Q210" s="173"/>
      <c r="R210" s="173"/>
    </row>
    <row r="211" spans="1:18" s="172" customFormat="1" x14ac:dyDescent="0.35">
      <c r="A211" s="132">
        <v>468</v>
      </c>
      <c r="B211" s="229" t="s">
        <v>333</v>
      </c>
      <c r="C211" s="132" t="s">
        <v>836</v>
      </c>
      <c r="D211" s="227">
        <v>6</v>
      </c>
      <c r="E211" s="225">
        <v>60</v>
      </c>
      <c r="F211" s="226">
        <v>360</v>
      </c>
      <c r="G211" s="227">
        <v>180</v>
      </c>
      <c r="H211" s="225">
        <v>540</v>
      </c>
      <c r="I211" s="224">
        <f t="shared" si="9"/>
        <v>54</v>
      </c>
      <c r="J211" s="225">
        <f t="shared" si="10"/>
        <v>486</v>
      </c>
      <c r="K211" s="132" t="s">
        <v>931</v>
      </c>
      <c r="M211" s="174"/>
      <c r="N211" s="173"/>
      <c r="O211" s="173"/>
      <c r="P211" s="173"/>
      <c r="Q211" s="173"/>
      <c r="R211" s="173"/>
    </row>
    <row r="212" spans="1:18" s="172" customFormat="1" x14ac:dyDescent="0.35">
      <c r="A212" s="132">
        <v>469</v>
      </c>
      <c r="B212" s="229" t="s">
        <v>1146</v>
      </c>
      <c r="C212" s="132" t="s">
        <v>836</v>
      </c>
      <c r="D212" s="227">
        <v>4</v>
      </c>
      <c r="E212" s="225">
        <v>60</v>
      </c>
      <c r="F212" s="226">
        <v>240</v>
      </c>
      <c r="G212" s="227">
        <v>40</v>
      </c>
      <c r="H212" s="225">
        <v>280</v>
      </c>
      <c r="I212" s="224">
        <f t="shared" si="9"/>
        <v>28</v>
      </c>
      <c r="J212" s="225">
        <f t="shared" si="10"/>
        <v>252</v>
      </c>
      <c r="K212" s="132" t="s">
        <v>931</v>
      </c>
      <c r="M212" s="174"/>
      <c r="N212" s="173"/>
      <c r="O212" s="173"/>
      <c r="P212" s="173"/>
      <c r="Q212" s="173"/>
      <c r="R212" s="173"/>
    </row>
    <row r="213" spans="1:18" s="177" customFormat="1" x14ac:dyDescent="0.35">
      <c r="A213" s="132">
        <v>465</v>
      </c>
      <c r="B213" s="11" t="s">
        <v>1085</v>
      </c>
      <c r="C213" s="132" t="s">
        <v>837</v>
      </c>
      <c r="D213" s="240">
        <v>7.5</v>
      </c>
      <c r="E213" s="225">
        <v>30</v>
      </c>
      <c r="F213" s="226">
        <f>D213*E213</f>
        <v>225</v>
      </c>
      <c r="G213" s="245">
        <v>75</v>
      </c>
      <c r="H213" s="228">
        <f t="shared" ref="H213:H244" si="11">F213+G213</f>
        <v>300</v>
      </c>
      <c r="I213" s="224">
        <f t="shared" si="9"/>
        <v>30</v>
      </c>
      <c r="J213" s="225">
        <f t="shared" si="10"/>
        <v>270</v>
      </c>
      <c r="K213" s="132" t="s">
        <v>931</v>
      </c>
      <c r="L213" s="24"/>
      <c r="M213" s="178"/>
      <c r="O213" s="180"/>
      <c r="R213" s="24"/>
    </row>
    <row r="214" spans="1:18" s="177" customFormat="1" x14ac:dyDescent="0.35">
      <c r="A214" s="132">
        <v>260</v>
      </c>
      <c r="B214" s="11" t="s">
        <v>1355</v>
      </c>
      <c r="C214" s="11" t="s">
        <v>922</v>
      </c>
      <c r="D214" s="224">
        <v>40</v>
      </c>
      <c r="E214" s="225">
        <f>M214</f>
        <v>60</v>
      </c>
      <c r="F214" s="226">
        <f>D214*E214</f>
        <v>2400</v>
      </c>
      <c r="G214" s="227">
        <v>400</v>
      </c>
      <c r="H214" s="228">
        <f t="shared" si="11"/>
        <v>2800</v>
      </c>
      <c r="I214" s="224">
        <f t="shared" si="9"/>
        <v>280</v>
      </c>
      <c r="J214" s="225">
        <f t="shared" si="10"/>
        <v>2520</v>
      </c>
      <c r="K214" s="11" t="s">
        <v>931</v>
      </c>
      <c r="L214" s="24"/>
      <c r="M214" s="178">
        <v>60</v>
      </c>
      <c r="N214" s="179">
        <v>50</v>
      </c>
      <c r="R214" s="24"/>
    </row>
    <row r="215" spans="1:18" s="172" customFormat="1" x14ac:dyDescent="0.35">
      <c r="A215" s="132">
        <v>484</v>
      </c>
      <c r="B215" s="229" t="s">
        <v>1352</v>
      </c>
      <c r="C215" s="132" t="s">
        <v>836</v>
      </c>
      <c r="D215" s="227">
        <v>20</v>
      </c>
      <c r="E215" s="225">
        <v>60</v>
      </c>
      <c r="F215" s="226">
        <f>D215*E215</f>
        <v>1200</v>
      </c>
      <c r="G215" s="227">
        <v>200</v>
      </c>
      <c r="H215" s="225">
        <f t="shared" si="11"/>
        <v>1400</v>
      </c>
      <c r="I215" s="224">
        <f t="shared" si="9"/>
        <v>140</v>
      </c>
      <c r="J215" s="225">
        <f t="shared" si="10"/>
        <v>1260</v>
      </c>
      <c r="K215" s="132" t="s">
        <v>931</v>
      </c>
      <c r="M215" s="174"/>
      <c r="N215" s="173"/>
      <c r="O215" s="173"/>
      <c r="P215" s="173"/>
      <c r="Q215" s="173"/>
      <c r="R215" s="173"/>
    </row>
    <row r="216" spans="1:18" s="177" customFormat="1" x14ac:dyDescent="0.35">
      <c r="A216" s="132">
        <v>173</v>
      </c>
      <c r="B216" s="11" t="s">
        <v>995</v>
      </c>
      <c r="C216" s="11" t="s">
        <v>961</v>
      </c>
      <c r="D216" s="224">
        <v>63</v>
      </c>
      <c r="E216" s="225">
        <f>M216</f>
        <v>30</v>
      </c>
      <c r="F216" s="226">
        <f>D216*E216</f>
        <v>1890</v>
      </c>
      <c r="G216" s="227">
        <v>465</v>
      </c>
      <c r="H216" s="228">
        <f t="shared" si="11"/>
        <v>2355</v>
      </c>
      <c r="I216" s="224">
        <f t="shared" si="9"/>
        <v>235.5</v>
      </c>
      <c r="J216" s="225">
        <f t="shared" si="10"/>
        <v>2119.5</v>
      </c>
      <c r="K216" s="11" t="s">
        <v>835</v>
      </c>
      <c r="L216" s="24"/>
      <c r="M216" s="178">
        <v>30</v>
      </c>
      <c r="N216" s="179">
        <v>60</v>
      </c>
      <c r="R216" s="24"/>
    </row>
    <row r="217" spans="1:18" s="177" customFormat="1" x14ac:dyDescent="0.35">
      <c r="A217" s="132"/>
      <c r="B217" s="11" t="s">
        <v>1360</v>
      </c>
      <c r="C217" s="11" t="s">
        <v>1361</v>
      </c>
      <c r="D217" s="224">
        <v>65</v>
      </c>
      <c r="E217" s="225">
        <v>30</v>
      </c>
      <c r="F217" s="226">
        <f t="shared" ref="F217:F218" si="12">D217*E217</f>
        <v>1950</v>
      </c>
      <c r="G217" s="227">
        <v>400</v>
      </c>
      <c r="H217" s="228">
        <f t="shared" si="11"/>
        <v>2350</v>
      </c>
      <c r="I217" s="224">
        <f t="shared" si="9"/>
        <v>235</v>
      </c>
      <c r="J217" s="225">
        <f t="shared" si="10"/>
        <v>2115</v>
      </c>
      <c r="K217" s="11" t="s">
        <v>835</v>
      </c>
      <c r="L217" s="24"/>
      <c r="M217" s="178"/>
      <c r="N217" s="179"/>
      <c r="R217" s="24"/>
    </row>
    <row r="218" spans="1:18" s="192" customFormat="1" x14ac:dyDescent="0.35">
      <c r="A218" s="132">
        <v>254</v>
      </c>
      <c r="B218" s="229" t="s">
        <v>937</v>
      </c>
      <c r="C218" s="132" t="s">
        <v>861</v>
      </c>
      <c r="D218" s="240">
        <v>66</v>
      </c>
      <c r="E218" s="225">
        <f t="shared" ref="E218" si="13">M218</f>
        <v>30</v>
      </c>
      <c r="F218" s="226">
        <f t="shared" si="12"/>
        <v>1980</v>
      </c>
      <c r="G218" s="240">
        <v>510</v>
      </c>
      <c r="H218" s="228">
        <f t="shared" si="11"/>
        <v>2490</v>
      </c>
      <c r="I218" s="224">
        <f t="shared" si="9"/>
        <v>249</v>
      </c>
      <c r="J218" s="225">
        <f t="shared" si="10"/>
        <v>2241</v>
      </c>
      <c r="K218" s="11" t="s">
        <v>835</v>
      </c>
      <c r="L218" s="24"/>
      <c r="M218" s="178">
        <v>30</v>
      </c>
      <c r="N218" s="24"/>
      <c r="O218" s="24"/>
      <c r="P218" s="24"/>
      <c r="Q218" s="24"/>
      <c r="R218" s="191"/>
    </row>
    <row r="219" spans="1:18" s="186" customFormat="1" x14ac:dyDescent="0.35">
      <c r="A219" s="132">
        <v>255</v>
      </c>
      <c r="B219" s="11" t="s">
        <v>930</v>
      </c>
      <c r="C219" s="11" t="s">
        <v>929</v>
      </c>
      <c r="D219" s="224">
        <v>54</v>
      </c>
      <c r="E219" s="225">
        <f t="shared" ref="E219:E227" si="14">M219</f>
        <v>60</v>
      </c>
      <c r="F219" s="226">
        <f t="shared" ref="F219:F250" si="15">D219*E219</f>
        <v>3240</v>
      </c>
      <c r="G219" s="227">
        <v>500</v>
      </c>
      <c r="H219" s="228">
        <f t="shared" si="11"/>
        <v>3740</v>
      </c>
      <c r="I219" s="224">
        <f t="shared" si="9"/>
        <v>374</v>
      </c>
      <c r="J219" s="225">
        <f t="shared" si="10"/>
        <v>3366</v>
      </c>
      <c r="K219" s="11" t="s">
        <v>835</v>
      </c>
      <c r="L219" s="187"/>
      <c r="M219" s="188">
        <v>60</v>
      </c>
      <c r="N219" s="189">
        <v>55</v>
      </c>
      <c r="O219" s="187"/>
      <c r="P219" s="187"/>
      <c r="R219" s="187"/>
    </row>
    <row r="220" spans="1:18" s="172" customFormat="1" x14ac:dyDescent="0.35">
      <c r="A220" s="132">
        <v>256</v>
      </c>
      <c r="B220" s="132" t="s">
        <v>928</v>
      </c>
      <c r="C220" s="132" t="s">
        <v>927</v>
      </c>
      <c r="D220" s="246">
        <v>50</v>
      </c>
      <c r="E220" s="247">
        <f t="shared" si="14"/>
        <v>60</v>
      </c>
      <c r="F220" s="248">
        <f t="shared" si="15"/>
        <v>3000</v>
      </c>
      <c r="G220" s="227">
        <v>500</v>
      </c>
      <c r="H220" s="249">
        <f t="shared" si="11"/>
        <v>3500</v>
      </c>
      <c r="I220" s="246">
        <f t="shared" si="9"/>
        <v>350</v>
      </c>
      <c r="J220" s="247">
        <f t="shared" si="10"/>
        <v>3150</v>
      </c>
      <c r="K220" s="132" t="s">
        <v>835</v>
      </c>
      <c r="M220" s="174">
        <v>60</v>
      </c>
      <c r="N220" s="175"/>
    </row>
    <row r="221" spans="1:18" s="177" customFormat="1" x14ac:dyDescent="0.35">
      <c r="A221" s="132">
        <v>257</v>
      </c>
      <c r="B221" s="11" t="s">
        <v>926</v>
      </c>
      <c r="C221" s="11" t="s">
        <v>924</v>
      </c>
      <c r="D221" s="224">
        <v>47</v>
      </c>
      <c r="E221" s="225">
        <f t="shared" si="14"/>
        <v>60</v>
      </c>
      <c r="F221" s="226">
        <f t="shared" si="15"/>
        <v>2820</v>
      </c>
      <c r="G221" s="227">
        <v>400</v>
      </c>
      <c r="H221" s="228">
        <f t="shared" si="11"/>
        <v>3220</v>
      </c>
      <c r="I221" s="224">
        <f t="shared" si="9"/>
        <v>322</v>
      </c>
      <c r="J221" s="225">
        <f t="shared" si="10"/>
        <v>2898</v>
      </c>
      <c r="K221" s="11" t="s">
        <v>835</v>
      </c>
      <c r="L221" s="24"/>
      <c r="M221" s="178">
        <v>60</v>
      </c>
      <c r="N221" s="179">
        <v>65</v>
      </c>
      <c r="R221" s="24"/>
    </row>
    <row r="222" spans="1:18" s="177" customFormat="1" x14ac:dyDescent="0.35">
      <c r="A222" s="132">
        <v>258</v>
      </c>
      <c r="B222" s="11" t="s">
        <v>925</v>
      </c>
      <c r="C222" s="11" t="s">
        <v>924</v>
      </c>
      <c r="D222" s="224">
        <v>40</v>
      </c>
      <c r="E222" s="225">
        <f t="shared" si="14"/>
        <v>60</v>
      </c>
      <c r="F222" s="226">
        <f t="shared" si="15"/>
        <v>2400</v>
      </c>
      <c r="G222" s="227">
        <v>400</v>
      </c>
      <c r="H222" s="228">
        <f t="shared" si="11"/>
        <v>2800</v>
      </c>
      <c r="I222" s="224">
        <f t="shared" si="9"/>
        <v>280</v>
      </c>
      <c r="J222" s="225">
        <f t="shared" si="10"/>
        <v>2520</v>
      </c>
      <c r="K222" s="11" t="s">
        <v>835</v>
      </c>
      <c r="L222" s="24"/>
      <c r="M222" s="178">
        <v>60</v>
      </c>
      <c r="N222" s="179">
        <v>50</v>
      </c>
      <c r="R222" s="24"/>
    </row>
    <row r="223" spans="1:18" s="177" customFormat="1" x14ac:dyDescent="0.35">
      <c r="A223" s="132">
        <v>259</v>
      </c>
      <c r="B223" s="11" t="s">
        <v>923</v>
      </c>
      <c r="C223" s="11" t="s">
        <v>922</v>
      </c>
      <c r="D223" s="224">
        <v>40</v>
      </c>
      <c r="E223" s="225">
        <f t="shared" si="14"/>
        <v>60</v>
      </c>
      <c r="F223" s="226">
        <f t="shared" si="15"/>
        <v>2400</v>
      </c>
      <c r="G223" s="227">
        <v>400</v>
      </c>
      <c r="H223" s="228">
        <f t="shared" si="11"/>
        <v>2800</v>
      </c>
      <c r="I223" s="224">
        <f t="shared" si="9"/>
        <v>280</v>
      </c>
      <c r="J223" s="225">
        <f t="shared" si="10"/>
        <v>2520</v>
      </c>
      <c r="K223" s="11" t="s">
        <v>835</v>
      </c>
      <c r="L223" s="24"/>
      <c r="M223" s="178">
        <v>60</v>
      </c>
      <c r="N223" s="179">
        <v>50</v>
      </c>
      <c r="R223" s="24"/>
    </row>
    <row r="224" spans="1:18" s="177" customFormat="1" x14ac:dyDescent="0.35">
      <c r="A224" s="132">
        <v>261</v>
      </c>
      <c r="B224" s="250" t="s">
        <v>921</v>
      </c>
      <c r="C224" s="11" t="s">
        <v>920</v>
      </c>
      <c r="D224" s="224">
        <v>40</v>
      </c>
      <c r="E224" s="225">
        <f t="shared" si="14"/>
        <v>60</v>
      </c>
      <c r="F224" s="226">
        <f t="shared" si="15"/>
        <v>2400</v>
      </c>
      <c r="G224" s="227">
        <v>400</v>
      </c>
      <c r="H224" s="228">
        <f t="shared" si="11"/>
        <v>2800</v>
      </c>
      <c r="I224" s="224">
        <f t="shared" si="9"/>
        <v>280</v>
      </c>
      <c r="J224" s="225">
        <f t="shared" si="10"/>
        <v>2520</v>
      </c>
      <c r="K224" s="11" t="s">
        <v>835</v>
      </c>
      <c r="L224" s="24"/>
      <c r="M224" s="178">
        <v>60</v>
      </c>
      <c r="N224" s="179">
        <v>50</v>
      </c>
      <c r="R224" s="24"/>
    </row>
    <row r="225" spans="1:18" s="177" customFormat="1" x14ac:dyDescent="0.35">
      <c r="A225" s="132">
        <v>262</v>
      </c>
      <c r="B225" s="11" t="s">
        <v>919</v>
      </c>
      <c r="C225" s="11" t="s">
        <v>912</v>
      </c>
      <c r="D225" s="224">
        <v>40</v>
      </c>
      <c r="E225" s="225">
        <f t="shared" si="14"/>
        <v>30</v>
      </c>
      <c r="F225" s="226">
        <f t="shared" si="15"/>
        <v>1200</v>
      </c>
      <c r="G225" s="227">
        <v>300</v>
      </c>
      <c r="H225" s="228">
        <f t="shared" si="11"/>
        <v>1500</v>
      </c>
      <c r="I225" s="224">
        <f t="shared" si="9"/>
        <v>150</v>
      </c>
      <c r="J225" s="225">
        <f t="shared" si="10"/>
        <v>1350</v>
      </c>
      <c r="K225" s="11" t="s">
        <v>835</v>
      </c>
      <c r="L225" s="24"/>
      <c r="M225" s="178">
        <v>30</v>
      </c>
      <c r="N225" s="179">
        <v>40</v>
      </c>
      <c r="R225" s="24"/>
    </row>
    <row r="226" spans="1:18" s="177" customFormat="1" x14ac:dyDescent="0.35">
      <c r="A226" s="132">
        <v>263</v>
      </c>
      <c r="B226" s="11" t="s">
        <v>918</v>
      </c>
      <c r="C226" s="11" t="s">
        <v>912</v>
      </c>
      <c r="D226" s="224">
        <v>40</v>
      </c>
      <c r="E226" s="225">
        <f t="shared" si="14"/>
        <v>30</v>
      </c>
      <c r="F226" s="226">
        <f t="shared" si="15"/>
        <v>1200</v>
      </c>
      <c r="G226" s="227">
        <v>300</v>
      </c>
      <c r="H226" s="228">
        <f t="shared" si="11"/>
        <v>1500</v>
      </c>
      <c r="I226" s="224">
        <f t="shared" si="9"/>
        <v>150</v>
      </c>
      <c r="J226" s="225">
        <f t="shared" si="10"/>
        <v>1350</v>
      </c>
      <c r="K226" s="11" t="s">
        <v>835</v>
      </c>
      <c r="L226" s="24"/>
      <c r="M226" s="178">
        <v>30</v>
      </c>
      <c r="N226" s="179">
        <v>40</v>
      </c>
      <c r="R226" s="24"/>
    </row>
    <row r="227" spans="1:18" s="177" customFormat="1" x14ac:dyDescent="0.35">
      <c r="A227" s="132">
        <v>264</v>
      </c>
      <c r="B227" s="11" t="s">
        <v>917</v>
      </c>
      <c r="C227" s="11" t="s">
        <v>912</v>
      </c>
      <c r="D227" s="224">
        <v>35</v>
      </c>
      <c r="E227" s="225">
        <f t="shared" si="14"/>
        <v>30</v>
      </c>
      <c r="F227" s="226">
        <f t="shared" si="15"/>
        <v>1050</v>
      </c>
      <c r="G227" s="227">
        <v>300</v>
      </c>
      <c r="H227" s="228">
        <f t="shared" si="11"/>
        <v>1350</v>
      </c>
      <c r="I227" s="224">
        <f t="shared" si="9"/>
        <v>135</v>
      </c>
      <c r="J227" s="225">
        <f t="shared" si="10"/>
        <v>1215</v>
      </c>
      <c r="K227" s="11" t="s">
        <v>835</v>
      </c>
      <c r="L227" s="24"/>
      <c r="M227" s="178">
        <v>30</v>
      </c>
      <c r="N227" s="179">
        <v>30</v>
      </c>
      <c r="R227" s="24"/>
    </row>
    <row r="228" spans="1:18" s="177" customFormat="1" x14ac:dyDescent="0.35">
      <c r="A228" s="132">
        <v>265</v>
      </c>
      <c r="B228" s="11" t="s">
        <v>916</v>
      </c>
      <c r="C228" s="11" t="s">
        <v>912</v>
      </c>
      <c r="D228" s="224">
        <v>30</v>
      </c>
      <c r="E228" s="225">
        <v>30</v>
      </c>
      <c r="F228" s="226">
        <f t="shared" si="15"/>
        <v>900</v>
      </c>
      <c r="G228" s="227">
        <v>300</v>
      </c>
      <c r="H228" s="228">
        <f t="shared" si="11"/>
        <v>1200</v>
      </c>
      <c r="I228" s="224">
        <f t="shared" si="9"/>
        <v>120</v>
      </c>
      <c r="J228" s="225">
        <f t="shared" si="10"/>
        <v>1080</v>
      </c>
      <c r="K228" s="11" t="s">
        <v>835</v>
      </c>
      <c r="L228" s="24"/>
      <c r="M228" s="178"/>
      <c r="N228" s="179"/>
      <c r="R228" s="24"/>
    </row>
    <row r="229" spans="1:18" s="177" customFormat="1" x14ac:dyDescent="0.35">
      <c r="A229" s="132">
        <v>266</v>
      </c>
      <c r="B229" s="11" t="s">
        <v>915</v>
      </c>
      <c r="C229" s="11" t="s">
        <v>912</v>
      </c>
      <c r="D229" s="224">
        <v>40</v>
      </c>
      <c r="E229" s="225">
        <f t="shared" ref="E229:E237" si="16">M229</f>
        <v>30</v>
      </c>
      <c r="F229" s="226">
        <f t="shared" si="15"/>
        <v>1200</v>
      </c>
      <c r="G229" s="227">
        <v>300</v>
      </c>
      <c r="H229" s="228">
        <f t="shared" si="11"/>
        <v>1500</v>
      </c>
      <c r="I229" s="224">
        <f t="shared" si="9"/>
        <v>150</v>
      </c>
      <c r="J229" s="225">
        <f t="shared" si="10"/>
        <v>1350</v>
      </c>
      <c r="K229" s="11" t="s">
        <v>835</v>
      </c>
      <c r="L229" s="24"/>
      <c r="M229" s="178">
        <v>30</v>
      </c>
      <c r="N229" s="179">
        <v>40</v>
      </c>
      <c r="R229" s="24"/>
    </row>
    <row r="230" spans="1:18" s="177" customFormat="1" x14ac:dyDescent="0.35">
      <c r="A230" s="132">
        <v>267</v>
      </c>
      <c r="B230" s="11" t="s">
        <v>914</v>
      </c>
      <c r="C230" s="11" t="s">
        <v>912</v>
      </c>
      <c r="D230" s="224">
        <v>40</v>
      </c>
      <c r="E230" s="225">
        <f t="shared" si="16"/>
        <v>30</v>
      </c>
      <c r="F230" s="226">
        <f t="shared" si="15"/>
        <v>1200</v>
      </c>
      <c r="G230" s="227">
        <v>300</v>
      </c>
      <c r="H230" s="228">
        <f t="shared" si="11"/>
        <v>1500</v>
      </c>
      <c r="I230" s="224">
        <f t="shared" si="9"/>
        <v>150</v>
      </c>
      <c r="J230" s="225">
        <f t="shared" si="10"/>
        <v>1350</v>
      </c>
      <c r="K230" s="11" t="s">
        <v>835</v>
      </c>
      <c r="L230" s="24"/>
      <c r="M230" s="178">
        <v>30</v>
      </c>
      <c r="N230" s="179"/>
    </row>
    <row r="231" spans="1:18" s="177" customFormat="1" x14ac:dyDescent="0.35">
      <c r="A231" s="132">
        <v>268</v>
      </c>
      <c r="B231" s="11" t="s">
        <v>913</v>
      </c>
      <c r="C231" s="11" t="s">
        <v>912</v>
      </c>
      <c r="D231" s="224">
        <v>35</v>
      </c>
      <c r="E231" s="225">
        <f t="shared" si="16"/>
        <v>30</v>
      </c>
      <c r="F231" s="226">
        <f t="shared" si="15"/>
        <v>1050</v>
      </c>
      <c r="G231" s="227">
        <v>300</v>
      </c>
      <c r="H231" s="228">
        <f t="shared" si="11"/>
        <v>1350</v>
      </c>
      <c r="I231" s="224">
        <f t="shared" si="9"/>
        <v>135</v>
      </c>
      <c r="J231" s="225">
        <f t="shared" si="10"/>
        <v>1215</v>
      </c>
      <c r="K231" s="11" t="s">
        <v>835</v>
      </c>
      <c r="L231" s="24"/>
      <c r="M231" s="178">
        <v>30</v>
      </c>
      <c r="N231" s="179"/>
    </row>
    <row r="232" spans="1:18" s="177" customFormat="1" x14ac:dyDescent="0.35">
      <c r="A232" s="132">
        <v>269</v>
      </c>
      <c r="B232" s="11" t="s">
        <v>555</v>
      </c>
      <c r="C232" s="11" t="s">
        <v>907</v>
      </c>
      <c r="D232" s="224">
        <v>105</v>
      </c>
      <c r="E232" s="225">
        <f t="shared" si="16"/>
        <v>30</v>
      </c>
      <c r="F232" s="226">
        <f t="shared" si="15"/>
        <v>3150</v>
      </c>
      <c r="G232" s="227">
        <v>515</v>
      </c>
      <c r="H232" s="228">
        <f t="shared" si="11"/>
        <v>3665</v>
      </c>
      <c r="I232" s="224">
        <f t="shared" si="9"/>
        <v>366.5</v>
      </c>
      <c r="J232" s="225">
        <f t="shared" si="10"/>
        <v>3298.5</v>
      </c>
      <c r="K232" s="11" t="s">
        <v>835</v>
      </c>
      <c r="L232" s="24"/>
      <c r="M232" s="178">
        <v>30</v>
      </c>
      <c r="N232" s="177">
        <v>0</v>
      </c>
    </row>
    <row r="233" spans="1:18" s="177" customFormat="1" x14ac:dyDescent="0.35">
      <c r="A233" s="132">
        <v>270</v>
      </c>
      <c r="B233" s="11" t="s">
        <v>987</v>
      </c>
      <c r="C233" s="11" t="s">
        <v>907</v>
      </c>
      <c r="D233" s="224">
        <v>70</v>
      </c>
      <c r="E233" s="225">
        <f t="shared" si="16"/>
        <v>30</v>
      </c>
      <c r="F233" s="226">
        <f t="shared" si="15"/>
        <v>2100</v>
      </c>
      <c r="G233" s="227">
        <v>450</v>
      </c>
      <c r="H233" s="228">
        <f t="shared" si="11"/>
        <v>2550</v>
      </c>
      <c r="I233" s="224">
        <f t="shared" si="9"/>
        <v>255</v>
      </c>
      <c r="J233" s="225">
        <f t="shared" si="10"/>
        <v>2295</v>
      </c>
      <c r="K233" s="11" t="s">
        <v>835</v>
      </c>
      <c r="L233" s="24"/>
      <c r="M233" s="178">
        <v>30</v>
      </c>
      <c r="N233" s="177">
        <v>35</v>
      </c>
    </row>
    <row r="234" spans="1:18" s="177" customFormat="1" x14ac:dyDescent="0.35">
      <c r="A234" s="132">
        <v>271</v>
      </c>
      <c r="B234" s="11" t="s">
        <v>556</v>
      </c>
      <c r="C234" s="11" t="s">
        <v>907</v>
      </c>
      <c r="D234" s="224">
        <v>75</v>
      </c>
      <c r="E234" s="225">
        <f t="shared" si="16"/>
        <v>30</v>
      </c>
      <c r="F234" s="226">
        <f t="shared" si="15"/>
        <v>2250</v>
      </c>
      <c r="G234" s="227">
        <v>400</v>
      </c>
      <c r="H234" s="228">
        <f t="shared" si="11"/>
        <v>2650</v>
      </c>
      <c r="I234" s="224">
        <f t="shared" si="9"/>
        <v>265</v>
      </c>
      <c r="J234" s="225">
        <f t="shared" si="10"/>
        <v>2385</v>
      </c>
      <c r="K234" s="11" t="s">
        <v>835</v>
      </c>
      <c r="L234" s="24"/>
      <c r="M234" s="178">
        <v>30</v>
      </c>
      <c r="N234" s="177">
        <v>70</v>
      </c>
    </row>
    <row r="235" spans="1:18" s="177" customFormat="1" x14ac:dyDescent="0.35">
      <c r="A235" s="132">
        <v>272</v>
      </c>
      <c r="B235" s="11" t="s">
        <v>911</v>
      </c>
      <c r="C235" s="11" t="s">
        <v>907</v>
      </c>
      <c r="D235" s="224">
        <v>70</v>
      </c>
      <c r="E235" s="225">
        <f t="shared" si="16"/>
        <v>30</v>
      </c>
      <c r="F235" s="226">
        <f t="shared" si="15"/>
        <v>2100</v>
      </c>
      <c r="G235" s="227">
        <v>450</v>
      </c>
      <c r="H235" s="228">
        <f t="shared" si="11"/>
        <v>2550</v>
      </c>
      <c r="I235" s="224">
        <f t="shared" si="9"/>
        <v>255</v>
      </c>
      <c r="J235" s="225">
        <f t="shared" si="10"/>
        <v>2295</v>
      </c>
      <c r="K235" s="11" t="s">
        <v>835</v>
      </c>
      <c r="L235" s="24"/>
      <c r="M235" s="178">
        <v>30</v>
      </c>
      <c r="N235" s="177">
        <v>70</v>
      </c>
    </row>
    <row r="236" spans="1:18" s="177" customFormat="1" x14ac:dyDescent="0.35">
      <c r="A236" s="132">
        <v>273</v>
      </c>
      <c r="B236" s="11" t="s">
        <v>910</v>
      </c>
      <c r="C236" s="11" t="s">
        <v>907</v>
      </c>
      <c r="D236" s="224">
        <v>70</v>
      </c>
      <c r="E236" s="225">
        <f t="shared" si="16"/>
        <v>30</v>
      </c>
      <c r="F236" s="226">
        <f t="shared" si="15"/>
        <v>2100</v>
      </c>
      <c r="G236" s="227">
        <v>450</v>
      </c>
      <c r="H236" s="228">
        <f t="shared" si="11"/>
        <v>2550</v>
      </c>
      <c r="I236" s="224">
        <f t="shared" si="9"/>
        <v>255</v>
      </c>
      <c r="J236" s="225">
        <f t="shared" si="10"/>
        <v>2295</v>
      </c>
      <c r="K236" s="11" t="s">
        <v>835</v>
      </c>
      <c r="L236" s="24"/>
      <c r="M236" s="178">
        <v>30</v>
      </c>
      <c r="N236" s="177">
        <v>70</v>
      </c>
      <c r="R236" s="24"/>
    </row>
    <row r="237" spans="1:18" s="177" customFormat="1" x14ac:dyDescent="0.35">
      <c r="A237" s="132">
        <v>274</v>
      </c>
      <c r="B237" s="11" t="s">
        <v>909</v>
      </c>
      <c r="C237" s="11" t="s">
        <v>907</v>
      </c>
      <c r="D237" s="224">
        <v>70</v>
      </c>
      <c r="E237" s="225">
        <f t="shared" si="16"/>
        <v>30</v>
      </c>
      <c r="F237" s="226">
        <f t="shared" si="15"/>
        <v>2100</v>
      </c>
      <c r="G237" s="227">
        <v>450</v>
      </c>
      <c r="H237" s="228">
        <f t="shared" si="11"/>
        <v>2550</v>
      </c>
      <c r="I237" s="224">
        <f t="shared" si="9"/>
        <v>255</v>
      </c>
      <c r="J237" s="225">
        <f t="shared" si="10"/>
        <v>2295</v>
      </c>
      <c r="K237" s="11" t="s">
        <v>835</v>
      </c>
      <c r="L237" s="24"/>
      <c r="M237" s="178">
        <v>30</v>
      </c>
      <c r="N237" s="177">
        <v>70</v>
      </c>
      <c r="R237" s="24"/>
    </row>
    <row r="238" spans="1:18" s="177" customFormat="1" x14ac:dyDescent="0.35">
      <c r="A238" s="132">
        <v>275</v>
      </c>
      <c r="B238" s="11" t="s">
        <v>542</v>
      </c>
      <c r="C238" s="11" t="s">
        <v>907</v>
      </c>
      <c r="D238" s="224">
        <v>65</v>
      </c>
      <c r="E238" s="225">
        <v>30</v>
      </c>
      <c r="F238" s="226">
        <f t="shared" si="15"/>
        <v>1950</v>
      </c>
      <c r="G238" s="227">
        <v>450</v>
      </c>
      <c r="H238" s="228">
        <f t="shared" si="11"/>
        <v>2400</v>
      </c>
      <c r="I238" s="224">
        <f t="shared" si="9"/>
        <v>240</v>
      </c>
      <c r="J238" s="225">
        <f t="shared" si="10"/>
        <v>2160</v>
      </c>
      <c r="K238" s="11" t="s">
        <v>835</v>
      </c>
      <c r="L238" s="24"/>
      <c r="M238" s="178">
        <v>30</v>
      </c>
      <c r="R238" s="24"/>
    </row>
    <row r="239" spans="1:18" s="177" customFormat="1" x14ac:dyDescent="0.35">
      <c r="A239" s="132">
        <v>276</v>
      </c>
      <c r="B239" s="11" t="s">
        <v>996</v>
      </c>
      <c r="C239" s="11" t="s">
        <v>907</v>
      </c>
      <c r="D239" s="224">
        <v>70</v>
      </c>
      <c r="E239" s="225">
        <v>30</v>
      </c>
      <c r="F239" s="226">
        <f t="shared" si="15"/>
        <v>2100</v>
      </c>
      <c r="G239" s="227">
        <v>450</v>
      </c>
      <c r="H239" s="228">
        <f t="shared" si="11"/>
        <v>2550</v>
      </c>
      <c r="I239" s="224">
        <f t="shared" si="9"/>
        <v>255</v>
      </c>
      <c r="J239" s="225">
        <f t="shared" si="10"/>
        <v>2295</v>
      </c>
      <c r="K239" s="11" t="s">
        <v>835</v>
      </c>
      <c r="L239" s="24"/>
      <c r="M239" s="178">
        <v>30</v>
      </c>
      <c r="R239" s="24"/>
    </row>
    <row r="240" spans="1:18" s="177" customFormat="1" x14ac:dyDescent="0.35">
      <c r="A240" s="132">
        <v>277</v>
      </c>
      <c r="B240" s="11" t="s">
        <v>832</v>
      </c>
      <c r="C240" s="11" t="s">
        <v>907</v>
      </c>
      <c r="D240" s="224">
        <v>82</v>
      </c>
      <c r="E240" s="225">
        <v>30</v>
      </c>
      <c r="F240" s="226">
        <f t="shared" si="15"/>
        <v>2460</v>
      </c>
      <c r="G240" s="227">
        <v>515</v>
      </c>
      <c r="H240" s="228">
        <f t="shared" si="11"/>
        <v>2975</v>
      </c>
      <c r="I240" s="224">
        <f t="shared" si="9"/>
        <v>297.5</v>
      </c>
      <c r="J240" s="225">
        <f t="shared" si="10"/>
        <v>2677.5</v>
      </c>
      <c r="K240" s="11" t="s">
        <v>835</v>
      </c>
      <c r="L240" s="24"/>
      <c r="M240" s="178">
        <v>30</v>
      </c>
      <c r="R240" s="24"/>
    </row>
    <row r="241" spans="1:18" s="177" customFormat="1" x14ac:dyDescent="0.35">
      <c r="A241" s="132">
        <v>278</v>
      </c>
      <c r="B241" s="11" t="s">
        <v>994</v>
      </c>
      <c r="C241" s="11" t="s">
        <v>907</v>
      </c>
      <c r="D241" s="224">
        <v>70</v>
      </c>
      <c r="E241" s="225">
        <v>30</v>
      </c>
      <c r="F241" s="226">
        <f t="shared" si="15"/>
        <v>2100</v>
      </c>
      <c r="G241" s="227">
        <v>450</v>
      </c>
      <c r="H241" s="228">
        <f t="shared" si="11"/>
        <v>2550</v>
      </c>
      <c r="I241" s="224">
        <f t="shared" si="9"/>
        <v>255</v>
      </c>
      <c r="J241" s="225">
        <f t="shared" si="10"/>
        <v>2295</v>
      </c>
      <c r="K241" s="11" t="s">
        <v>835</v>
      </c>
      <c r="L241" s="24"/>
      <c r="M241" s="178">
        <v>30</v>
      </c>
      <c r="R241" s="24"/>
    </row>
    <row r="242" spans="1:18" s="177" customFormat="1" x14ac:dyDescent="0.35">
      <c r="A242" s="132">
        <v>279</v>
      </c>
      <c r="B242" s="11" t="s">
        <v>993</v>
      </c>
      <c r="C242" s="11" t="s">
        <v>907</v>
      </c>
      <c r="D242" s="224">
        <v>65</v>
      </c>
      <c r="E242" s="225">
        <v>30</v>
      </c>
      <c r="F242" s="226">
        <f t="shared" si="15"/>
        <v>1950</v>
      </c>
      <c r="G242" s="227">
        <v>450</v>
      </c>
      <c r="H242" s="228">
        <f t="shared" si="11"/>
        <v>2400</v>
      </c>
      <c r="I242" s="224">
        <f t="shared" ref="I242:I273" si="17">H242*0.1</f>
        <v>240</v>
      </c>
      <c r="J242" s="225">
        <f t="shared" ref="J242:J273" si="18">H242*0.9</f>
        <v>2160</v>
      </c>
      <c r="K242" s="11" t="s">
        <v>835</v>
      </c>
      <c r="L242" s="24"/>
      <c r="M242" s="178">
        <v>30</v>
      </c>
      <c r="R242" s="24"/>
    </row>
    <row r="243" spans="1:18" s="177" customFormat="1" x14ac:dyDescent="0.35">
      <c r="A243" s="132">
        <v>280</v>
      </c>
      <c r="B243" s="11" t="s">
        <v>908</v>
      </c>
      <c r="C243" s="11" t="s">
        <v>907</v>
      </c>
      <c r="D243" s="224">
        <v>70</v>
      </c>
      <c r="E243" s="225">
        <v>30</v>
      </c>
      <c r="F243" s="226">
        <f t="shared" si="15"/>
        <v>2100</v>
      </c>
      <c r="G243" s="227">
        <v>450</v>
      </c>
      <c r="H243" s="228">
        <f t="shared" si="11"/>
        <v>2550</v>
      </c>
      <c r="I243" s="224">
        <f t="shared" si="17"/>
        <v>255</v>
      </c>
      <c r="J243" s="225">
        <f t="shared" si="18"/>
        <v>2295</v>
      </c>
      <c r="K243" s="11" t="s">
        <v>835</v>
      </c>
      <c r="L243" s="24"/>
      <c r="M243" s="178">
        <v>30</v>
      </c>
      <c r="N243" s="177">
        <v>70</v>
      </c>
      <c r="R243" s="24"/>
    </row>
    <row r="244" spans="1:18" s="177" customFormat="1" x14ac:dyDescent="0.35">
      <c r="A244" s="132">
        <v>281</v>
      </c>
      <c r="B244" s="11" t="s">
        <v>992</v>
      </c>
      <c r="C244" s="11" t="s">
        <v>907</v>
      </c>
      <c r="D244" s="224">
        <v>70</v>
      </c>
      <c r="E244" s="225">
        <v>30</v>
      </c>
      <c r="F244" s="226">
        <f t="shared" si="15"/>
        <v>2100</v>
      </c>
      <c r="G244" s="227">
        <v>450</v>
      </c>
      <c r="H244" s="228">
        <f t="shared" si="11"/>
        <v>2550</v>
      </c>
      <c r="I244" s="224">
        <f t="shared" si="17"/>
        <v>255</v>
      </c>
      <c r="J244" s="225">
        <f t="shared" si="18"/>
        <v>2295</v>
      </c>
      <c r="K244" s="11" t="s">
        <v>835</v>
      </c>
      <c r="L244" s="24"/>
      <c r="M244" s="178">
        <v>30</v>
      </c>
      <c r="R244" s="24"/>
    </row>
    <row r="245" spans="1:18" s="177" customFormat="1" x14ac:dyDescent="0.35">
      <c r="A245" s="132">
        <v>282</v>
      </c>
      <c r="B245" s="11" t="s">
        <v>529</v>
      </c>
      <c r="C245" s="11" t="s">
        <v>907</v>
      </c>
      <c r="D245" s="224">
        <v>70</v>
      </c>
      <c r="E245" s="225">
        <v>30</v>
      </c>
      <c r="F245" s="226">
        <f t="shared" si="15"/>
        <v>2100</v>
      </c>
      <c r="G245" s="227">
        <v>450</v>
      </c>
      <c r="H245" s="228">
        <f t="shared" ref="H245:H276" si="19">F245+G245</f>
        <v>2550</v>
      </c>
      <c r="I245" s="224">
        <f t="shared" si="17"/>
        <v>255</v>
      </c>
      <c r="J245" s="225">
        <f t="shared" si="18"/>
        <v>2295</v>
      </c>
      <c r="K245" s="11" t="s">
        <v>835</v>
      </c>
      <c r="L245" s="24"/>
      <c r="M245" s="178">
        <v>30</v>
      </c>
      <c r="R245" s="24"/>
    </row>
    <row r="246" spans="1:18" s="177" customFormat="1" x14ac:dyDescent="0.35">
      <c r="A246" s="132">
        <v>283</v>
      </c>
      <c r="B246" s="11" t="s">
        <v>991</v>
      </c>
      <c r="C246" s="11" t="s">
        <v>907</v>
      </c>
      <c r="D246" s="224">
        <v>78</v>
      </c>
      <c r="E246" s="225">
        <v>30</v>
      </c>
      <c r="F246" s="226">
        <f t="shared" si="15"/>
        <v>2340</v>
      </c>
      <c r="G246" s="227">
        <v>480</v>
      </c>
      <c r="H246" s="228">
        <f t="shared" si="19"/>
        <v>2820</v>
      </c>
      <c r="I246" s="224">
        <f t="shared" si="17"/>
        <v>282</v>
      </c>
      <c r="J246" s="225">
        <f t="shared" si="18"/>
        <v>2538</v>
      </c>
      <c r="K246" s="11" t="s">
        <v>835</v>
      </c>
      <c r="L246" s="24"/>
      <c r="M246" s="178">
        <v>30</v>
      </c>
      <c r="R246" s="24"/>
    </row>
    <row r="247" spans="1:18" s="177" customFormat="1" x14ac:dyDescent="0.35">
      <c r="A247" s="132">
        <v>284</v>
      </c>
      <c r="B247" s="11" t="s">
        <v>544</v>
      </c>
      <c r="C247" s="11" t="s">
        <v>907</v>
      </c>
      <c r="D247" s="224">
        <v>70</v>
      </c>
      <c r="E247" s="225">
        <v>30</v>
      </c>
      <c r="F247" s="226">
        <f t="shared" si="15"/>
        <v>2100</v>
      </c>
      <c r="G247" s="227">
        <v>450</v>
      </c>
      <c r="H247" s="228">
        <f t="shared" si="19"/>
        <v>2550</v>
      </c>
      <c r="I247" s="224">
        <f t="shared" si="17"/>
        <v>255</v>
      </c>
      <c r="J247" s="225">
        <f t="shared" si="18"/>
        <v>2295</v>
      </c>
      <c r="K247" s="11" t="s">
        <v>835</v>
      </c>
      <c r="L247" s="24"/>
      <c r="M247" s="178">
        <v>30</v>
      </c>
      <c r="R247" s="24"/>
    </row>
    <row r="248" spans="1:18" s="177" customFormat="1" x14ac:dyDescent="0.35">
      <c r="A248" s="132">
        <v>285</v>
      </c>
      <c r="B248" s="11" t="s">
        <v>553</v>
      </c>
      <c r="C248" s="11" t="s">
        <v>907</v>
      </c>
      <c r="D248" s="224">
        <v>105</v>
      </c>
      <c r="E248" s="225">
        <v>30</v>
      </c>
      <c r="F248" s="226">
        <f t="shared" si="15"/>
        <v>3150</v>
      </c>
      <c r="G248" s="227">
        <v>515</v>
      </c>
      <c r="H248" s="228">
        <f t="shared" si="19"/>
        <v>3665</v>
      </c>
      <c r="I248" s="224">
        <f t="shared" si="17"/>
        <v>366.5</v>
      </c>
      <c r="J248" s="225">
        <f t="shared" si="18"/>
        <v>3298.5</v>
      </c>
      <c r="K248" s="11" t="s">
        <v>835</v>
      </c>
      <c r="L248" s="24"/>
      <c r="M248" s="178">
        <v>30</v>
      </c>
      <c r="N248" s="177">
        <v>70</v>
      </c>
      <c r="R248" s="24"/>
    </row>
    <row r="249" spans="1:18" s="177" customFormat="1" x14ac:dyDescent="0.35">
      <c r="A249" s="132">
        <v>286</v>
      </c>
      <c r="B249" s="11" t="s">
        <v>570</v>
      </c>
      <c r="C249" s="11" t="s">
        <v>907</v>
      </c>
      <c r="D249" s="224">
        <v>70</v>
      </c>
      <c r="E249" s="225">
        <v>30</v>
      </c>
      <c r="F249" s="226">
        <f t="shared" si="15"/>
        <v>2100</v>
      </c>
      <c r="G249" s="227">
        <v>450</v>
      </c>
      <c r="H249" s="228">
        <f t="shared" si="19"/>
        <v>2550</v>
      </c>
      <c r="I249" s="224">
        <f t="shared" si="17"/>
        <v>255</v>
      </c>
      <c r="J249" s="225">
        <f t="shared" si="18"/>
        <v>2295</v>
      </c>
      <c r="K249" s="11" t="s">
        <v>835</v>
      </c>
      <c r="L249" s="24"/>
      <c r="M249" s="178">
        <v>30</v>
      </c>
      <c r="N249" s="177">
        <v>70</v>
      </c>
      <c r="R249" s="24"/>
    </row>
    <row r="250" spans="1:18" s="177" customFormat="1" x14ac:dyDescent="0.35">
      <c r="A250" s="132">
        <v>287</v>
      </c>
      <c r="B250" s="11" t="s">
        <v>988</v>
      </c>
      <c r="C250" s="11" t="s">
        <v>907</v>
      </c>
      <c r="D250" s="224">
        <v>75</v>
      </c>
      <c r="E250" s="225">
        <v>30</v>
      </c>
      <c r="F250" s="226">
        <f t="shared" si="15"/>
        <v>2250</v>
      </c>
      <c r="G250" s="227">
        <v>450</v>
      </c>
      <c r="H250" s="228">
        <f t="shared" si="19"/>
        <v>2700</v>
      </c>
      <c r="I250" s="224">
        <f t="shared" si="17"/>
        <v>270</v>
      </c>
      <c r="J250" s="225">
        <f t="shared" si="18"/>
        <v>2430</v>
      </c>
      <c r="K250" s="11" t="s">
        <v>835</v>
      </c>
      <c r="L250" s="24"/>
      <c r="M250" s="178">
        <v>30</v>
      </c>
      <c r="R250" s="24"/>
    </row>
    <row r="251" spans="1:18" s="177" customFormat="1" x14ac:dyDescent="0.35">
      <c r="A251" s="132">
        <v>288</v>
      </c>
      <c r="B251" s="11" t="s">
        <v>989</v>
      </c>
      <c r="C251" s="11" t="s">
        <v>907</v>
      </c>
      <c r="D251" s="224">
        <v>50</v>
      </c>
      <c r="E251" s="225">
        <v>30</v>
      </c>
      <c r="F251" s="226">
        <f t="shared" ref="F251:F282" si="20">D251*E251</f>
        <v>1500</v>
      </c>
      <c r="G251" s="227">
        <v>250</v>
      </c>
      <c r="H251" s="228">
        <f t="shared" si="19"/>
        <v>1750</v>
      </c>
      <c r="I251" s="224">
        <f t="shared" si="17"/>
        <v>175</v>
      </c>
      <c r="J251" s="225">
        <f t="shared" si="18"/>
        <v>1575</v>
      </c>
      <c r="K251" s="11" t="s">
        <v>835</v>
      </c>
      <c r="L251" s="24"/>
      <c r="M251" s="178">
        <v>30</v>
      </c>
      <c r="R251" s="24"/>
    </row>
    <row r="252" spans="1:18" s="177" customFormat="1" x14ac:dyDescent="0.35">
      <c r="A252" s="132">
        <v>289</v>
      </c>
      <c r="B252" s="11" t="s">
        <v>990</v>
      </c>
      <c r="C252" s="11" t="s">
        <v>907</v>
      </c>
      <c r="D252" s="224">
        <v>65</v>
      </c>
      <c r="E252" s="225">
        <v>30</v>
      </c>
      <c r="F252" s="226">
        <f t="shared" si="20"/>
        <v>1950</v>
      </c>
      <c r="G252" s="227">
        <v>450</v>
      </c>
      <c r="H252" s="228">
        <f t="shared" si="19"/>
        <v>2400</v>
      </c>
      <c r="I252" s="224">
        <f t="shared" si="17"/>
        <v>240</v>
      </c>
      <c r="J252" s="225">
        <f t="shared" si="18"/>
        <v>2160</v>
      </c>
      <c r="K252" s="11" t="s">
        <v>835</v>
      </c>
      <c r="L252" s="24"/>
      <c r="M252" s="178">
        <v>30</v>
      </c>
      <c r="R252" s="24"/>
    </row>
    <row r="253" spans="1:18" s="177" customFormat="1" x14ac:dyDescent="0.35">
      <c r="A253" s="132">
        <v>290</v>
      </c>
      <c r="B253" s="11" t="s">
        <v>1093</v>
      </c>
      <c r="C253" s="11" t="s">
        <v>905</v>
      </c>
      <c r="D253" s="224">
        <v>92</v>
      </c>
      <c r="E253" s="225">
        <v>30</v>
      </c>
      <c r="F253" s="226">
        <f t="shared" si="20"/>
        <v>2760</v>
      </c>
      <c r="G253" s="227">
        <v>450</v>
      </c>
      <c r="H253" s="228">
        <f t="shared" si="19"/>
        <v>3210</v>
      </c>
      <c r="I253" s="224">
        <f t="shared" si="17"/>
        <v>321</v>
      </c>
      <c r="J253" s="225">
        <f t="shared" si="18"/>
        <v>2889</v>
      </c>
      <c r="K253" s="11" t="s">
        <v>835</v>
      </c>
      <c r="L253" s="24"/>
      <c r="M253" s="178">
        <v>30</v>
      </c>
      <c r="R253" s="24"/>
    </row>
    <row r="254" spans="1:18" s="177" customFormat="1" x14ac:dyDescent="0.35">
      <c r="A254" s="132">
        <v>291</v>
      </c>
      <c r="B254" s="132" t="s">
        <v>906</v>
      </c>
      <c r="C254" s="11" t="s">
        <v>905</v>
      </c>
      <c r="D254" s="224">
        <v>70</v>
      </c>
      <c r="E254" s="225">
        <v>30</v>
      </c>
      <c r="F254" s="226">
        <f t="shared" si="20"/>
        <v>2100</v>
      </c>
      <c r="G254" s="227">
        <v>370</v>
      </c>
      <c r="H254" s="228">
        <f t="shared" si="19"/>
        <v>2470</v>
      </c>
      <c r="I254" s="224">
        <f t="shared" si="17"/>
        <v>247</v>
      </c>
      <c r="J254" s="225">
        <f t="shared" si="18"/>
        <v>2223</v>
      </c>
      <c r="K254" s="11" t="s">
        <v>835</v>
      </c>
      <c r="L254" s="24"/>
      <c r="M254" s="178">
        <v>30</v>
      </c>
      <c r="R254" s="24"/>
    </row>
    <row r="255" spans="1:18" s="177" customFormat="1" x14ac:dyDescent="0.35">
      <c r="A255" s="132">
        <v>292</v>
      </c>
      <c r="B255" s="251" t="s">
        <v>960</v>
      </c>
      <c r="C255" s="11" t="s">
        <v>892</v>
      </c>
      <c r="D255" s="224">
        <v>73</v>
      </c>
      <c r="E255" s="225">
        <f t="shared" ref="E255:E269" si="21">M255</f>
        <v>30</v>
      </c>
      <c r="F255" s="226">
        <f t="shared" si="20"/>
        <v>2190</v>
      </c>
      <c r="G255" s="227">
        <v>465</v>
      </c>
      <c r="H255" s="228">
        <f t="shared" si="19"/>
        <v>2655</v>
      </c>
      <c r="I255" s="224">
        <f t="shared" si="17"/>
        <v>265.5</v>
      </c>
      <c r="J255" s="225">
        <f t="shared" si="18"/>
        <v>2389.5</v>
      </c>
      <c r="K255" s="11" t="s">
        <v>835</v>
      </c>
      <c r="L255" s="24"/>
      <c r="M255" s="178">
        <v>30</v>
      </c>
      <c r="N255" s="24"/>
      <c r="O255" s="24"/>
      <c r="P255" s="24"/>
      <c r="Q255" s="24"/>
      <c r="R255" s="24"/>
    </row>
    <row r="256" spans="1:18" s="177" customFormat="1" x14ac:dyDescent="0.35">
      <c r="A256" s="132">
        <v>293</v>
      </c>
      <c r="B256" s="251" t="s">
        <v>904</v>
      </c>
      <c r="C256" s="11" t="s">
        <v>892</v>
      </c>
      <c r="D256" s="224">
        <v>62</v>
      </c>
      <c r="E256" s="225">
        <f t="shared" si="21"/>
        <v>30</v>
      </c>
      <c r="F256" s="226">
        <f t="shared" si="20"/>
        <v>1860</v>
      </c>
      <c r="G256" s="227">
        <v>450</v>
      </c>
      <c r="H256" s="228">
        <f t="shared" si="19"/>
        <v>2310</v>
      </c>
      <c r="I256" s="224">
        <f t="shared" si="17"/>
        <v>231</v>
      </c>
      <c r="J256" s="225">
        <f t="shared" si="18"/>
        <v>2079</v>
      </c>
      <c r="K256" s="11" t="s">
        <v>835</v>
      </c>
      <c r="L256" s="24"/>
      <c r="M256" s="178">
        <v>30</v>
      </c>
      <c r="N256" s="24"/>
      <c r="O256" s="24"/>
      <c r="P256" s="24"/>
      <c r="Q256" s="24"/>
      <c r="R256" s="24"/>
    </row>
    <row r="257" spans="1:18" s="177" customFormat="1" x14ac:dyDescent="0.35">
      <c r="A257" s="132">
        <v>294</v>
      </c>
      <c r="B257" s="132" t="s">
        <v>900</v>
      </c>
      <c r="C257" s="11" t="s">
        <v>892</v>
      </c>
      <c r="D257" s="224">
        <v>62</v>
      </c>
      <c r="E257" s="225">
        <f t="shared" si="21"/>
        <v>30</v>
      </c>
      <c r="F257" s="226">
        <f t="shared" si="20"/>
        <v>1860</v>
      </c>
      <c r="G257" s="227">
        <v>450</v>
      </c>
      <c r="H257" s="228">
        <f t="shared" si="19"/>
        <v>2310</v>
      </c>
      <c r="I257" s="224">
        <f t="shared" si="17"/>
        <v>231</v>
      </c>
      <c r="J257" s="225">
        <f t="shared" si="18"/>
        <v>2079</v>
      </c>
      <c r="K257" s="11" t="s">
        <v>835</v>
      </c>
      <c r="L257" s="24"/>
      <c r="M257" s="178">
        <v>30</v>
      </c>
      <c r="N257" s="24"/>
      <c r="O257" s="24"/>
      <c r="P257" s="24"/>
      <c r="Q257" s="24"/>
      <c r="R257" s="24"/>
    </row>
    <row r="258" spans="1:18" s="177" customFormat="1" x14ac:dyDescent="0.35">
      <c r="A258" s="132">
        <v>295</v>
      </c>
      <c r="B258" s="251" t="s">
        <v>903</v>
      </c>
      <c r="C258" s="11" t="s">
        <v>892</v>
      </c>
      <c r="D258" s="224">
        <v>62</v>
      </c>
      <c r="E258" s="225">
        <f t="shared" si="21"/>
        <v>30</v>
      </c>
      <c r="F258" s="226">
        <f t="shared" si="20"/>
        <v>1860</v>
      </c>
      <c r="G258" s="227">
        <v>450</v>
      </c>
      <c r="H258" s="228">
        <f t="shared" si="19"/>
        <v>2310</v>
      </c>
      <c r="I258" s="224">
        <f t="shared" si="17"/>
        <v>231</v>
      </c>
      <c r="J258" s="225">
        <f t="shared" si="18"/>
        <v>2079</v>
      </c>
      <c r="K258" s="11" t="s">
        <v>835</v>
      </c>
      <c r="L258" s="24"/>
      <c r="M258" s="178">
        <v>30</v>
      </c>
      <c r="N258" s="24"/>
      <c r="O258" s="24"/>
      <c r="P258" s="24"/>
      <c r="Q258" s="24"/>
      <c r="R258" s="24"/>
    </row>
    <row r="259" spans="1:18" s="177" customFormat="1" x14ac:dyDescent="0.35">
      <c r="A259" s="132">
        <v>296</v>
      </c>
      <c r="B259" s="251" t="s">
        <v>902</v>
      </c>
      <c r="C259" s="11" t="s">
        <v>892</v>
      </c>
      <c r="D259" s="224">
        <v>83</v>
      </c>
      <c r="E259" s="225">
        <f t="shared" si="21"/>
        <v>30</v>
      </c>
      <c r="F259" s="226">
        <f t="shared" si="20"/>
        <v>2490</v>
      </c>
      <c r="G259" s="227">
        <v>465</v>
      </c>
      <c r="H259" s="228">
        <f t="shared" si="19"/>
        <v>2955</v>
      </c>
      <c r="I259" s="224">
        <f t="shared" si="17"/>
        <v>295.5</v>
      </c>
      <c r="J259" s="225">
        <f t="shared" si="18"/>
        <v>2659.5</v>
      </c>
      <c r="K259" s="11" t="s">
        <v>835</v>
      </c>
      <c r="L259" s="24"/>
      <c r="M259" s="178">
        <v>30</v>
      </c>
      <c r="N259" s="24"/>
      <c r="O259" s="24"/>
      <c r="P259" s="24"/>
      <c r="Q259" s="24"/>
      <c r="R259" s="24"/>
    </row>
    <row r="260" spans="1:18" s="177" customFormat="1" x14ac:dyDescent="0.35">
      <c r="A260" s="132">
        <v>297</v>
      </c>
      <c r="B260" s="251" t="s">
        <v>1003</v>
      </c>
      <c r="C260" s="11" t="s">
        <v>892</v>
      </c>
      <c r="D260" s="224">
        <v>62</v>
      </c>
      <c r="E260" s="225">
        <f t="shared" si="21"/>
        <v>30</v>
      </c>
      <c r="F260" s="226">
        <f t="shared" si="20"/>
        <v>1860</v>
      </c>
      <c r="G260" s="227">
        <v>450</v>
      </c>
      <c r="H260" s="228">
        <f t="shared" si="19"/>
        <v>2310</v>
      </c>
      <c r="I260" s="224">
        <f t="shared" si="17"/>
        <v>231</v>
      </c>
      <c r="J260" s="225">
        <f t="shared" si="18"/>
        <v>2079</v>
      </c>
      <c r="K260" s="11" t="s">
        <v>835</v>
      </c>
      <c r="L260" s="24"/>
      <c r="M260" s="178">
        <v>30</v>
      </c>
      <c r="N260" s="24"/>
      <c r="O260" s="24"/>
      <c r="P260" s="24"/>
      <c r="Q260" s="24"/>
      <c r="R260" s="24"/>
    </row>
    <row r="261" spans="1:18" s="177" customFormat="1" x14ac:dyDescent="0.35">
      <c r="A261" s="132">
        <v>298</v>
      </c>
      <c r="B261" s="251" t="s">
        <v>901</v>
      </c>
      <c r="C261" s="11" t="s">
        <v>892</v>
      </c>
      <c r="D261" s="224">
        <v>62</v>
      </c>
      <c r="E261" s="225">
        <f t="shared" si="21"/>
        <v>30</v>
      </c>
      <c r="F261" s="226">
        <f t="shared" si="20"/>
        <v>1860</v>
      </c>
      <c r="G261" s="227">
        <v>450</v>
      </c>
      <c r="H261" s="228">
        <f t="shared" si="19"/>
        <v>2310</v>
      </c>
      <c r="I261" s="224">
        <f t="shared" si="17"/>
        <v>231</v>
      </c>
      <c r="J261" s="225">
        <f t="shared" si="18"/>
        <v>2079</v>
      </c>
      <c r="K261" s="11" t="s">
        <v>835</v>
      </c>
      <c r="L261" s="24"/>
      <c r="M261" s="178">
        <v>30</v>
      </c>
      <c r="N261" s="24"/>
      <c r="O261" s="24"/>
      <c r="P261" s="24"/>
      <c r="Q261" s="24"/>
      <c r="R261" s="24"/>
    </row>
    <row r="262" spans="1:18" s="177" customFormat="1" x14ac:dyDescent="0.35">
      <c r="A262" s="132">
        <v>299</v>
      </c>
      <c r="B262" s="251" t="s">
        <v>1000</v>
      </c>
      <c r="C262" s="11" t="s">
        <v>892</v>
      </c>
      <c r="D262" s="224">
        <v>80</v>
      </c>
      <c r="E262" s="225">
        <f t="shared" si="21"/>
        <v>30</v>
      </c>
      <c r="F262" s="226">
        <f t="shared" si="20"/>
        <v>2400</v>
      </c>
      <c r="G262" s="227">
        <v>450</v>
      </c>
      <c r="H262" s="228">
        <f t="shared" si="19"/>
        <v>2850</v>
      </c>
      <c r="I262" s="224">
        <f t="shared" si="17"/>
        <v>285</v>
      </c>
      <c r="J262" s="225">
        <f t="shared" si="18"/>
        <v>2565</v>
      </c>
      <c r="K262" s="11" t="s">
        <v>835</v>
      </c>
      <c r="L262" s="24"/>
      <c r="M262" s="178">
        <v>30</v>
      </c>
      <c r="N262" s="24"/>
      <c r="O262" s="24"/>
      <c r="P262" s="24"/>
      <c r="Q262" s="24"/>
      <c r="R262" s="24"/>
    </row>
    <row r="263" spans="1:18" s="177" customFormat="1" x14ac:dyDescent="0.35">
      <c r="A263" s="132">
        <v>300</v>
      </c>
      <c r="B263" s="251" t="s">
        <v>998</v>
      </c>
      <c r="C263" s="11" t="s">
        <v>892</v>
      </c>
      <c r="D263" s="224">
        <v>62</v>
      </c>
      <c r="E263" s="225">
        <f t="shared" si="21"/>
        <v>30</v>
      </c>
      <c r="F263" s="226">
        <f t="shared" si="20"/>
        <v>1860</v>
      </c>
      <c r="G263" s="227">
        <v>450</v>
      </c>
      <c r="H263" s="228">
        <f t="shared" si="19"/>
        <v>2310</v>
      </c>
      <c r="I263" s="224">
        <f t="shared" si="17"/>
        <v>231</v>
      </c>
      <c r="J263" s="225">
        <f t="shared" si="18"/>
        <v>2079</v>
      </c>
      <c r="K263" s="11" t="s">
        <v>835</v>
      </c>
      <c r="L263" s="24"/>
      <c r="M263" s="178">
        <v>30</v>
      </c>
      <c r="N263" s="24"/>
      <c r="O263" s="24"/>
      <c r="P263" s="24"/>
      <c r="Q263" s="24"/>
      <c r="R263" s="24"/>
    </row>
    <row r="264" spans="1:18" s="177" customFormat="1" x14ac:dyDescent="0.35">
      <c r="A264" s="132">
        <v>301</v>
      </c>
      <c r="B264" s="251" t="s">
        <v>899</v>
      </c>
      <c r="C264" s="11" t="s">
        <v>892</v>
      </c>
      <c r="D264" s="224">
        <v>62</v>
      </c>
      <c r="E264" s="225">
        <f t="shared" si="21"/>
        <v>30</v>
      </c>
      <c r="F264" s="226">
        <f t="shared" si="20"/>
        <v>1860</v>
      </c>
      <c r="G264" s="227">
        <v>450</v>
      </c>
      <c r="H264" s="228">
        <f t="shared" si="19"/>
        <v>2310</v>
      </c>
      <c r="I264" s="224">
        <f t="shared" si="17"/>
        <v>231</v>
      </c>
      <c r="J264" s="225">
        <f t="shared" si="18"/>
        <v>2079</v>
      </c>
      <c r="K264" s="11" t="s">
        <v>835</v>
      </c>
      <c r="L264" s="24"/>
      <c r="M264" s="178">
        <v>30</v>
      </c>
      <c r="N264" s="24"/>
      <c r="O264" s="24"/>
      <c r="P264" s="24"/>
      <c r="Q264" s="24"/>
      <c r="R264" s="24"/>
    </row>
    <row r="265" spans="1:18" s="177" customFormat="1" x14ac:dyDescent="0.35">
      <c r="A265" s="132">
        <v>302</v>
      </c>
      <c r="B265" s="251" t="s">
        <v>898</v>
      </c>
      <c r="C265" s="11" t="s">
        <v>892</v>
      </c>
      <c r="D265" s="224">
        <v>62</v>
      </c>
      <c r="E265" s="225">
        <f t="shared" si="21"/>
        <v>30</v>
      </c>
      <c r="F265" s="226">
        <f t="shared" si="20"/>
        <v>1860</v>
      </c>
      <c r="G265" s="227">
        <v>450</v>
      </c>
      <c r="H265" s="228">
        <f t="shared" si="19"/>
        <v>2310</v>
      </c>
      <c r="I265" s="224">
        <f t="shared" si="17"/>
        <v>231</v>
      </c>
      <c r="J265" s="225">
        <f t="shared" si="18"/>
        <v>2079</v>
      </c>
      <c r="K265" s="11" t="s">
        <v>835</v>
      </c>
      <c r="L265" s="24"/>
      <c r="M265" s="178">
        <v>30</v>
      </c>
      <c r="N265" s="24"/>
      <c r="O265" s="24"/>
      <c r="P265" s="24"/>
      <c r="Q265" s="24"/>
      <c r="R265" s="24"/>
    </row>
    <row r="266" spans="1:18" s="177" customFormat="1" x14ac:dyDescent="0.35">
      <c r="A266" s="132">
        <v>303</v>
      </c>
      <c r="B266" s="251" t="s">
        <v>1002</v>
      </c>
      <c r="C266" s="11" t="s">
        <v>892</v>
      </c>
      <c r="D266" s="224">
        <v>62</v>
      </c>
      <c r="E266" s="225">
        <f t="shared" si="21"/>
        <v>30</v>
      </c>
      <c r="F266" s="226">
        <f t="shared" si="20"/>
        <v>1860</v>
      </c>
      <c r="G266" s="227">
        <v>450</v>
      </c>
      <c r="H266" s="228">
        <f t="shared" si="19"/>
        <v>2310</v>
      </c>
      <c r="I266" s="224">
        <f t="shared" si="17"/>
        <v>231</v>
      </c>
      <c r="J266" s="225">
        <f t="shared" si="18"/>
        <v>2079</v>
      </c>
      <c r="K266" s="11" t="s">
        <v>835</v>
      </c>
      <c r="L266" s="24"/>
      <c r="M266" s="178">
        <v>30</v>
      </c>
      <c r="N266" s="24"/>
      <c r="O266" s="24"/>
      <c r="P266" s="24"/>
      <c r="Q266" s="24"/>
      <c r="R266" s="24"/>
    </row>
    <row r="267" spans="1:18" s="177" customFormat="1" x14ac:dyDescent="0.35">
      <c r="A267" s="132">
        <v>304</v>
      </c>
      <c r="B267" s="251" t="s">
        <v>997</v>
      </c>
      <c r="C267" s="11" t="s">
        <v>892</v>
      </c>
      <c r="D267" s="224">
        <v>62</v>
      </c>
      <c r="E267" s="225">
        <f t="shared" si="21"/>
        <v>30</v>
      </c>
      <c r="F267" s="226">
        <f t="shared" si="20"/>
        <v>1860</v>
      </c>
      <c r="G267" s="227">
        <v>450</v>
      </c>
      <c r="H267" s="228">
        <f t="shared" si="19"/>
        <v>2310</v>
      </c>
      <c r="I267" s="224">
        <f t="shared" si="17"/>
        <v>231</v>
      </c>
      <c r="J267" s="225">
        <f t="shared" si="18"/>
        <v>2079</v>
      </c>
      <c r="K267" s="11" t="s">
        <v>835</v>
      </c>
      <c r="L267" s="24"/>
      <c r="M267" s="178">
        <v>30</v>
      </c>
      <c r="N267" s="24"/>
      <c r="O267" s="24"/>
      <c r="P267" s="24"/>
      <c r="Q267" s="24"/>
      <c r="R267" s="24"/>
    </row>
    <row r="268" spans="1:18" s="177" customFormat="1" x14ac:dyDescent="0.35">
      <c r="A268" s="132">
        <v>305</v>
      </c>
      <c r="B268" s="251" t="s">
        <v>897</v>
      </c>
      <c r="C268" s="11" t="s">
        <v>892</v>
      </c>
      <c r="D268" s="224">
        <v>62</v>
      </c>
      <c r="E268" s="225">
        <f t="shared" si="21"/>
        <v>30</v>
      </c>
      <c r="F268" s="226">
        <f t="shared" si="20"/>
        <v>1860</v>
      </c>
      <c r="G268" s="227">
        <v>450</v>
      </c>
      <c r="H268" s="228">
        <f t="shared" si="19"/>
        <v>2310</v>
      </c>
      <c r="I268" s="224">
        <f t="shared" si="17"/>
        <v>231</v>
      </c>
      <c r="J268" s="225">
        <f t="shared" si="18"/>
        <v>2079</v>
      </c>
      <c r="K268" s="11" t="s">
        <v>835</v>
      </c>
      <c r="L268" s="24"/>
      <c r="M268" s="178">
        <v>30</v>
      </c>
      <c r="N268" s="24"/>
      <c r="O268" s="24"/>
      <c r="P268" s="24"/>
      <c r="Q268" s="24"/>
      <c r="R268" s="24"/>
    </row>
    <row r="269" spans="1:18" s="177" customFormat="1" x14ac:dyDescent="0.35">
      <c r="A269" s="132">
        <v>306</v>
      </c>
      <c r="B269" s="251" t="s">
        <v>896</v>
      </c>
      <c r="C269" s="11" t="s">
        <v>892</v>
      </c>
      <c r="D269" s="224">
        <v>83</v>
      </c>
      <c r="E269" s="225">
        <f t="shared" si="21"/>
        <v>30</v>
      </c>
      <c r="F269" s="226">
        <f t="shared" si="20"/>
        <v>2490</v>
      </c>
      <c r="G269" s="227">
        <v>465</v>
      </c>
      <c r="H269" s="228">
        <f t="shared" si="19"/>
        <v>2955</v>
      </c>
      <c r="I269" s="224">
        <f t="shared" si="17"/>
        <v>295.5</v>
      </c>
      <c r="J269" s="225">
        <f t="shared" si="18"/>
        <v>2659.5</v>
      </c>
      <c r="K269" s="11" t="s">
        <v>835</v>
      </c>
      <c r="L269" s="24"/>
      <c r="M269" s="178">
        <v>30</v>
      </c>
      <c r="N269" s="24"/>
      <c r="O269" s="24"/>
      <c r="P269" s="24"/>
      <c r="Q269" s="24"/>
      <c r="R269" s="24"/>
    </row>
    <row r="270" spans="1:18" s="177" customFormat="1" x14ac:dyDescent="0.35">
      <c r="A270" s="132">
        <v>307</v>
      </c>
      <c r="B270" s="251" t="s">
        <v>999</v>
      </c>
      <c r="C270" s="11" t="s">
        <v>892</v>
      </c>
      <c r="D270" s="224">
        <v>62</v>
      </c>
      <c r="E270" s="225">
        <v>30</v>
      </c>
      <c r="F270" s="226">
        <f t="shared" si="20"/>
        <v>1860</v>
      </c>
      <c r="G270" s="227">
        <v>450</v>
      </c>
      <c r="H270" s="228">
        <f t="shared" si="19"/>
        <v>2310</v>
      </c>
      <c r="I270" s="224">
        <f t="shared" si="17"/>
        <v>231</v>
      </c>
      <c r="J270" s="225">
        <f t="shared" si="18"/>
        <v>2079</v>
      </c>
      <c r="K270" s="11" t="s">
        <v>835</v>
      </c>
      <c r="L270" s="24"/>
      <c r="M270" s="178"/>
      <c r="N270" s="24"/>
      <c r="O270" s="24"/>
      <c r="P270" s="24"/>
      <c r="Q270" s="24"/>
      <c r="R270" s="24"/>
    </row>
    <row r="271" spans="1:18" s="177" customFormat="1" x14ac:dyDescent="0.35">
      <c r="A271" s="132">
        <v>308</v>
      </c>
      <c r="B271" s="251" t="s">
        <v>1006</v>
      </c>
      <c r="C271" s="11" t="s">
        <v>892</v>
      </c>
      <c r="D271" s="224">
        <v>62</v>
      </c>
      <c r="E271" s="225">
        <f t="shared" ref="E271:E282" si="22">M271</f>
        <v>30</v>
      </c>
      <c r="F271" s="226">
        <f t="shared" si="20"/>
        <v>1860</v>
      </c>
      <c r="G271" s="227">
        <v>450</v>
      </c>
      <c r="H271" s="228">
        <f t="shared" si="19"/>
        <v>2310</v>
      </c>
      <c r="I271" s="224">
        <f t="shared" si="17"/>
        <v>231</v>
      </c>
      <c r="J271" s="225">
        <f t="shared" si="18"/>
        <v>2079</v>
      </c>
      <c r="K271" s="11" t="s">
        <v>835</v>
      </c>
      <c r="L271" s="24"/>
      <c r="M271" s="178">
        <v>30</v>
      </c>
      <c r="N271" s="24"/>
      <c r="O271" s="24"/>
      <c r="P271" s="24"/>
      <c r="Q271" s="24"/>
      <c r="R271" s="24"/>
    </row>
    <row r="272" spans="1:18" s="177" customFormat="1" x14ac:dyDescent="0.35">
      <c r="A272" s="132">
        <v>309</v>
      </c>
      <c r="B272" s="251" t="s">
        <v>1001</v>
      </c>
      <c r="C272" s="11" t="s">
        <v>892</v>
      </c>
      <c r="D272" s="224">
        <v>65</v>
      </c>
      <c r="E272" s="225">
        <f t="shared" si="22"/>
        <v>30</v>
      </c>
      <c r="F272" s="226">
        <f t="shared" si="20"/>
        <v>1950</v>
      </c>
      <c r="G272" s="227">
        <v>465</v>
      </c>
      <c r="H272" s="228">
        <f t="shared" si="19"/>
        <v>2415</v>
      </c>
      <c r="I272" s="224">
        <f t="shared" si="17"/>
        <v>241.5</v>
      </c>
      <c r="J272" s="225">
        <f t="shared" si="18"/>
        <v>2173.5</v>
      </c>
      <c r="K272" s="11" t="s">
        <v>835</v>
      </c>
      <c r="L272" s="24"/>
      <c r="M272" s="178">
        <v>30</v>
      </c>
      <c r="N272" s="24"/>
      <c r="O272" s="24"/>
      <c r="P272" s="24"/>
      <c r="Q272" s="24"/>
      <c r="R272" s="24"/>
    </row>
    <row r="273" spans="1:18" s="177" customFormat="1" x14ac:dyDescent="0.35">
      <c r="A273" s="132">
        <v>310</v>
      </c>
      <c r="B273" s="251" t="s">
        <v>895</v>
      </c>
      <c r="C273" s="11" t="s">
        <v>892</v>
      </c>
      <c r="D273" s="224">
        <v>65</v>
      </c>
      <c r="E273" s="225">
        <f t="shared" si="22"/>
        <v>30</v>
      </c>
      <c r="F273" s="226">
        <f t="shared" si="20"/>
        <v>1950</v>
      </c>
      <c r="G273" s="227">
        <v>465</v>
      </c>
      <c r="H273" s="228">
        <f t="shared" si="19"/>
        <v>2415</v>
      </c>
      <c r="I273" s="224">
        <f t="shared" si="17"/>
        <v>241.5</v>
      </c>
      <c r="J273" s="225">
        <f t="shared" si="18"/>
        <v>2173.5</v>
      </c>
      <c r="K273" s="11" t="s">
        <v>835</v>
      </c>
      <c r="L273" s="24"/>
      <c r="M273" s="178">
        <v>30</v>
      </c>
      <c r="N273" s="24"/>
      <c r="O273" s="24"/>
      <c r="P273" s="24"/>
      <c r="Q273" s="24"/>
      <c r="R273" s="24"/>
    </row>
    <row r="274" spans="1:18" s="177" customFormat="1" x14ac:dyDescent="0.35">
      <c r="A274" s="132">
        <v>311</v>
      </c>
      <c r="B274" s="251" t="s">
        <v>894</v>
      </c>
      <c r="C274" s="11" t="s">
        <v>892</v>
      </c>
      <c r="D274" s="224">
        <v>62</v>
      </c>
      <c r="E274" s="225">
        <f t="shared" si="22"/>
        <v>30</v>
      </c>
      <c r="F274" s="226">
        <f t="shared" si="20"/>
        <v>1860</v>
      </c>
      <c r="G274" s="227">
        <v>450</v>
      </c>
      <c r="H274" s="228">
        <f t="shared" si="19"/>
        <v>2310</v>
      </c>
      <c r="I274" s="224">
        <f t="shared" ref="I274:I305" si="23">H274*0.1</f>
        <v>231</v>
      </c>
      <c r="J274" s="225">
        <f t="shared" ref="J274:J310" si="24">H274*0.9</f>
        <v>2079</v>
      </c>
      <c r="K274" s="11" t="s">
        <v>835</v>
      </c>
      <c r="L274" s="24"/>
      <c r="M274" s="178">
        <v>30</v>
      </c>
      <c r="N274" s="24"/>
      <c r="O274" s="24"/>
      <c r="P274" s="24"/>
      <c r="Q274" s="24"/>
      <c r="R274" s="24"/>
    </row>
    <row r="275" spans="1:18" s="177" customFormat="1" x14ac:dyDescent="0.35">
      <c r="A275" s="132">
        <v>312</v>
      </c>
      <c r="B275" s="251" t="s">
        <v>1004</v>
      </c>
      <c r="C275" s="11" t="s">
        <v>892</v>
      </c>
      <c r="D275" s="224">
        <v>62</v>
      </c>
      <c r="E275" s="225">
        <f t="shared" si="22"/>
        <v>30</v>
      </c>
      <c r="F275" s="226">
        <f t="shared" si="20"/>
        <v>1860</v>
      </c>
      <c r="G275" s="227">
        <v>450</v>
      </c>
      <c r="H275" s="228">
        <f t="shared" si="19"/>
        <v>2310</v>
      </c>
      <c r="I275" s="224">
        <f t="shared" si="23"/>
        <v>231</v>
      </c>
      <c r="J275" s="225">
        <f t="shared" si="24"/>
        <v>2079</v>
      </c>
      <c r="K275" s="11" t="s">
        <v>835</v>
      </c>
      <c r="L275" s="24"/>
      <c r="M275" s="178">
        <v>30</v>
      </c>
      <c r="N275" s="24"/>
      <c r="O275" s="24"/>
      <c r="P275" s="24"/>
      <c r="Q275" s="24"/>
      <c r="R275" s="24"/>
    </row>
    <row r="276" spans="1:18" s="177" customFormat="1" x14ac:dyDescent="0.35">
      <c r="A276" s="132">
        <v>313</v>
      </c>
      <c r="B276" s="251" t="s">
        <v>1005</v>
      </c>
      <c r="C276" s="11" t="s">
        <v>892</v>
      </c>
      <c r="D276" s="224">
        <v>62</v>
      </c>
      <c r="E276" s="225">
        <f t="shared" si="22"/>
        <v>30</v>
      </c>
      <c r="F276" s="226">
        <f t="shared" si="20"/>
        <v>1860</v>
      </c>
      <c r="G276" s="227">
        <v>450</v>
      </c>
      <c r="H276" s="228">
        <f t="shared" si="19"/>
        <v>2310</v>
      </c>
      <c r="I276" s="224">
        <f t="shared" si="23"/>
        <v>231</v>
      </c>
      <c r="J276" s="225">
        <f t="shared" si="24"/>
        <v>2079</v>
      </c>
      <c r="K276" s="11" t="s">
        <v>835</v>
      </c>
      <c r="L276" s="24"/>
      <c r="M276" s="178">
        <v>30</v>
      </c>
      <c r="N276" s="24"/>
      <c r="O276" s="24"/>
      <c r="P276" s="24"/>
      <c r="Q276" s="24"/>
      <c r="R276" s="24"/>
    </row>
    <row r="277" spans="1:18" s="177" customFormat="1" x14ac:dyDescent="0.35">
      <c r="A277" s="132">
        <v>314</v>
      </c>
      <c r="B277" s="251" t="s">
        <v>893</v>
      </c>
      <c r="C277" s="11" t="s">
        <v>892</v>
      </c>
      <c r="D277" s="224">
        <v>62</v>
      </c>
      <c r="E277" s="225">
        <f t="shared" si="22"/>
        <v>30</v>
      </c>
      <c r="F277" s="226">
        <f t="shared" si="20"/>
        <v>1860</v>
      </c>
      <c r="G277" s="227">
        <v>450</v>
      </c>
      <c r="H277" s="228">
        <f t="shared" ref="H277:H308" si="25">F277+G277</f>
        <v>2310</v>
      </c>
      <c r="I277" s="224">
        <f t="shared" si="23"/>
        <v>231</v>
      </c>
      <c r="J277" s="225">
        <f t="shared" si="24"/>
        <v>2079</v>
      </c>
      <c r="K277" s="11" t="s">
        <v>835</v>
      </c>
      <c r="L277" s="24"/>
      <c r="M277" s="178">
        <v>30</v>
      </c>
      <c r="N277" s="24"/>
      <c r="O277" s="24"/>
      <c r="P277" s="24"/>
      <c r="Q277" s="24"/>
      <c r="R277" s="24"/>
    </row>
    <row r="278" spans="1:18" s="177" customFormat="1" x14ac:dyDescent="0.35">
      <c r="A278" s="132">
        <v>317</v>
      </c>
      <c r="B278" s="229" t="s">
        <v>891</v>
      </c>
      <c r="C278" s="11" t="s">
        <v>890</v>
      </c>
      <c r="D278" s="224">
        <v>60</v>
      </c>
      <c r="E278" s="225">
        <f t="shared" si="22"/>
        <v>30</v>
      </c>
      <c r="F278" s="226">
        <f t="shared" si="20"/>
        <v>1800</v>
      </c>
      <c r="G278" s="227">
        <v>450</v>
      </c>
      <c r="H278" s="228">
        <f t="shared" si="25"/>
        <v>2250</v>
      </c>
      <c r="I278" s="224">
        <f t="shared" si="23"/>
        <v>225</v>
      </c>
      <c r="J278" s="225">
        <f t="shared" si="24"/>
        <v>2025</v>
      </c>
      <c r="K278" s="11" t="s">
        <v>835</v>
      </c>
      <c r="L278" s="24"/>
      <c r="M278" s="178">
        <v>30</v>
      </c>
      <c r="N278" s="24"/>
      <c r="O278" s="24"/>
      <c r="P278" s="24"/>
      <c r="Q278" s="24"/>
      <c r="R278" s="24"/>
    </row>
    <row r="279" spans="1:18" s="132" customFormat="1" x14ac:dyDescent="0.35">
      <c r="A279" s="132">
        <v>318</v>
      </c>
      <c r="B279" s="132" t="s">
        <v>889</v>
      </c>
      <c r="C279" s="132" t="s">
        <v>877</v>
      </c>
      <c r="D279" s="224">
        <v>46</v>
      </c>
      <c r="E279" s="225">
        <f t="shared" si="22"/>
        <v>60</v>
      </c>
      <c r="F279" s="226">
        <f t="shared" si="20"/>
        <v>2760</v>
      </c>
      <c r="G279" s="245">
        <v>500</v>
      </c>
      <c r="H279" s="228">
        <f t="shared" si="25"/>
        <v>3260</v>
      </c>
      <c r="I279" s="224">
        <f t="shared" si="23"/>
        <v>326</v>
      </c>
      <c r="J279" s="225">
        <f t="shared" si="24"/>
        <v>2934</v>
      </c>
      <c r="K279" s="132" t="s">
        <v>835</v>
      </c>
      <c r="L279" s="11"/>
      <c r="M279" s="142">
        <v>60</v>
      </c>
      <c r="N279" s="132">
        <v>60</v>
      </c>
      <c r="R279" s="11"/>
    </row>
    <row r="280" spans="1:18" s="132" customFormat="1" x14ac:dyDescent="0.35">
      <c r="A280" s="132">
        <v>319</v>
      </c>
      <c r="B280" s="132" t="s">
        <v>888</v>
      </c>
      <c r="C280" s="132" t="s">
        <v>877</v>
      </c>
      <c r="D280" s="224">
        <v>35</v>
      </c>
      <c r="E280" s="225">
        <f t="shared" si="22"/>
        <v>60</v>
      </c>
      <c r="F280" s="226">
        <f t="shared" si="20"/>
        <v>2100</v>
      </c>
      <c r="G280" s="245">
        <v>500</v>
      </c>
      <c r="H280" s="228">
        <f t="shared" si="25"/>
        <v>2600</v>
      </c>
      <c r="I280" s="224">
        <f t="shared" si="23"/>
        <v>260</v>
      </c>
      <c r="J280" s="225">
        <f t="shared" si="24"/>
        <v>2340</v>
      </c>
      <c r="K280" s="132" t="s">
        <v>835</v>
      </c>
      <c r="L280" s="11"/>
      <c r="M280" s="142">
        <v>60</v>
      </c>
      <c r="N280" s="132">
        <v>60</v>
      </c>
      <c r="R280" s="11"/>
    </row>
    <row r="281" spans="1:18" s="132" customFormat="1" x14ac:dyDescent="0.35">
      <c r="A281" s="132">
        <v>320</v>
      </c>
      <c r="B281" s="223" t="s">
        <v>887</v>
      </c>
      <c r="C281" s="132" t="s">
        <v>877</v>
      </c>
      <c r="D281" s="224">
        <v>60</v>
      </c>
      <c r="E281" s="225">
        <f t="shared" si="22"/>
        <v>60</v>
      </c>
      <c r="F281" s="226">
        <f t="shared" si="20"/>
        <v>3600</v>
      </c>
      <c r="G281" s="245">
        <v>500</v>
      </c>
      <c r="H281" s="228">
        <f t="shared" si="25"/>
        <v>4100</v>
      </c>
      <c r="I281" s="224">
        <f t="shared" si="23"/>
        <v>410</v>
      </c>
      <c r="J281" s="225">
        <f t="shared" si="24"/>
        <v>3690</v>
      </c>
      <c r="K281" s="132" t="s">
        <v>835</v>
      </c>
      <c r="L281" s="11"/>
      <c r="M281" s="142">
        <v>60</v>
      </c>
      <c r="R281" s="11"/>
    </row>
    <row r="282" spans="1:18" s="132" customFormat="1" x14ac:dyDescent="0.35">
      <c r="A282" s="132">
        <v>321</v>
      </c>
      <c r="B282" s="132" t="s">
        <v>885</v>
      </c>
      <c r="C282" s="132" t="s">
        <v>884</v>
      </c>
      <c r="D282" s="224">
        <v>60</v>
      </c>
      <c r="E282" s="225">
        <f t="shared" si="22"/>
        <v>60</v>
      </c>
      <c r="F282" s="226">
        <f t="shared" si="20"/>
        <v>3600</v>
      </c>
      <c r="G282" s="245">
        <v>500</v>
      </c>
      <c r="H282" s="228">
        <f t="shared" si="25"/>
        <v>4100</v>
      </c>
      <c r="I282" s="224">
        <f t="shared" si="23"/>
        <v>410</v>
      </c>
      <c r="J282" s="225">
        <f t="shared" si="24"/>
        <v>3690</v>
      </c>
      <c r="K282" s="132" t="s">
        <v>835</v>
      </c>
      <c r="L282" s="11"/>
      <c r="M282" s="142">
        <v>60</v>
      </c>
      <c r="N282" s="132">
        <v>66</v>
      </c>
      <c r="R282" s="11"/>
    </row>
    <row r="283" spans="1:18" s="132" customFormat="1" x14ac:dyDescent="0.35">
      <c r="A283" s="132">
        <v>322</v>
      </c>
      <c r="B283" s="132" t="s">
        <v>1065</v>
      </c>
      <c r="C283" s="132" t="s">
        <v>886</v>
      </c>
      <c r="D283" s="224">
        <v>65</v>
      </c>
      <c r="E283" s="225">
        <v>60</v>
      </c>
      <c r="F283" s="226">
        <f t="shared" ref="F283:F311" si="26">D283*E283</f>
        <v>3900</v>
      </c>
      <c r="G283" s="245">
        <v>500</v>
      </c>
      <c r="H283" s="228">
        <f t="shared" si="25"/>
        <v>4400</v>
      </c>
      <c r="I283" s="224">
        <f t="shared" si="23"/>
        <v>440</v>
      </c>
      <c r="J283" s="225">
        <f t="shared" si="24"/>
        <v>3960</v>
      </c>
      <c r="K283" s="132" t="s">
        <v>835</v>
      </c>
      <c r="L283" s="11"/>
      <c r="M283" s="142">
        <v>60</v>
      </c>
      <c r="N283" s="132">
        <v>60</v>
      </c>
      <c r="R283" s="11"/>
    </row>
    <row r="284" spans="1:18" s="132" customFormat="1" x14ac:dyDescent="0.35">
      <c r="A284" s="132">
        <v>323</v>
      </c>
      <c r="B284" s="132" t="s">
        <v>883</v>
      </c>
      <c r="C284" s="132" t="s">
        <v>884</v>
      </c>
      <c r="D284" s="224">
        <v>60</v>
      </c>
      <c r="E284" s="225">
        <f t="shared" ref="E284:E291" si="27">M284</f>
        <v>60</v>
      </c>
      <c r="F284" s="226">
        <f t="shared" si="26"/>
        <v>3600</v>
      </c>
      <c r="G284" s="245">
        <v>500</v>
      </c>
      <c r="H284" s="228">
        <f t="shared" si="25"/>
        <v>4100</v>
      </c>
      <c r="I284" s="224">
        <f t="shared" si="23"/>
        <v>410</v>
      </c>
      <c r="J284" s="225">
        <f t="shared" si="24"/>
        <v>3690</v>
      </c>
      <c r="K284" s="132" t="s">
        <v>835</v>
      </c>
      <c r="L284" s="11"/>
      <c r="M284" s="142">
        <v>60</v>
      </c>
      <c r="N284" s="132">
        <v>60</v>
      </c>
      <c r="R284" s="11"/>
    </row>
    <row r="285" spans="1:18" s="132" customFormat="1" x14ac:dyDescent="0.35">
      <c r="A285" s="132">
        <v>324</v>
      </c>
      <c r="B285" s="132" t="s">
        <v>882</v>
      </c>
      <c r="C285" s="132" t="s">
        <v>877</v>
      </c>
      <c r="D285" s="224">
        <v>46</v>
      </c>
      <c r="E285" s="225">
        <f t="shared" si="27"/>
        <v>60</v>
      </c>
      <c r="F285" s="226">
        <f t="shared" si="26"/>
        <v>2760</v>
      </c>
      <c r="G285" s="245">
        <v>500</v>
      </c>
      <c r="H285" s="228">
        <f t="shared" si="25"/>
        <v>3260</v>
      </c>
      <c r="I285" s="224">
        <f t="shared" si="23"/>
        <v>326</v>
      </c>
      <c r="J285" s="225">
        <f t="shared" si="24"/>
        <v>2934</v>
      </c>
      <c r="K285" s="132" t="s">
        <v>835</v>
      </c>
      <c r="L285" s="11"/>
      <c r="M285" s="142">
        <v>60</v>
      </c>
      <c r="N285" s="132">
        <v>57</v>
      </c>
      <c r="R285" s="11"/>
    </row>
    <row r="286" spans="1:18" s="132" customFormat="1" x14ac:dyDescent="0.35">
      <c r="A286" s="132">
        <v>325</v>
      </c>
      <c r="B286" s="132" t="s">
        <v>881</v>
      </c>
      <c r="C286" s="132" t="s">
        <v>877</v>
      </c>
      <c r="D286" s="224">
        <v>35</v>
      </c>
      <c r="E286" s="225">
        <f t="shared" si="27"/>
        <v>60</v>
      </c>
      <c r="F286" s="226">
        <f t="shared" si="26"/>
        <v>2100</v>
      </c>
      <c r="G286" s="245">
        <v>500</v>
      </c>
      <c r="H286" s="228">
        <f t="shared" si="25"/>
        <v>2600</v>
      </c>
      <c r="I286" s="224">
        <f t="shared" si="23"/>
        <v>260</v>
      </c>
      <c r="J286" s="225">
        <f t="shared" si="24"/>
        <v>2340</v>
      </c>
      <c r="K286" s="132" t="s">
        <v>835</v>
      </c>
      <c r="L286" s="11"/>
      <c r="M286" s="142">
        <v>60</v>
      </c>
      <c r="N286" s="132">
        <v>57</v>
      </c>
      <c r="R286" s="11"/>
    </row>
    <row r="287" spans="1:18" s="132" customFormat="1" x14ac:dyDescent="0.35">
      <c r="A287" s="132">
        <v>326</v>
      </c>
      <c r="B287" s="132" t="s">
        <v>880</v>
      </c>
      <c r="C287" s="132" t="s">
        <v>877</v>
      </c>
      <c r="D287" s="224">
        <v>45</v>
      </c>
      <c r="E287" s="225">
        <f t="shared" si="27"/>
        <v>60</v>
      </c>
      <c r="F287" s="226">
        <f t="shared" si="26"/>
        <v>2700</v>
      </c>
      <c r="G287" s="245">
        <v>500</v>
      </c>
      <c r="H287" s="228">
        <f t="shared" si="25"/>
        <v>3200</v>
      </c>
      <c r="I287" s="224">
        <f t="shared" si="23"/>
        <v>320</v>
      </c>
      <c r="J287" s="225">
        <f t="shared" si="24"/>
        <v>2880</v>
      </c>
      <c r="K287" s="132" t="s">
        <v>835</v>
      </c>
      <c r="L287" s="11"/>
      <c r="M287" s="142">
        <v>60</v>
      </c>
      <c r="R287" s="11"/>
    </row>
    <row r="288" spans="1:18" s="132" customFormat="1" x14ac:dyDescent="0.35">
      <c r="A288" s="132">
        <v>327</v>
      </c>
      <c r="B288" s="132" t="s">
        <v>879</v>
      </c>
      <c r="C288" s="132" t="s">
        <v>877</v>
      </c>
      <c r="D288" s="224">
        <v>46</v>
      </c>
      <c r="E288" s="225">
        <f t="shared" si="27"/>
        <v>60</v>
      </c>
      <c r="F288" s="226">
        <f t="shared" si="26"/>
        <v>2760</v>
      </c>
      <c r="G288" s="245">
        <v>500</v>
      </c>
      <c r="H288" s="228">
        <f t="shared" si="25"/>
        <v>3260</v>
      </c>
      <c r="I288" s="224">
        <f t="shared" si="23"/>
        <v>326</v>
      </c>
      <c r="J288" s="225">
        <f t="shared" si="24"/>
        <v>2934</v>
      </c>
      <c r="K288" s="132" t="s">
        <v>835</v>
      </c>
      <c r="L288" s="11"/>
      <c r="M288" s="142">
        <v>60</v>
      </c>
      <c r="R288" s="11"/>
    </row>
    <row r="289" spans="1:20" s="132" customFormat="1" x14ac:dyDescent="0.35">
      <c r="A289" s="132">
        <v>328</v>
      </c>
      <c r="B289" s="11" t="s">
        <v>878</v>
      </c>
      <c r="C289" s="132" t="s">
        <v>877</v>
      </c>
      <c r="D289" s="224">
        <v>50</v>
      </c>
      <c r="E289" s="225">
        <f t="shared" si="27"/>
        <v>60</v>
      </c>
      <c r="F289" s="226">
        <f t="shared" si="26"/>
        <v>3000</v>
      </c>
      <c r="G289" s="245">
        <v>500</v>
      </c>
      <c r="H289" s="228">
        <f t="shared" si="25"/>
        <v>3500</v>
      </c>
      <c r="I289" s="224">
        <f t="shared" si="23"/>
        <v>350</v>
      </c>
      <c r="J289" s="225">
        <f t="shared" si="24"/>
        <v>3150</v>
      </c>
      <c r="K289" s="132" t="s">
        <v>835</v>
      </c>
      <c r="L289" s="11"/>
      <c r="M289" s="142">
        <v>60</v>
      </c>
      <c r="N289" s="141">
        <v>30</v>
      </c>
      <c r="R289" s="11"/>
    </row>
    <row r="290" spans="1:20" s="132" customFormat="1" x14ac:dyDescent="0.35">
      <c r="A290" s="132">
        <v>329</v>
      </c>
      <c r="B290" s="11" t="s">
        <v>1066</v>
      </c>
      <c r="C290" s="132" t="s">
        <v>877</v>
      </c>
      <c r="D290" s="224">
        <v>70</v>
      </c>
      <c r="E290" s="225">
        <f t="shared" si="27"/>
        <v>60</v>
      </c>
      <c r="F290" s="226">
        <f t="shared" si="26"/>
        <v>4200</v>
      </c>
      <c r="G290" s="245">
        <v>600</v>
      </c>
      <c r="H290" s="228">
        <f t="shared" si="25"/>
        <v>4800</v>
      </c>
      <c r="I290" s="224">
        <f t="shared" si="23"/>
        <v>480</v>
      </c>
      <c r="J290" s="225">
        <f t="shared" si="24"/>
        <v>4320</v>
      </c>
      <c r="K290" s="132" t="s">
        <v>835</v>
      </c>
      <c r="L290" s="11"/>
      <c r="M290" s="142">
        <v>60</v>
      </c>
      <c r="N290" s="141"/>
      <c r="R290" s="11"/>
    </row>
    <row r="291" spans="1:20" s="177" customFormat="1" x14ac:dyDescent="0.35">
      <c r="A291" s="132">
        <v>330</v>
      </c>
      <c r="B291" s="11" t="s">
        <v>876</v>
      </c>
      <c r="C291" s="11" t="s">
        <v>874</v>
      </c>
      <c r="D291" s="224">
        <v>105</v>
      </c>
      <c r="E291" s="225">
        <f t="shared" si="27"/>
        <v>60</v>
      </c>
      <c r="F291" s="226">
        <f t="shared" si="26"/>
        <v>6300</v>
      </c>
      <c r="G291" s="245">
        <v>700</v>
      </c>
      <c r="H291" s="228">
        <f t="shared" si="25"/>
        <v>7000</v>
      </c>
      <c r="I291" s="224">
        <f t="shared" si="23"/>
        <v>700</v>
      </c>
      <c r="J291" s="225">
        <f t="shared" si="24"/>
        <v>6300</v>
      </c>
      <c r="K291" s="11" t="s">
        <v>835</v>
      </c>
      <c r="L291" s="24"/>
      <c r="M291" s="178">
        <v>60</v>
      </c>
      <c r="N291" s="177">
        <v>60</v>
      </c>
      <c r="R291" s="24"/>
    </row>
    <row r="292" spans="1:20" s="177" customFormat="1" x14ac:dyDescent="0.35">
      <c r="A292" s="132">
        <v>331</v>
      </c>
      <c r="B292" s="11" t="s">
        <v>875</v>
      </c>
      <c r="C292" s="11" t="s">
        <v>874</v>
      </c>
      <c r="D292" s="224">
        <v>105</v>
      </c>
      <c r="E292" s="225">
        <f t="shared" ref="E292:E293" si="28">M292</f>
        <v>60</v>
      </c>
      <c r="F292" s="226">
        <f t="shared" si="26"/>
        <v>6300</v>
      </c>
      <c r="G292" s="245">
        <v>700</v>
      </c>
      <c r="H292" s="228">
        <f t="shared" si="25"/>
        <v>7000</v>
      </c>
      <c r="I292" s="224">
        <f t="shared" si="23"/>
        <v>700</v>
      </c>
      <c r="J292" s="225">
        <f t="shared" si="24"/>
        <v>6300</v>
      </c>
      <c r="K292" s="11" t="s">
        <v>835</v>
      </c>
      <c r="L292" s="24"/>
      <c r="M292" s="178">
        <v>60</v>
      </c>
      <c r="N292" s="177">
        <v>54</v>
      </c>
      <c r="R292" s="24"/>
    </row>
    <row r="293" spans="1:20" s="177" customFormat="1" x14ac:dyDescent="0.35">
      <c r="A293" s="132">
        <v>332</v>
      </c>
      <c r="B293" s="11" t="s">
        <v>1074</v>
      </c>
      <c r="C293" s="11" t="s">
        <v>873</v>
      </c>
      <c r="D293" s="224">
        <v>88</v>
      </c>
      <c r="E293" s="225">
        <f t="shared" si="28"/>
        <v>60</v>
      </c>
      <c r="F293" s="226">
        <f t="shared" si="26"/>
        <v>5280</v>
      </c>
      <c r="G293" s="245">
        <v>640</v>
      </c>
      <c r="H293" s="228">
        <f t="shared" si="25"/>
        <v>5920</v>
      </c>
      <c r="I293" s="224">
        <f t="shared" si="23"/>
        <v>592</v>
      </c>
      <c r="J293" s="225">
        <f t="shared" si="24"/>
        <v>5328</v>
      </c>
      <c r="K293" s="11" t="s">
        <v>835</v>
      </c>
      <c r="L293" s="24"/>
      <c r="M293" s="178">
        <v>60</v>
      </c>
      <c r="R293" s="24"/>
    </row>
    <row r="294" spans="1:20" s="177" customFormat="1" x14ac:dyDescent="0.35">
      <c r="A294" s="132">
        <v>333</v>
      </c>
      <c r="B294" s="11" t="s">
        <v>1059</v>
      </c>
      <c r="C294" s="11" t="s">
        <v>872</v>
      </c>
      <c r="D294" s="224">
        <v>75</v>
      </c>
      <c r="E294" s="225">
        <v>60</v>
      </c>
      <c r="F294" s="226">
        <f t="shared" si="26"/>
        <v>4500</v>
      </c>
      <c r="G294" s="245">
        <v>600</v>
      </c>
      <c r="H294" s="228">
        <f t="shared" si="25"/>
        <v>5100</v>
      </c>
      <c r="I294" s="224">
        <f t="shared" si="23"/>
        <v>510</v>
      </c>
      <c r="J294" s="225">
        <f t="shared" si="24"/>
        <v>4590</v>
      </c>
      <c r="K294" s="11" t="s">
        <v>835</v>
      </c>
      <c r="L294" s="24"/>
      <c r="M294" s="178">
        <v>60</v>
      </c>
      <c r="R294" s="24"/>
    </row>
    <row r="295" spans="1:20" s="177" customFormat="1" x14ac:dyDescent="0.35">
      <c r="A295" s="132">
        <v>334</v>
      </c>
      <c r="B295" s="11" t="s">
        <v>1060</v>
      </c>
      <c r="C295" s="11" t="s">
        <v>872</v>
      </c>
      <c r="D295" s="224">
        <v>85</v>
      </c>
      <c r="E295" s="225">
        <v>60</v>
      </c>
      <c r="F295" s="226">
        <f t="shared" si="26"/>
        <v>5100</v>
      </c>
      <c r="G295" s="245">
        <v>660</v>
      </c>
      <c r="H295" s="228">
        <f t="shared" si="25"/>
        <v>5760</v>
      </c>
      <c r="I295" s="224">
        <f t="shared" si="23"/>
        <v>576</v>
      </c>
      <c r="J295" s="225">
        <f t="shared" si="24"/>
        <v>5184</v>
      </c>
      <c r="K295" s="11" t="s">
        <v>835</v>
      </c>
      <c r="L295" s="24"/>
      <c r="M295" s="178">
        <v>60</v>
      </c>
      <c r="R295" s="24"/>
    </row>
    <row r="296" spans="1:20" s="177" customFormat="1" x14ac:dyDescent="0.35">
      <c r="A296" s="132">
        <v>335</v>
      </c>
      <c r="B296" s="11" t="s">
        <v>1072</v>
      </c>
      <c r="C296" s="11" t="s">
        <v>872</v>
      </c>
      <c r="D296" s="224">
        <v>82</v>
      </c>
      <c r="E296" s="225">
        <v>60</v>
      </c>
      <c r="F296" s="226">
        <f t="shared" si="26"/>
        <v>4920</v>
      </c>
      <c r="G296" s="245">
        <v>640</v>
      </c>
      <c r="H296" s="228">
        <f t="shared" si="25"/>
        <v>5560</v>
      </c>
      <c r="I296" s="224">
        <f t="shared" si="23"/>
        <v>556</v>
      </c>
      <c r="J296" s="225">
        <f t="shared" si="24"/>
        <v>5004</v>
      </c>
      <c r="K296" s="11" t="s">
        <v>835</v>
      </c>
      <c r="L296" s="24"/>
      <c r="M296" s="178">
        <v>60</v>
      </c>
      <c r="R296" s="24"/>
    </row>
    <row r="297" spans="1:20" s="177" customFormat="1" x14ac:dyDescent="0.35">
      <c r="A297" s="132">
        <v>336</v>
      </c>
      <c r="B297" s="11" t="s">
        <v>1067</v>
      </c>
      <c r="C297" s="11" t="s">
        <v>873</v>
      </c>
      <c r="D297" s="224">
        <v>48</v>
      </c>
      <c r="E297" s="225">
        <v>60</v>
      </c>
      <c r="F297" s="226">
        <f t="shared" si="26"/>
        <v>2880</v>
      </c>
      <c r="G297" s="245">
        <v>500</v>
      </c>
      <c r="H297" s="228">
        <f t="shared" si="25"/>
        <v>3380</v>
      </c>
      <c r="I297" s="224">
        <f t="shared" si="23"/>
        <v>338</v>
      </c>
      <c r="J297" s="225">
        <f t="shared" si="24"/>
        <v>3042</v>
      </c>
      <c r="K297" s="11" t="s">
        <v>835</v>
      </c>
      <c r="L297" s="24"/>
      <c r="M297" s="178">
        <v>60</v>
      </c>
      <c r="R297" s="24"/>
    </row>
    <row r="298" spans="1:20" s="177" customFormat="1" x14ac:dyDescent="0.35">
      <c r="A298" s="132">
        <v>337</v>
      </c>
      <c r="B298" s="11" t="s">
        <v>1068</v>
      </c>
      <c r="C298" s="11" t="s">
        <v>1070</v>
      </c>
      <c r="D298" s="224">
        <v>65</v>
      </c>
      <c r="E298" s="225">
        <v>60</v>
      </c>
      <c r="F298" s="226">
        <f t="shared" si="26"/>
        <v>3900</v>
      </c>
      <c r="G298" s="227">
        <v>600</v>
      </c>
      <c r="H298" s="228">
        <f t="shared" si="25"/>
        <v>4500</v>
      </c>
      <c r="I298" s="224">
        <f t="shared" si="23"/>
        <v>450</v>
      </c>
      <c r="J298" s="225">
        <f t="shared" si="24"/>
        <v>4050</v>
      </c>
      <c r="K298" s="11" t="s">
        <v>835</v>
      </c>
      <c r="L298" s="24"/>
      <c r="M298" s="178">
        <v>60</v>
      </c>
      <c r="R298" s="24"/>
    </row>
    <row r="299" spans="1:20" s="177" customFormat="1" x14ac:dyDescent="0.35">
      <c r="A299" s="132">
        <v>338</v>
      </c>
      <c r="B299" s="11" t="s">
        <v>1069</v>
      </c>
      <c r="C299" s="11" t="s">
        <v>1070</v>
      </c>
      <c r="D299" s="224">
        <v>65</v>
      </c>
      <c r="E299" s="225">
        <v>60</v>
      </c>
      <c r="F299" s="226">
        <f t="shared" si="26"/>
        <v>3900</v>
      </c>
      <c r="G299" s="227">
        <v>600</v>
      </c>
      <c r="H299" s="228">
        <f t="shared" si="25"/>
        <v>4500</v>
      </c>
      <c r="I299" s="224">
        <f t="shared" si="23"/>
        <v>450</v>
      </c>
      <c r="J299" s="225">
        <f t="shared" si="24"/>
        <v>4050</v>
      </c>
      <c r="K299" s="11" t="s">
        <v>835</v>
      </c>
      <c r="L299" s="24"/>
      <c r="M299" s="178">
        <v>60</v>
      </c>
      <c r="R299" s="24"/>
    </row>
    <row r="300" spans="1:20" s="177" customFormat="1" x14ac:dyDescent="0.35">
      <c r="A300" s="132">
        <v>339</v>
      </c>
      <c r="B300" s="11" t="s">
        <v>964</v>
      </c>
      <c r="C300" s="11" t="s">
        <v>1070</v>
      </c>
      <c r="D300" s="224">
        <v>70</v>
      </c>
      <c r="E300" s="225">
        <v>60</v>
      </c>
      <c r="F300" s="226">
        <f t="shared" si="26"/>
        <v>4200</v>
      </c>
      <c r="G300" s="227">
        <v>600</v>
      </c>
      <c r="H300" s="228">
        <f t="shared" si="25"/>
        <v>4800</v>
      </c>
      <c r="I300" s="224">
        <f t="shared" si="23"/>
        <v>480</v>
      </c>
      <c r="J300" s="225">
        <f t="shared" si="24"/>
        <v>4320</v>
      </c>
      <c r="K300" s="11" t="s">
        <v>835</v>
      </c>
      <c r="L300" s="24"/>
      <c r="M300" s="178">
        <v>60</v>
      </c>
      <c r="R300" s="24"/>
    </row>
    <row r="301" spans="1:20" s="177" customFormat="1" x14ac:dyDescent="0.35">
      <c r="A301" s="132">
        <v>340</v>
      </c>
      <c r="B301" s="11" t="s">
        <v>1071</v>
      </c>
      <c r="C301" s="11" t="s">
        <v>1070</v>
      </c>
      <c r="D301" s="224">
        <v>65</v>
      </c>
      <c r="E301" s="225">
        <v>60</v>
      </c>
      <c r="F301" s="226">
        <f t="shared" si="26"/>
        <v>3900</v>
      </c>
      <c r="G301" s="227">
        <v>600</v>
      </c>
      <c r="H301" s="228">
        <f t="shared" si="25"/>
        <v>4500</v>
      </c>
      <c r="I301" s="224">
        <f t="shared" si="23"/>
        <v>450</v>
      </c>
      <c r="J301" s="225">
        <f t="shared" si="24"/>
        <v>4050</v>
      </c>
      <c r="K301" s="11" t="s">
        <v>835</v>
      </c>
      <c r="L301" s="24"/>
      <c r="M301" s="178">
        <v>60</v>
      </c>
      <c r="R301" s="24"/>
    </row>
    <row r="302" spans="1:20" s="177" customFormat="1" x14ac:dyDescent="0.35">
      <c r="A302" s="132">
        <v>341</v>
      </c>
      <c r="B302" s="11" t="s">
        <v>1073</v>
      </c>
      <c r="C302" s="11" t="s">
        <v>873</v>
      </c>
      <c r="D302" s="224">
        <v>40</v>
      </c>
      <c r="E302" s="225">
        <v>60</v>
      </c>
      <c r="F302" s="226">
        <f t="shared" si="26"/>
        <v>2400</v>
      </c>
      <c r="G302" s="227">
        <v>400</v>
      </c>
      <c r="H302" s="228">
        <f t="shared" si="25"/>
        <v>2800</v>
      </c>
      <c r="I302" s="224">
        <f t="shared" si="23"/>
        <v>280</v>
      </c>
      <c r="J302" s="225">
        <f t="shared" si="24"/>
        <v>2520</v>
      </c>
      <c r="K302" s="11" t="s">
        <v>835</v>
      </c>
      <c r="L302" s="24"/>
      <c r="M302" s="178">
        <v>60</v>
      </c>
      <c r="R302" s="24"/>
    </row>
    <row r="303" spans="1:20" s="177" customFormat="1" x14ac:dyDescent="0.35">
      <c r="A303" s="132">
        <v>342</v>
      </c>
      <c r="B303" s="132" t="s">
        <v>1043</v>
      </c>
      <c r="C303" s="11" t="s">
        <v>857</v>
      </c>
      <c r="D303" s="224">
        <v>70</v>
      </c>
      <c r="E303" s="225">
        <f t="shared" ref="E303:E309" si="29">M303</f>
        <v>60</v>
      </c>
      <c r="F303" s="226">
        <f t="shared" si="26"/>
        <v>4200</v>
      </c>
      <c r="G303" s="227">
        <v>600</v>
      </c>
      <c r="H303" s="228">
        <f t="shared" si="25"/>
        <v>4800</v>
      </c>
      <c r="I303" s="224">
        <f t="shared" si="23"/>
        <v>480</v>
      </c>
      <c r="J303" s="225">
        <f t="shared" si="24"/>
        <v>4320</v>
      </c>
      <c r="K303" s="132" t="s">
        <v>835</v>
      </c>
      <c r="L303" s="24"/>
      <c r="M303" s="178">
        <v>60</v>
      </c>
      <c r="N303" s="177">
        <v>42</v>
      </c>
      <c r="R303" s="24"/>
      <c r="T303" s="180"/>
    </row>
    <row r="304" spans="1:20" s="177" customFormat="1" x14ac:dyDescent="0.35">
      <c r="A304" s="132">
        <v>343</v>
      </c>
      <c r="B304" s="11" t="s">
        <v>1044</v>
      </c>
      <c r="C304" s="11" t="s">
        <v>857</v>
      </c>
      <c r="D304" s="224">
        <v>68</v>
      </c>
      <c r="E304" s="225">
        <f t="shared" si="29"/>
        <v>60</v>
      </c>
      <c r="F304" s="226">
        <f t="shared" si="26"/>
        <v>4080</v>
      </c>
      <c r="G304" s="227">
        <v>600</v>
      </c>
      <c r="H304" s="228">
        <f t="shared" si="25"/>
        <v>4680</v>
      </c>
      <c r="I304" s="224">
        <f t="shared" si="23"/>
        <v>468</v>
      </c>
      <c r="J304" s="225">
        <f t="shared" si="24"/>
        <v>4212</v>
      </c>
      <c r="K304" s="11" t="s">
        <v>835</v>
      </c>
      <c r="L304" s="24"/>
      <c r="M304" s="178">
        <v>60</v>
      </c>
      <c r="N304" s="179"/>
      <c r="R304" s="24"/>
      <c r="T304" s="180"/>
    </row>
    <row r="305" spans="1:20" s="177" customFormat="1" x14ac:dyDescent="0.35">
      <c r="A305" s="132">
        <v>344</v>
      </c>
      <c r="B305" s="11" t="s">
        <v>1045</v>
      </c>
      <c r="C305" s="11" t="s">
        <v>857</v>
      </c>
      <c r="D305" s="224">
        <v>52</v>
      </c>
      <c r="E305" s="225">
        <f t="shared" si="29"/>
        <v>60</v>
      </c>
      <c r="F305" s="226">
        <f t="shared" si="26"/>
        <v>3120</v>
      </c>
      <c r="G305" s="227">
        <v>400</v>
      </c>
      <c r="H305" s="228">
        <f t="shared" si="25"/>
        <v>3520</v>
      </c>
      <c r="I305" s="224">
        <f t="shared" si="23"/>
        <v>352</v>
      </c>
      <c r="J305" s="225">
        <f t="shared" si="24"/>
        <v>3168</v>
      </c>
      <c r="K305" s="11" t="s">
        <v>835</v>
      </c>
      <c r="L305" s="24"/>
      <c r="M305" s="178">
        <v>60</v>
      </c>
      <c r="N305" s="179"/>
      <c r="R305" s="24"/>
      <c r="T305" s="180"/>
    </row>
    <row r="306" spans="1:20" s="177" customFormat="1" x14ac:dyDescent="0.35">
      <c r="A306" s="132">
        <v>345</v>
      </c>
      <c r="B306" s="11" t="s">
        <v>1046</v>
      </c>
      <c r="C306" s="11" t="s">
        <v>857</v>
      </c>
      <c r="D306" s="224">
        <v>65</v>
      </c>
      <c r="E306" s="225">
        <f t="shared" si="29"/>
        <v>60</v>
      </c>
      <c r="F306" s="226">
        <f t="shared" si="26"/>
        <v>3900</v>
      </c>
      <c r="G306" s="227">
        <v>600</v>
      </c>
      <c r="H306" s="228">
        <f t="shared" si="25"/>
        <v>4500</v>
      </c>
      <c r="I306" s="224">
        <f t="shared" ref="I306:I311" si="30">H306*0.1</f>
        <v>450</v>
      </c>
      <c r="J306" s="225">
        <f t="shared" si="24"/>
        <v>4050</v>
      </c>
      <c r="K306" s="11" t="s">
        <v>835</v>
      </c>
      <c r="L306" s="24"/>
      <c r="M306" s="178">
        <v>60</v>
      </c>
      <c r="N306" s="179"/>
      <c r="R306" s="24"/>
      <c r="T306" s="180"/>
    </row>
    <row r="307" spans="1:20" s="177" customFormat="1" x14ac:dyDescent="0.35">
      <c r="A307" s="132">
        <v>346</v>
      </c>
      <c r="B307" s="132" t="s">
        <v>1047</v>
      </c>
      <c r="C307" s="11" t="s">
        <v>857</v>
      </c>
      <c r="D307" s="224">
        <v>65</v>
      </c>
      <c r="E307" s="225">
        <f t="shared" si="29"/>
        <v>60</v>
      </c>
      <c r="F307" s="226">
        <f t="shared" si="26"/>
        <v>3900</v>
      </c>
      <c r="G307" s="227">
        <v>600</v>
      </c>
      <c r="H307" s="228">
        <f t="shared" si="25"/>
        <v>4500</v>
      </c>
      <c r="I307" s="224">
        <f t="shared" si="30"/>
        <v>450</v>
      </c>
      <c r="J307" s="225">
        <f t="shared" si="24"/>
        <v>4050</v>
      </c>
      <c r="K307" s="132" t="s">
        <v>835</v>
      </c>
      <c r="L307" s="24"/>
      <c r="M307" s="178">
        <v>60</v>
      </c>
      <c r="N307" s="177">
        <v>54</v>
      </c>
      <c r="R307" s="24"/>
      <c r="T307" s="180"/>
    </row>
    <row r="308" spans="1:20" s="177" customFormat="1" x14ac:dyDescent="0.35">
      <c r="A308" s="132">
        <v>347</v>
      </c>
      <c r="B308" s="11" t="s">
        <v>1048</v>
      </c>
      <c r="C308" s="11" t="s">
        <v>857</v>
      </c>
      <c r="D308" s="224">
        <v>65</v>
      </c>
      <c r="E308" s="225">
        <f t="shared" si="29"/>
        <v>60</v>
      </c>
      <c r="F308" s="226">
        <f t="shared" si="26"/>
        <v>3900</v>
      </c>
      <c r="G308" s="227">
        <v>600</v>
      </c>
      <c r="H308" s="228">
        <f t="shared" si="25"/>
        <v>4500</v>
      </c>
      <c r="I308" s="224">
        <f t="shared" si="30"/>
        <v>450</v>
      </c>
      <c r="J308" s="225">
        <f t="shared" si="24"/>
        <v>4050</v>
      </c>
      <c r="K308" s="11" t="s">
        <v>835</v>
      </c>
      <c r="L308" s="24"/>
      <c r="M308" s="178">
        <v>60</v>
      </c>
      <c r="N308" s="179"/>
      <c r="R308" s="24"/>
      <c r="T308" s="180"/>
    </row>
    <row r="309" spans="1:20" s="177" customFormat="1" x14ac:dyDescent="0.35">
      <c r="A309" s="132">
        <v>348</v>
      </c>
      <c r="B309" s="11" t="s">
        <v>1049</v>
      </c>
      <c r="C309" s="11" t="s">
        <v>857</v>
      </c>
      <c r="D309" s="224">
        <v>65</v>
      </c>
      <c r="E309" s="225">
        <f t="shared" si="29"/>
        <v>60</v>
      </c>
      <c r="F309" s="226">
        <f t="shared" si="26"/>
        <v>3900</v>
      </c>
      <c r="G309" s="227">
        <v>600</v>
      </c>
      <c r="H309" s="228">
        <f t="shared" ref="H309:H311" si="31">F309+G309</f>
        <v>4500</v>
      </c>
      <c r="I309" s="224">
        <f t="shared" si="30"/>
        <v>450</v>
      </c>
      <c r="J309" s="225">
        <f t="shared" si="24"/>
        <v>4050</v>
      </c>
      <c r="K309" s="11" t="s">
        <v>835</v>
      </c>
      <c r="L309" s="24"/>
      <c r="M309" s="178">
        <v>60</v>
      </c>
      <c r="N309" s="179"/>
      <c r="R309" s="24"/>
      <c r="T309" s="180"/>
    </row>
    <row r="310" spans="1:20" s="177" customFormat="1" x14ac:dyDescent="0.35">
      <c r="A310" s="132">
        <v>349</v>
      </c>
      <c r="B310" s="11" t="s">
        <v>1051</v>
      </c>
      <c r="C310" s="11" t="s">
        <v>857</v>
      </c>
      <c r="D310" s="224">
        <v>65</v>
      </c>
      <c r="E310" s="225">
        <v>60</v>
      </c>
      <c r="F310" s="226">
        <f t="shared" si="26"/>
        <v>3900</v>
      </c>
      <c r="G310" s="227">
        <v>600</v>
      </c>
      <c r="H310" s="228">
        <f t="shared" si="31"/>
        <v>4500</v>
      </c>
      <c r="I310" s="224">
        <f t="shared" si="30"/>
        <v>450</v>
      </c>
      <c r="J310" s="225">
        <f t="shared" si="24"/>
        <v>4050</v>
      </c>
      <c r="K310" s="11" t="s">
        <v>835</v>
      </c>
      <c r="L310" s="24"/>
      <c r="M310" s="178">
        <v>60</v>
      </c>
      <c r="N310" s="179"/>
      <c r="R310" s="24"/>
      <c r="T310" s="180"/>
    </row>
    <row r="311" spans="1:20" s="177" customFormat="1" x14ac:dyDescent="0.35">
      <c r="A311" s="132">
        <v>350</v>
      </c>
      <c r="B311" s="11" t="s">
        <v>1050</v>
      </c>
      <c r="C311" s="11" t="s">
        <v>857</v>
      </c>
      <c r="D311" s="224">
        <v>52</v>
      </c>
      <c r="E311" s="225">
        <f>M311</f>
        <v>60</v>
      </c>
      <c r="F311" s="226">
        <f t="shared" si="26"/>
        <v>3120</v>
      </c>
      <c r="G311" s="227">
        <v>400</v>
      </c>
      <c r="H311" s="228">
        <f t="shared" si="31"/>
        <v>3520</v>
      </c>
      <c r="I311" s="224">
        <f t="shared" si="30"/>
        <v>352</v>
      </c>
      <c r="J311" s="225">
        <f t="shared" ref="J311:J374" si="32">H311*0.9</f>
        <v>3168</v>
      </c>
      <c r="K311" s="11" t="s">
        <v>835</v>
      </c>
      <c r="L311" s="24"/>
      <c r="M311" s="178">
        <v>60</v>
      </c>
      <c r="N311" s="179"/>
      <c r="R311" s="24"/>
      <c r="T311" s="180"/>
    </row>
    <row r="312" spans="1:20" s="132" customFormat="1" x14ac:dyDescent="0.35">
      <c r="A312" s="132">
        <v>351</v>
      </c>
      <c r="B312" s="132" t="s">
        <v>871</v>
      </c>
      <c r="C312" s="132" t="s">
        <v>867</v>
      </c>
      <c r="D312" s="224">
        <v>50</v>
      </c>
      <c r="E312" s="227">
        <v>60</v>
      </c>
      <c r="F312" s="226">
        <f t="shared" ref="F312:F326" si="33">D312*E312</f>
        <v>3000</v>
      </c>
      <c r="G312" s="245">
        <v>400</v>
      </c>
      <c r="H312" s="228">
        <f t="shared" ref="H312:H314" si="34">F312+G312</f>
        <v>3400</v>
      </c>
      <c r="I312" s="224">
        <f t="shared" ref="I312:I317" si="35">H312*0.1</f>
        <v>340</v>
      </c>
      <c r="J312" s="225">
        <f t="shared" si="32"/>
        <v>3060</v>
      </c>
      <c r="K312" s="11" t="s">
        <v>835</v>
      </c>
      <c r="L312" s="11"/>
      <c r="M312" s="142">
        <v>60</v>
      </c>
      <c r="R312" s="11"/>
      <c r="T312" s="133"/>
    </row>
    <row r="313" spans="1:20" s="132" customFormat="1" x14ac:dyDescent="0.35">
      <c r="A313" s="132">
        <v>352</v>
      </c>
      <c r="B313" s="11" t="s">
        <v>870</v>
      </c>
      <c r="C313" s="11" t="s">
        <v>869</v>
      </c>
      <c r="D313" s="224">
        <v>50</v>
      </c>
      <c r="E313" s="227">
        <v>60</v>
      </c>
      <c r="F313" s="226">
        <f t="shared" si="33"/>
        <v>3000</v>
      </c>
      <c r="G313" s="245">
        <v>400</v>
      </c>
      <c r="H313" s="228">
        <f t="shared" si="34"/>
        <v>3400</v>
      </c>
      <c r="I313" s="224">
        <f t="shared" si="35"/>
        <v>340</v>
      </c>
      <c r="J313" s="225">
        <f t="shared" si="32"/>
        <v>3060</v>
      </c>
      <c r="K313" s="11" t="s">
        <v>835</v>
      </c>
      <c r="L313" s="11"/>
      <c r="M313" s="142">
        <v>60</v>
      </c>
      <c r="R313" s="11"/>
      <c r="T313" s="133"/>
    </row>
    <row r="314" spans="1:20" s="132" customFormat="1" x14ac:dyDescent="0.35">
      <c r="A314" s="132">
        <v>353</v>
      </c>
      <c r="B314" s="132" t="s">
        <v>868</v>
      </c>
      <c r="C314" s="132" t="s">
        <v>867</v>
      </c>
      <c r="D314" s="224">
        <v>50</v>
      </c>
      <c r="E314" s="227">
        <v>60</v>
      </c>
      <c r="F314" s="226">
        <f t="shared" si="33"/>
        <v>3000</v>
      </c>
      <c r="G314" s="245">
        <v>400</v>
      </c>
      <c r="H314" s="228">
        <f t="shared" si="34"/>
        <v>3400</v>
      </c>
      <c r="I314" s="224">
        <f t="shared" si="35"/>
        <v>340</v>
      </c>
      <c r="J314" s="225">
        <f t="shared" si="32"/>
        <v>3060</v>
      </c>
      <c r="K314" s="132" t="s">
        <v>835</v>
      </c>
      <c r="L314" s="11"/>
      <c r="M314" s="142">
        <v>60</v>
      </c>
      <c r="R314" s="11"/>
      <c r="T314" s="133"/>
    </row>
    <row r="315" spans="1:20" s="132" customFormat="1" x14ac:dyDescent="0.35">
      <c r="A315" s="132">
        <v>354</v>
      </c>
      <c r="B315" s="11" t="s">
        <v>866</v>
      </c>
      <c r="C315" s="11" t="s">
        <v>863</v>
      </c>
      <c r="D315" s="224">
        <v>65</v>
      </c>
      <c r="E315" s="227">
        <v>60</v>
      </c>
      <c r="F315" s="226">
        <f t="shared" si="33"/>
        <v>3900</v>
      </c>
      <c r="G315" s="227">
        <v>600</v>
      </c>
      <c r="H315" s="228">
        <f t="shared" ref="H315:H378" si="36">F315+G315</f>
        <v>4500</v>
      </c>
      <c r="I315" s="224">
        <f t="shared" si="35"/>
        <v>450</v>
      </c>
      <c r="J315" s="225">
        <f t="shared" si="32"/>
        <v>4050</v>
      </c>
      <c r="K315" s="11" t="s">
        <v>835</v>
      </c>
      <c r="M315" s="142">
        <v>60</v>
      </c>
      <c r="N315" s="141">
        <v>65</v>
      </c>
      <c r="R315" s="11"/>
      <c r="T315" s="133"/>
    </row>
    <row r="316" spans="1:20" s="132" customFormat="1" x14ac:dyDescent="0.35">
      <c r="A316" s="132">
        <v>355</v>
      </c>
      <c r="B316" s="11" t="s">
        <v>865</v>
      </c>
      <c r="C316" s="11" t="s">
        <v>863</v>
      </c>
      <c r="D316" s="224">
        <v>60</v>
      </c>
      <c r="E316" s="227">
        <v>60</v>
      </c>
      <c r="F316" s="226">
        <f t="shared" si="33"/>
        <v>3600</v>
      </c>
      <c r="G316" s="227">
        <v>600</v>
      </c>
      <c r="H316" s="228">
        <f t="shared" si="36"/>
        <v>4200</v>
      </c>
      <c r="I316" s="224">
        <f t="shared" si="35"/>
        <v>420</v>
      </c>
      <c r="J316" s="225">
        <f t="shared" si="32"/>
        <v>3780</v>
      </c>
      <c r="K316" s="11" t="s">
        <v>835</v>
      </c>
      <c r="M316" s="142">
        <v>60</v>
      </c>
      <c r="N316" s="141">
        <v>55</v>
      </c>
      <c r="R316" s="11"/>
      <c r="T316" s="133"/>
    </row>
    <row r="317" spans="1:20" s="132" customFormat="1" x14ac:dyDescent="0.35">
      <c r="A317" s="132">
        <v>356</v>
      </c>
      <c r="B317" s="11" t="s">
        <v>864</v>
      </c>
      <c r="C317" s="11" t="s">
        <v>863</v>
      </c>
      <c r="D317" s="224">
        <v>60</v>
      </c>
      <c r="E317" s="227">
        <v>60</v>
      </c>
      <c r="F317" s="226">
        <f t="shared" si="33"/>
        <v>3600</v>
      </c>
      <c r="G317" s="227">
        <v>600</v>
      </c>
      <c r="H317" s="228">
        <f t="shared" si="36"/>
        <v>4200</v>
      </c>
      <c r="I317" s="224">
        <f t="shared" si="35"/>
        <v>420</v>
      </c>
      <c r="J317" s="225">
        <f t="shared" si="32"/>
        <v>3780</v>
      </c>
      <c r="K317" s="11" t="s">
        <v>835</v>
      </c>
      <c r="M317" s="142">
        <v>60</v>
      </c>
      <c r="N317" s="141">
        <v>55</v>
      </c>
      <c r="R317" s="11"/>
      <c r="T317" s="133"/>
    </row>
    <row r="318" spans="1:20" s="177" customFormat="1" x14ac:dyDescent="0.35">
      <c r="A318" s="132">
        <v>357</v>
      </c>
      <c r="B318" s="132" t="s">
        <v>1052</v>
      </c>
      <c r="C318" s="132" t="s">
        <v>857</v>
      </c>
      <c r="D318" s="224">
        <v>65</v>
      </c>
      <c r="E318" s="225">
        <f t="shared" ref="E318:E326" si="37">M318</f>
        <v>60</v>
      </c>
      <c r="F318" s="226">
        <f t="shared" si="33"/>
        <v>3900</v>
      </c>
      <c r="G318" s="227">
        <v>600</v>
      </c>
      <c r="H318" s="228">
        <f t="shared" si="36"/>
        <v>4500</v>
      </c>
      <c r="I318" s="224">
        <f t="shared" ref="I318:I380" si="38">H318*0.1</f>
        <v>450</v>
      </c>
      <c r="J318" s="225">
        <f t="shared" si="32"/>
        <v>4050</v>
      </c>
      <c r="K318" s="132" t="s">
        <v>835</v>
      </c>
      <c r="L318" s="24"/>
      <c r="M318" s="178">
        <v>60</v>
      </c>
      <c r="N318" s="177">
        <v>42</v>
      </c>
      <c r="R318" s="24"/>
      <c r="T318" s="180"/>
    </row>
    <row r="319" spans="1:20" s="177" customFormat="1" x14ac:dyDescent="0.35">
      <c r="A319" s="132">
        <v>358</v>
      </c>
      <c r="B319" s="132" t="s">
        <v>1053</v>
      </c>
      <c r="C319" s="132" t="s">
        <v>857</v>
      </c>
      <c r="D319" s="224">
        <v>35</v>
      </c>
      <c r="E319" s="225">
        <f t="shared" si="37"/>
        <v>60</v>
      </c>
      <c r="F319" s="226">
        <f t="shared" si="33"/>
        <v>2100</v>
      </c>
      <c r="G319" s="227">
        <v>300</v>
      </c>
      <c r="H319" s="228">
        <f t="shared" si="36"/>
        <v>2400</v>
      </c>
      <c r="I319" s="224">
        <f t="shared" si="38"/>
        <v>240</v>
      </c>
      <c r="J319" s="225">
        <f t="shared" si="32"/>
        <v>2160</v>
      </c>
      <c r="K319" s="132" t="s">
        <v>835</v>
      </c>
      <c r="L319" s="24"/>
      <c r="M319" s="178">
        <v>60</v>
      </c>
      <c r="N319" s="177">
        <v>42</v>
      </c>
      <c r="R319" s="24"/>
      <c r="T319" s="180"/>
    </row>
    <row r="320" spans="1:20" s="177" customFormat="1" x14ac:dyDescent="0.35">
      <c r="A320" s="132">
        <v>359</v>
      </c>
      <c r="B320" s="132" t="s">
        <v>1054</v>
      </c>
      <c r="C320" s="132" t="s">
        <v>857</v>
      </c>
      <c r="D320" s="224">
        <v>26</v>
      </c>
      <c r="E320" s="225">
        <f t="shared" si="37"/>
        <v>60</v>
      </c>
      <c r="F320" s="226">
        <f t="shared" si="33"/>
        <v>1560</v>
      </c>
      <c r="G320" s="227">
        <v>300</v>
      </c>
      <c r="H320" s="228">
        <f t="shared" si="36"/>
        <v>1860</v>
      </c>
      <c r="I320" s="224">
        <f t="shared" si="38"/>
        <v>186</v>
      </c>
      <c r="J320" s="225">
        <f t="shared" si="32"/>
        <v>1674</v>
      </c>
      <c r="K320" s="132" t="s">
        <v>835</v>
      </c>
      <c r="L320" s="24"/>
      <c r="M320" s="178">
        <v>60</v>
      </c>
      <c r="N320" s="177">
        <v>42</v>
      </c>
      <c r="R320" s="24"/>
      <c r="T320" s="180"/>
    </row>
    <row r="321" spans="1:20" s="177" customFormat="1" x14ac:dyDescent="0.35">
      <c r="A321" s="132">
        <v>360</v>
      </c>
      <c r="B321" s="132" t="s">
        <v>1055</v>
      </c>
      <c r="C321" s="132" t="s">
        <v>857</v>
      </c>
      <c r="D321" s="224">
        <v>52</v>
      </c>
      <c r="E321" s="225">
        <f t="shared" si="37"/>
        <v>60</v>
      </c>
      <c r="F321" s="226">
        <f t="shared" si="33"/>
        <v>3120</v>
      </c>
      <c r="G321" s="227">
        <v>600</v>
      </c>
      <c r="H321" s="228">
        <f t="shared" si="36"/>
        <v>3720</v>
      </c>
      <c r="I321" s="224">
        <f t="shared" si="38"/>
        <v>372</v>
      </c>
      <c r="J321" s="225">
        <f t="shared" si="32"/>
        <v>3348</v>
      </c>
      <c r="K321" s="132" t="s">
        <v>835</v>
      </c>
      <c r="L321" s="24"/>
      <c r="M321" s="178">
        <v>60</v>
      </c>
      <c r="R321" s="24"/>
      <c r="T321" s="180"/>
    </row>
    <row r="322" spans="1:20" s="177" customFormat="1" ht="15.75" customHeight="1" x14ac:dyDescent="0.35">
      <c r="A322" s="132">
        <v>361</v>
      </c>
      <c r="B322" s="132" t="s">
        <v>1056</v>
      </c>
      <c r="C322" s="132" t="s">
        <v>857</v>
      </c>
      <c r="D322" s="224">
        <v>61</v>
      </c>
      <c r="E322" s="225">
        <f t="shared" si="37"/>
        <v>60</v>
      </c>
      <c r="F322" s="226">
        <f t="shared" si="33"/>
        <v>3660</v>
      </c>
      <c r="G322" s="227">
        <v>600</v>
      </c>
      <c r="H322" s="228">
        <f t="shared" si="36"/>
        <v>4260</v>
      </c>
      <c r="I322" s="224">
        <f t="shared" si="38"/>
        <v>426</v>
      </c>
      <c r="J322" s="225">
        <f t="shared" si="32"/>
        <v>3834</v>
      </c>
      <c r="K322" s="132" t="s">
        <v>835</v>
      </c>
      <c r="L322" s="24"/>
      <c r="M322" s="178">
        <v>60</v>
      </c>
      <c r="N322" s="24"/>
      <c r="O322" s="24"/>
      <c r="P322" s="24"/>
      <c r="Q322" s="24"/>
      <c r="R322" s="24"/>
      <c r="T322" s="180"/>
    </row>
    <row r="323" spans="1:20" s="177" customFormat="1" x14ac:dyDescent="0.35">
      <c r="A323" s="132">
        <v>362</v>
      </c>
      <c r="B323" s="132" t="s">
        <v>859</v>
      </c>
      <c r="C323" s="132" t="s">
        <v>857</v>
      </c>
      <c r="D323" s="224">
        <v>65</v>
      </c>
      <c r="E323" s="225">
        <f t="shared" si="37"/>
        <v>60</v>
      </c>
      <c r="F323" s="226">
        <f t="shared" si="33"/>
        <v>3900</v>
      </c>
      <c r="G323" s="227">
        <v>600</v>
      </c>
      <c r="H323" s="228">
        <f t="shared" si="36"/>
        <v>4500</v>
      </c>
      <c r="I323" s="224">
        <f t="shared" si="38"/>
        <v>450</v>
      </c>
      <c r="J323" s="225">
        <f t="shared" si="32"/>
        <v>4050</v>
      </c>
      <c r="K323" s="132" t="s">
        <v>835</v>
      </c>
      <c r="L323" s="24"/>
      <c r="M323" s="178">
        <v>60</v>
      </c>
      <c r="N323" s="24"/>
      <c r="O323" s="24"/>
      <c r="P323" s="24"/>
      <c r="Q323" s="24"/>
      <c r="R323" s="24"/>
      <c r="T323" s="180"/>
    </row>
    <row r="324" spans="1:20" s="177" customFormat="1" x14ac:dyDescent="0.35">
      <c r="A324" s="132">
        <v>363</v>
      </c>
      <c r="B324" s="229" t="s">
        <v>1057</v>
      </c>
      <c r="C324" s="132" t="s">
        <v>857</v>
      </c>
      <c r="D324" s="227">
        <v>39</v>
      </c>
      <c r="E324" s="225">
        <f t="shared" si="37"/>
        <v>60</v>
      </c>
      <c r="F324" s="226">
        <f t="shared" si="33"/>
        <v>2340</v>
      </c>
      <c r="G324" s="227">
        <v>300</v>
      </c>
      <c r="H324" s="228">
        <f t="shared" si="36"/>
        <v>2640</v>
      </c>
      <c r="I324" s="224">
        <f t="shared" si="38"/>
        <v>264</v>
      </c>
      <c r="J324" s="225">
        <f t="shared" si="32"/>
        <v>2376</v>
      </c>
      <c r="K324" s="11" t="s">
        <v>835</v>
      </c>
      <c r="L324" s="24"/>
      <c r="M324" s="178">
        <v>60</v>
      </c>
      <c r="N324" s="24"/>
      <c r="O324" s="24"/>
      <c r="P324" s="24"/>
      <c r="Q324" s="24"/>
      <c r="R324" s="24"/>
      <c r="T324" s="180"/>
    </row>
    <row r="325" spans="1:20" s="177" customFormat="1" x14ac:dyDescent="0.35">
      <c r="A325" s="132">
        <v>364</v>
      </c>
      <c r="B325" s="132" t="s">
        <v>858</v>
      </c>
      <c r="C325" s="132" t="s">
        <v>857</v>
      </c>
      <c r="D325" s="224">
        <v>35</v>
      </c>
      <c r="E325" s="225">
        <f t="shared" si="37"/>
        <v>60</v>
      </c>
      <c r="F325" s="226">
        <f t="shared" si="33"/>
        <v>2100</v>
      </c>
      <c r="G325" s="227">
        <v>300</v>
      </c>
      <c r="H325" s="228">
        <f t="shared" si="36"/>
        <v>2400</v>
      </c>
      <c r="I325" s="224">
        <f t="shared" si="38"/>
        <v>240</v>
      </c>
      <c r="J325" s="225">
        <f t="shared" si="32"/>
        <v>2160</v>
      </c>
      <c r="K325" s="132" t="s">
        <v>835</v>
      </c>
      <c r="L325" s="24"/>
      <c r="M325" s="178">
        <v>60</v>
      </c>
      <c r="N325" s="24"/>
      <c r="O325" s="24"/>
      <c r="P325" s="24"/>
      <c r="Q325" s="24"/>
      <c r="R325" s="24"/>
      <c r="T325" s="180"/>
    </row>
    <row r="326" spans="1:20" s="177" customFormat="1" x14ac:dyDescent="0.35">
      <c r="A326" s="132">
        <v>365</v>
      </c>
      <c r="B326" s="132" t="s">
        <v>1058</v>
      </c>
      <c r="C326" s="132" t="s">
        <v>857</v>
      </c>
      <c r="D326" s="224">
        <v>72</v>
      </c>
      <c r="E326" s="225">
        <f t="shared" si="37"/>
        <v>60</v>
      </c>
      <c r="F326" s="226">
        <f t="shared" si="33"/>
        <v>4320</v>
      </c>
      <c r="G326" s="227">
        <v>600</v>
      </c>
      <c r="H326" s="228">
        <f t="shared" si="36"/>
        <v>4920</v>
      </c>
      <c r="I326" s="224">
        <f t="shared" si="38"/>
        <v>492</v>
      </c>
      <c r="J326" s="225">
        <f t="shared" si="32"/>
        <v>4428</v>
      </c>
      <c r="K326" s="132" t="s">
        <v>835</v>
      </c>
      <c r="L326" s="24"/>
      <c r="M326" s="178">
        <v>60</v>
      </c>
      <c r="N326" s="24"/>
      <c r="O326" s="24"/>
      <c r="P326" s="24"/>
      <c r="Q326" s="24"/>
      <c r="R326" s="24"/>
      <c r="T326" s="180"/>
    </row>
    <row r="327" spans="1:20" s="172" customFormat="1" x14ac:dyDescent="0.35">
      <c r="A327" s="132">
        <v>366</v>
      </c>
      <c r="B327" s="229" t="s">
        <v>1094</v>
      </c>
      <c r="C327" s="132" t="s">
        <v>1095</v>
      </c>
      <c r="D327" s="227">
        <v>40</v>
      </c>
      <c r="E327" s="225">
        <v>30</v>
      </c>
      <c r="F327" s="226">
        <v>1200</v>
      </c>
      <c r="G327" s="227">
        <v>300</v>
      </c>
      <c r="H327" s="228">
        <f t="shared" si="36"/>
        <v>1500</v>
      </c>
      <c r="I327" s="224">
        <f t="shared" si="38"/>
        <v>150</v>
      </c>
      <c r="J327" s="225">
        <f t="shared" si="32"/>
        <v>1350</v>
      </c>
      <c r="K327" s="132" t="s">
        <v>835</v>
      </c>
      <c r="M327" s="174"/>
      <c r="N327" s="173"/>
      <c r="O327" s="173"/>
      <c r="P327" s="173"/>
      <c r="Q327" s="173"/>
      <c r="R327" s="173"/>
      <c r="T327" s="176"/>
    </row>
    <row r="328" spans="1:20" s="172" customFormat="1" x14ac:dyDescent="0.35">
      <c r="A328" s="132">
        <v>367</v>
      </c>
      <c r="B328" s="229" t="s">
        <v>1096</v>
      </c>
      <c r="C328" s="132" t="s">
        <v>1095</v>
      </c>
      <c r="D328" s="227">
        <v>20</v>
      </c>
      <c r="E328" s="225">
        <v>30</v>
      </c>
      <c r="F328" s="226">
        <v>600</v>
      </c>
      <c r="G328" s="227">
        <v>150</v>
      </c>
      <c r="H328" s="228">
        <f t="shared" si="36"/>
        <v>750</v>
      </c>
      <c r="I328" s="224">
        <f t="shared" si="38"/>
        <v>75</v>
      </c>
      <c r="J328" s="225">
        <f t="shared" si="32"/>
        <v>675</v>
      </c>
      <c r="K328" s="132" t="s">
        <v>835</v>
      </c>
      <c r="M328" s="174"/>
      <c r="N328" s="173"/>
      <c r="O328" s="173"/>
      <c r="P328" s="173"/>
      <c r="Q328" s="173"/>
      <c r="R328" s="173"/>
      <c r="T328" s="176"/>
    </row>
    <row r="329" spans="1:20" s="172" customFormat="1" x14ac:dyDescent="0.35">
      <c r="A329" s="132">
        <v>368</v>
      </c>
      <c r="B329" s="229" t="s">
        <v>1097</v>
      </c>
      <c r="C329" s="132" t="s">
        <v>1095</v>
      </c>
      <c r="D329" s="227">
        <v>28</v>
      </c>
      <c r="E329" s="225">
        <v>30</v>
      </c>
      <c r="F329" s="226">
        <v>840</v>
      </c>
      <c r="G329" s="227">
        <v>210</v>
      </c>
      <c r="H329" s="228">
        <f t="shared" si="36"/>
        <v>1050</v>
      </c>
      <c r="I329" s="224">
        <f t="shared" si="38"/>
        <v>105</v>
      </c>
      <c r="J329" s="225">
        <f t="shared" si="32"/>
        <v>945</v>
      </c>
      <c r="K329" s="132" t="s">
        <v>835</v>
      </c>
      <c r="M329" s="174"/>
      <c r="N329" s="173"/>
      <c r="O329" s="173"/>
      <c r="P329" s="173"/>
      <c r="Q329" s="173"/>
      <c r="R329" s="173"/>
      <c r="T329" s="176"/>
    </row>
    <row r="330" spans="1:20" s="172" customFormat="1" x14ac:dyDescent="0.35">
      <c r="A330" s="132">
        <v>369</v>
      </c>
      <c r="B330" s="229" t="s">
        <v>1098</v>
      </c>
      <c r="C330" s="132" t="s">
        <v>1095</v>
      </c>
      <c r="D330" s="227">
        <v>22</v>
      </c>
      <c r="E330" s="225">
        <v>30</v>
      </c>
      <c r="F330" s="226">
        <v>660</v>
      </c>
      <c r="G330" s="227">
        <v>165</v>
      </c>
      <c r="H330" s="228">
        <f t="shared" si="36"/>
        <v>825</v>
      </c>
      <c r="I330" s="224">
        <f t="shared" si="38"/>
        <v>82.5</v>
      </c>
      <c r="J330" s="225">
        <f t="shared" si="32"/>
        <v>742.5</v>
      </c>
      <c r="K330" s="132" t="s">
        <v>835</v>
      </c>
      <c r="M330" s="174"/>
      <c r="N330" s="173"/>
      <c r="O330" s="173"/>
      <c r="P330" s="173"/>
      <c r="Q330" s="173"/>
      <c r="R330" s="173"/>
      <c r="T330" s="176"/>
    </row>
    <row r="331" spans="1:20" s="172" customFormat="1" x14ac:dyDescent="0.35">
      <c r="A331" s="132">
        <v>370</v>
      </c>
      <c r="B331" s="229" t="s">
        <v>1099</v>
      </c>
      <c r="C331" s="132" t="s">
        <v>1095</v>
      </c>
      <c r="D331" s="227">
        <v>30</v>
      </c>
      <c r="E331" s="225">
        <v>30</v>
      </c>
      <c r="F331" s="226">
        <v>900</v>
      </c>
      <c r="G331" s="227">
        <v>225</v>
      </c>
      <c r="H331" s="228">
        <f t="shared" si="36"/>
        <v>1125</v>
      </c>
      <c r="I331" s="224">
        <f t="shared" si="38"/>
        <v>112.5</v>
      </c>
      <c r="J331" s="225">
        <f t="shared" si="32"/>
        <v>1012.5</v>
      </c>
      <c r="K331" s="132" t="s">
        <v>835</v>
      </c>
      <c r="M331" s="174"/>
      <c r="N331" s="173"/>
      <c r="O331" s="173"/>
      <c r="P331" s="173"/>
      <c r="Q331" s="173"/>
      <c r="R331" s="173"/>
      <c r="T331" s="176"/>
    </row>
    <row r="332" spans="1:20" s="172" customFormat="1" x14ac:dyDescent="0.35">
      <c r="A332" s="132">
        <v>371</v>
      </c>
      <c r="B332" s="229" t="s">
        <v>1100</v>
      </c>
      <c r="C332" s="132" t="s">
        <v>1095</v>
      </c>
      <c r="D332" s="227">
        <v>20</v>
      </c>
      <c r="E332" s="225">
        <v>30</v>
      </c>
      <c r="F332" s="226">
        <v>600</v>
      </c>
      <c r="G332" s="227">
        <v>150</v>
      </c>
      <c r="H332" s="228">
        <f t="shared" si="36"/>
        <v>750</v>
      </c>
      <c r="I332" s="224">
        <f t="shared" si="38"/>
        <v>75</v>
      </c>
      <c r="J332" s="225">
        <f t="shared" si="32"/>
        <v>675</v>
      </c>
      <c r="K332" s="132" t="s">
        <v>835</v>
      </c>
      <c r="M332" s="174"/>
      <c r="N332" s="173"/>
      <c r="O332" s="173"/>
      <c r="P332" s="173"/>
      <c r="Q332" s="173"/>
      <c r="R332" s="173"/>
      <c r="T332" s="176"/>
    </row>
    <row r="333" spans="1:20" s="172" customFormat="1" x14ac:dyDescent="0.35">
      <c r="A333" s="132">
        <v>372</v>
      </c>
      <c r="B333" s="229" t="s">
        <v>1101</v>
      </c>
      <c r="C333" s="132" t="s">
        <v>1095</v>
      </c>
      <c r="D333" s="227">
        <v>26</v>
      </c>
      <c r="E333" s="225">
        <v>30</v>
      </c>
      <c r="F333" s="226">
        <v>780</v>
      </c>
      <c r="G333" s="227">
        <v>195</v>
      </c>
      <c r="H333" s="228">
        <f t="shared" si="36"/>
        <v>975</v>
      </c>
      <c r="I333" s="224">
        <f t="shared" si="38"/>
        <v>97.5</v>
      </c>
      <c r="J333" s="225">
        <f t="shared" si="32"/>
        <v>877.5</v>
      </c>
      <c r="K333" s="132" t="s">
        <v>835</v>
      </c>
      <c r="M333" s="174"/>
      <c r="N333" s="173"/>
      <c r="O333" s="173"/>
      <c r="P333" s="173"/>
      <c r="Q333" s="173"/>
      <c r="R333" s="173"/>
      <c r="T333" s="176"/>
    </row>
    <row r="334" spans="1:20" s="172" customFormat="1" x14ac:dyDescent="0.35">
      <c r="A334" s="132">
        <v>373</v>
      </c>
      <c r="B334" s="229" t="s">
        <v>1102</v>
      </c>
      <c r="C334" s="132" t="s">
        <v>1095</v>
      </c>
      <c r="D334" s="227">
        <v>26</v>
      </c>
      <c r="E334" s="225">
        <v>30</v>
      </c>
      <c r="F334" s="226">
        <v>780</v>
      </c>
      <c r="G334" s="227">
        <v>195</v>
      </c>
      <c r="H334" s="228">
        <f t="shared" si="36"/>
        <v>975</v>
      </c>
      <c r="I334" s="224">
        <f t="shared" si="38"/>
        <v>97.5</v>
      </c>
      <c r="J334" s="225">
        <f t="shared" si="32"/>
        <v>877.5</v>
      </c>
      <c r="K334" s="132" t="s">
        <v>835</v>
      </c>
      <c r="M334" s="174"/>
      <c r="N334" s="173"/>
      <c r="O334" s="173"/>
      <c r="P334" s="173"/>
      <c r="Q334" s="173"/>
      <c r="R334" s="173"/>
      <c r="T334" s="176"/>
    </row>
    <row r="335" spans="1:20" s="172" customFormat="1" x14ac:dyDescent="0.35">
      <c r="A335" s="132">
        <v>374</v>
      </c>
      <c r="B335" s="229" t="s">
        <v>1103</v>
      </c>
      <c r="C335" s="132" t="s">
        <v>1095</v>
      </c>
      <c r="D335" s="227">
        <v>32</v>
      </c>
      <c r="E335" s="225">
        <v>30</v>
      </c>
      <c r="F335" s="226">
        <v>960</v>
      </c>
      <c r="G335" s="227">
        <v>240</v>
      </c>
      <c r="H335" s="228">
        <f t="shared" si="36"/>
        <v>1200</v>
      </c>
      <c r="I335" s="224">
        <f t="shared" si="38"/>
        <v>120</v>
      </c>
      <c r="J335" s="225">
        <f t="shared" si="32"/>
        <v>1080</v>
      </c>
      <c r="K335" s="132" t="s">
        <v>835</v>
      </c>
      <c r="M335" s="174"/>
      <c r="N335" s="173"/>
      <c r="O335" s="173"/>
      <c r="P335" s="173"/>
      <c r="Q335" s="173"/>
      <c r="R335" s="173"/>
      <c r="T335" s="176"/>
    </row>
    <row r="336" spans="1:20" s="172" customFormat="1" x14ac:dyDescent="0.35">
      <c r="A336" s="132">
        <v>375</v>
      </c>
      <c r="B336" s="229" t="s">
        <v>934</v>
      </c>
      <c r="C336" s="132" t="s">
        <v>1095</v>
      </c>
      <c r="D336" s="227">
        <v>30</v>
      </c>
      <c r="E336" s="225">
        <v>30</v>
      </c>
      <c r="F336" s="226">
        <v>900</v>
      </c>
      <c r="G336" s="227">
        <v>225</v>
      </c>
      <c r="H336" s="228">
        <f t="shared" si="36"/>
        <v>1125</v>
      </c>
      <c r="I336" s="224">
        <f t="shared" si="38"/>
        <v>112.5</v>
      </c>
      <c r="J336" s="225">
        <f t="shared" si="32"/>
        <v>1012.5</v>
      </c>
      <c r="K336" s="132" t="s">
        <v>835</v>
      </c>
      <c r="M336" s="174"/>
      <c r="N336" s="173"/>
      <c r="O336" s="173"/>
      <c r="P336" s="173"/>
      <c r="Q336" s="173"/>
      <c r="R336" s="173"/>
      <c r="T336" s="176"/>
    </row>
    <row r="337" spans="1:20" s="172" customFormat="1" x14ac:dyDescent="0.35">
      <c r="A337" s="132">
        <v>376</v>
      </c>
      <c r="B337" s="229" t="s">
        <v>1104</v>
      </c>
      <c r="C337" s="132" t="s">
        <v>1095</v>
      </c>
      <c r="D337" s="227">
        <v>30</v>
      </c>
      <c r="E337" s="225">
        <v>30</v>
      </c>
      <c r="F337" s="226">
        <v>900</v>
      </c>
      <c r="G337" s="227">
        <v>225</v>
      </c>
      <c r="H337" s="228">
        <f t="shared" si="36"/>
        <v>1125</v>
      </c>
      <c r="I337" s="224">
        <f t="shared" si="38"/>
        <v>112.5</v>
      </c>
      <c r="J337" s="225">
        <f t="shared" si="32"/>
        <v>1012.5</v>
      </c>
      <c r="K337" s="132" t="s">
        <v>835</v>
      </c>
      <c r="M337" s="174"/>
      <c r="N337" s="173"/>
      <c r="O337" s="173"/>
      <c r="P337" s="173"/>
      <c r="Q337" s="173"/>
      <c r="R337" s="173"/>
      <c r="T337" s="176"/>
    </row>
    <row r="338" spans="1:20" s="172" customFormat="1" x14ac:dyDescent="0.35">
      <c r="A338" s="132">
        <v>377</v>
      </c>
      <c r="B338" s="229" t="s">
        <v>935</v>
      </c>
      <c r="C338" s="132" t="s">
        <v>1095</v>
      </c>
      <c r="D338" s="227">
        <v>30</v>
      </c>
      <c r="E338" s="225">
        <v>30</v>
      </c>
      <c r="F338" s="226">
        <v>900</v>
      </c>
      <c r="G338" s="227">
        <v>225</v>
      </c>
      <c r="H338" s="228">
        <f t="shared" si="36"/>
        <v>1125</v>
      </c>
      <c r="I338" s="224">
        <f t="shared" si="38"/>
        <v>112.5</v>
      </c>
      <c r="J338" s="225">
        <f t="shared" si="32"/>
        <v>1012.5</v>
      </c>
      <c r="K338" s="132" t="s">
        <v>835</v>
      </c>
      <c r="M338" s="174"/>
      <c r="N338" s="173"/>
      <c r="O338" s="173"/>
      <c r="P338" s="173"/>
      <c r="Q338" s="173"/>
      <c r="R338" s="173"/>
      <c r="T338" s="176"/>
    </row>
    <row r="339" spans="1:20" s="172" customFormat="1" x14ac:dyDescent="0.35">
      <c r="A339" s="132">
        <v>378</v>
      </c>
      <c r="B339" s="229" t="s">
        <v>1105</v>
      </c>
      <c r="C339" s="132" t="s">
        <v>1095</v>
      </c>
      <c r="D339" s="227">
        <v>30</v>
      </c>
      <c r="E339" s="225">
        <v>30</v>
      </c>
      <c r="F339" s="226">
        <v>900</v>
      </c>
      <c r="G339" s="227">
        <v>225</v>
      </c>
      <c r="H339" s="228">
        <f t="shared" si="36"/>
        <v>1125</v>
      </c>
      <c r="I339" s="224">
        <f t="shared" si="38"/>
        <v>112.5</v>
      </c>
      <c r="J339" s="225">
        <f t="shared" si="32"/>
        <v>1012.5</v>
      </c>
      <c r="K339" s="132" t="s">
        <v>835</v>
      </c>
      <c r="M339" s="174"/>
      <c r="N339" s="173"/>
      <c r="O339" s="173"/>
      <c r="P339" s="173"/>
      <c r="Q339" s="173"/>
      <c r="R339" s="173"/>
      <c r="T339" s="176"/>
    </row>
    <row r="340" spans="1:20" s="172" customFormat="1" x14ac:dyDescent="0.35">
      <c r="A340" s="132">
        <v>379</v>
      </c>
      <c r="B340" s="229" t="s">
        <v>1106</v>
      </c>
      <c r="C340" s="132" t="s">
        <v>1095</v>
      </c>
      <c r="D340" s="227">
        <v>30</v>
      </c>
      <c r="E340" s="225">
        <v>30</v>
      </c>
      <c r="F340" s="226">
        <v>900</v>
      </c>
      <c r="G340" s="227">
        <v>225</v>
      </c>
      <c r="H340" s="228">
        <f t="shared" si="36"/>
        <v>1125</v>
      </c>
      <c r="I340" s="224">
        <f t="shared" si="38"/>
        <v>112.5</v>
      </c>
      <c r="J340" s="225">
        <f t="shared" si="32"/>
        <v>1012.5</v>
      </c>
      <c r="K340" s="132" t="s">
        <v>835</v>
      </c>
      <c r="M340" s="174"/>
      <c r="N340" s="173"/>
      <c r="O340" s="173"/>
      <c r="P340" s="173"/>
      <c r="Q340" s="173"/>
      <c r="R340" s="173"/>
      <c r="T340" s="176"/>
    </row>
    <row r="341" spans="1:20" s="172" customFormat="1" x14ac:dyDescent="0.35">
      <c r="A341" s="132">
        <v>380</v>
      </c>
      <c r="B341" s="229" t="s">
        <v>1107</v>
      </c>
      <c r="C341" s="132" t="s">
        <v>1095</v>
      </c>
      <c r="D341" s="227">
        <v>30</v>
      </c>
      <c r="E341" s="225">
        <v>30</v>
      </c>
      <c r="F341" s="226">
        <v>900</v>
      </c>
      <c r="G341" s="227">
        <v>225</v>
      </c>
      <c r="H341" s="228">
        <f t="shared" si="36"/>
        <v>1125</v>
      </c>
      <c r="I341" s="224">
        <f t="shared" si="38"/>
        <v>112.5</v>
      </c>
      <c r="J341" s="225">
        <f t="shared" si="32"/>
        <v>1012.5</v>
      </c>
      <c r="K341" s="132" t="s">
        <v>835</v>
      </c>
      <c r="M341" s="174"/>
      <c r="N341" s="173"/>
      <c r="O341" s="173"/>
      <c r="P341" s="173"/>
      <c r="Q341" s="173"/>
      <c r="R341" s="173"/>
      <c r="T341" s="176"/>
    </row>
    <row r="342" spans="1:20" s="172" customFormat="1" x14ac:dyDescent="0.35">
      <c r="A342" s="132">
        <v>381</v>
      </c>
      <c r="B342" s="229" t="s">
        <v>1108</v>
      </c>
      <c r="C342" s="132" t="s">
        <v>1095</v>
      </c>
      <c r="D342" s="227">
        <v>34</v>
      </c>
      <c r="E342" s="225">
        <v>30</v>
      </c>
      <c r="F342" s="226">
        <v>1020</v>
      </c>
      <c r="G342" s="227">
        <v>255</v>
      </c>
      <c r="H342" s="228">
        <f t="shared" si="36"/>
        <v>1275</v>
      </c>
      <c r="I342" s="224">
        <f t="shared" si="38"/>
        <v>127.5</v>
      </c>
      <c r="J342" s="225">
        <f t="shared" si="32"/>
        <v>1147.5</v>
      </c>
      <c r="K342" s="132" t="s">
        <v>835</v>
      </c>
      <c r="M342" s="174"/>
      <c r="N342" s="173"/>
      <c r="O342" s="173"/>
      <c r="P342" s="173"/>
      <c r="Q342" s="173"/>
      <c r="R342" s="173"/>
      <c r="T342" s="176"/>
    </row>
    <row r="343" spans="1:20" s="172" customFormat="1" x14ac:dyDescent="0.35">
      <c r="A343" s="132">
        <v>382</v>
      </c>
      <c r="B343" s="229" t="s">
        <v>1109</v>
      </c>
      <c r="C343" s="132" t="s">
        <v>1095</v>
      </c>
      <c r="D343" s="227">
        <v>32</v>
      </c>
      <c r="E343" s="225">
        <v>30</v>
      </c>
      <c r="F343" s="226">
        <v>960</v>
      </c>
      <c r="G343" s="227">
        <v>240</v>
      </c>
      <c r="H343" s="228">
        <f t="shared" si="36"/>
        <v>1200</v>
      </c>
      <c r="I343" s="224">
        <f t="shared" si="38"/>
        <v>120</v>
      </c>
      <c r="J343" s="225">
        <f t="shared" si="32"/>
        <v>1080</v>
      </c>
      <c r="K343" s="132" t="s">
        <v>835</v>
      </c>
      <c r="M343" s="174"/>
      <c r="N343" s="173"/>
      <c r="O343" s="173"/>
      <c r="P343" s="173"/>
      <c r="Q343" s="173"/>
      <c r="R343" s="173"/>
      <c r="T343" s="176"/>
    </row>
    <row r="344" spans="1:20" s="172" customFormat="1" x14ac:dyDescent="0.35">
      <c r="A344" s="132">
        <v>383</v>
      </c>
      <c r="B344" s="229" t="s">
        <v>1110</v>
      </c>
      <c r="C344" s="132" t="s">
        <v>1095</v>
      </c>
      <c r="D344" s="227">
        <v>34</v>
      </c>
      <c r="E344" s="225">
        <v>30</v>
      </c>
      <c r="F344" s="226">
        <v>1020</v>
      </c>
      <c r="G344" s="227">
        <v>255</v>
      </c>
      <c r="H344" s="228">
        <f t="shared" si="36"/>
        <v>1275</v>
      </c>
      <c r="I344" s="224">
        <f t="shared" si="38"/>
        <v>127.5</v>
      </c>
      <c r="J344" s="225">
        <f t="shared" si="32"/>
        <v>1147.5</v>
      </c>
      <c r="K344" s="132" t="s">
        <v>835</v>
      </c>
      <c r="M344" s="174"/>
      <c r="N344" s="173"/>
      <c r="O344" s="173"/>
      <c r="P344" s="173"/>
      <c r="Q344" s="173"/>
      <c r="R344" s="173"/>
      <c r="T344" s="176"/>
    </row>
    <row r="345" spans="1:20" s="172" customFormat="1" x14ac:dyDescent="0.35">
      <c r="A345" s="132">
        <v>384</v>
      </c>
      <c r="B345" s="229" t="s">
        <v>1111</v>
      </c>
      <c r="C345" s="132" t="s">
        <v>1095</v>
      </c>
      <c r="D345" s="227">
        <v>36</v>
      </c>
      <c r="E345" s="225">
        <v>30</v>
      </c>
      <c r="F345" s="226">
        <v>1080</v>
      </c>
      <c r="G345" s="227">
        <v>270</v>
      </c>
      <c r="H345" s="228">
        <f t="shared" si="36"/>
        <v>1350</v>
      </c>
      <c r="I345" s="224">
        <f t="shared" si="38"/>
        <v>135</v>
      </c>
      <c r="J345" s="225">
        <f t="shared" si="32"/>
        <v>1215</v>
      </c>
      <c r="K345" s="132" t="s">
        <v>835</v>
      </c>
      <c r="M345" s="174"/>
      <c r="N345" s="173"/>
      <c r="O345" s="173"/>
      <c r="P345" s="173"/>
      <c r="Q345" s="173"/>
      <c r="R345" s="173"/>
      <c r="T345" s="176"/>
    </row>
    <row r="346" spans="1:20" s="172" customFormat="1" x14ac:dyDescent="0.35">
      <c r="A346" s="132">
        <v>385</v>
      </c>
      <c r="B346" s="229" t="s">
        <v>1112</v>
      </c>
      <c r="C346" s="132" t="s">
        <v>1095</v>
      </c>
      <c r="D346" s="227">
        <v>36</v>
      </c>
      <c r="E346" s="225">
        <v>30</v>
      </c>
      <c r="F346" s="226">
        <v>1080</v>
      </c>
      <c r="G346" s="227">
        <v>270</v>
      </c>
      <c r="H346" s="228">
        <f t="shared" si="36"/>
        <v>1350</v>
      </c>
      <c r="I346" s="224">
        <f t="shared" si="38"/>
        <v>135</v>
      </c>
      <c r="J346" s="225">
        <f t="shared" si="32"/>
        <v>1215</v>
      </c>
      <c r="K346" s="132" t="s">
        <v>835</v>
      </c>
      <c r="M346" s="174"/>
      <c r="N346" s="173"/>
      <c r="O346" s="173"/>
      <c r="P346" s="173"/>
      <c r="Q346" s="173"/>
      <c r="R346" s="173"/>
      <c r="T346" s="176"/>
    </row>
    <row r="347" spans="1:20" s="172" customFormat="1" x14ac:dyDescent="0.35">
      <c r="A347" s="132">
        <v>386</v>
      </c>
      <c r="B347" s="229" t="s">
        <v>1113</v>
      </c>
      <c r="C347" s="132" t="s">
        <v>1095</v>
      </c>
      <c r="D347" s="227">
        <v>36</v>
      </c>
      <c r="E347" s="225">
        <v>30</v>
      </c>
      <c r="F347" s="226">
        <v>1080</v>
      </c>
      <c r="G347" s="227">
        <v>270</v>
      </c>
      <c r="H347" s="228">
        <f t="shared" si="36"/>
        <v>1350</v>
      </c>
      <c r="I347" s="224">
        <f t="shared" si="38"/>
        <v>135</v>
      </c>
      <c r="J347" s="225">
        <f t="shared" si="32"/>
        <v>1215</v>
      </c>
      <c r="K347" s="132" t="s">
        <v>835</v>
      </c>
      <c r="M347" s="174"/>
      <c r="N347" s="173"/>
      <c r="O347" s="173"/>
      <c r="P347" s="173"/>
      <c r="Q347" s="173"/>
      <c r="R347" s="173"/>
      <c r="T347" s="176"/>
    </row>
    <row r="348" spans="1:20" s="172" customFormat="1" x14ac:dyDescent="0.35">
      <c r="A348" s="132">
        <v>387</v>
      </c>
      <c r="B348" s="229" t="s">
        <v>1114</v>
      </c>
      <c r="C348" s="132" t="s">
        <v>1095</v>
      </c>
      <c r="D348" s="227">
        <v>38</v>
      </c>
      <c r="E348" s="225">
        <v>30</v>
      </c>
      <c r="F348" s="226">
        <v>1140</v>
      </c>
      <c r="G348" s="227">
        <v>285</v>
      </c>
      <c r="H348" s="228">
        <f t="shared" si="36"/>
        <v>1425</v>
      </c>
      <c r="I348" s="224">
        <f t="shared" si="38"/>
        <v>142.5</v>
      </c>
      <c r="J348" s="225">
        <f t="shared" si="32"/>
        <v>1282.5</v>
      </c>
      <c r="K348" s="132" t="s">
        <v>835</v>
      </c>
      <c r="M348" s="174"/>
      <c r="N348" s="173"/>
      <c r="O348" s="173"/>
      <c r="P348" s="173"/>
      <c r="Q348" s="173"/>
      <c r="R348" s="173"/>
      <c r="T348" s="176"/>
    </row>
    <row r="349" spans="1:20" s="172" customFormat="1" x14ac:dyDescent="0.35">
      <c r="A349" s="132">
        <v>388</v>
      </c>
      <c r="B349" s="229" t="s">
        <v>1115</v>
      </c>
      <c r="C349" s="132" t="s">
        <v>1095</v>
      </c>
      <c r="D349" s="227">
        <v>38</v>
      </c>
      <c r="E349" s="225">
        <v>30</v>
      </c>
      <c r="F349" s="226">
        <v>1140</v>
      </c>
      <c r="G349" s="227">
        <v>285</v>
      </c>
      <c r="H349" s="228">
        <f t="shared" si="36"/>
        <v>1425</v>
      </c>
      <c r="I349" s="224">
        <f t="shared" si="38"/>
        <v>142.5</v>
      </c>
      <c r="J349" s="225">
        <f t="shared" si="32"/>
        <v>1282.5</v>
      </c>
      <c r="K349" s="132" t="s">
        <v>835</v>
      </c>
      <c r="M349" s="174"/>
      <c r="N349" s="173"/>
      <c r="O349" s="173"/>
      <c r="P349" s="173"/>
      <c r="Q349" s="173"/>
      <c r="R349" s="173"/>
      <c r="T349" s="176"/>
    </row>
    <row r="350" spans="1:20" s="172" customFormat="1" x14ac:dyDescent="0.35">
      <c r="A350" s="132">
        <v>389</v>
      </c>
      <c r="B350" s="229" t="s">
        <v>1116</v>
      </c>
      <c r="C350" s="132" t="s">
        <v>1095</v>
      </c>
      <c r="D350" s="227">
        <v>38</v>
      </c>
      <c r="E350" s="225">
        <v>30</v>
      </c>
      <c r="F350" s="226">
        <v>1140</v>
      </c>
      <c r="G350" s="227">
        <v>285</v>
      </c>
      <c r="H350" s="228">
        <f t="shared" si="36"/>
        <v>1425</v>
      </c>
      <c r="I350" s="224">
        <f t="shared" si="38"/>
        <v>142.5</v>
      </c>
      <c r="J350" s="225">
        <f t="shared" si="32"/>
        <v>1282.5</v>
      </c>
      <c r="K350" s="132" t="s">
        <v>835</v>
      </c>
      <c r="M350" s="174"/>
      <c r="N350" s="173"/>
      <c r="O350" s="173"/>
      <c r="P350" s="173"/>
      <c r="Q350" s="173"/>
      <c r="R350" s="173"/>
      <c r="T350" s="176"/>
    </row>
    <row r="351" spans="1:20" s="172" customFormat="1" x14ac:dyDescent="0.35">
      <c r="A351" s="132">
        <v>390</v>
      </c>
      <c r="B351" s="229" t="s">
        <v>1117</v>
      </c>
      <c r="C351" s="132" t="s">
        <v>1095</v>
      </c>
      <c r="D351" s="227">
        <v>38</v>
      </c>
      <c r="E351" s="225">
        <v>30</v>
      </c>
      <c r="F351" s="226">
        <v>1140</v>
      </c>
      <c r="G351" s="227">
        <v>285</v>
      </c>
      <c r="H351" s="228">
        <f t="shared" si="36"/>
        <v>1425</v>
      </c>
      <c r="I351" s="224">
        <f t="shared" si="38"/>
        <v>142.5</v>
      </c>
      <c r="J351" s="225">
        <f t="shared" si="32"/>
        <v>1282.5</v>
      </c>
      <c r="K351" s="132" t="s">
        <v>835</v>
      </c>
      <c r="M351" s="174"/>
      <c r="N351" s="173"/>
      <c r="O351" s="173"/>
      <c r="P351" s="173"/>
      <c r="Q351" s="173"/>
      <c r="R351" s="173"/>
      <c r="T351" s="176"/>
    </row>
    <row r="352" spans="1:20" s="172" customFormat="1" x14ac:dyDescent="0.35">
      <c r="A352" s="132">
        <v>391</v>
      </c>
      <c r="B352" s="229" t="s">
        <v>1118</v>
      </c>
      <c r="C352" s="132" t="s">
        <v>1095</v>
      </c>
      <c r="D352" s="227">
        <v>40</v>
      </c>
      <c r="E352" s="225">
        <v>30</v>
      </c>
      <c r="F352" s="226">
        <v>1200</v>
      </c>
      <c r="G352" s="227">
        <v>300</v>
      </c>
      <c r="H352" s="228">
        <f t="shared" si="36"/>
        <v>1500</v>
      </c>
      <c r="I352" s="224">
        <f t="shared" si="38"/>
        <v>150</v>
      </c>
      <c r="J352" s="225">
        <f t="shared" si="32"/>
        <v>1350</v>
      </c>
      <c r="K352" s="132" t="s">
        <v>835</v>
      </c>
      <c r="M352" s="174"/>
      <c r="N352" s="173"/>
      <c r="O352" s="173"/>
      <c r="P352" s="173"/>
      <c r="Q352" s="173"/>
      <c r="R352" s="173"/>
      <c r="T352" s="176"/>
    </row>
    <row r="353" spans="1:20" s="172" customFormat="1" x14ac:dyDescent="0.35">
      <c r="A353" s="132">
        <v>392</v>
      </c>
      <c r="B353" s="229" t="s">
        <v>1119</v>
      </c>
      <c r="C353" s="132" t="s">
        <v>1095</v>
      </c>
      <c r="D353" s="227">
        <v>40</v>
      </c>
      <c r="E353" s="225">
        <v>30</v>
      </c>
      <c r="F353" s="226">
        <v>1200</v>
      </c>
      <c r="G353" s="227">
        <v>300</v>
      </c>
      <c r="H353" s="228">
        <f t="shared" si="36"/>
        <v>1500</v>
      </c>
      <c r="I353" s="224">
        <f t="shared" si="38"/>
        <v>150</v>
      </c>
      <c r="J353" s="225">
        <f t="shared" si="32"/>
        <v>1350</v>
      </c>
      <c r="K353" s="132" t="s">
        <v>835</v>
      </c>
      <c r="M353" s="174"/>
      <c r="N353" s="173"/>
      <c r="O353" s="173"/>
      <c r="P353" s="173"/>
      <c r="Q353" s="173"/>
      <c r="R353" s="173"/>
      <c r="T353" s="176"/>
    </row>
    <row r="354" spans="1:20" s="172" customFormat="1" x14ac:dyDescent="0.35">
      <c r="A354" s="132">
        <v>393</v>
      </c>
      <c r="B354" s="229" t="s">
        <v>1120</v>
      </c>
      <c r="C354" s="132" t="s">
        <v>1095</v>
      </c>
      <c r="D354" s="227">
        <v>40</v>
      </c>
      <c r="E354" s="225">
        <v>30</v>
      </c>
      <c r="F354" s="226">
        <v>1200</v>
      </c>
      <c r="G354" s="227">
        <v>300</v>
      </c>
      <c r="H354" s="228">
        <f t="shared" si="36"/>
        <v>1500</v>
      </c>
      <c r="I354" s="224">
        <f t="shared" si="38"/>
        <v>150</v>
      </c>
      <c r="J354" s="225">
        <f t="shared" si="32"/>
        <v>1350</v>
      </c>
      <c r="K354" s="132" t="s">
        <v>835</v>
      </c>
      <c r="M354" s="174"/>
      <c r="N354" s="173"/>
      <c r="O354" s="173"/>
      <c r="P354" s="173"/>
      <c r="Q354" s="173"/>
      <c r="R354" s="173"/>
      <c r="T354" s="176"/>
    </row>
    <row r="355" spans="1:20" s="172" customFormat="1" x14ac:dyDescent="0.35">
      <c r="A355" s="132">
        <v>394</v>
      </c>
      <c r="B355" s="229" t="s">
        <v>1121</v>
      </c>
      <c r="C355" s="132" t="s">
        <v>1095</v>
      </c>
      <c r="D355" s="227">
        <v>40</v>
      </c>
      <c r="E355" s="225">
        <v>30</v>
      </c>
      <c r="F355" s="226">
        <v>1200</v>
      </c>
      <c r="G355" s="227">
        <v>300</v>
      </c>
      <c r="H355" s="228">
        <f t="shared" si="36"/>
        <v>1500</v>
      </c>
      <c r="I355" s="224">
        <f t="shared" si="38"/>
        <v>150</v>
      </c>
      <c r="J355" s="225">
        <f t="shared" si="32"/>
        <v>1350</v>
      </c>
      <c r="K355" s="132" t="s">
        <v>835</v>
      </c>
      <c r="M355" s="174"/>
      <c r="N355" s="173"/>
      <c r="O355" s="173"/>
      <c r="P355" s="173"/>
      <c r="Q355" s="173"/>
      <c r="R355" s="173"/>
      <c r="T355" s="176"/>
    </row>
    <row r="356" spans="1:20" s="172" customFormat="1" x14ac:dyDescent="0.35">
      <c r="A356" s="132">
        <v>395</v>
      </c>
      <c r="B356" s="229" t="s">
        <v>1122</v>
      </c>
      <c r="C356" s="132" t="s">
        <v>1095</v>
      </c>
      <c r="D356" s="227">
        <v>40</v>
      </c>
      <c r="E356" s="225">
        <v>30</v>
      </c>
      <c r="F356" s="226">
        <v>1200</v>
      </c>
      <c r="G356" s="227">
        <v>300</v>
      </c>
      <c r="H356" s="228">
        <f t="shared" si="36"/>
        <v>1500</v>
      </c>
      <c r="I356" s="224">
        <f t="shared" si="38"/>
        <v>150</v>
      </c>
      <c r="J356" s="225">
        <f t="shared" si="32"/>
        <v>1350</v>
      </c>
      <c r="K356" s="132" t="s">
        <v>835</v>
      </c>
      <c r="M356" s="174"/>
      <c r="N356" s="172">
        <v>30</v>
      </c>
      <c r="R356" s="173"/>
      <c r="T356" s="176"/>
    </row>
    <row r="357" spans="1:20" s="172" customFormat="1" x14ac:dyDescent="0.35">
      <c r="A357" s="132">
        <v>396</v>
      </c>
      <c r="B357" s="229" t="s">
        <v>1123</v>
      </c>
      <c r="C357" s="132" t="s">
        <v>1095</v>
      </c>
      <c r="D357" s="227">
        <v>42</v>
      </c>
      <c r="E357" s="225">
        <v>30</v>
      </c>
      <c r="F357" s="226">
        <v>1260</v>
      </c>
      <c r="G357" s="227">
        <v>315</v>
      </c>
      <c r="H357" s="228">
        <f t="shared" si="36"/>
        <v>1575</v>
      </c>
      <c r="I357" s="224">
        <f t="shared" si="38"/>
        <v>157.5</v>
      </c>
      <c r="J357" s="225">
        <f t="shared" si="32"/>
        <v>1417.5</v>
      </c>
      <c r="K357" s="132" t="s">
        <v>835</v>
      </c>
      <c r="M357" s="174"/>
      <c r="N357" s="172">
        <v>42</v>
      </c>
      <c r="R357" s="173"/>
      <c r="T357" s="176"/>
    </row>
    <row r="358" spans="1:20" s="172" customFormat="1" x14ac:dyDescent="0.35">
      <c r="A358" s="132">
        <v>397</v>
      </c>
      <c r="B358" s="229" t="s">
        <v>1124</v>
      </c>
      <c r="C358" s="132" t="s">
        <v>1095</v>
      </c>
      <c r="D358" s="227">
        <v>42</v>
      </c>
      <c r="E358" s="225">
        <v>30</v>
      </c>
      <c r="F358" s="226">
        <v>1260</v>
      </c>
      <c r="G358" s="227">
        <v>315</v>
      </c>
      <c r="H358" s="228">
        <f t="shared" si="36"/>
        <v>1575</v>
      </c>
      <c r="I358" s="224">
        <f t="shared" si="38"/>
        <v>157.5</v>
      </c>
      <c r="J358" s="225">
        <f t="shared" si="32"/>
        <v>1417.5</v>
      </c>
      <c r="K358" s="132" t="s">
        <v>835</v>
      </c>
      <c r="M358" s="174"/>
      <c r="N358" s="172">
        <v>42</v>
      </c>
      <c r="R358" s="173"/>
      <c r="T358" s="176"/>
    </row>
    <row r="359" spans="1:20" s="172" customFormat="1" x14ac:dyDescent="0.35">
      <c r="A359" s="132">
        <v>398</v>
      </c>
      <c r="B359" s="229" t="s">
        <v>1125</v>
      </c>
      <c r="C359" s="132" t="s">
        <v>1095</v>
      </c>
      <c r="D359" s="227">
        <v>44</v>
      </c>
      <c r="E359" s="225">
        <v>30</v>
      </c>
      <c r="F359" s="226">
        <v>1320</v>
      </c>
      <c r="G359" s="227">
        <v>330</v>
      </c>
      <c r="H359" s="228">
        <f t="shared" si="36"/>
        <v>1650</v>
      </c>
      <c r="I359" s="224">
        <f t="shared" si="38"/>
        <v>165</v>
      </c>
      <c r="J359" s="225">
        <f t="shared" si="32"/>
        <v>1485</v>
      </c>
      <c r="K359" s="132" t="s">
        <v>835</v>
      </c>
      <c r="M359" s="174"/>
      <c r="N359" s="172">
        <v>60</v>
      </c>
      <c r="R359" s="173"/>
      <c r="T359" s="176"/>
    </row>
    <row r="360" spans="1:20" s="172" customFormat="1" x14ac:dyDescent="0.35">
      <c r="A360" s="132">
        <v>399</v>
      </c>
      <c r="B360" s="229" t="s">
        <v>1126</v>
      </c>
      <c r="C360" s="132" t="s">
        <v>1095</v>
      </c>
      <c r="D360" s="227">
        <v>44</v>
      </c>
      <c r="E360" s="225">
        <v>30</v>
      </c>
      <c r="F360" s="226">
        <v>1320</v>
      </c>
      <c r="G360" s="227">
        <v>330</v>
      </c>
      <c r="H360" s="228">
        <f t="shared" si="36"/>
        <v>1650</v>
      </c>
      <c r="I360" s="224">
        <f t="shared" si="38"/>
        <v>165</v>
      </c>
      <c r="J360" s="225">
        <f t="shared" si="32"/>
        <v>1485</v>
      </c>
      <c r="K360" s="132" t="s">
        <v>835</v>
      </c>
      <c r="M360" s="174"/>
      <c r="N360" s="172">
        <v>60</v>
      </c>
      <c r="R360" s="173"/>
      <c r="T360" s="176"/>
    </row>
    <row r="361" spans="1:20" s="172" customFormat="1" x14ac:dyDescent="0.35">
      <c r="A361" s="132">
        <v>400</v>
      </c>
      <c r="B361" s="229" t="s">
        <v>1127</v>
      </c>
      <c r="C361" s="132" t="s">
        <v>1095</v>
      </c>
      <c r="D361" s="227">
        <v>46</v>
      </c>
      <c r="E361" s="225">
        <v>30</v>
      </c>
      <c r="F361" s="226">
        <v>1380</v>
      </c>
      <c r="G361" s="227">
        <v>345</v>
      </c>
      <c r="H361" s="228">
        <f t="shared" si="36"/>
        <v>1725</v>
      </c>
      <c r="I361" s="224">
        <f t="shared" si="38"/>
        <v>172.5</v>
      </c>
      <c r="J361" s="225">
        <f t="shared" si="32"/>
        <v>1552.5</v>
      </c>
      <c r="K361" s="132" t="s">
        <v>835</v>
      </c>
      <c r="M361" s="174"/>
      <c r="N361" s="172">
        <v>40</v>
      </c>
      <c r="R361" s="173"/>
      <c r="T361" s="176"/>
    </row>
    <row r="362" spans="1:20" s="172" customFormat="1" x14ac:dyDescent="0.35">
      <c r="A362" s="132">
        <v>401</v>
      </c>
      <c r="B362" s="229" t="s">
        <v>1128</v>
      </c>
      <c r="C362" s="132" t="s">
        <v>1095</v>
      </c>
      <c r="D362" s="227">
        <v>46</v>
      </c>
      <c r="E362" s="225">
        <v>30</v>
      </c>
      <c r="F362" s="226">
        <v>1380</v>
      </c>
      <c r="G362" s="227">
        <v>345</v>
      </c>
      <c r="H362" s="228">
        <f t="shared" si="36"/>
        <v>1725</v>
      </c>
      <c r="I362" s="224">
        <f t="shared" si="38"/>
        <v>172.5</v>
      </c>
      <c r="J362" s="225">
        <f t="shared" si="32"/>
        <v>1552.5</v>
      </c>
      <c r="K362" s="132" t="s">
        <v>835</v>
      </c>
      <c r="M362" s="174"/>
      <c r="R362" s="173"/>
      <c r="T362" s="176"/>
    </row>
    <row r="363" spans="1:20" s="172" customFormat="1" x14ac:dyDescent="0.35">
      <c r="A363" s="132">
        <v>402</v>
      </c>
      <c r="B363" s="229" t="s">
        <v>1129</v>
      </c>
      <c r="C363" s="132" t="s">
        <v>1095</v>
      </c>
      <c r="D363" s="227">
        <v>46</v>
      </c>
      <c r="E363" s="225">
        <v>30</v>
      </c>
      <c r="F363" s="226">
        <v>1380</v>
      </c>
      <c r="G363" s="227">
        <v>345</v>
      </c>
      <c r="H363" s="228">
        <f t="shared" si="36"/>
        <v>1725</v>
      </c>
      <c r="I363" s="224">
        <f t="shared" si="38"/>
        <v>172.5</v>
      </c>
      <c r="J363" s="225">
        <f t="shared" si="32"/>
        <v>1552.5</v>
      </c>
      <c r="K363" s="132" t="s">
        <v>835</v>
      </c>
      <c r="M363" s="174"/>
      <c r="N363" s="172">
        <v>94</v>
      </c>
      <c r="O363" s="176"/>
      <c r="R363" s="173"/>
      <c r="T363" s="176"/>
    </row>
    <row r="364" spans="1:20" s="172" customFormat="1" x14ac:dyDescent="0.35">
      <c r="A364" s="132">
        <v>403</v>
      </c>
      <c r="B364" s="229" t="s">
        <v>1130</v>
      </c>
      <c r="C364" s="132" t="s">
        <v>1095</v>
      </c>
      <c r="D364" s="227">
        <v>48</v>
      </c>
      <c r="E364" s="225">
        <v>30</v>
      </c>
      <c r="F364" s="226">
        <v>1440</v>
      </c>
      <c r="G364" s="227">
        <v>360</v>
      </c>
      <c r="H364" s="228">
        <f t="shared" si="36"/>
        <v>1800</v>
      </c>
      <c r="I364" s="224">
        <f t="shared" si="38"/>
        <v>180</v>
      </c>
      <c r="J364" s="225">
        <f t="shared" si="32"/>
        <v>1620</v>
      </c>
      <c r="K364" s="132" t="s">
        <v>835</v>
      </c>
      <c r="M364" s="174"/>
      <c r="N364" s="172">
        <v>94</v>
      </c>
      <c r="O364" s="176"/>
      <c r="R364" s="173"/>
      <c r="T364" s="176"/>
    </row>
    <row r="365" spans="1:20" s="172" customFormat="1" x14ac:dyDescent="0.35">
      <c r="A365" s="132">
        <v>404</v>
      </c>
      <c r="B365" s="229" t="s">
        <v>1131</v>
      </c>
      <c r="C365" s="132" t="s">
        <v>1095</v>
      </c>
      <c r="D365" s="227">
        <v>48</v>
      </c>
      <c r="E365" s="225">
        <v>30</v>
      </c>
      <c r="F365" s="226">
        <v>1440</v>
      </c>
      <c r="G365" s="227">
        <v>360</v>
      </c>
      <c r="H365" s="228">
        <f t="shared" si="36"/>
        <v>1800</v>
      </c>
      <c r="I365" s="224">
        <f t="shared" si="38"/>
        <v>180</v>
      </c>
      <c r="J365" s="225">
        <f t="shared" si="32"/>
        <v>1620</v>
      </c>
      <c r="K365" s="132" t="s">
        <v>835</v>
      </c>
      <c r="M365" s="174"/>
      <c r="N365" s="173"/>
      <c r="O365" s="173"/>
      <c r="P365" s="173"/>
      <c r="Q365" s="173"/>
    </row>
    <row r="366" spans="1:20" s="172" customFormat="1" x14ac:dyDescent="0.35">
      <c r="A366" s="132">
        <v>405</v>
      </c>
      <c r="B366" s="229" t="s">
        <v>1132</v>
      </c>
      <c r="C366" s="132" t="s">
        <v>1095</v>
      </c>
      <c r="D366" s="227">
        <v>50</v>
      </c>
      <c r="E366" s="225">
        <v>30</v>
      </c>
      <c r="F366" s="226">
        <v>1500</v>
      </c>
      <c r="G366" s="227">
        <v>375</v>
      </c>
      <c r="H366" s="228">
        <f t="shared" si="36"/>
        <v>1875</v>
      </c>
      <c r="I366" s="224">
        <f t="shared" si="38"/>
        <v>187.5</v>
      </c>
      <c r="J366" s="225">
        <f t="shared" si="32"/>
        <v>1687.5</v>
      </c>
      <c r="K366" s="132" t="s">
        <v>835</v>
      </c>
      <c r="M366" s="174"/>
      <c r="N366" s="173"/>
      <c r="O366" s="173"/>
      <c r="P366" s="173"/>
      <c r="Q366" s="173"/>
      <c r="T366" s="176"/>
    </row>
    <row r="367" spans="1:20" s="172" customFormat="1" x14ac:dyDescent="0.35">
      <c r="A367" s="132">
        <v>406</v>
      </c>
      <c r="B367" s="229" t="s">
        <v>1133</v>
      </c>
      <c r="C367" s="132" t="s">
        <v>1095</v>
      </c>
      <c r="D367" s="227">
        <v>50</v>
      </c>
      <c r="E367" s="225">
        <v>30</v>
      </c>
      <c r="F367" s="226">
        <v>1500</v>
      </c>
      <c r="G367" s="227">
        <v>375</v>
      </c>
      <c r="H367" s="228">
        <f t="shared" si="36"/>
        <v>1875</v>
      </c>
      <c r="I367" s="224">
        <f t="shared" si="38"/>
        <v>187.5</v>
      </c>
      <c r="J367" s="225">
        <f t="shared" si="32"/>
        <v>1687.5</v>
      </c>
      <c r="K367" s="132" t="s">
        <v>835</v>
      </c>
      <c r="M367" s="174"/>
      <c r="N367" s="173"/>
      <c r="O367" s="173"/>
      <c r="P367" s="173"/>
      <c r="Q367" s="173"/>
    </row>
    <row r="368" spans="1:20" s="173" customFormat="1" x14ac:dyDescent="0.35">
      <c r="A368" s="132">
        <v>407</v>
      </c>
      <c r="B368" s="229" t="s">
        <v>1134</v>
      </c>
      <c r="C368" s="132" t="s">
        <v>1095</v>
      </c>
      <c r="D368" s="227">
        <v>50</v>
      </c>
      <c r="E368" s="225">
        <v>30</v>
      </c>
      <c r="F368" s="226">
        <v>1500</v>
      </c>
      <c r="G368" s="227">
        <v>375</v>
      </c>
      <c r="H368" s="228">
        <f t="shared" si="36"/>
        <v>1875</v>
      </c>
      <c r="I368" s="224">
        <f t="shared" si="38"/>
        <v>187.5</v>
      </c>
      <c r="J368" s="225">
        <f t="shared" si="32"/>
        <v>1687.5</v>
      </c>
      <c r="K368" s="132" t="s">
        <v>835</v>
      </c>
      <c r="M368" s="174"/>
      <c r="T368" s="185"/>
    </row>
    <row r="369" spans="1:15" s="172" customFormat="1" x14ac:dyDescent="0.35">
      <c r="A369" s="132">
        <v>408</v>
      </c>
      <c r="B369" s="229" t="s">
        <v>1135</v>
      </c>
      <c r="C369" s="132" t="s">
        <v>1095</v>
      </c>
      <c r="D369" s="227">
        <v>50</v>
      </c>
      <c r="E369" s="225">
        <v>30</v>
      </c>
      <c r="F369" s="226">
        <v>1500</v>
      </c>
      <c r="G369" s="227">
        <v>375</v>
      </c>
      <c r="H369" s="228">
        <f t="shared" si="36"/>
        <v>1875</v>
      </c>
      <c r="I369" s="224">
        <f t="shared" si="38"/>
        <v>187.5</v>
      </c>
      <c r="J369" s="225">
        <f t="shared" si="32"/>
        <v>1687.5</v>
      </c>
      <c r="K369" s="132" t="s">
        <v>835</v>
      </c>
      <c r="M369" s="174"/>
      <c r="N369" s="172">
        <v>60</v>
      </c>
    </row>
    <row r="370" spans="1:15" s="172" customFormat="1" x14ac:dyDescent="0.35">
      <c r="A370" s="132">
        <v>409</v>
      </c>
      <c r="B370" s="229" t="s">
        <v>1136</v>
      </c>
      <c r="C370" s="132" t="s">
        <v>1095</v>
      </c>
      <c r="D370" s="227">
        <v>52</v>
      </c>
      <c r="E370" s="225">
        <v>30</v>
      </c>
      <c r="F370" s="226">
        <v>1560</v>
      </c>
      <c r="G370" s="227">
        <v>390</v>
      </c>
      <c r="H370" s="228">
        <f t="shared" si="36"/>
        <v>1950</v>
      </c>
      <c r="I370" s="224">
        <f t="shared" si="38"/>
        <v>195</v>
      </c>
      <c r="J370" s="225">
        <f t="shared" si="32"/>
        <v>1755</v>
      </c>
      <c r="K370" s="132" t="s">
        <v>835</v>
      </c>
      <c r="M370" s="174"/>
      <c r="N370" s="172">
        <v>30</v>
      </c>
    </row>
    <row r="371" spans="1:15" s="172" customFormat="1" x14ac:dyDescent="0.35">
      <c r="A371" s="132">
        <v>410</v>
      </c>
      <c r="B371" s="229" t="s">
        <v>1137</v>
      </c>
      <c r="C371" s="132" t="s">
        <v>1095</v>
      </c>
      <c r="D371" s="227">
        <v>52</v>
      </c>
      <c r="E371" s="225">
        <v>30</v>
      </c>
      <c r="F371" s="226">
        <v>1560</v>
      </c>
      <c r="G371" s="227">
        <v>390</v>
      </c>
      <c r="H371" s="228">
        <f t="shared" si="36"/>
        <v>1950</v>
      </c>
      <c r="I371" s="224">
        <f t="shared" si="38"/>
        <v>195</v>
      </c>
      <c r="J371" s="225">
        <f t="shared" si="32"/>
        <v>1755</v>
      </c>
      <c r="K371" s="132" t="s">
        <v>835</v>
      </c>
      <c r="M371" s="174"/>
      <c r="N371" s="172">
        <v>60</v>
      </c>
    </row>
    <row r="372" spans="1:15" s="172" customFormat="1" x14ac:dyDescent="0.35">
      <c r="A372" s="132">
        <v>411</v>
      </c>
      <c r="B372" s="229" t="s">
        <v>1138</v>
      </c>
      <c r="C372" s="132" t="s">
        <v>1095</v>
      </c>
      <c r="D372" s="227">
        <v>52</v>
      </c>
      <c r="E372" s="225">
        <v>30</v>
      </c>
      <c r="F372" s="226">
        <v>1560</v>
      </c>
      <c r="G372" s="227">
        <v>390</v>
      </c>
      <c r="H372" s="228">
        <f t="shared" si="36"/>
        <v>1950</v>
      </c>
      <c r="I372" s="224">
        <f t="shared" si="38"/>
        <v>195</v>
      </c>
      <c r="J372" s="225">
        <f t="shared" si="32"/>
        <v>1755</v>
      </c>
      <c r="K372" s="132" t="s">
        <v>835</v>
      </c>
      <c r="M372" s="174"/>
      <c r="N372" s="172">
        <v>60</v>
      </c>
    </row>
    <row r="373" spans="1:15" s="172" customFormat="1" x14ac:dyDescent="0.35">
      <c r="A373" s="132">
        <v>412</v>
      </c>
      <c r="B373" s="229" t="s">
        <v>1139</v>
      </c>
      <c r="C373" s="132" t="s">
        <v>1095</v>
      </c>
      <c r="D373" s="227">
        <v>52</v>
      </c>
      <c r="E373" s="225">
        <v>30</v>
      </c>
      <c r="F373" s="226">
        <v>1560</v>
      </c>
      <c r="G373" s="227">
        <v>390</v>
      </c>
      <c r="H373" s="228">
        <f t="shared" si="36"/>
        <v>1950</v>
      </c>
      <c r="I373" s="224">
        <f t="shared" si="38"/>
        <v>195</v>
      </c>
      <c r="J373" s="225">
        <f t="shared" si="32"/>
        <v>1755</v>
      </c>
      <c r="K373" s="132" t="s">
        <v>835</v>
      </c>
      <c r="M373" s="174"/>
    </row>
    <row r="374" spans="1:15" s="172" customFormat="1" x14ac:dyDescent="0.35">
      <c r="A374" s="132">
        <v>413</v>
      </c>
      <c r="B374" s="229" t="s">
        <v>1140</v>
      </c>
      <c r="C374" s="132" t="s">
        <v>1095</v>
      </c>
      <c r="D374" s="227">
        <v>52</v>
      </c>
      <c r="E374" s="225">
        <v>30</v>
      </c>
      <c r="F374" s="226">
        <v>1560</v>
      </c>
      <c r="G374" s="227">
        <v>390</v>
      </c>
      <c r="H374" s="228">
        <f t="shared" si="36"/>
        <v>1950</v>
      </c>
      <c r="I374" s="224">
        <f t="shared" si="38"/>
        <v>195</v>
      </c>
      <c r="J374" s="225">
        <f t="shared" si="32"/>
        <v>1755</v>
      </c>
      <c r="K374" s="132" t="s">
        <v>835</v>
      </c>
      <c r="M374" s="174"/>
    </row>
    <row r="375" spans="1:15" s="172" customFormat="1" x14ac:dyDescent="0.35">
      <c r="A375" s="132">
        <v>414</v>
      </c>
      <c r="B375" s="229" t="s">
        <v>936</v>
      </c>
      <c r="C375" s="132" t="s">
        <v>1095</v>
      </c>
      <c r="D375" s="227">
        <v>54</v>
      </c>
      <c r="E375" s="225">
        <v>30</v>
      </c>
      <c r="F375" s="226">
        <v>1620</v>
      </c>
      <c r="G375" s="227">
        <v>405</v>
      </c>
      <c r="H375" s="228">
        <f t="shared" si="36"/>
        <v>2025</v>
      </c>
      <c r="I375" s="224">
        <f t="shared" si="38"/>
        <v>202.5</v>
      </c>
      <c r="J375" s="225">
        <f t="shared" ref="J375:J406" si="39">H375*0.9</f>
        <v>1822.5</v>
      </c>
      <c r="K375" s="132" t="s">
        <v>835</v>
      </c>
      <c r="M375" s="174"/>
    </row>
    <row r="376" spans="1:15" s="172" customFormat="1" x14ac:dyDescent="0.35">
      <c r="A376" s="132">
        <v>415</v>
      </c>
      <c r="B376" s="229" t="s">
        <v>1141</v>
      </c>
      <c r="C376" s="132" t="s">
        <v>1095</v>
      </c>
      <c r="D376" s="227">
        <v>54</v>
      </c>
      <c r="E376" s="225">
        <v>30</v>
      </c>
      <c r="F376" s="226">
        <v>1620</v>
      </c>
      <c r="G376" s="227">
        <v>405</v>
      </c>
      <c r="H376" s="228">
        <f t="shared" si="36"/>
        <v>2025</v>
      </c>
      <c r="I376" s="224">
        <f t="shared" si="38"/>
        <v>202.5</v>
      </c>
      <c r="J376" s="225">
        <f t="shared" si="39"/>
        <v>1822.5</v>
      </c>
      <c r="K376" s="132" t="s">
        <v>835</v>
      </c>
      <c r="M376" s="174"/>
      <c r="N376" s="172">
        <v>40</v>
      </c>
    </row>
    <row r="377" spans="1:15" s="172" customFormat="1" x14ac:dyDescent="0.35">
      <c r="A377" s="132">
        <v>416</v>
      </c>
      <c r="B377" s="229" t="s">
        <v>1142</v>
      </c>
      <c r="C377" s="132" t="s">
        <v>1095</v>
      </c>
      <c r="D377" s="227">
        <v>60</v>
      </c>
      <c r="E377" s="225">
        <v>30</v>
      </c>
      <c r="F377" s="226">
        <v>1800</v>
      </c>
      <c r="G377" s="227">
        <v>450</v>
      </c>
      <c r="H377" s="228">
        <f t="shared" si="36"/>
        <v>2250</v>
      </c>
      <c r="I377" s="224">
        <f t="shared" si="38"/>
        <v>225</v>
      </c>
      <c r="J377" s="225">
        <f t="shared" si="39"/>
        <v>2025</v>
      </c>
      <c r="K377" s="132" t="s">
        <v>835</v>
      </c>
      <c r="M377" s="174"/>
    </row>
    <row r="378" spans="1:15" s="172" customFormat="1" x14ac:dyDescent="0.35">
      <c r="A378" s="132">
        <v>417</v>
      </c>
      <c r="B378" s="229" t="s">
        <v>1143</v>
      </c>
      <c r="C378" s="132" t="s">
        <v>1095</v>
      </c>
      <c r="D378" s="227">
        <v>60</v>
      </c>
      <c r="E378" s="225">
        <v>30</v>
      </c>
      <c r="F378" s="226">
        <v>1800</v>
      </c>
      <c r="G378" s="227">
        <v>450</v>
      </c>
      <c r="H378" s="228">
        <f t="shared" si="36"/>
        <v>2250</v>
      </c>
      <c r="I378" s="224">
        <f t="shared" si="38"/>
        <v>225</v>
      </c>
      <c r="J378" s="225">
        <f t="shared" si="39"/>
        <v>2025</v>
      </c>
      <c r="K378" s="132" t="s">
        <v>835</v>
      </c>
      <c r="M378" s="174"/>
    </row>
    <row r="379" spans="1:15" s="177" customFormat="1" x14ac:dyDescent="0.35">
      <c r="A379" s="132">
        <v>418</v>
      </c>
      <c r="B379" s="11" t="s">
        <v>856</v>
      </c>
      <c r="C379" s="132" t="s">
        <v>845</v>
      </c>
      <c r="D379" s="240">
        <v>6</v>
      </c>
      <c r="E379" s="225">
        <v>60</v>
      </c>
      <c r="F379" s="226">
        <f t="shared" ref="F379:F421" si="40">D379*E379</f>
        <v>360</v>
      </c>
      <c r="G379" s="245">
        <v>80</v>
      </c>
      <c r="H379" s="228">
        <f t="shared" ref="H379:H421" si="41">F379+G379</f>
        <v>440</v>
      </c>
      <c r="I379" s="224">
        <f t="shared" si="38"/>
        <v>44</v>
      </c>
      <c r="J379" s="225">
        <f t="shared" si="39"/>
        <v>396</v>
      </c>
      <c r="K379" s="132" t="s">
        <v>835</v>
      </c>
      <c r="L379" s="24"/>
      <c r="M379" s="178">
        <v>30</v>
      </c>
      <c r="N379" s="177">
        <v>14</v>
      </c>
      <c r="O379" s="180"/>
    </row>
    <row r="380" spans="1:15" s="177" customFormat="1" x14ac:dyDescent="0.35">
      <c r="A380" s="132">
        <v>419</v>
      </c>
      <c r="B380" s="132" t="s">
        <v>855</v>
      </c>
      <c r="C380" s="132" t="s">
        <v>845</v>
      </c>
      <c r="D380" s="244">
        <v>6</v>
      </c>
      <c r="E380" s="225">
        <f>M380</f>
        <v>60</v>
      </c>
      <c r="F380" s="226">
        <f t="shared" si="40"/>
        <v>360</v>
      </c>
      <c r="G380" s="245">
        <v>80</v>
      </c>
      <c r="H380" s="228">
        <f t="shared" si="41"/>
        <v>440</v>
      </c>
      <c r="I380" s="224">
        <f t="shared" si="38"/>
        <v>44</v>
      </c>
      <c r="J380" s="225">
        <f t="shared" si="39"/>
        <v>396</v>
      </c>
      <c r="K380" s="132" t="s">
        <v>835</v>
      </c>
      <c r="L380" s="24"/>
      <c r="M380" s="178">
        <v>60</v>
      </c>
    </row>
    <row r="381" spans="1:15" s="177" customFormat="1" x14ac:dyDescent="0.35">
      <c r="A381" s="132">
        <v>420</v>
      </c>
      <c r="B381" s="132" t="s">
        <v>854</v>
      </c>
      <c r="C381" s="132" t="s">
        <v>845</v>
      </c>
      <c r="D381" s="244">
        <v>13.5</v>
      </c>
      <c r="E381" s="225">
        <f>M381</f>
        <v>60</v>
      </c>
      <c r="F381" s="226">
        <f t="shared" si="40"/>
        <v>810</v>
      </c>
      <c r="G381" s="245">
        <v>180</v>
      </c>
      <c r="H381" s="228">
        <f t="shared" si="41"/>
        <v>990</v>
      </c>
      <c r="I381" s="224">
        <f t="shared" ref="I381:I436" si="42">H381*0.1</f>
        <v>99</v>
      </c>
      <c r="J381" s="225">
        <f t="shared" si="39"/>
        <v>891</v>
      </c>
      <c r="K381" s="132" t="s">
        <v>835</v>
      </c>
      <c r="L381" s="24"/>
      <c r="M381" s="178">
        <v>60</v>
      </c>
    </row>
    <row r="382" spans="1:15" s="177" customFormat="1" x14ac:dyDescent="0.35">
      <c r="A382" s="132">
        <v>421</v>
      </c>
      <c r="B382" s="132" t="s">
        <v>1086</v>
      </c>
      <c r="C382" s="132" t="s">
        <v>845</v>
      </c>
      <c r="D382" s="244">
        <v>3</v>
      </c>
      <c r="E382" s="225">
        <v>60</v>
      </c>
      <c r="F382" s="226">
        <f t="shared" si="40"/>
        <v>180</v>
      </c>
      <c r="G382" s="245">
        <v>40</v>
      </c>
      <c r="H382" s="228">
        <f t="shared" si="41"/>
        <v>220</v>
      </c>
      <c r="I382" s="224">
        <f t="shared" si="42"/>
        <v>22</v>
      </c>
      <c r="J382" s="225">
        <f t="shared" si="39"/>
        <v>198</v>
      </c>
      <c r="K382" s="132" t="s">
        <v>835</v>
      </c>
      <c r="L382" s="24"/>
      <c r="M382" s="178">
        <v>60</v>
      </c>
    </row>
    <row r="383" spans="1:15" s="177" customFormat="1" x14ac:dyDescent="0.35">
      <c r="A383" s="132">
        <v>422</v>
      </c>
      <c r="B383" s="132" t="s">
        <v>1087</v>
      </c>
      <c r="C383" s="132" t="s">
        <v>845</v>
      </c>
      <c r="D383" s="244">
        <v>6</v>
      </c>
      <c r="E383" s="225">
        <v>60</v>
      </c>
      <c r="F383" s="226">
        <f t="shared" si="40"/>
        <v>360</v>
      </c>
      <c r="G383" s="245">
        <v>80</v>
      </c>
      <c r="H383" s="228">
        <f t="shared" si="41"/>
        <v>440</v>
      </c>
      <c r="I383" s="224">
        <f t="shared" si="42"/>
        <v>44</v>
      </c>
      <c r="J383" s="225">
        <f t="shared" si="39"/>
        <v>396</v>
      </c>
      <c r="K383" s="132" t="s">
        <v>835</v>
      </c>
      <c r="L383" s="24"/>
      <c r="M383" s="178">
        <v>60</v>
      </c>
    </row>
    <row r="384" spans="1:15" s="177" customFormat="1" x14ac:dyDescent="0.35">
      <c r="A384" s="132">
        <v>423</v>
      </c>
      <c r="B384" s="132" t="s">
        <v>853</v>
      </c>
      <c r="C384" s="132" t="s">
        <v>845</v>
      </c>
      <c r="D384" s="244">
        <v>13.5</v>
      </c>
      <c r="E384" s="225">
        <v>60</v>
      </c>
      <c r="F384" s="226">
        <f t="shared" si="40"/>
        <v>810</v>
      </c>
      <c r="G384" s="245">
        <v>180</v>
      </c>
      <c r="H384" s="228">
        <f t="shared" si="41"/>
        <v>990</v>
      </c>
      <c r="I384" s="224">
        <f t="shared" si="42"/>
        <v>99</v>
      </c>
      <c r="J384" s="225">
        <f t="shared" si="39"/>
        <v>891</v>
      </c>
      <c r="K384" s="132" t="s">
        <v>835</v>
      </c>
      <c r="L384" s="24"/>
      <c r="M384" s="178">
        <v>60</v>
      </c>
      <c r="N384" s="177">
        <v>16</v>
      </c>
    </row>
    <row r="385" spans="1:20" s="177" customFormat="1" x14ac:dyDescent="0.35">
      <c r="A385" s="132">
        <v>424</v>
      </c>
      <c r="B385" s="11" t="s">
        <v>852</v>
      </c>
      <c r="C385" s="132" t="s">
        <v>845</v>
      </c>
      <c r="D385" s="244">
        <v>4.5</v>
      </c>
      <c r="E385" s="225">
        <v>60</v>
      </c>
      <c r="F385" s="226">
        <f t="shared" si="40"/>
        <v>270</v>
      </c>
      <c r="G385" s="245">
        <v>60</v>
      </c>
      <c r="H385" s="228">
        <f t="shared" si="41"/>
        <v>330</v>
      </c>
      <c r="I385" s="224">
        <f t="shared" si="42"/>
        <v>33</v>
      </c>
      <c r="J385" s="225">
        <f t="shared" si="39"/>
        <v>297</v>
      </c>
      <c r="K385" s="132" t="s">
        <v>835</v>
      </c>
      <c r="L385" s="24"/>
      <c r="M385" s="178">
        <v>60</v>
      </c>
      <c r="N385" s="177">
        <v>18</v>
      </c>
    </row>
    <row r="386" spans="1:20" s="192" customFormat="1" x14ac:dyDescent="0.35">
      <c r="A386" s="132">
        <v>427</v>
      </c>
      <c r="B386" s="223" t="s">
        <v>933</v>
      </c>
      <c r="C386" s="132" t="s">
        <v>845</v>
      </c>
      <c r="D386" s="227">
        <v>8</v>
      </c>
      <c r="E386" s="225">
        <v>60</v>
      </c>
      <c r="F386" s="226">
        <f t="shared" si="40"/>
        <v>480</v>
      </c>
      <c r="G386" s="227">
        <v>80</v>
      </c>
      <c r="H386" s="228">
        <f t="shared" si="41"/>
        <v>560</v>
      </c>
      <c r="I386" s="224">
        <f t="shared" si="42"/>
        <v>56</v>
      </c>
      <c r="J386" s="225">
        <f t="shared" si="39"/>
        <v>504</v>
      </c>
      <c r="K386" s="11" t="s">
        <v>835</v>
      </c>
      <c r="L386" s="24"/>
      <c r="M386" s="198">
        <v>30</v>
      </c>
      <c r="N386" s="24"/>
      <c r="O386" s="24"/>
      <c r="P386" s="24"/>
      <c r="Q386" s="24"/>
      <c r="R386" s="191"/>
    </row>
    <row r="387" spans="1:20" s="177" customFormat="1" x14ac:dyDescent="0.35">
      <c r="A387" s="132">
        <v>428</v>
      </c>
      <c r="B387" s="132" t="s">
        <v>626</v>
      </c>
      <c r="C387" s="132" t="s">
        <v>845</v>
      </c>
      <c r="D387" s="244">
        <v>30</v>
      </c>
      <c r="E387" s="225">
        <v>60</v>
      </c>
      <c r="F387" s="226">
        <f t="shared" si="40"/>
        <v>1800</v>
      </c>
      <c r="G387" s="245">
        <v>300</v>
      </c>
      <c r="H387" s="228">
        <f t="shared" si="41"/>
        <v>2100</v>
      </c>
      <c r="I387" s="224">
        <f t="shared" si="42"/>
        <v>210</v>
      </c>
      <c r="J387" s="225">
        <f t="shared" si="39"/>
        <v>1890</v>
      </c>
      <c r="K387" s="132" t="s">
        <v>835</v>
      </c>
      <c r="M387" s="178">
        <v>60</v>
      </c>
      <c r="N387" s="177">
        <v>18</v>
      </c>
    </row>
    <row r="388" spans="1:20" s="177" customFormat="1" x14ac:dyDescent="0.35">
      <c r="A388" s="132">
        <v>429</v>
      </c>
      <c r="B388" s="132" t="s">
        <v>1092</v>
      </c>
      <c r="C388" s="132" t="s">
        <v>845</v>
      </c>
      <c r="D388" s="244">
        <v>1.5</v>
      </c>
      <c r="E388" s="225">
        <v>60</v>
      </c>
      <c r="F388" s="226">
        <f t="shared" si="40"/>
        <v>90</v>
      </c>
      <c r="G388" s="245">
        <v>20</v>
      </c>
      <c r="H388" s="228">
        <f t="shared" si="41"/>
        <v>110</v>
      </c>
      <c r="I388" s="224">
        <f t="shared" si="42"/>
        <v>11</v>
      </c>
      <c r="J388" s="225">
        <f t="shared" si="39"/>
        <v>99</v>
      </c>
      <c r="K388" s="132" t="s">
        <v>835</v>
      </c>
      <c r="M388" s="178"/>
    </row>
    <row r="389" spans="1:20" s="177" customFormat="1" x14ac:dyDescent="0.35">
      <c r="A389" s="132">
        <v>430</v>
      </c>
      <c r="B389" s="132" t="s">
        <v>604</v>
      </c>
      <c r="C389" s="132" t="s">
        <v>845</v>
      </c>
      <c r="D389" s="244">
        <v>7.5</v>
      </c>
      <c r="E389" s="225">
        <v>60</v>
      </c>
      <c r="F389" s="226">
        <f t="shared" si="40"/>
        <v>450</v>
      </c>
      <c r="G389" s="245">
        <v>160</v>
      </c>
      <c r="H389" s="228">
        <f t="shared" si="41"/>
        <v>610</v>
      </c>
      <c r="I389" s="224">
        <f t="shared" si="42"/>
        <v>61</v>
      </c>
      <c r="J389" s="225">
        <f t="shared" si="39"/>
        <v>549</v>
      </c>
      <c r="K389" s="132" t="s">
        <v>835</v>
      </c>
      <c r="L389" s="24"/>
      <c r="M389" s="178">
        <v>60</v>
      </c>
    </row>
    <row r="390" spans="1:20" s="177" customFormat="1" x14ac:dyDescent="0.35">
      <c r="A390" s="132">
        <v>431</v>
      </c>
      <c r="B390" s="132" t="s">
        <v>851</v>
      </c>
      <c r="C390" s="132" t="s">
        <v>845</v>
      </c>
      <c r="D390" s="244">
        <v>9</v>
      </c>
      <c r="E390" s="225">
        <v>60</v>
      </c>
      <c r="F390" s="226">
        <f t="shared" si="40"/>
        <v>540</v>
      </c>
      <c r="G390" s="245">
        <v>120</v>
      </c>
      <c r="H390" s="228">
        <f t="shared" si="41"/>
        <v>660</v>
      </c>
      <c r="I390" s="224">
        <f t="shared" si="42"/>
        <v>66</v>
      </c>
      <c r="J390" s="225">
        <f t="shared" si="39"/>
        <v>594</v>
      </c>
      <c r="K390" s="132" t="s">
        <v>835</v>
      </c>
      <c r="L390" s="24"/>
      <c r="M390" s="178">
        <v>60</v>
      </c>
      <c r="N390" s="177">
        <v>10</v>
      </c>
    </row>
    <row r="391" spans="1:20" s="177" customFormat="1" x14ac:dyDescent="0.35">
      <c r="A391" s="132">
        <v>432</v>
      </c>
      <c r="B391" s="132" t="s">
        <v>850</v>
      </c>
      <c r="C391" s="132" t="s">
        <v>845</v>
      </c>
      <c r="D391" s="244">
        <v>7.5</v>
      </c>
      <c r="E391" s="225">
        <v>60</v>
      </c>
      <c r="F391" s="226">
        <f t="shared" si="40"/>
        <v>450</v>
      </c>
      <c r="G391" s="245">
        <v>100</v>
      </c>
      <c r="H391" s="228">
        <f t="shared" si="41"/>
        <v>550</v>
      </c>
      <c r="I391" s="224">
        <f t="shared" si="42"/>
        <v>55</v>
      </c>
      <c r="J391" s="225">
        <f t="shared" si="39"/>
        <v>495</v>
      </c>
      <c r="K391" s="132" t="s">
        <v>835</v>
      </c>
      <c r="L391" s="24"/>
      <c r="M391" s="178">
        <v>60</v>
      </c>
      <c r="N391" s="177">
        <v>14</v>
      </c>
    </row>
    <row r="392" spans="1:20" s="177" customFormat="1" x14ac:dyDescent="0.35">
      <c r="A392" s="132">
        <v>433</v>
      </c>
      <c r="B392" s="132" t="s">
        <v>1090</v>
      </c>
      <c r="C392" s="132" t="s">
        <v>845</v>
      </c>
      <c r="D392" s="244">
        <v>4.5</v>
      </c>
      <c r="E392" s="225">
        <v>60</v>
      </c>
      <c r="F392" s="226">
        <f t="shared" si="40"/>
        <v>270</v>
      </c>
      <c r="G392" s="245">
        <v>60</v>
      </c>
      <c r="H392" s="228">
        <f t="shared" si="41"/>
        <v>330</v>
      </c>
      <c r="I392" s="224">
        <f t="shared" si="42"/>
        <v>33</v>
      </c>
      <c r="J392" s="225">
        <f t="shared" si="39"/>
        <v>297</v>
      </c>
      <c r="K392" s="132" t="s">
        <v>835</v>
      </c>
      <c r="L392" s="24"/>
      <c r="M392" s="178"/>
    </row>
    <row r="393" spans="1:20" s="177" customFormat="1" x14ac:dyDescent="0.35">
      <c r="A393" s="132">
        <v>434</v>
      </c>
      <c r="B393" s="132" t="s">
        <v>1076</v>
      </c>
      <c r="C393" s="132" t="s">
        <v>845</v>
      </c>
      <c r="D393" s="244">
        <v>7.5</v>
      </c>
      <c r="E393" s="225">
        <v>60</v>
      </c>
      <c r="F393" s="226">
        <f t="shared" si="40"/>
        <v>450</v>
      </c>
      <c r="G393" s="245">
        <v>100</v>
      </c>
      <c r="H393" s="228">
        <f t="shared" si="41"/>
        <v>550</v>
      </c>
      <c r="I393" s="224">
        <f t="shared" si="42"/>
        <v>55</v>
      </c>
      <c r="J393" s="225">
        <f t="shared" si="39"/>
        <v>495</v>
      </c>
      <c r="K393" s="132" t="s">
        <v>835</v>
      </c>
      <c r="L393" s="24"/>
      <c r="M393" s="178">
        <v>60</v>
      </c>
    </row>
    <row r="394" spans="1:20" s="177" customFormat="1" x14ac:dyDescent="0.35">
      <c r="A394" s="132">
        <v>435</v>
      </c>
      <c r="B394" s="132" t="s">
        <v>619</v>
      </c>
      <c r="C394" s="132" t="s">
        <v>845</v>
      </c>
      <c r="D394" s="244">
        <v>9</v>
      </c>
      <c r="E394" s="225">
        <v>60</v>
      </c>
      <c r="F394" s="226">
        <f t="shared" si="40"/>
        <v>540</v>
      </c>
      <c r="G394" s="245">
        <v>120</v>
      </c>
      <c r="H394" s="228">
        <f t="shared" si="41"/>
        <v>660</v>
      </c>
      <c r="I394" s="224">
        <f t="shared" si="42"/>
        <v>66</v>
      </c>
      <c r="J394" s="225">
        <f t="shared" si="39"/>
        <v>594</v>
      </c>
      <c r="K394" s="132" t="s">
        <v>835</v>
      </c>
      <c r="L394" s="24"/>
      <c r="M394" s="178">
        <v>60</v>
      </c>
    </row>
    <row r="395" spans="1:20" s="177" customFormat="1" x14ac:dyDescent="0.35">
      <c r="A395" s="132">
        <v>436</v>
      </c>
      <c r="B395" s="132" t="s">
        <v>593</v>
      </c>
      <c r="C395" s="132" t="s">
        <v>845</v>
      </c>
      <c r="D395" s="244">
        <v>1.5</v>
      </c>
      <c r="E395" s="225">
        <v>60</v>
      </c>
      <c r="F395" s="226">
        <f t="shared" si="40"/>
        <v>90</v>
      </c>
      <c r="G395" s="245">
        <v>20</v>
      </c>
      <c r="H395" s="228">
        <f t="shared" si="41"/>
        <v>110</v>
      </c>
      <c r="I395" s="224">
        <f t="shared" si="42"/>
        <v>11</v>
      </c>
      <c r="J395" s="225">
        <f t="shared" si="39"/>
        <v>99</v>
      </c>
      <c r="K395" s="132" t="s">
        <v>835</v>
      </c>
      <c r="L395" s="24"/>
      <c r="M395" s="178">
        <v>60</v>
      </c>
      <c r="T395" s="180"/>
    </row>
    <row r="396" spans="1:20" s="177" customFormat="1" x14ac:dyDescent="0.35">
      <c r="A396" s="132">
        <v>437</v>
      </c>
      <c r="B396" s="132" t="s">
        <v>849</v>
      </c>
      <c r="C396" s="132" t="s">
        <v>845</v>
      </c>
      <c r="D396" s="244">
        <v>6</v>
      </c>
      <c r="E396" s="225">
        <v>60</v>
      </c>
      <c r="F396" s="226">
        <f t="shared" si="40"/>
        <v>360</v>
      </c>
      <c r="G396" s="245">
        <v>80</v>
      </c>
      <c r="H396" s="228">
        <f t="shared" si="41"/>
        <v>440</v>
      </c>
      <c r="I396" s="224">
        <f t="shared" si="42"/>
        <v>44</v>
      </c>
      <c r="J396" s="225">
        <f t="shared" si="39"/>
        <v>396</v>
      </c>
      <c r="K396" s="132" t="s">
        <v>835</v>
      </c>
      <c r="L396" s="24"/>
      <c r="M396" s="178">
        <v>60</v>
      </c>
      <c r="T396" s="180"/>
    </row>
    <row r="397" spans="1:20" s="177" customFormat="1" x14ac:dyDescent="0.35">
      <c r="A397" s="132">
        <v>438</v>
      </c>
      <c r="B397" s="132" t="s">
        <v>612</v>
      </c>
      <c r="C397" s="132" t="s">
        <v>845</v>
      </c>
      <c r="D397" s="244">
        <v>7.5</v>
      </c>
      <c r="E397" s="225">
        <v>60</v>
      </c>
      <c r="F397" s="226">
        <f t="shared" si="40"/>
        <v>450</v>
      </c>
      <c r="G397" s="245">
        <v>100</v>
      </c>
      <c r="H397" s="228">
        <f t="shared" si="41"/>
        <v>550</v>
      </c>
      <c r="I397" s="224">
        <f t="shared" si="42"/>
        <v>55</v>
      </c>
      <c r="J397" s="225">
        <f t="shared" si="39"/>
        <v>495</v>
      </c>
      <c r="K397" s="132" t="s">
        <v>835</v>
      </c>
      <c r="L397" s="24"/>
      <c r="M397" s="178"/>
      <c r="T397" s="180"/>
    </row>
    <row r="398" spans="1:20" s="177" customFormat="1" x14ac:dyDescent="0.35">
      <c r="A398" s="132">
        <v>439</v>
      </c>
      <c r="B398" s="132" t="s">
        <v>592</v>
      </c>
      <c r="C398" s="132" t="s">
        <v>845</v>
      </c>
      <c r="D398" s="244">
        <v>6</v>
      </c>
      <c r="E398" s="225">
        <v>60</v>
      </c>
      <c r="F398" s="226">
        <f t="shared" si="40"/>
        <v>360</v>
      </c>
      <c r="G398" s="245">
        <v>80</v>
      </c>
      <c r="H398" s="228">
        <f t="shared" si="41"/>
        <v>440</v>
      </c>
      <c r="I398" s="224">
        <f t="shared" si="42"/>
        <v>44</v>
      </c>
      <c r="J398" s="225">
        <f t="shared" si="39"/>
        <v>396</v>
      </c>
      <c r="K398" s="132" t="s">
        <v>835</v>
      </c>
      <c r="L398" s="24"/>
      <c r="M398" s="178"/>
      <c r="T398" s="180"/>
    </row>
    <row r="399" spans="1:20" s="177" customFormat="1" x14ac:dyDescent="0.35">
      <c r="A399" s="132">
        <v>440</v>
      </c>
      <c r="B399" s="132" t="s">
        <v>1089</v>
      </c>
      <c r="C399" s="132" t="s">
        <v>845</v>
      </c>
      <c r="D399" s="244">
        <v>10.5</v>
      </c>
      <c r="E399" s="225">
        <v>60</v>
      </c>
      <c r="F399" s="226">
        <f t="shared" si="40"/>
        <v>630</v>
      </c>
      <c r="G399" s="245">
        <v>140</v>
      </c>
      <c r="H399" s="228">
        <f t="shared" si="41"/>
        <v>770</v>
      </c>
      <c r="I399" s="224">
        <f t="shared" si="42"/>
        <v>77</v>
      </c>
      <c r="J399" s="225">
        <f t="shared" si="39"/>
        <v>693</v>
      </c>
      <c r="K399" s="132" t="s">
        <v>835</v>
      </c>
      <c r="L399" s="24"/>
      <c r="M399" s="178"/>
      <c r="T399" s="180"/>
    </row>
    <row r="400" spans="1:20" s="177" customFormat="1" x14ac:dyDescent="0.35">
      <c r="A400" s="132">
        <v>441</v>
      </c>
      <c r="B400" s="132" t="s">
        <v>848</v>
      </c>
      <c r="C400" s="132" t="s">
        <v>845</v>
      </c>
      <c r="D400" s="244">
        <v>6</v>
      </c>
      <c r="E400" s="225">
        <f t="shared" ref="E400:E407" si="43">M400</f>
        <v>60</v>
      </c>
      <c r="F400" s="226">
        <f t="shared" si="40"/>
        <v>360</v>
      </c>
      <c r="G400" s="245">
        <v>80</v>
      </c>
      <c r="H400" s="228">
        <f t="shared" si="41"/>
        <v>440</v>
      </c>
      <c r="I400" s="224">
        <f t="shared" si="42"/>
        <v>44</v>
      </c>
      <c r="J400" s="225">
        <f t="shared" si="39"/>
        <v>396</v>
      </c>
      <c r="K400" s="132" t="s">
        <v>835</v>
      </c>
      <c r="L400" s="24"/>
      <c r="M400" s="178">
        <v>60</v>
      </c>
      <c r="T400" s="180"/>
    </row>
    <row r="401" spans="1:20" s="177" customFormat="1" x14ac:dyDescent="0.35">
      <c r="A401" s="132">
        <v>442</v>
      </c>
      <c r="B401" s="132" t="s">
        <v>1091</v>
      </c>
      <c r="C401" s="132" t="s">
        <v>845</v>
      </c>
      <c r="D401" s="244">
        <v>4.5</v>
      </c>
      <c r="E401" s="225">
        <f t="shared" si="43"/>
        <v>60</v>
      </c>
      <c r="F401" s="226">
        <f t="shared" si="40"/>
        <v>270</v>
      </c>
      <c r="G401" s="245">
        <v>60</v>
      </c>
      <c r="H401" s="228">
        <f t="shared" si="41"/>
        <v>330</v>
      </c>
      <c r="I401" s="224">
        <f t="shared" si="42"/>
        <v>33</v>
      </c>
      <c r="J401" s="225">
        <f t="shared" si="39"/>
        <v>297</v>
      </c>
      <c r="K401" s="132" t="s">
        <v>835</v>
      </c>
      <c r="L401" s="24"/>
      <c r="M401" s="178">
        <v>60</v>
      </c>
      <c r="T401" s="180"/>
    </row>
    <row r="402" spans="1:20" s="177" customFormat="1" x14ac:dyDescent="0.35">
      <c r="A402" s="132">
        <v>443</v>
      </c>
      <c r="B402" s="132" t="s">
        <v>847</v>
      </c>
      <c r="C402" s="132" t="s">
        <v>845</v>
      </c>
      <c r="D402" s="244">
        <v>10.5</v>
      </c>
      <c r="E402" s="225">
        <f t="shared" si="43"/>
        <v>60</v>
      </c>
      <c r="F402" s="226">
        <f t="shared" si="40"/>
        <v>630</v>
      </c>
      <c r="G402" s="245">
        <v>140</v>
      </c>
      <c r="H402" s="228">
        <f t="shared" si="41"/>
        <v>770</v>
      </c>
      <c r="I402" s="224">
        <f t="shared" si="42"/>
        <v>77</v>
      </c>
      <c r="J402" s="225">
        <f t="shared" si="39"/>
        <v>693</v>
      </c>
      <c r="K402" s="132" t="s">
        <v>835</v>
      </c>
      <c r="L402" s="24"/>
      <c r="M402" s="178">
        <v>60</v>
      </c>
      <c r="T402" s="180"/>
    </row>
    <row r="403" spans="1:20" s="177" customFormat="1" x14ac:dyDescent="0.35">
      <c r="A403" s="132">
        <v>444</v>
      </c>
      <c r="B403" s="132" t="s">
        <v>600</v>
      </c>
      <c r="C403" s="132" t="s">
        <v>845</v>
      </c>
      <c r="D403" s="244">
        <v>7.5</v>
      </c>
      <c r="E403" s="225">
        <f t="shared" si="43"/>
        <v>60</v>
      </c>
      <c r="F403" s="226">
        <f t="shared" si="40"/>
        <v>450</v>
      </c>
      <c r="G403" s="245">
        <v>100</v>
      </c>
      <c r="H403" s="228">
        <f t="shared" si="41"/>
        <v>550</v>
      </c>
      <c r="I403" s="224">
        <f t="shared" si="42"/>
        <v>55</v>
      </c>
      <c r="J403" s="225">
        <f t="shared" si="39"/>
        <v>495</v>
      </c>
      <c r="K403" s="132" t="s">
        <v>835</v>
      </c>
      <c r="L403" s="24"/>
      <c r="M403" s="178">
        <v>60</v>
      </c>
      <c r="T403" s="180"/>
    </row>
    <row r="404" spans="1:20" s="177" customFormat="1" x14ac:dyDescent="0.35">
      <c r="A404" s="132">
        <v>445</v>
      </c>
      <c r="B404" s="132" t="s">
        <v>846</v>
      </c>
      <c r="C404" s="132" t="s">
        <v>845</v>
      </c>
      <c r="D404" s="244">
        <v>4.5</v>
      </c>
      <c r="E404" s="225">
        <f t="shared" si="43"/>
        <v>60</v>
      </c>
      <c r="F404" s="226">
        <f t="shared" si="40"/>
        <v>270</v>
      </c>
      <c r="G404" s="245">
        <v>60</v>
      </c>
      <c r="H404" s="228">
        <f t="shared" si="41"/>
        <v>330</v>
      </c>
      <c r="I404" s="224">
        <f t="shared" si="42"/>
        <v>33</v>
      </c>
      <c r="J404" s="225">
        <f t="shared" si="39"/>
        <v>297</v>
      </c>
      <c r="K404" s="132" t="s">
        <v>835</v>
      </c>
      <c r="L404" s="24"/>
      <c r="M404" s="178">
        <v>60</v>
      </c>
      <c r="T404" s="180"/>
    </row>
    <row r="405" spans="1:20" s="177" customFormat="1" x14ac:dyDescent="0.35">
      <c r="A405" s="132">
        <v>446</v>
      </c>
      <c r="B405" s="11" t="s">
        <v>844</v>
      </c>
      <c r="C405" s="132" t="s">
        <v>837</v>
      </c>
      <c r="D405" s="240">
        <v>6</v>
      </c>
      <c r="E405" s="225">
        <f t="shared" si="43"/>
        <v>30</v>
      </c>
      <c r="F405" s="226">
        <f t="shared" si="40"/>
        <v>180</v>
      </c>
      <c r="G405" s="245">
        <v>60</v>
      </c>
      <c r="H405" s="228">
        <f t="shared" si="41"/>
        <v>240</v>
      </c>
      <c r="I405" s="224">
        <f t="shared" si="42"/>
        <v>24</v>
      </c>
      <c r="J405" s="225">
        <f t="shared" si="39"/>
        <v>216</v>
      </c>
      <c r="K405" s="132" t="s">
        <v>835</v>
      </c>
      <c r="L405" s="24"/>
      <c r="M405" s="178">
        <v>30</v>
      </c>
      <c r="T405" s="180"/>
    </row>
    <row r="406" spans="1:20" s="177" customFormat="1" x14ac:dyDescent="0.35">
      <c r="A406" s="132">
        <v>447</v>
      </c>
      <c r="B406" s="11" t="s">
        <v>843</v>
      </c>
      <c r="C406" s="132" t="s">
        <v>837</v>
      </c>
      <c r="D406" s="240">
        <v>10.5</v>
      </c>
      <c r="E406" s="225">
        <f t="shared" si="43"/>
        <v>30</v>
      </c>
      <c r="F406" s="226">
        <f t="shared" si="40"/>
        <v>315</v>
      </c>
      <c r="G406" s="245">
        <v>105</v>
      </c>
      <c r="H406" s="228">
        <f t="shared" si="41"/>
        <v>420</v>
      </c>
      <c r="I406" s="224">
        <f t="shared" si="42"/>
        <v>42</v>
      </c>
      <c r="J406" s="225">
        <f t="shared" si="39"/>
        <v>378</v>
      </c>
      <c r="K406" s="132" t="s">
        <v>835</v>
      </c>
      <c r="L406" s="24"/>
      <c r="M406" s="178">
        <v>30</v>
      </c>
      <c r="N406" s="177">
        <v>18</v>
      </c>
      <c r="O406" s="180"/>
      <c r="T406" s="180"/>
    </row>
    <row r="407" spans="1:20" s="177" customFormat="1" x14ac:dyDescent="0.35">
      <c r="A407" s="132">
        <v>448</v>
      </c>
      <c r="B407" s="11" t="s">
        <v>589</v>
      </c>
      <c r="C407" s="132" t="s">
        <v>837</v>
      </c>
      <c r="D407" s="240">
        <v>15</v>
      </c>
      <c r="E407" s="225">
        <f t="shared" si="43"/>
        <v>30</v>
      </c>
      <c r="F407" s="226">
        <f t="shared" si="40"/>
        <v>450</v>
      </c>
      <c r="G407" s="245">
        <v>150</v>
      </c>
      <c r="H407" s="228">
        <f t="shared" si="41"/>
        <v>600</v>
      </c>
      <c r="I407" s="224">
        <f t="shared" si="42"/>
        <v>60</v>
      </c>
      <c r="J407" s="225">
        <f t="shared" ref="J407:J436" si="44">H407*0.9</f>
        <v>540</v>
      </c>
      <c r="K407" s="132" t="s">
        <v>835</v>
      </c>
      <c r="L407" s="24"/>
      <c r="M407" s="178">
        <v>30</v>
      </c>
      <c r="N407" s="177">
        <v>14</v>
      </c>
      <c r="O407" s="180"/>
      <c r="T407" s="180"/>
    </row>
    <row r="408" spans="1:20" s="177" customFormat="1" x14ac:dyDescent="0.35">
      <c r="A408" s="132">
        <v>449</v>
      </c>
      <c r="B408" s="11" t="s">
        <v>1078</v>
      </c>
      <c r="C408" s="132" t="s">
        <v>837</v>
      </c>
      <c r="D408" s="240">
        <v>12</v>
      </c>
      <c r="E408" s="225">
        <v>30</v>
      </c>
      <c r="F408" s="226">
        <f t="shared" si="40"/>
        <v>360</v>
      </c>
      <c r="G408" s="245">
        <v>120</v>
      </c>
      <c r="H408" s="228">
        <f t="shared" si="41"/>
        <v>480</v>
      </c>
      <c r="I408" s="224">
        <f t="shared" si="42"/>
        <v>48</v>
      </c>
      <c r="J408" s="225">
        <f t="shared" si="44"/>
        <v>432</v>
      </c>
      <c r="K408" s="132" t="s">
        <v>835</v>
      </c>
      <c r="L408" s="24"/>
      <c r="M408" s="178"/>
      <c r="O408" s="180"/>
      <c r="T408" s="180"/>
    </row>
    <row r="409" spans="1:20" s="177" customFormat="1" x14ac:dyDescent="0.35">
      <c r="A409" s="132">
        <v>450</v>
      </c>
      <c r="B409" s="11" t="s">
        <v>842</v>
      </c>
      <c r="C409" s="132" t="s">
        <v>837</v>
      </c>
      <c r="D409" s="240">
        <v>12</v>
      </c>
      <c r="E409" s="225">
        <v>30</v>
      </c>
      <c r="F409" s="226">
        <f t="shared" si="40"/>
        <v>360</v>
      </c>
      <c r="G409" s="245">
        <v>120</v>
      </c>
      <c r="H409" s="228">
        <f t="shared" si="41"/>
        <v>480</v>
      </c>
      <c r="I409" s="224">
        <f t="shared" si="42"/>
        <v>48</v>
      </c>
      <c r="J409" s="225">
        <f t="shared" si="44"/>
        <v>432</v>
      </c>
      <c r="K409" s="132" t="s">
        <v>835</v>
      </c>
      <c r="L409" s="24"/>
      <c r="M409" s="178">
        <v>30</v>
      </c>
      <c r="N409" s="177">
        <v>28</v>
      </c>
      <c r="O409" s="180"/>
      <c r="T409" s="180"/>
    </row>
    <row r="410" spans="1:20" s="177" customFormat="1" x14ac:dyDescent="0.35">
      <c r="A410" s="132">
        <v>451</v>
      </c>
      <c r="B410" s="11" t="s">
        <v>841</v>
      </c>
      <c r="C410" s="132" t="s">
        <v>837</v>
      </c>
      <c r="D410" s="240">
        <v>7.5</v>
      </c>
      <c r="E410" s="225">
        <v>30</v>
      </c>
      <c r="F410" s="226">
        <f t="shared" si="40"/>
        <v>225</v>
      </c>
      <c r="G410" s="245">
        <v>75</v>
      </c>
      <c r="H410" s="228">
        <f t="shared" si="41"/>
        <v>300</v>
      </c>
      <c r="I410" s="224">
        <f t="shared" si="42"/>
        <v>30</v>
      </c>
      <c r="J410" s="225">
        <f t="shared" si="44"/>
        <v>270</v>
      </c>
      <c r="K410" s="132" t="s">
        <v>835</v>
      </c>
      <c r="L410" s="24"/>
      <c r="M410" s="178">
        <v>30</v>
      </c>
      <c r="O410" s="180"/>
      <c r="R410" s="24"/>
    </row>
    <row r="411" spans="1:20" s="177" customFormat="1" x14ac:dyDescent="0.35">
      <c r="A411" s="132">
        <v>452</v>
      </c>
      <c r="B411" s="11" t="s">
        <v>578</v>
      </c>
      <c r="C411" s="132" t="s">
        <v>837</v>
      </c>
      <c r="D411" s="240">
        <v>7.5</v>
      </c>
      <c r="E411" s="225">
        <v>30</v>
      </c>
      <c r="F411" s="226">
        <f t="shared" si="40"/>
        <v>225</v>
      </c>
      <c r="G411" s="245">
        <v>75</v>
      </c>
      <c r="H411" s="228">
        <f t="shared" si="41"/>
        <v>300</v>
      </c>
      <c r="I411" s="224">
        <f t="shared" si="42"/>
        <v>30</v>
      </c>
      <c r="J411" s="225">
        <f t="shared" si="44"/>
        <v>270</v>
      </c>
      <c r="K411" s="132" t="s">
        <v>835</v>
      </c>
      <c r="L411" s="24"/>
      <c r="M411" s="178">
        <v>30</v>
      </c>
      <c r="O411" s="180"/>
      <c r="R411" s="24"/>
    </row>
    <row r="412" spans="1:20" s="177" customFormat="1" x14ac:dyDescent="0.35">
      <c r="A412" s="132">
        <v>453</v>
      </c>
      <c r="B412" s="132" t="s">
        <v>840</v>
      </c>
      <c r="C412" s="132" t="s">
        <v>837</v>
      </c>
      <c r="D412" s="240">
        <v>7.5</v>
      </c>
      <c r="E412" s="225">
        <v>30</v>
      </c>
      <c r="F412" s="226">
        <f t="shared" si="40"/>
        <v>225</v>
      </c>
      <c r="G412" s="245">
        <v>75</v>
      </c>
      <c r="H412" s="228">
        <f t="shared" si="41"/>
        <v>300</v>
      </c>
      <c r="I412" s="224">
        <f t="shared" si="42"/>
        <v>30</v>
      </c>
      <c r="J412" s="225">
        <f t="shared" si="44"/>
        <v>270</v>
      </c>
      <c r="K412" s="132" t="s">
        <v>835</v>
      </c>
      <c r="L412" s="24"/>
      <c r="M412" s="178">
        <v>30</v>
      </c>
      <c r="N412" s="177">
        <v>12</v>
      </c>
      <c r="O412" s="180"/>
      <c r="R412" s="24"/>
    </row>
    <row r="413" spans="1:20" s="177" customFormat="1" x14ac:dyDescent="0.35">
      <c r="A413" s="132">
        <v>454</v>
      </c>
      <c r="B413" s="11" t="s">
        <v>839</v>
      </c>
      <c r="C413" s="132" t="s">
        <v>837</v>
      </c>
      <c r="D413" s="240">
        <v>7.5</v>
      </c>
      <c r="E413" s="225">
        <v>30</v>
      </c>
      <c r="F413" s="226">
        <f t="shared" si="40"/>
        <v>225</v>
      </c>
      <c r="G413" s="245">
        <v>75</v>
      </c>
      <c r="H413" s="228">
        <f t="shared" si="41"/>
        <v>300</v>
      </c>
      <c r="I413" s="224">
        <f t="shared" si="42"/>
        <v>30</v>
      </c>
      <c r="J413" s="225">
        <f t="shared" si="44"/>
        <v>270</v>
      </c>
      <c r="K413" s="132" t="s">
        <v>835</v>
      </c>
      <c r="L413" s="24"/>
      <c r="M413" s="178">
        <v>30</v>
      </c>
      <c r="N413" s="177">
        <v>14</v>
      </c>
      <c r="O413" s="180"/>
      <c r="R413" s="24"/>
    </row>
    <row r="414" spans="1:20" s="177" customFormat="1" x14ac:dyDescent="0.35">
      <c r="A414" s="132">
        <v>455</v>
      </c>
      <c r="B414" s="11" t="s">
        <v>838</v>
      </c>
      <c r="C414" s="132" t="s">
        <v>837</v>
      </c>
      <c r="D414" s="240">
        <v>9</v>
      </c>
      <c r="E414" s="225">
        <v>30</v>
      </c>
      <c r="F414" s="226">
        <f t="shared" si="40"/>
        <v>270</v>
      </c>
      <c r="G414" s="245">
        <v>90</v>
      </c>
      <c r="H414" s="228">
        <f t="shared" si="41"/>
        <v>360</v>
      </c>
      <c r="I414" s="224">
        <f t="shared" si="42"/>
        <v>36</v>
      </c>
      <c r="J414" s="225">
        <f t="shared" si="44"/>
        <v>324</v>
      </c>
      <c r="K414" s="132" t="s">
        <v>835</v>
      </c>
      <c r="L414" s="24"/>
      <c r="M414" s="178">
        <v>30</v>
      </c>
      <c r="N414" s="177">
        <v>16</v>
      </c>
      <c r="O414" s="180"/>
      <c r="R414" s="24"/>
    </row>
    <row r="415" spans="1:20" s="177" customFormat="1" x14ac:dyDescent="0.35">
      <c r="A415" s="132">
        <v>456</v>
      </c>
      <c r="B415" s="11" t="s">
        <v>1088</v>
      </c>
      <c r="C415" s="132" t="s">
        <v>837</v>
      </c>
      <c r="D415" s="240">
        <v>6</v>
      </c>
      <c r="E415" s="225">
        <v>30</v>
      </c>
      <c r="F415" s="226">
        <f t="shared" si="40"/>
        <v>180</v>
      </c>
      <c r="G415" s="245">
        <v>60</v>
      </c>
      <c r="H415" s="228">
        <f t="shared" si="41"/>
        <v>240</v>
      </c>
      <c r="I415" s="224">
        <f t="shared" si="42"/>
        <v>24</v>
      </c>
      <c r="J415" s="225">
        <f t="shared" si="44"/>
        <v>216</v>
      </c>
      <c r="K415" s="132" t="s">
        <v>835</v>
      </c>
      <c r="L415" s="24"/>
      <c r="M415" s="178">
        <v>30</v>
      </c>
      <c r="N415" s="177">
        <v>6</v>
      </c>
      <c r="O415" s="180"/>
      <c r="R415" s="24"/>
    </row>
    <row r="416" spans="1:20" s="177" customFormat="1" x14ac:dyDescent="0.35">
      <c r="A416" s="132">
        <v>457</v>
      </c>
      <c r="B416" s="11" t="s">
        <v>579</v>
      </c>
      <c r="C416" s="132" t="s">
        <v>837</v>
      </c>
      <c r="D416" s="240">
        <v>9</v>
      </c>
      <c r="E416" s="225">
        <v>30</v>
      </c>
      <c r="F416" s="226">
        <f t="shared" si="40"/>
        <v>270</v>
      </c>
      <c r="G416" s="245">
        <v>90</v>
      </c>
      <c r="H416" s="228">
        <f t="shared" si="41"/>
        <v>360</v>
      </c>
      <c r="I416" s="224">
        <f t="shared" si="42"/>
        <v>36</v>
      </c>
      <c r="J416" s="225">
        <f t="shared" si="44"/>
        <v>324</v>
      </c>
      <c r="K416" s="132" t="s">
        <v>835</v>
      </c>
      <c r="L416" s="24"/>
      <c r="M416" s="178">
        <v>30</v>
      </c>
      <c r="O416" s="180"/>
      <c r="R416" s="24"/>
    </row>
    <row r="417" spans="1:18" s="177" customFormat="1" x14ac:dyDescent="0.35">
      <c r="A417" s="132">
        <v>458</v>
      </c>
      <c r="B417" s="132" t="s">
        <v>1075</v>
      </c>
      <c r="C417" s="132" t="s">
        <v>837</v>
      </c>
      <c r="D417" s="244">
        <v>4.5</v>
      </c>
      <c r="E417" s="225">
        <v>30</v>
      </c>
      <c r="F417" s="226">
        <f t="shared" si="40"/>
        <v>135</v>
      </c>
      <c r="G417" s="245">
        <v>45</v>
      </c>
      <c r="H417" s="228">
        <f>F417+G417</f>
        <v>180</v>
      </c>
      <c r="I417" s="224">
        <f>H417*0.1</f>
        <v>18</v>
      </c>
      <c r="J417" s="225">
        <f>H417*0.9</f>
        <v>162</v>
      </c>
      <c r="K417" s="132" t="s">
        <v>835</v>
      </c>
      <c r="L417" s="24"/>
      <c r="M417" s="178">
        <v>60</v>
      </c>
      <c r="N417" s="177">
        <v>14</v>
      </c>
    </row>
    <row r="418" spans="1:18" s="177" customFormat="1" x14ac:dyDescent="0.35">
      <c r="A418" s="132">
        <v>459</v>
      </c>
      <c r="B418" s="11" t="s">
        <v>1077</v>
      </c>
      <c r="C418" s="132" t="s">
        <v>837</v>
      </c>
      <c r="D418" s="240">
        <v>9</v>
      </c>
      <c r="E418" s="225">
        <v>30</v>
      </c>
      <c r="F418" s="226">
        <f t="shared" si="40"/>
        <v>270</v>
      </c>
      <c r="G418" s="245">
        <v>90</v>
      </c>
      <c r="H418" s="228">
        <f t="shared" si="41"/>
        <v>360</v>
      </c>
      <c r="I418" s="224">
        <f t="shared" si="42"/>
        <v>36</v>
      </c>
      <c r="J418" s="225">
        <f t="shared" si="44"/>
        <v>324</v>
      </c>
      <c r="K418" s="132" t="s">
        <v>835</v>
      </c>
      <c r="L418" s="24"/>
      <c r="M418" s="178"/>
      <c r="O418" s="180"/>
      <c r="R418" s="24"/>
    </row>
    <row r="419" spans="1:18" s="177" customFormat="1" x14ac:dyDescent="0.35">
      <c r="A419" s="132">
        <v>460</v>
      </c>
      <c r="B419" s="11" t="s">
        <v>1080</v>
      </c>
      <c r="C419" s="132" t="s">
        <v>837</v>
      </c>
      <c r="D419" s="240">
        <v>7.5</v>
      </c>
      <c r="E419" s="225">
        <v>30</v>
      </c>
      <c r="F419" s="226">
        <f t="shared" si="40"/>
        <v>225</v>
      </c>
      <c r="G419" s="245">
        <v>75</v>
      </c>
      <c r="H419" s="228">
        <f t="shared" si="41"/>
        <v>300</v>
      </c>
      <c r="I419" s="224">
        <f t="shared" si="42"/>
        <v>30</v>
      </c>
      <c r="J419" s="225">
        <f t="shared" si="44"/>
        <v>270</v>
      </c>
      <c r="K419" s="132" t="s">
        <v>835</v>
      </c>
      <c r="L419" s="24"/>
      <c r="M419" s="178"/>
      <c r="O419" s="180"/>
      <c r="R419" s="24"/>
    </row>
    <row r="420" spans="1:18" s="177" customFormat="1" x14ac:dyDescent="0.35">
      <c r="A420" s="132">
        <v>461</v>
      </c>
      <c r="B420" s="11" t="s">
        <v>1081</v>
      </c>
      <c r="C420" s="132" t="s">
        <v>837</v>
      </c>
      <c r="D420" s="240">
        <v>7.5</v>
      </c>
      <c r="E420" s="225">
        <v>30</v>
      </c>
      <c r="F420" s="226">
        <f t="shared" si="40"/>
        <v>225</v>
      </c>
      <c r="G420" s="245">
        <v>75</v>
      </c>
      <c r="H420" s="228">
        <f t="shared" si="41"/>
        <v>300</v>
      </c>
      <c r="I420" s="224">
        <f t="shared" si="42"/>
        <v>30</v>
      </c>
      <c r="J420" s="225">
        <f t="shared" si="44"/>
        <v>270</v>
      </c>
      <c r="K420" s="132" t="s">
        <v>835</v>
      </c>
      <c r="L420" s="24"/>
      <c r="M420" s="178"/>
      <c r="O420" s="180"/>
      <c r="R420" s="24"/>
    </row>
    <row r="421" spans="1:18" s="177" customFormat="1" x14ac:dyDescent="0.35">
      <c r="A421" s="132">
        <v>462</v>
      </c>
      <c r="B421" s="11" t="s">
        <v>1082</v>
      </c>
      <c r="C421" s="132" t="s">
        <v>837</v>
      </c>
      <c r="D421" s="240">
        <v>7.5</v>
      </c>
      <c r="E421" s="225">
        <v>30</v>
      </c>
      <c r="F421" s="226">
        <f t="shared" si="40"/>
        <v>225</v>
      </c>
      <c r="G421" s="245">
        <v>75</v>
      </c>
      <c r="H421" s="228">
        <f t="shared" si="41"/>
        <v>300</v>
      </c>
      <c r="I421" s="224">
        <f t="shared" si="42"/>
        <v>30</v>
      </c>
      <c r="J421" s="225">
        <f t="shared" si="44"/>
        <v>270</v>
      </c>
      <c r="K421" s="132" t="s">
        <v>835</v>
      </c>
      <c r="L421" s="24"/>
      <c r="M421" s="178"/>
      <c r="O421" s="180"/>
      <c r="R421" s="24"/>
    </row>
    <row r="422" spans="1:18" s="172" customFormat="1" x14ac:dyDescent="0.35">
      <c r="A422" s="132">
        <v>466</v>
      </c>
      <c r="B422" s="229" t="s">
        <v>1144</v>
      </c>
      <c r="C422" s="132" t="s">
        <v>836</v>
      </c>
      <c r="D422" s="227">
        <v>2</v>
      </c>
      <c r="E422" s="225">
        <v>60</v>
      </c>
      <c r="F422" s="226">
        <v>120</v>
      </c>
      <c r="G422" s="227">
        <v>20</v>
      </c>
      <c r="H422" s="225">
        <v>140</v>
      </c>
      <c r="I422" s="224">
        <f t="shared" si="42"/>
        <v>14</v>
      </c>
      <c r="J422" s="225">
        <f t="shared" si="44"/>
        <v>126</v>
      </c>
      <c r="K422" s="132" t="s">
        <v>835</v>
      </c>
      <c r="M422" s="174"/>
      <c r="N422" s="173"/>
      <c r="O422" s="173"/>
      <c r="P422" s="173"/>
      <c r="Q422" s="173"/>
      <c r="R422" s="173"/>
    </row>
    <row r="423" spans="1:18" s="172" customFormat="1" x14ac:dyDescent="0.35">
      <c r="A423" s="132">
        <v>470</v>
      </c>
      <c r="B423" s="229" t="s">
        <v>1147</v>
      </c>
      <c r="C423" s="132" t="s">
        <v>836</v>
      </c>
      <c r="D423" s="227">
        <v>6</v>
      </c>
      <c r="E423" s="225">
        <v>60</v>
      </c>
      <c r="F423" s="226">
        <v>360</v>
      </c>
      <c r="G423" s="227">
        <v>60</v>
      </c>
      <c r="H423" s="225">
        <v>420</v>
      </c>
      <c r="I423" s="224">
        <f t="shared" si="42"/>
        <v>42</v>
      </c>
      <c r="J423" s="225">
        <f t="shared" si="44"/>
        <v>378</v>
      </c>
      <c r="K423" s="132" t="s">
        <v>835</v>
      </c>
      <c r="M423" s="174"/>
      <c r="N423" s="173"/>
      <c r="O423" s="173"/>
      <c r="P423" s="173"/>
      <c r="Q423" s="173"/>
      <c r="R423" s="173"/>
    </row>
    <row r="424" spans="1:18" s="172" customFormat="1" x14ac:dyDescent="0.35">
      <c r="A424" s="132">
        <v>471</v>
      </c>
      <c r="B424" s="229" t="s">
        <v>1354</v>
      </c>
      <c r="C424" s="132" t="s">
        <v>836</v>
      </c>
      <c r="D424" s="227">
        <v>3</v>
      </c>
      <c r="E424" s="225">
        <v>60</v>
      </c>
      <c r="F424" s="226">
        <v>180</v>
      </c>
      <c r="G424" s="227">
        <v>40</v>
      </c>
      <c r="H424" s="225">
        <v>220</v>
      </c>
      <c r="I424" s="224">
        <f t="shared" si="42"/>
        <v>22</v>
      </c>
      <c r="J424" s="225">
        <f t="shared" si="44"/>
        <v>198</v>
      </c>
      <c r="K424" s="132" t="s">
        <v>835</v>
      </c>
      <c r="M424" s="174"/>
      <c r="N424" s="173"/>
      <c r="O424" s="173"/>
      <c r="P424" s="173"/>
      <c r="Q424" s="173"/>
      <c r="R424" s="173"/>
    </row>
    <row r="425" spans="1:18" s="172" customFormat="1" x14ac:dyDescent="0.35">
      <c r="A425" s="132">
        <v>472</v>
      </c>
      <c r="B425" s="229" t="s">
        <v>1148</v>
      </c>
      <c r="C425" s="132" t="s">
        <v>836</v>
      </c>
      <c r="D425" s="227">
        <v>6</v>
      </c>
      <c r="E425" s="225">
        <v>60</v>
      </c>
      <c r="F425" s="226">
        <v>360</v>
      </c>
      <c r="G425" s="227">
        <v>60</v>
      </c>
      <c r="H425" s="225">
        <v>420</v>
      </c>
      <c r="I425" s="224">
        <f t="shared" si="42"/>
        <v>42</v>
      </c>
      <c r="J425" s="225">
        <f t="shared" si="44"/>
        <v>378</v>
      </c>
      <c r="K425" s="132" t="s">
        <v>835</v>
      </c>
      <c r="M425" s="174"/>
      <c r="N425" s="173"/>
      <c r="O425" s="173"/>
      <c r="P425" s="173"/>
      <c r="Q425" s="173"/>
      <c r="R425" s="173"/>
    </row>
    <row r="426" spans="1:18" s="172" customFormat="1" x14ac:dyDescent="0.35">
      <c r="A426" s="132">
        <v>473</v>
      </c>
      <c r="B426" s="229" t="s">
        <v>1149</v>
      </c>
      <c r="C426" s="132" t="s">
        <v>836</v>
      </c>
      <c r="D426" s="227">
        <v>8</v>
      </c>
      <c r="E426" s="225">
        <v>60</v>
      </c>
      <c r="F426" s="226">
        <v>480</v>
      </c>
      <c r="G426" s="227">
        <v>80</v>
      </c>
      <c r="H426" s="225">
        <v>560</v>
      </c>
      <c r="I426" s="224">
        <f t="shared" si="42"/>
        <v>56</v>
      </c>
      <c r="J426" s="225">
        <f t="shared" si="44"/>
        <v>504</v>
      </c>
      <c r="K426" s="132" t="s">
        <v>835</v>
      </c>
      <c r="M426" s="174"/>
      <c r="N426" s="173"/>
      <c r="O426" s="173"/>
      <c r="P426" s="173"/>
      <c r="Q426" s="173"/>
      <c r="R426" s="173"/>
    </row>
    <row r="427" spans="1:18" s="172" customFormat="1" x14ac:dyDescent="0.35">
      <c r="A427" s="132">
        <v>474</v>
      </c>
      <c r="B427" s="229" t="s">
        <v>1150</v>
      </c>
      <c r="C427" s="132" t="s">
        <v>836</v>
      </c>
      <c r="D427" s="227">
        <v>30</v>
      </c>
      <c r="E427" s="225">
        <v>60</v>
      </c>
      <c r="F427" s="226">
        <v>1800</v>
      </c>
      <c r="G427" s="227">
        <v>300</v>
      </c>
      <c r="H427" s="225">
        <v>2100</v>
      </c>
      <c r="I427" s="224">
        <f t="shared" si="42"/>
        <v>210</v>
      </c>
      <c r="J427" s="225">
        <f t="shared" si="44"/>
        <v>1890</v>
      </c>
      <c r="K427" s="132" t="s">
        <v>835</v>
      </c>
      <c r="M427" s="174"/>
      <c r="N427" s="173"/>
      <c r="O427" s="173"/>
      <c r="P427" s="173"/>
      <c r="Q427" s="173"/>
      <c r="R427" s="173"/>
    </row>
    <row r="428" spans="1:18" s="172" customFormat="1" x14ac:dyDescent="0.35">
      <c r="A428" s="132">
        <v>475</v>
      </c>
      <c r="B428" s="229" t="s">
        <v>1151</v>
      </c>
      <c r="C428" s="132" t="s">
        <v>836</v>
      </c>
      <c r="D428" s="227">
        <v>8</v>
      </c>
      <c r="E428" s="225">
        <v>60</v>
      </c>
      <c r="F428" s="226">
        <v>480</v>
      </c>
      <c r="G428" s="227">
        <v>80</v>
      </c>
      <c r="H428" s="225">
        <v>560</v>
      </c>
      <c r="I428" s="224">
        <f t="shared" si="42"/>
        <v>56</v>
      </c>
      <c r="J428" s="225">
        <f t="shared" si="44"/>
        <v>504</v>
      </c>
      <c r="K428" s="132" t="s">
        <v>835</v>
      </c>
      <c r="M428" s="174"/>
      <c r="N428" s="173"/>
      <c r="O428" s="173"/>
      <c r="P428" s="173"/>
      <c r="Q428" s="173"/>
      <c r="R428" s="173"/>
    </row>
    <row r="429" spans="1:18" s="172" customFormat="1" x14ac:dyDescent="0.35">
      <c r="A429" s="132">
        <v>476</v>
      </c>
      <c r="B429" s="229" t="s">
        <v>1152</v>
      </c>
      <c r="C429" s="132" t="s">
        <v>836</v>
      </c>
      <c r="D429" s="227">
        <v>32</v>
      </c>
      <c r="E429" s="225">
        <v>60</v>
      </c>
      <c r="F429" s="226">
        <v>1920</v>
      </c>
      <c r="G429" s="227">
        <v>320</v>
      </c>
      <c r="H429" s="225">
        <v>2240</v>
      </c>
      <c r="I429" s="224">
        <f t="shared" si="42"/>
        <v>224</v>
      </c>
      <c r="J429" s="225">
        <f t="shared" si="44"/>
        <v>2016</v>
      </c>
      <c r="K429" s="132" t="s">
        <v>835</v>
      </c>
      <c r="M429" s="174"/>
      <c r="N429" s="173"/>
      <c r="O429" s="173"/>
      <c r="P429" s="173"/>
      <c r="Q429" s="173"/>
      <c r="R429" s="173"/>
    </row>
    <row r="430" spans="1:18" s="172" customFormat="1" x14ac:dyDescent="0.35">
      <c r="A430" s="132">
        <v>477</v>
      </c>
      <c r="B430" s="229" t="s">
        <v>1153</v>
      </c>
      <c r="C430" s="132" t="s">
        <v>836</v>
      </c>
      <c r="D430" s="227">
        <v>14</v>
      </c>
      <c r="E430" s="225">
        <v>60</v>
      </c>
      <c r="F430" s="226">
        <v>840</v>
      </c>
      <c r="G430" s="227">
        <v>140</v>
      </c>
      <c r="H430" s="225">
        <v>980</v>
      </c>
      <c r="I430" s="224">
        <f t="shared" si="42"/>
        <v>98</v>
      </c>
      <c r="J430" s="225">
        <f t="shared" si="44"/>
        <v>882</v>
      </c>
      <c r="K430" s="132" t="s">
        <v>835</v>
      </c>
      <c r="M430" s="174"/>
      <c r="N430" s="173"/>
      <c r="O430" s="173"/>
      <c r="P430" s="173"/>
      <c r="Q430" s="173"/>
      <c r="R430" s="173"/>
    </row>
    <row r="431" spans="1:18" s="172" customFormat="1" x14ac:dyDescent="0.35">
      <c r="A431" s="132">
        <v>478</v>
      </c>
      <c r="B431" s="229" t="s">
        <v>1154</v>
      </c>
      <c r="C431" s="132" t="s">
        <v>836</v>
      </c>
      <c r="D431" s="227">
        <v>28</v>
      </c>
      <c r="E431" s="225">
        <v>60</v>
      </c>
      <c r="F431" s="226">
        <v>1680</v>
      </c>
      <c r="G431" s="227">
        <v>280</v>
      </c>
      <c r="H431" s="225">
        <v>1960</v>
      </c>
      <c r="I431" s="224">
        <f t="shared" si="42"/>
        <v>196</v>
      </c>
      <c r="J431" s="225">
        <f t="shared" si="44"/>
        <v>1764</v>
      </c>
      <c r="K431" s="132" t="s">
        <v>835</v>
      </c>
      <c r="M431" s="174"/>
      <c r="N431" s="173"/>
      <c r="O431" s="173"/>
      <c r="P431" s="173"/>
      <c r="Q431" s="173"/>
      <c r="R431" s="173"/>
    </row>
    <row r="432" spans="1:18" s="172" customFormat="1" x14ac:dyDescent="0.35">
      <c r="A432" s="132">
        <v>479</v>
      </c>
      <c r="B432" s="229" t="s">
        <v>1155</v>
      </c>
      <c r="C432" s="132" t="s">
        <v>836</v>
      </c>
      <c r="D432" s="227">
        <v>10</v>
      </c>
      <c r="E432" s="225">
        <v>60</v>
      </c>
      <c r="F432" s="226">
        <v>600</v>
      </c>
      <c r="G432" s="227">
        <v>100</v>
      </c>
      <c r="H432" s="225">
        <v>700</v>
      </c>
      <c r="I432" s="224">
        <f t="shared" si="42"/>
        <v>70</v>
      </c>
      <c r="J432" s="225">
        <f t="shared" si="44"/>
        <v>630</v>
      </c>
      <c r="K432" s="132" t="s">
        <v>835</v>
      </c>
      <c r="M432" s="174"/>
      <c r="N432" s="173"/>
      <c r="O432" s="173"/>
      <c r="P432" s="173"/>
      <c r="Q432" s="173"/>
      <c r="R432" s="173"/>
    </row>
    <row r="433" spans="1:18" s="172" customFormat="1" x14ac:dyDescent="0.35">
      <c r="A433" s="132">
        <v>480</v>
      </c>
      <c r="B433" s="229" t="s">
        <v>1156</v>
      </c>
      <c r="C433" s="132" t="s">
        <v>836</v>
      </c>
      <c r="D433" s="227">
        <v>14</v>
      </c>
      <c r="E433" s="225">
        <v>60</v>
      </c>
      <c r="F433" s="226">
        <v>840</v>
      </c>
      <c r="G433" s="227">
        <v>140</v>
      </c>
      <c r="H433" s="225">
        <v>700</v>
      </c>
      <c r="I433" s="224">
        <f t="shared" si="42"/>
        <v>70</v>
      </c>
      <c r="J433" s="225">
        <f t="shared" si="44"/>
        <v>630</v>
      </c>
      <c r="K433" s="132" t="s">
        <v>835</v>
      </c>
      <c r="M433" s="174"/>
      <c r="N433" s="173"/>
      <c r="O433" s="173"/>
      <c r="P433" s="173"/>
      <c r="Q433" s="173"/>
      <c r="R433" s="173"/>
    </row>
    <row r="434" spans="1:18" s="172" customFormat="1" x14ac:dyDescent="0.35">
      <c r="A434" s="132">
        <v>481</v>
      </c>
      <c r="B434" s="229" t="s">
        <v>1157</v>
      </c>
      <c r="C434" s="132" t="s">
        <v>836</v>
      </c>
      <c r="D434" s="227">
        <v>22</v>
      </c>
      <c r="E434" s="225">
        <v>60</v>
      </c>
      <c r="F434" s="226">
        <v>1320</v>
      </c>
      <c r="G434" s="227">
        <v>220</v>
      </c>
      <c r="H434" s="225">
        <f>F434+G434</f>
        <v>1540</v>
      </c>
      <c r="I434" s="224">
        <f t="shared" si="42"/>
        <v>154</v>
      </c>
      <c r="J434" s="225">
        <f t="shared" si="44"/>
        <v>1386</v>
      </c>
      <c r="K434" s="132" t="s">
        <v>835</v>
      </c>
      <c r="M434" s="174"/>
      <c r="N434" s="173"/>
      <c r="O434" s="173"/>
      <c r="P434" s="173"/>
      <c r="Q434" s="173"/>
      <c r="R434" s="173"/>
    </row>
    <row r="435" spans="1:18" s="172" customFormat="1" x14ac:dyDescent="0.35">
      <c r="A435" s="132">
        <v>482</v>
      </c>
      <c r="B435" s="229" t="s">
        <v>1158</v>
      </c>
      <c r="C435" s="132" t="s">
        <v>836</v>
      </c>
      <c r="D435" s="227">
        <v>14</v>
      </c>
      <c r="E435" s="225">
        <v>60</v>
      </c>
      <c r="F435" s="226">
        <v>840</v>
      </c>
      <c r="G435" s="227">
        <v>140</v>
      </c>
      <c r="H435" s="225">
        <f t="shared" ref="H435:H492" si="45">F435+G435</f>
        <v>980</v>
      </c>
      <c r="I435" s="224">
        <f t="shared" si="42"/>
        <v>98</v>
      </c>
      <c r="J435" s="225">
        <f t="shared" si="44"/>
        <v>882</v>
      </c>
      <c r="K435" s="132" t="s">
        <v>835</v>
      </c>
      <c r="M435" s="174"/>
      <c r="N435" s="173"/>
      <c r="O435" s="173"/>
      <c r="P435" s="173"/>
      <c r="Q435" s="173"/>
      <c r="R435" s="173"/>
    </row>
    <row r="436" spans="1:18" s="172" customFormat="1" x14ac:dyDescent="0.35">
      <c r="A436" s="132">
        <v>483</v>
      </c>
      <c r="B436" s="229" t="s">
        <v>1079</v>
      </c>
      <c r="C436" s="132" t="s">
        <v>836</v>
      </c>
      <c r="D436" s="227">
        <v>15</v>
      </c>
      <c r="E436" s="225">
        <v>60</v>
      </c>
      <c r="F436" s="226">
        <v>900</v>
      </c>
      <c r="G436" s="227">
        <v>160</v>
      </c>
      <c r="H436" s="225">
        <f t="shared" si="45"/>
        <v>1060</v>
      </c>
      <c r="I436" s="224">
        <f t="shared" si="42"/>
        <v>106</v>
      </c>
      <c r="J436" s="225">
        <f t="shared" si="44"/>
        <v>954</v>
      </c>
      <c r="K436" s="132" t="s">
        <v>835</v>
      </c>
      <c r="M436" s="174"/>
      <c r="N436" s="173"/>
      <c r="O436" s="173"/>
      <c r="P436" s="173"/>
      <c r="Q436" s="173"/>
      <c r="R436" s="173"/>
    </row>
    <row r="437" spans="1:18" s="172" customFormat="1" x14ac:dyDescent="0.35">
      <c r="A437" s="132">
        <v>485</v>
      </c>
      <c r="B437" s="229" t="s">
        <v>1159</v>
      </c>
      <c r="C437" s="132" t="s">
        <v>836</v>
      </c>
      <c r="D437" s="227">
        <v>18</v>
      </c>
      <c r="E437" s="225">
        <v>60</v>
      </c>
      <c r="F437" s="226">
        <v>1080</v>
      </c>
      <c r="G437" s="227">
        <v>180</v>
      </c>
      <c r="H437" s="225">
        <f t="shared" si="45"/>
        <v>1260</v>
      </c>
      <c r="I437" s="224">
        <f t="shared" ref="I437:I492" si="46">H437*0.1</f>
        <v>126</v>
      </c>
      <c r="J437" s="225">
        <f t="shared" ref="J437:J492" si="47">H437*0.9</f>
        <v>1134</v>
      </c>
      <c r="K437" s="132" t="s">
        <v>835</v>
      </c>
      <c r="M437" s="174"/>
      <c r="N437" s="173"/>
      <c r="O437" s="173"/>
      <c r="P437" s="173"/>
      <c r="Q437" s="173"/>
      <c r="R437" s="173"/>
    </row>
    <row r="438" spans="1:18" s="172" customFormat="1" x14ac:dyDescent="0.35">
      <c r="A438" s="132">
        <v>486</v>
      </c>
      <c r="B438" s="229" t="s">
        <v>1160</v>
      </c>
      <c r="C438" s="132" t="s">
        <v>836</v>
      </c>
      <c r="D438" s="227">
        <v>14</v>
      </c>
      <c r="E438" s="225">
        <v>60</v>
      </c>
      <c r="F438" s="226">
        <v>840</v>
      </c>
      <c r="G438" s="227">
        <v>140</v>
      </c>
      <c r="H438" s="225">
        <f t="shared" si="45"/>
        <v>980</v>
      </c>
      <c r="I438" s="224">
        <f t="shared" si="46"/>
        <v>98</v>
      </c>
      <c r="J438" s="225">
        <f t="shared" si="47"/>
        <v>882</v>
      </c>
      <c r="K438" s="132" t="s">
        <v>835</v>
      </c>
      <c r="M438" s="174"/>
      <c r="N438" s="173"/>
      <c r="O438" s="173"/>
      <c r="P438" s="173"/>
      <c r="Q438" s="173"/>
      <c r="R438" s="173"/>
    </row>
    <row r="439" spans="1:18" s="172" customFormat="1" x14ac:dyDescent="0.35">
      <c r="A439" s="132">
        <v>487</v>
      </c>
      <c r="B439" s="229" t="s">
        <v>1161</v>
      </c>
      <c r="C439" s="132" t="s">
        <v>836</v>
      </c>
      <c r="D439" s="227">
        <v>18</v>
      </c>
      <c r="E439" s="225">
        <v>60</v>
      </c>
      <c r="F439" s="226">
        <v>1080</v>
      </c>
      <c r="G439" s="227">
        <v>180</v>
      </c>
      <c r="H439" s="225">
        <f t="shared" si="45"/>
        <v>1260</v>
      </c>
      <c r="I439" s="224">
        <f t="shared" si="46"/>
        <v>126</v>
      </c>
      <c r="J439" s="225">
        <f t="shared" si="47"/>
        <v>1134</v>
      </c>
      <c r="K439" s="132" t="s">
        <v>835</v>
      </c>
      <c r="M439" s="174"/>
      <c r="N439" s="173"/>
      <c r="O439" s="173"/>
      <c r="P439" s="173"/>
      <c r="Q439" s="173"/>
      <c r="R439" s="173"/>
    </row>
    <row r="440" spans="1:18" s="172" customFormat="1" x14ac:dyDescent="0.35">
      <c r="A440" s="132">
        <v>488</v>
      </c>
      <c r="B440" s="229" t="s">
        <v>1162</v>
      </c>
      <c r="C440" s="132" t="s">
        <v>836</v>
      </c>
      <c r="D440" s="227">
        <v>26</v>
      </c>
      <c r="E440" s="225">
        <v>60</v>
      </c>
      <c r="F440" s="226">
        <v>1560</v>
      </c>
      <c r="G440" s="227">
        <v>260</v>
      </c>
      <c r="H440" s="225">
        <f t="shared" si="45"/>
        <v>1820</v>
      </c>
      <c r="I440" s="224">
        <f t="shared" si="46"/>
        <v>182</v>
      </c>
      <c r="J440" s="225">
        <f t="shared" si="47"/>
        <v>1638</v>
      </c>
      <c r="K440" s="132" t="s">
        <v>835</v>
      </c>
      <c r="M440" s="174"/>
      <c r="N440" s="173"/>
      <c r="O440" s="173"/>
      <c r="P440" s="173"/>
      <c r="Q440" s="173"/>
      <c r="R440" s="173"/>
    </row>
    <row r="441" spans="1:18" s="172" customFormat="1" x14ac:dyDescent="0.35">
      <c r="A441" s="132">
        <v>489</v>
      </c>
      <c r="B441" s="229" t="s">
        <v>1163</v>
      </c>
      <c r="C441" s="132" t="s">
        <v>836</v>
      </c>
      <c r="D441" s="227">
        <v>26</v>
      </c>
      <c r="E441" s="225">
        <v>60</v>
      </c>
      <c r="F441" s="226">
        <v>1560</v>
      </c>
      <c r="G441" s="227">
        <v>260</v>
      </c>
      <c r="H441" s="225">
        <f t="shared" si="45"/>
        <v>1820</v>
      </c>
      <c r="I441" s="224">
        <f t="shared" si="46"/>
        <v>182</v>
      </c>
      <c r="J441" s="225">
        <f t="shared" si="47"/>
        <v>1638</v>
      </c>
      <c r="K441" s="132" t="s">
        <v>835</v>
      </c>
      <c r="M441" s="174"/>
      <c r="N441" s="173"/>
      <c r="O441" s="173"/>
      <c r="P441" s="173"/>
      <c r="Q441" s="173"/>
      <c r="R441" s="173"/>
    </row>
    <row r="442" spans="1:18" s="172" customFormat="1" x14ac:dyDescent="0.35">
      <c r="A442" s="132">
        <v>490</v>
      </c>
      <c r="B442" s="229" t="s">
        <v>1164</v>
      </c>
      <c r="C442" s="132" t="s">
        <v>836</v>
      </c>
      <c r="D442" s="227">
        <v>34</v>
      </c>
      <c r="E442" s="225">
        <v>60</v>
      </c>
      <c r="F442" s="226">
        <v>2040</v>
      </c>
      <c r="G442" s="227">
        <v>340</v>
      </c>
      <c r="H442" s="225">
        <f t="shared" si="45"/>
        <v>2380</v>
      </c>
      <c r="I442" s="224">
        <f t="shared" si="46"/>
        <v>238</v>
      </c>
      <c r="J442" s="225">
        <f t="shared" si="47"/>
        <v>2142</v>
      </c>
      <c r="K442" s="132" t="s">
        <v>835</v>
      </c>
      <c r="M442" s="174"/>
      <c r="N442" s="173"/>
      <c r="O442" s="173"/>
      <c r="P442" s="173"/>
      <c r="Q442" s="173"/>
      <c r="R442" s="173"/>
    </row>
    <row r="443" spans="1:18" s="172" customFormat="1" x14ac:dyDescent="0.35">
      <c r="A443" s="132">
        <v>491</v>
      </c>
      <c r="B443" s="229" t="s">
        <v>1165</v>
      </c>
      <c r="C443" s="132" t="s">
        <v>836</v>
      </c>
      <c r="D443" s="227">
        <v>24</v>
      </c>
      <c r="E443" s="225">
        <v>60</v>
      </c>
      <c r="F443" s="226">
        <v>1440</v>
      </c>
      <c r="G443" s="227">
        <v>240</v>
      </c>
      <c r="H443" s="225">
        <f t="shared" si="45"/>
        <v>1680</v>
      </c>
      <c r="I443" s="224">
        <f t="shared" si="46"/>
        <v>168</v>
      </c>
      <c r="J443" s="225">
        <f t="shared" si="47"/>
        <v>1512</v>
      </c>
      <c r="K443" s="132" t="s">
        <v>835</v>
      </c>
      <c r="M443" s="174"/>
      <c r="N443" s="173"/>
      <c r="O443" s="173"/>
      <c r="P443" s="173"/>
      <c r="Q443" s="173"/>
      <c r="R443" s="173"/>
    </row>
    <row r="444" spans="1:18" s="172" customFormat="1" x14ac:dyDescent="0.35">
      <c r="A444" s="132">
        <v>492</v>
      </c>
      <c r="B444" s="229" t="s">
        <v>1166</v>
      </c>
      <c r="C444" s="132" t="s">
        <v>836</v>
      </c>
      <c r="D444" s="227">
        <v>20</v>
      </c>
      <c r="E444" s="225">
        <v>60</v>
      </c>
      <c r="F444" s="226">
        <v>1200</v>
      </c>
      <c r="G444" s="227">
        <v>200</v>
      </c>
      <c r="H444" s="225">
        <f t="shared" si="45"/>
        <v>1400</v>
      </c>
      <c r="I444" s="224">
        <f t="shared" si="46"/>
        <v>140</v>
      </c>
      <c r="J444" s="225">
        <f t="shared" si="47"/>
        <v>1260</v>
      </c>
      <c r="K444" s="132" t="s">
        <v>835</v>
      </c>
      <c r="M444" s="174"/>
      <c r="N444" s="173"/>
      <c r="O444" s="173"/>
      <c r="P444" s="173"/>
      <c r="Q444" s="173"/>
      <c r="R444" s="173"/>
    </row>
    <row r="445" spans="1:18" s="172" customFormat="1" x14ac:dyDescent="0.35">
      <c r="A445" s="132">
        <v>493</v>
      </c>
      <c r="B445" s="229" t="s">
        <v>1167</v>
      </c>
      <c r="C445" s="132" t="s">
        <v>836</v>
      </c>
      <c r="D445" s="227">
        <v>20</v>
      </c>
      <c r="E445" s="225">
        <v>60</v>
      </c>
      <c r="F445" s="226">
        <v>1200</v>
      </c>
      <c r="G445" s="227">
        <v>200</v>
      </c>
      <c r="H445" s="225">
        <f t="shared" si="45"/>
        <v>1400</v>
      </c>
      <c r="I445" s="224">
        <f t="shared" si="46"/>
        <v>140</v>
      </c>
      <c r="J445" s="225">
        <f t="shared" si="47"/>
        <v>1260</v>
      </c>
      <c r="K445" s="132" t="s">
        <v>835</v>
      </c>
      <c r="M445" s="174"/>
      <c r="N445" s="173"/>
      <c r="O445" s="173"/>
      <c r="P445" s="173"/>
      <c r="Q445" s="173"/>
      <c r="R445" s="173"/>
    </row>
    <row r="446" spans="1:18" s="172" customFormat="1" x14ac:dyDescent="0.35">
      <c r="A446" s="132">
        <v>494</v>
      </c>
      <c r="B446" s="229" t="s">
        <v>1168</v>
      </c>
      <c r="C446" s="132" t="s">
        <v>836</v>
      </c>
      <c r="D446" s="227">
        <v>20</v>
      </c>
      <c r="E446" s="225">
        <v>60</v>
      </c>
      <c r="F446" s="226">
        <v>1200</v>
      </c>
      <c r="G446" s="227">
        <v>200</v>
      </c>
      <c r="H446" s="225">
        <f t="shared" si="45"/>
        <v>1400</v>
      </c>
      <c r="I446" s="224">
        <f t="shared" si="46"/>
        <v>140</v>
      </c>
      <c r="J446" s="225">
        <f t="shared" si="47"/>
        <v>1260</v>
      </c>
      <c r="K446" s="132" t="s">
        <v>835</v>
      </c>
      <c r="M446" s="174"/>
      <c r="N446" s="173"/>
      <c r="O446" s="173"/>
      <c r="P446" s="173"/>
      <c r="Q446" s="173"/>
      <c r="R446" s="173"/>
    </row>
    <row r="447" spans="1:18" s="172" customFormat="1" x14ac:dyDescent="0.35">
      <c r="A447" s="132">
        <v>495</v>
      </c>
      <c r="B447" s="229" t="s">
        <v>452</v>
      </c>
      <c r="C447" s="132" t="s">
        <v>836</v>
      </c>
      <c r="D447" s="227">
        <v>20</v>
      </c>
      <c r="E447" s="225">
        <v>60</v>
      </c>
      <c r="F447" s="226">
        <v>1200</v>
      </c>
      <c r="G447" s="227">
        <v>200</v>
      </c>
      <c r="H447" s="225">
        <f t="shared" si="45"/>
        <v>1400</v>
      </c>
      <c r="I447" s="224">
        <f t="shared" si="46"/>
        <v>140</v>
      </c>
      <c r="J447" s="225">
        <f t="shared" si="47"/>
        <v>1260</v>
      </c>
      <c r="K447" s="132" t="s">
        <v>835</v>
      </c>
      <c r="M447" s="174"/>
      <c r="N447" s="173"/>
      <c r="O447" s="173"/>
      <c r="P447" s="173"/>
      <c r="Q447" s="173"/>
      <c r="R447" s="173"/>
    </row>
    <row r="448" spans="1:18" s="172" customFormat="1" x14ac:dyDescent="0.35">
      <c r="A448" s="132">
        <v>496</v>
      </c>
      <c r="B448" s="229" t="s">
        <v>1169</v>
      </c>
      <c r="C448" s="132" t="s">
        <v>836</v>
      </c>
      <c r="D448" s="227">
        <v>20</v>
      </c>
      <c r="E448" s="225">
        <v>60</v>
      </c>
      <c r="F448" s="226">
        <v>1200</v>
      </c>
      <c r="G448" s="227">
        <v>200</v>
      </c>
      <c r="H448" s="225">
        <f t="shared" si="45"/>
        <v>1400</v>
      </c>
      <c r="I448" s="224">
        <f t="shared" si="46"/>
        <v>140</v>
      </c>
      <c r="J448" s="225">
        <f t="shared" si="47"/>
        <v>1260</v>
      </c>
      <c r="K448" s="132" t="s">
        <v>835</v>
      </c>
      <c r="M448" s="174"/>
      <c r="N448" s="173"/>
      <c r="O448" s="173"/>
      <c r="P448" s="173"/>
      <c r="Q448" s="173"/>
      <c r="R448" s="173"/>
    </row>
    <row r="449" spans="1:18" s="172" customFormat="1" x14ac:dyDescent="0.35">
      <c r="A449" s="132">
        <v>497</v>
      </c>
      <c r="B449" s="229" t="s">
        <v>1170</v>
      </c>
      <c r="C449" s="132" t="s">
        <v>836</v>
      </c>
      <c r="D449" s="227">
        <v>22</v>
      </c>
      <c r="E449" s="225">
        <v>60</v>
      </c>
      <c r="F449" s="226">
        <v>1320</v>
      </c>
      <c r="G449" s="227">
        <v>220</v>
      </c>
      <c r="H449" s="225">
        <f t="shared" si="45"/>
        <v>1540</v>
      </c>
      <c r="I449" s="224">
        <f t="shared" si="46"/>
        <v>154</v>
      </c>
      <c r="J449" s="225">
        <f t="shared" si="47"/>
        <v>1386</v>
      </c>
      <c r="K449" s="132" t="s">
        <v>835</v>
      </c>
      <c r="M449" s="174"/>
      <c r="N449" s="173"/>
      <c r="O449" s="173"/>
      <c r="P449" s="173"/>
      <c r="Q449" s="173"/>
      <c r="R449" s="173"/>
    </row>
    <row r="450" spans="1:18" s="172" customFormat="1" x14ac:dyDescent="0.35">
      <c r="A450" s="132">
        <v>498</v>
      </c>
      <c r="B450" s="229" t="s">
        <v>1171</v>
      </c>
      <c r="C450" s="132" t="s">
        <v>836</v>
      </c>
      <c r="D450" s="227">
        <v>22</v>
      </c>
      <c r="E450" s="225">
        <v>60</v>
      </c>
      <c r="F450" s="226">
        <v>1320</v>
      </c>
      <c r="G450" s="227">
        <v>220</v>
      </c>
      <c r="H450" s="225">
        <f t="shared" si="45"/>
        <v>1540</v>
      </c>
      <c r="I450" s="224">
        <f t="shared" si="46"/>
        <v>154</v>
      </c>
      <c r="J450" s="225">
        <f t="shared" si="47"/>
        <v>1386</v>
      </c>
      <c r="K450" s="132" t="s">
        <v>835</v>
      </c>
      <c r="M450" s="174"/>
      <c r="N450" s="173"/>
      <c r="O450" s="173"/>
      <c r="P450" s="173"/>
      <c r="Q450" s="173"/>
      <c r="R450" s="173"/>
    </row>
    <row r="451" spans="1:18" s="172" customFormat="1" x14ac:dyDescent="0.35">
      <c r="A451" s="132">
        <v>499</v>
      </c>
      <c r="B451" s="229" t="s">
        <v>1172</v>
      </c>
      <c r="C451" s="132" t="s">
        <v>836</v>
      </c>
      <c r="D451" s="227">
        <v>22</v>
      </c>
      <c r="E451" s="225">
        <v>60</v>
      </c>
      <c r="F451" s="226">
        <v>1320</v>
      </c>
      <c r="G451" s="227">
        <v>220</v>
      </c>
      <c r="H451" s="225">
        <f t="shared" si="45"/>
        <v>1540</v>
      </c>
      <c r="I451" s="224">
        <f t="shared" si="46"/>
        <v>154</v>
      </c>
      <c r="J451" s="225">
        <f t="shared" si="47"/>
        <v>1386</v>
      </c>
      <c r="K451" s="132" t="s">
        <v>835</v>
      </c>
      <c r="M451" s="174"/>
      <c r="N451" s="173"/>
      <c r="O451" s="173"/>
      <c r="P451" s="173"/>
      <c r="Q451" s="173"/>
      <c r="R451" s="173"/>
    </row>
    <row r="452" spans="1:18" s="172" customFormat="1" x14ac:dyDescent="0.35">
      <c r="A452" s="132">
        <v>500</v>
      </c>
      <c r="B452" s="229" t="s">
        <v>1173</v>
      </c>
      <c r="C452" s="132" t="s">
        <v>836</v>
      </c>
      <c r="D452" s="227">
        <v>38</v>
      </c>
      <c r="E452" s="225">
        <v>60</v>
      </c>
      <c r="F452" s="226">
        <v>2280</v>
      </c>
      <c r="G452" s="227">
        <v>380</v>
      </c>
      <c r="H452" s="225">
        <f t="shared" si="45"/>
        <v>2660</v>
      </c>
      <c r="I452" s="224">
        <f t="shared" si="46"/>
        <v>266</v>
      </c>
      <c r="J452" s="225">
        <f t="shared" si="47"/>
        <v>2394</v>
      </c>
      <c r="K452" s="132" t="s">
        <v>835</v>
      </c>
      <c r="M452" s="174"/>
      <c r="N452" s="173"/>
      <c r="O452" s="173"/>
      <c r="P452" s="173"/>
      <c r="Q452" s="173"/>
      <c r="R452" s="173"/>
    </row>
    <row r="453" spans="1:18" s="172" customFormat="1" x14ac:dyDescent="0.35">
      <c r="A453" s="132">
        <v>501</v>
      </c>
      <c r="B453" s="229" t="s">
        <v>1174</v>
      </c>
      <c r="C453" s="132" t="s">
        <v>836</v>
      </c>
      <c r="D453" s="227">
        <v>24</v>
      </c>
      <c r="E453" s="225">
        <v>60</v>
      </c>
      <c r="F453" s="226">
        <v>1440</v>
      </c>
      <c r="G453" s="227">
        <v>240</v>
      </c>
      <c r="H453" s="225">
        <f t="shared" si="45"/>
        <v>1680</v>
      </c>
      <c r="I453" s="224">
        <f t="shared" si="46"/>
        <v>168</v>
      </c>
      <c r="J453" s="225">
        <f t="shared" si="47"/>
        <v>1512</v>
      </c>
      <c r="K453" s="132" t="s">
        <v>835</v>
      </c>
      <c r="M453" s="174"/>
      <c r="N453" s="173"/>
      <c r="O453" s="173"/>
      <c r="P453" s="173"/>
      <c r="Q453" s="173"/>
      <c r="R453" s="173"/>
    </row>
    <row r="454" spans="1:18" s="172" customFormat="1" x14ac:dyDescent="0.35">
      <c r="A454" s="132">
        <v>502</v>
      </c>
      <c r="B454" s="229" t="s">
        <v>1175</v>
      </c>
      <c r="C454" s="132" t="s">
        <v>836</v>
      </c>
      <c r="D454" s="227">
        <v>24</v>
      </c>
      <c r="E454" s="225">
        <v>60</v>
      </c>
      <c r="F454" s="226">
        <v>1440</v>
      </c>
      <c r="G454" s="227">
        <v>240</v>
      </c>
      <c r="H454" s="225">
        <f t="shared" si="45"/>
        <v>1680</v>
      </c>
      <c r="I454" s="224">
        <f t="shared" si="46"/>
        <v>168</v>
      </c>
      <c r="J454" s="225">
        <f t="shared" si="47"/>
        <v>1512</v>
      </c>
      <c r="K454" s="132" t="s">
        <v>835</v>
      </c>
      <c r="M454" s="174"/>
      <c r="N454" s="173"/>
      <c r="O454" s="173"/>
      <c r="P454" s="173"/>
      <c r="Q454" s="173"/>
      <c r="R454" s="173"/>
    </row>
    <row r="455" spans="1:18" s="172" customFormat="1" x14ac:dyDescent="0.35">
      <c r="A455" s="132">
        <v>503</v>
      </c>
      <c r="B455" s="229" t="s">
        <v>1176</v>
      </c>
      <c r="C455" s="132" t="s">
        <v>836</v>
      </c>
      <c r="D455" s="227">
        <v>27</v>
      </c>
      <c r="E455" s="225">
        <v>60</v>
      </c>
      <c r="F455" s="226">
        <f>D455*E455</f>
        <v>1620</v>
      </c>
      <c r="G455" s="227">
        <v>280</v>
      </c>
      <c r="H455" s="225">
        <f t="shared" si="45"/>
        <v>1900</v>
      </c>
      <c r="I455" s="224">
        <f t="shared" si="46"/>
        <v>190</v>
      </c>
      <c r="J455" s="225">
        <f t="shared" si="47"/>
        <v>1710</v>
      </c>
      <c r="K455" s="132" t="s">
        <v>835</v>
      </c>
      <c r="M455" s="174"/>
      <c r="N455" s="173"/>
      <c r="O455" s="173"/>
      <c r="P455" s="173"/>
      <c r="Q455" s="173"/>
      <c r="R455" s="173"/>
    </row>
    <row r="456" spans="1:18" s="172" customFormat="1" x14ac:dyDescent="0.35">
      <c r="A456" s="132">
        <v>504</v>
      </c>
      <c r="B456" s="229" t="s">
        <v>1177</v>
      </c>
      <c r="C456" s="132" t="s">
        <v>836</v>
      </c>
      <c r="D456" s="227">
        <v>24</v>
      </c>
      <c r="E456" s="225">
        <v>60</v>
      </c>
      <c r="F456" s="226">
        <v>1440</v>
      </c>
      <c r="G456" s="227">
        <v>240</v>
      </c>
      <c r="H456" s="225">
        <f t="shared" si="45"/>
        <v>1680</v>
      </c>
      <c r="I456" s="224">
        <f t="shared" si="46"/>
        <v>168</v>
      </c>
      <c r="J456" s="225">
        <f t="shared" si="47"/>
        <v>1512</v>
      </c>
      <c r="K456" s="132" t="s">
        <v>835</v>
      </c>
      <c r="M456" s="174"/>
      <c r="N456" s="173"/>
      <c r="O456" s="173"/>
      <c r="P456" s="173"/>
      <c r="Q456" s="173"/>
      <c r="R456" s="173"/>
    </row>
    <row r="457" spans="1:18" s="172" customFormat="1" x14ac:dyDescent="0.35">
      <c r="A457" s="132">
        <v>505</v>
      </c>
      <c r="B457" s="229" t="s">
        <v>1178</v>
      </c>
      <c r="C457" s="132" t="s">
        <v>836</v>
      </c>
      <c r="D457" s="227">
        <v>24</v>
      </c>
      <c r="E457" s="225">
        <v>60</v>
      </c>
      <c r="F457" s="226">
        <v>1440</v>
      </c>
      <c r="G457" s="227">
        <v>240</v>
      </c>
      <c r="H457" s="225">
        <f t="shared" si="45"/>
        <v>1680</v>
      </c>
      <c r="I457" s="224">
        <f t="shared" si="46"/>
        <v>168</v>
      </c>
      <c r="J457" s="225">
        <f t="shared" si="47"/>
        <v>1512</v>
      </c>
      <c r="K457" s="132" t="s">
        <v>835</v>
      </c>
      <c r="M457" s="174"/>
      <c r="N457" s="173"/>
      <c r="O457" s="173"/>
      <c r="P457" s="173"/>
      <c r="Q457" s="173"/>
      <c r="R457" s="173"/>
    </row>
    <row r="458" spans="1:18" s="172" customFormat="1" x14ac:dyDescent="0.35">
      <c r="A458" s="132">
        <v>506</v>
      </c>
      <c r="B458" s="229" t="s">
        <v>1179</v>
      </c>
      <c r="C458" s="132" t="s">
        <v>836</v>
      </c>
      <c r="D458" s="227">
        <v>24</v>
      </c>
      <c r="E458" s="225">
        <v>60</v>
      </c>
      <c r="F458" s="226">
        <v>1440</v>
      </c>
      <c r="G458" s="227">
        <v>240</v>
      </c>
      <c r="H458" s="225">
        <f t="shared" si="45"/>
        <v>1680</v>
      </c>
      <c r="I458" s="224">
        <f t="shared" si="46"/>
        <v>168</v>
      </c>
      <c r="J458" s="225">
        <f t="shared" si="47"/>
        <v>1512</v>
      </c>
      <c r="K458" s="132" t="s">
        <v>835</v>
      </c>
      <c r="M458" s="174"/>
      <c r="R458" s="173"/>
    </row>
    <row r="459" spans="1:18" s="172" customFormat="1" x14ac:dyDescent="0.35">
      <c r="A459" s="132">
        <v>507</v>
      </c>
      <c r="B459" s="229" t="s">
        <v>1180</v>
      </c>
      <c r="C459" s="132" t="s">
        <v>836</v>
      </c>
      <c r="D459" s="227">
        <v>40</v>
      </c>
      <c r="E459" s="225">
        <v>60</v>
      </c>
      <c r="F459" s="226">
        <v>2400</v>
      </c>
      <c r="G459" s="227">
        <v>400</v>
      </c>
      <c r="H459" s="225">
        <f t="shared" si="45"/>
        <v>2800</v>
      </c>
      <c r="I459" s="224">
        <f t="shared" si="46"/>
        <v>280</v>
      </c>
      <c r="J459" s="225">
        <f t="shared" si="47"/>
        <v>2520</v>
      </c>
      <c r="K459" s="132" t="s">
        <v>835</v>
      </c>
      <c r="M459" s="174"/>
      <c r="R459" s="173"/>
    </row>
    <row r="460" spans="1:18" s="172" customFormat="1" x14ac:dyDescent="0.35">
      <c r="A460" s="132">
        <v>508</v>
      </c>
      <c r="B460" s="229" t="s">
        <v>1181</v>
      </c>
      <c r="C460" s="132" t="s">
        <v>836</v>
      </c>
      <c r="D460" s="227">
        <v>28</v>
      </c>
      <c r="E460" s="225">
        <v>60</v>
      </c>
      <c r="F460" s="226">
        <v>1680</v>
      </c>
      <c r="G460" s="227">
        <v>280</v>
      </c>
      <c r="H460" s="225">
        <f t="shared" si="45"/>
        <v>1960</v>
      </c>
      <c r="I460" s="224">
        <f t="shared" si="46"/>
        <v>196</v>
      </c>
      <c r="J460" s="225">
        <f t="shared" si="47"/>
        <v>1764</v>
      </c>
      <c r="K460" s="132" t="s">
        <v>835</v>
      </c>
      <c r="M460" s="174"/>
      <c r="R460" s="173"/>
    </row>
    <row r="461" spans="1:18" s="172" customFormat="1" x14ac:dyDescent="0.35">
      <c r="A461" s="132">
        <v>509</v>
      </c>
      <c r="B461" s="229" t="s">
        <v>1182</v>
      </c>
      <c r="C461" s="132" t="s">
        <v>836</v>
      </c>
      <c r="D461" s="227">
        <v>28</v>
      </c>
      <c r="E461" s="225">
        <v>60</v>
      </c>
      <c r="F461" s="226">
        <v>1680</v>
      </c>
      <c r="G461" s="227">
        <v>280</v>
      </c>
      <c r="H461" s="225">
        <f t="shared" si="45"/>
        <v>1960</v>
      </c>
      <c r="I461" s="224">
        <f t="shared" si="46"/>
        <v>196</v>
      </c>
      <c r="J461" s="225">
        <f t="shared" si="47"/>
        <v>1764</v>
      </c>
      <c r="K461" s="132" t="s">
        <v>835</v>
      </c>
      <c r="M461" s="174"/>
      <c r="R461" s="173"/>
    </row>
    <row r="462" spans="1:18" s="172" customFormat="1" x14ac:dyDescent="0.35">
      <c r="A462" s="132">
        <v>510</v>
      </c>
      <c r="B462" s="229" t="s">
        <v>1183</v>
      </c>
      <c r="C462" s="132" t="s">
        <v>836</v>
      </c>
      <c r="D462" s="227">
        <v>34</v>
      </c>
      <c r="E462" s="225">
        <v>60</v>
      </c>
      <c r="F462" s="226">
        <v>2040</v>
      </c>
      <c r="G462" s="227">
        <v>340</v>
      </c>
      <c r="H462" s="225">
        <f t="shared" si="45"/>
        <v>2380</v>
      </c>
      <c r="I462" s="224">
        <f t="shared" si="46"/>
        <v>238</v>
      </c>
      <c r="J462" s="225">
        <f t="shared" si="47"/>
        <v>2142</v>
      </c>
      <c r="K462" s="132" t="s">
        <v>835</v>
      </c>
      <c r="M462" s="174"/>
      <c r="N462" s="175"/>
      <c r="O462" s="173"/>
      <c r="P462" s="173"/>
      <c r="R462" s="173"/>
    </row>
    <row r="463" spans="1:18" s="172" customFormat="1" x14ac:dyDescent="0.35">
      <c r="A463" s="132">
        <v>511</v>
      </c>
      <c r="B463" s="229" t="s">
        <v>1184</v>
      </c>
      <c r="C463" s="132" t="s">
        <v>836</v>
      </c>
      <c r="D463" s="227">
        <v>26</v>
      </c>
      <c r="E463" s="225">
        <v>60</v>
      </c>
      <c r="F463" s="226">
        <v>1560</v>
      </c>
      <c r="G463" s="227">
        <v>260</v>
      </c>
      <c r="H463" s="225">
        <f t="shared" si="45"/>
        <v>1820</v>
      </c>
      <c r="I463" s="224">
        <f t="shared" si="46"/>
        <v>182</v>
      </c>
      <c r="J463" s="225">
        <f t="shared" si="47"/>
        <v>1638</v>
      </c>
      <c r="K463" s="132" t="s">
        <v>835</v>
      </c>
      <c r="M463" s="174"/>
      <c r="N463" s="175"/>
      <c r="O463" s="173"/>
      <c r="P463" s="173"/>
      <c r="R463" s="173"/>
    </row>
    <row r="464" spans="1:18" s="172" customFormat="1" x14ac:dyDescent="0.35">
      <c r="A464" s="132">
        <v>512</v>
      </c>
      <c r="B464" s="229" t="s">
        <v>1185</v>
      </c>
      <c r="C464" s="132" t="s">
        <v>836</v>
      </c>
      <c r="D464" s="227">
        <v>32</v>
      </c>
      <c r="E464" s="225">
        <v>60</v>
      </c>
      <c r="F464" s="226">
        <v>1920</v>
      </c>
      <c r="G464" s="227">
        <v>320</v>
      </c>
      <c r="H464" s="225">
        <f t="shared" si="45"/>
        <v>2240</v>
      </c>
      <c r="I464" s="224">
        <f t="shared" si="46"/>
        <v>224</v>
      </c>
      <c r="J464" s="225">
        <f t="shared" si="47"/>
        <v>2016</v>
      </c>
      <c r="K464" s="132" t="s">
        <v>835</v>
      </c>
      <c r="M464" s="174"/>
      <c r="N464" s="175"/>
      <c r="R464" s="173"/>
    </row>
    <row r="465" spans="1:18" s="172" customFormat="1" x14ac:dyDescent="0.35">
      <c r="A465" s="132">
        <v>513</v>
      </c>
      <c r="B465" s="229" t="s">
        <v>1350</v>
      </c>
      <c r="C465" s="132" t="s">
        <v>836</v>
      </c>
      <c r="D465" s="227">
        <v>30</v>
      </c>
      <c r="E465" s="225">
        <v>60</v>
      </c>
      <c r="F465" s="226">
        <v>1800</v>
      </c>
      <c r="G465" s="227">
        <v>300</v>
      </c>
      <c r="H465" s="225">
        <f t="shared" si="45"/>
        <v>2100</v>
      </c>
      <c r="I465" s="224">
        <f t="shared" si="46"/>
        <v>210</v>
      </c>
      <c r="J465" s="225">
        <f t="shared" si="47"/>
        <v>1890</v>
      </c>
      <c r="K465" s="132" t="s">
        <v>835</v>
      </c>
      <c r="M465" s="174"/>
      <c r="N465" s="175"/>
      <c r="R465" s="173"/>
    </row>
    <row r="466" spans="1:18" s="172" customFormat="1" x14ac:dyDescent="0.35">
      <c r="A466" s="132">
        <v>514</v>
      </c>
      <c r="B466" s="229" t="s">
        <v>986</v>
      </c>
      <c r="C466" s="132" t="s">
        <v>836</v>
      </c>
      <c r="D466" s="227">
        <v>30</v>
      </c>
      <c r="E466" s="225">
        <v>60</v>
      </c>
      <c r="F466" s="226">
        <v>1800</v>
      </c>
      <c r="G466" s="227">
        <v>300</v>
      </c>
      <c r="H466" s="225">
        <f t="shared" si="45"/>
        <v>2100</v>
      </c>
      <c r="I466" s="224">
        <f t="shared" si="46"/>
        <v>210</v>
      </c>
      <c r="J466" s="225">
        <f t="shared" si="47"/>
        <v>1890</v>
      </c>
      <c r="K466" s="132" t="s">
        <v>835</v>
      </c>
      <c r="M466" s="174"/>
      <c r="N466" s="175"/>
      <c r="R466" s="173"/>
    </row>
    <row r="467" spans="1:18" s="172" customFormat="1" x14ac:dyDescent="0.35">
      <c r="A467" s="132">
        <v>515</v>
      </c>
      <c r="B467" s="229" t="s">
        <v>1186</v>
      </c>
      <c r="C467" s="132" t="s">
        <v>836</v>
      </c>
      <c r="D467" s="227">
        <v>28</v>
      </c>
      <c r="E467" s="225">
        <v>60</v>
      </c>
      <c r="F467" s="226">
        <v>1680</v>
      </c>
      <c r="G467" s="227">
        <v>280</v>
      </c>
      <c r="H467" s="225">
        <f t="shared" si="45"/>
        <v>1960</v>
      </c>
      <c r="I467" s="224">
        <f t="shared" si="46"/>
        <v>196</v>
      </c>
      <c r="J467" s="225">
        <f t="shared" si="47"/>
        <v>1764</v>
      </c>
      <c r="K467" s="132" t="s">
        <v>835</v>
      </c>
      <c r="M467" s="174"/>
      <c r="N467" s="175"/>
      <c r="R467" s="173"/>
    </row>
    <row r="468" spans="1:18" s="172" customFormat="1" x14ac:dyDescent="0.35">
      <c r="A468" s="132">
        <v>516</v>
      </c>
      <c r="B468" s="229" t="s">
        <v>1351</v>
      </c>
      <c r="C468" s="132" t="s">
        <v>836</v>
      </c>
      <c r="D468" s="227">
        <v>28</v>
      </c>
      <c r="E468" s="225">
        <v>60</v>
      </c>
      <c r="F468" s="226">
        <v>1680</v>
      </c>
      <c r="G468" s="227">
        <v>280</v>
      </c>
      <c r="H468" s="225">
        <f t="shared" si="45"/>
        <v>1960</v>
      </c>
      <c r="I468" s="224">
        <f t="shared" si="46"/>
        <v>196</v>
      </c>
      <c r="J468" s="225">
        <f t="shared" si="47"/>
        <v>1764</v>
      </c>
      <c r="K468" s="132" t="s">
        <v>835</v>
      </c>
      <c r="M468" s="174"/>
      <c r="N468" s="175"/>
      <c r="R468" s="173"/>
    </row>
    <row r="469" spans="1:18" s="172" customFormat="1" x14ac:dyDescent="0.35">
      <c r="A469" s="132">
        <v>517</v>
      </c>
      <c r="B469" s="229" t="s">
        <v>1187</v>
      </c>
      <c r="C469" s="132" t="s">
        <v>836</v>
      </c>
      <c r="D469" s="227">
        <v>30</v>
      </c>
      <c r="E469" s="225">
        <v>60</v>
      </c>
      <c r="F469" s="226">
        <v>1800</v>
      </c>
      <c r="G469" s="227">
        <v>300</v>
      </c>
      <c r="H469" s="225">
        <f t="shared" si="45"/>
        <v>2100</v>
      </c>
      <c r="I469" s="224">
        <f t="shared" si="46"/>
        <v>210</v>
      </c>
      <c r="J469" s="225">
        <f t="shared" si="47"/>
        <v>1890</v>
      </c>
      <c r="K469" s="132" t="s">
        <v>835</v>
      </c>
      <c r="M469" s="174"/>
      <c r="N469" s="173"/>
      <c r="O469" s="173"/>
      <c r="P469" s="173"/>
      <c r="Q469" s="173"/>
      <c r="R469" s="173"/>
    </row>
    <row r="470" spans="1:18" s="172" customFormat="1" x14ac:dyDescent="0.35">
      <c r="A470" s="132">
        <v>518</v>
      </c>
      <c r="B470" s="229" t="s">
        <v>1188</v>
      </c>
      <c r="C470" s="132" t="s">
        <v>836</v>
      </c>
      <c r="D470" s="227">
        <v>30</v>
      </c>
      <c r="E470" s="225">
        <v>60</v>
      </c>
      <c r="F470" s="226">
        <v>1800</v>
      </c>
      <c r="G470" s="227">
        <v>300</v>
      </c>
      <c r="H470" s="225">
        <f t="shared" si="45"/>
        <v>2100</v>
      </c>
      <c r="I470" s="224">
        <f t="shared" si="46"/>
        <v>210</v>
      </c>
      <c r="J470" s="225">
        <f t="shared" si="47"/>
        <v>1890</v>
      </c>
      <c r="K470" s="132" t="s">
        <v>835</v>
      </c>
      <c r="M470" s="174"/>
      <c r="N470" s="173"/>
      <c r="O470" s="173"/>
      <c r="P470" s="173"/>
      <c r="Q470" s="173"/>
      <c r="R470" s="173"/>
    </row>
    <row r="471" spans="1:18" s="172" customFormat="1" x14ac:dyDescent="0.35">
      <c r="A471" s="132">
        <v>519</v>
      </c>
      <c r="B471" s="229" t="s">
        <v>1189</v>
      </c>
      <c r="C471" s="132" t="s">
        <v>836</v>
      </c>
      <c r="D471" s="227">
        <v>42</v>
      </c>
      <c r="E471" s="225">
        <v>60</v>
      </c>
      <c r="F471" s="226">
        <v>2520</v>
      </c>
      <c r="G471" s="227">
        <v>420</v>
      </c>
      <c r="H471" s="225">
        <f t="shared" si="45"/>
        <v>2940</v>
      </c>
      <c r="I471" s="224">
        <f t="shared" si="46"/>
        <v>294</v>
      </c>
      <c r="J471" s="225">
        <f t="shared" si="47"/>
        <v>2646</v>
      </c>
      <c r="K471" s="132" t="s">
        <v>835</v>
      </c>
      <c r="M471" s="174"/>
      <c r="R471" s="173"/>
    </row>
    <row r="472" spans="1:18" s="172" customFormat="1" x14ac:dyDescent="0.35">
      <c r="A472" s="132">
        <v>520</v>
      </c>
      <c r="B472" s="229" t="s">
        <v>1190</v>
      </c>
      <c r="C472" s="132" t="s">
        <v>836</v>
      </c>
      <c r="D472" s="227">
        <v>46</v>
      </c>
      <c r="E472" s="225">
        <v>60</v>
      </c>
      <c r="F472" s="226">
        <v>2760</v>
      </c>
      <c r="G472" s="227">
        <v>460</v>
      </c>
      <c r="H472" s="225">
        <f t="shared" si="45"/>
        <v>3220</v>
      </c>
      <c r="I472" s="224">
        <f t="shared" si="46"/>
        <v>322</v>
      </c>
      <c r="J472" s="225">
        <f t="shared" si="47"/>
        <v>2898</v>
      </c>
      <c r="K472" s="132" t="s">
        <v>835</v>
      </c>
      <c r="M472" s="174"/>
      <c r="R472" s="173"/>
    </row>
    <row r="473" spans="1:18" s="172" customFormat="1" x14ac:dyDescent="0.35">
      <c r="A473" s="132">
        <v>521</v>
      </c>
      <c r="B473" s="229" t="s">
        <v>1191</v>
      </c>
      <c r="C473" s="132" t="s">
        <v>836</v>
      </c>
      <c r="D473" s="227">
        <v>34</v>
      </c>
      <c r="E473" s="225">
        <v>60</v>
      </c>
      <c r="F473" s="226">
        <v>2040</v>
      </c>
      <c r="G473" s="227">
        <v>340</v>
      </c>
      <c r="H473" s="225">
        <f t="shared" si="45"/>
        <v>2380</v>
      </c>
      <c r="I473" s="224">
        <f t="shared" si="46"/>
        <v>238</v>
      </c>
      <c r="J473" s="225">
        <f t="shared" si="47"/>
        <v>2142</v>
      </c>
      <c r="K473" s="132" t="s">
        <v>835</v>
      </c>
      <c r="M473" s="174"/>
      <c r="R473" s="173"/>
    </row>
    <row r="474" spans="1:18" s="172" customFormat="1" x14ac:dyDescent="0.35">
      <c r="A474" s="132">
        <v>522</v>
      </c>
      <c r="B474" s="229" t="s">
        <v>1192</v>
      </c>
      <c r="C474" s="132" t="s">
        <v>836</v>
      </c>
      <c r="D474" s="227">
        <v>30</v>
      </c>
      <c r="E474" s="225">
        <v>60</v>
      </c>
      <c r="F474" s="226">
        <v>1800</v>
      </c>
      <c r="G474" s="227">
        <v>300</v>
      </c>
      <c r="H474" s="225">
        <f t="shared" si="45"/>
        <v>2100</v>
      </c>
      <c r="I474" s="224">
        <f t="shared" si="46"/>
        <v>210</v>
      </c>
      <c r="J474" s="225">
        <f t="shared" si="47"/>
        <v>1890</v>
      </c>
      <c r="K474" s="132" t="s">
        <v>835</v>
      </c>
      <c r="M474" s="174"/>
      <c r="R474" s="173"/>
    </row>
    <row r="475" spans="1:18" s="172" customFormat="1" x14ac:dyDescent="0.35">
      <c r="A475" s="132">
        <v>523</v>
      </c>
      <c r="B475" s="229" t="s">
        <v>1193</v>
      </c>
      <c r="C475" s="132" t="s">
        <v>836</v>
      </c>
      <c r="D475" s="227">
        <v>30</v>
      </c>
      <c r="E475" s="225">
        <v>60</v>
      </c>
      <c r="F475" s="226">
        <v>1800</v>
      </c>
      <c r="G475" s="227">
        <v>300</v>
      </c>
      <c r="H475" s="225">
        <f t="shared" si="45"/>
        <v>2100</v>
      </c>
      <c r="I475" s="224">
        <f t="shared" si="46"/>
        <v>210</v>
      </c>
      <c r="J475" s="225">
        <f t="shared" si="47"/>
        <v>1890</v>
      </c>
      <c r="K475" s="132" t="s">
        <v>835</v>
      </c>
      <c r="M475" s="174"/>
      <c r="R475" s="173"/>
    </row>
    <row r="476" spans="1:18" s="172" customFormat="1" x14ac:dyDescent="0.35">
      <c r="A476" s="132">
        <v>524</v>
      </c>
      <c r="B476" s="229" t="s">
        <v>1194</v>
      </c>
      <c r="C476" s="132" t="s">
        <v>836</v>
      </c>
      <c r="D476" s="227">
        <v>30</v>
      </c>
      <c r="E476" s="225">
        <v>60</v>
      </c>
      <c r="F476" s="226">
        <v>1800</v>
      </c>
      <c r="G476" s="227">
        <v>300</v>
      </c>
      <c r="H476" s="225">
        <f t="shared" si="45"/>
        <v>2100</v>
      </c>
      <c r="I476" s="224">
        <f t="shared" si="46"/>
        <v>210</v>
      </c>
      <c r="J476" s="225">
        <f t="shared" si="47"/>
        <v>1890</v>
      </c>
      <c r="K476" s="132" t="s">
        <v>835</v>
      </c>
      <c r="M476" s="174"/>
      <c r="N476" s="175"/>
      <c r="O476" s="173"/>
      <c r="P476" s="173"/>
      <c r="R476" s="173"/>
    </row>
    <row r="477" spans="1:18" s="172" customFormat="1" x14ac:dyDescent="0.35">
      <c r="A477" s="132">
        <v>525</v>
      </c>
      <c r="B477" s="229" t="s">
        <v>1195</v>
      </c>
      <c r="C477" s="132" t="s">
        <v>836</v>
      </c>
      <c r="D477" s="227">
        <v>32</v>
      </c>
      <c r="E477" s="225">
        <v>60</v>
      </c>
      <c r="F477" s="226">
        <v>1920</v>
      </c>
      <c r="G477" s="227">
        <v>320</v>
      </c>
      <c r="H477" s="225">
        <f t="shared" si="45"/>
        <v>2240</v>
      </c>
      <c r="I477" s="224">
        <f t="shared" si="46"/>
        <v>224</v>
      </c>
      <c r="J477" s="225">
        <f t="shared" si="47"/>
        <v>2016</v>
      </c>
      <c r="K477" s="132" t="s">
        <v>835</v>
      </c>
      <c r="M477" s="174"/>
      <c r="N477" s="175"/>
      <c r="O477" s="173"/>
      <c r="P477" s="173"/>
      <c r="R477" s="173"/>
    </row>
    <row r="478" spans="1:18" s="172" customFormat="1" x14ac:dyDescent="0.35">
      <c r="A478" s="132">
        <v>526</v>
      </c>
      <c r="B478" s="229" t="s">
        <v>1196</v>
      </c>
      <c r="C478" s="132" t="s">
        <v>836</v>
      </c>
      <c r="D478" s="227">
        <v>32</v>
      </c>
      <c r="E478" s="225">
        <v>60</v>
      </c>
      <c r="F478" s="226">
        <v>1920</v>
      </c>
      <c r="G478" s="227">
        <v>320</v>
      </c>
      <c r="H478" s="225">
        <f t="shared" si="45"/>
        <v>2240</v>
      </c>
      <c r="I478" s="224">
        <f t="shared" si="46"/>
        <v>224</v>
      </c>
      <c r="J478" s="225">
        <f t="shared" si="47"/>
        <v>2016</v>
      </c>
      <c r="K478" s="132" t="s">
        <v>835</v>
      </c>
      <c r="M478" s="174"/>
      <c r="N478" s="175"/>
      <c r="R478" s="173"/>
    </row>
    <row r="479" spans="1:18" s="172" customFormat="1" x14ac:dyDescent="0.35">
      <c r="A479" s="132">
        <v>527</v>
      </c>
      <c r="B479" s="229" t="s">
        <v>1197</v>
      </c>
      <c r="C479" s="132" t="s">
        <v>836</v>
      </c>
      <c r="D479" s="227">
        <v>34</v>
      </c>
      <c r="E479" s="225">
        <v>60</v>
      </c>
      <c r="F479" s="226">
        <f>D479*E479</f>
        <v>2040</v>
      </c>
      <c r="G479" s="227">
        <v>340</v>
      </c>
      <c r="H479" s="225">
        <f t="shared" si="45"/>
        <v>2380</v>
      </c>
      <c r="I479" s="224">
        <f t="shared" si="46"/>
        <v>238</v>
      </c>
      <c r="J479" s="225">
        <f t="shared" si="47"/>
        <v>2142</v>
      </c>
      <c r="K479" s="132" t="s">
        <v>835</v>
      </c>
      <c r="M479" s="174"/>
      <c r="N479" s="175"/>
      <c r="R479" s="173"/>
    </row>
    <row r="480" spans="1:18" s="172" customFormat="1" x14ac:dyDescent="0.35">
      <c r="A480" s="132">
        <v>528</v>
      </c>
      <c r="B480" s="229" t="s">
        <v>1198</v>
      </c>
      <c r="C480" s="132" t="s">
        <v>836</v>
      </c>
      <c r="D480" s="227">
        <v>32</v>
      </c>
      <c r="E480" s="225">
        <v>60</v>
      </c>
      <c r="F480" s="226">
        <f t="shared" ref="F480:F492" si="48">D480*E480</f>
        <v>1920</v>
      </c>
      <c r="G480" s="227">
        <v>320</v>
      </c>
      <c r="H480" s="225">
        <f t="shared" si="45"/>
        <v>2240</v>
      </c>
      <c r="I480" s="224">
        <f t="shared" si="46"/>
        <v>224</v>
      </c>
      <c r="J480" s="225">
        <f t="shared" si="47"/>
        <v>2016</v>
      </c>
      <c r="K480" s="132" t="s">
        <v>835</v>
      </c>
      <c r="M480" s="174"/>
      <c r="N480" s="175"/>
      <c r="R480" s="173"/>
    </row>
    <row r="481" spans="1:18" s="172" customFormat="1" x14ac:dyDescent="0.35">
      <c r="A481" s="132">
        <v>529</v>
      </c>
      <c r="B481" s="229" t="s">
        <v>1199</v>
      </c>
      <c r="C481" s="132" t="s">
        <v>836</v>
      </c>
      <c r="D481" s="227">
        <v>34</v>
      </c>
      <c r="E481" s="225">
        <v>60</v>
      </c>
      <c r="F481" s="226">
        <f t="shared" si="48"/>
        <v>2040</v>
      </c>
      <c r="G481" s="227">
        <v>340</v>
      </c>
      <c r="H481" s="225">
        <f t="shared" si="45"/>
        <v>2380</v>
      </c>
      <c r="I481" s="224">
        <f t="shared" si="46"/>
        <v>238</v>
      </c>
      <c r="J481" s="225">
        <f t="shared" si="47"/>
        <v>2142</v>
      </c>
      <c r="K481" s="132" t="s">
        <v>835</v>
      </c>
      <c r="M481" s="174"/>
      <c r="N481" s="175"/>
      <c r="R481" s="173"/>
    </row>
    <row r="482" spans="1:18" s="172" customFormat="1" x14ac:dyDescent="0.35">
      <c r="A482" s="132">
        <v>530</v>
      </c>
      <c r="B482" s="229" t="s">
        <v>1200</v>
      </c>
      <c r="C482" s="132" t="s">
        <v>836</v>
      </c>
      <c r="D482" s="227">
        <v>34</v>
      </c>
      <c r="E482" s="225">
        <v>60</v>
      </c>
      <c r="F482" s="226">
        <f t="shared" si="48"/>
        <v>2040</v>
      </c>
      <c r="G482" s="227">
        <v>340</v>
      </c>
      <c r="H482" s="225">
        <f t="shared" si="45"/>
        <v>2380</v>
      </c>
      <c r="I482" s="224">
        <f t="shared" si="46"/>
        <v>238</v>
      </c>
      <c r="J482" s="225">
        <f t="shared" si="47"/>
        <v>2142</v>
      </c>
      <c r="K482" s="132" t="s">
        <v>835</v>
      </c>
      <c r="M482" s="174"/>
      <c r="N482" s="175"/>
      <c r="R482" s="173"/>
    </row>
    <row r="483" spans="1:18" s="172" customFormat="1" x14ac:dyDescent="0.35">
      <c r="A483" s="132">
        <v>531</v>
      </c>
      <c r="B483" s="229" t="s">
        <v>1201</v>
      </c>
      <c r="C483" s="132" t="s">
        <v>836</v>
      </c>
      <c r="D483" s="227">
        <v>36</v>
      </c>
      <c r="E483" s="225">
        <v>60</v>
      </c>
      <c r="F483" s="226">
        <f t="shared" si="48"/>
        <v>2160</v>
      </c>
      <c r="G483" s="227">
        <v>360</v>
      </c>
      <c r="H483" s="225">
        <f t="shared" si="45"/>
        <v>2520</v>
      </c>
      <c r="I483" s="224">
        <f t="shared" si="46"/>
        <v>252</v>
      </c>
      <c r="J483" s="225">
        <f t="shared" si="47"/>
        <v>2268</v>
      </c>
      <c r="K483" s="132" t="s">
        <v>835</v>
      </c>
      <c r="M483" s="174"/>
      <c r="N483" s="175"/>
      <c r="R483" s="173"/>
    </row>
    <row r="484" spans="1:18" s="172" customFormat="1" x14ac:dyDescent="0.35">
      <c r="A484" s="132">
        <v>532</v>
      </c>
      <c r="B484" s="229" t="s">
        <v>1202</v>
      </c>
      <c r="C484" s="132" t="s">
        <v>836</v>
      </c>
      <c r="D484" s="227">
        <v>36</v>
      </c>
      <c r="E484" s="225">
        <v>60</v>
      </c>
      <c r="F484" s="226">
        <f t="shared" si="48"/>
        <v>2160</v>
      </c>
      <c r="G484" s="227">
        <v>360</v>
      </c>
      <c r="H484" s="225">
        <f t="shared" si="45"/>
        <v>2520</v>
      </c>
      <c r="I484" s="224">
        <f t="shared" si="46"/>
        <v>252</v>
      </c>
      <c r="J484" s="225">
        <f t="shared" si="47"/>
        <v>2268</v>
      </c>
      <c r="K484" s="132" t="s">
        <v>835</v>
      </c>
      <c r="M484" s="174"/>
      <c r="R484" s="173"/>
    </row>
    <row r="485" spans="1:18" s="172" customFormat="1" x14ac:dyDescent="0.35">
      <c r="A485" s="132">
        <v>533</v>
      </c>
      <c r="B485" s="229" t="s">
        <v>1203</v>
      </c>
      <c r="C485" s="132" t="s">
        <v>836</v>
      </c>
      <c r="D485" s="227">
        <v>36</v>
      </c>
      <c r="E485" s="225">
        <v>60</v>
      </c>
      <c r="F485" s="226">
        <f t="shared" si="48"/>
        <v>2160</v>
      </c>
      <c r="G485" s="227">
        <v>360</v>
      </c>
      <c r="H485" s="225">
        <f t="shared" si="45"/>
        <v>2520</v>
      </c>
      <c r="I485" s="224">
        <f t="shared" si="46"/>
        <v>252</v>
      </c>
      <c r="J485" s="225">
        <f t="shared" si="47"/>
        <v>2268</v>
      </c>
      <c r="K485" s="132" t="s">
        <v>835</v>
      </c>
      <c r="M485" s="174"/>
      <c r="N485" s="175"/>
      <c r="O485" s="173"/>
      <c r="P485" s="173"/>
      <c r="R485" s="173"/>
    </row>
    <row r="486" spans="1:18" s="172" customFormat="1" x14ac:dyDescent="0.35">
      <c r="A486" s="132">
        <v>534</v>
      </c>
      <c r="B486" s="229" t="s">
        <v>1204</v>
      </c>
      <c r="C486" s="132" t="s">
        <v>836</v>
      </c>
      <c r="D486" s="227">
        <v>41</v>
      </c>
      <c r="E486" s="225">
        <v>60</v>
      </c>
      <c r="F486" s="226">
        <f t="shared" si="48"/>
        <v>2460</v>
      </c>
      <c r="G486" s="227">
        <v>420</v>
      </c>
      <c r="H486" s="225">
        <f t="shared" si="45"/>
        <v>2880</v>
      </c>
      <c r="I486" s="224">
        <f t="shared" si="46"/>
        <v>288</v>
      </c>
      <c r="J486" s="225">
        <f t="shared" si="47"/>
        <v>2592</v>
      </c>
      <c r="K486" s="132" t="s">
        <v>835</v>
      </c>
      <c r="M486" s="174"/>
      <c r="N486" s="175"/>
      <c r="O486" s="173"/>
      <c r="P486" s="173"/>
      <c r="R486" s="173"/>
    </row>
    <row r="487" spans="1:18" s="172" customFormat="1" x14ac:dyDescent="0.35">
      <c r="A487" s="132">
        <v>535</v>
      </c>
      <c r="B487" s="229" t="s">
        <v>1349</v>
      </c>
      <c r="C487" s="132" t="s">
        <v>836</v>
      </c>
      <c r="D487" s="227">
        <v>38</v>
      </c>
      <c r="E487" s="225">
        <v>60</v>
      </c>
      <c r="F487" s="226">
        <f t="shared" si="48"/>
        <v>2280</v>
      </c>
      <c r="G487" s="227">
        <v>380</v>
      </c>
      <c r="H487" s="225">
        <f t="shared" si="45"/>
        <v>2660</v>
      </c>
      <c r="I487" s="224">
        <f t="shared" si="46"/>
        <v>266</v>
      </c>
      <c r="J487" s="225">
        <f t="shared" si="47"/>
        <v>2394</v>
      </c>
      <c r="K487" s="132" t="s">
        <v>835</v>
      </c>
      <c r="M487" s="174"/>
      <c r="N487" s="175"/>
      <c r="R487" s="173"/>
    </row>
    <row r="488" spans="1:18" s="172" customFormat="1" x14ac:dyDescent="0.35">
      <c r="A488" s="132">
        <v>536</v>
      </c>
      <c r="B488" s="229" t="s">
        <v>1205</v>
      </c>
      <c r="C488" s="132" t="s">
        <v>836</v>
      </c>
      <c r="D488" s="227">
        <v>42</v>
      </c>
      <c r="E488" s="225">
        <v>60</v>
      </c>
      <c r="F488" s="226">
        <f t="shared" si="48"/>
        <v>2520</v>
      </c>
      <c r="G488" s="227">
        <v>420</v>
      </c>
      <c r="H488" s="225">
        <f t="shared" si="45"/>
        <v>2940</v>
      </c>
      <c r="I488" s="224">
        <f t="shared" si="46"/>
        <v>294</v>
      </c>
      <c r="J488" s="225">
        <f t="shared" si="47"/>
        <v>2646</v>
      </c>
      <c r="K488" s="132" t="s">
        <v>835</v>
      </c>
      <c r="M488" s="174"/>
      <c r="N488" s="175"/>
      <c r="R488" s="173"/>
    </row>
    <row r="489" spans="1:18" s="172" customFormat="1" x14ac:dyDescent="0.35">
      <c r="A489" s="132">
        <v>537</v>
      </c>
      <c r="B489" s="229" t="s">
        <v>1206</v>
      </c>
      <c r="C489" s="132" t="s">
        <v>836</v>
      </c>
      <c r="D489" s="227">
        <v>42</v>
      </c>
      <c r="E489" s="225">
        <v>60</v>
      </c>
      <c r="F489" s="226">
        <f t="shared" si="48"/>
        <v>2520</v>
      </c>
      <c r="G489" s="227">
        <v>420</v>
      </c>
      <c r="H489" s="225">
        <f t="shared" si="45"/>
        <v>2940</v>
      </c>
      <c r="I489" s="224">
        <f t="shared" si="46"/>
        <v>294</v>
      </c>
      <c r="J489" s="225">
        <f t="shared" si="47"/>
        <v>2646</v>
      </c>
      <c r="K489" s="132" t="s">
        <v>835</v>
      </c>
      <c r="M489" s="174"/>
      <c r="N489" s="175"/>
      <c r="R489" s="173"/>
    </row>
    <row r="490" spans="1:18" s="204" customFormat="1" x14ac:dyDescent="0.35">
      <c r="A490" s="132">
        <v>538</v>
      </c>
      <c r="B490" s="241" t="s">
        <v>932</v>
      </c>
      <c r="C490" s="242" t="s">
        <v>836</v>
      </c>
      <c r="D490" s="252">
        <v>48</v>
      </c>
      <c r="E490" s="225">
        <v>60</v>
      </c>
      <c r="F490" s="226">
        <f t="shared" si="48"/>
        <v>2880</v>
      </c>
      <c r="G490" s="252">
        <v>480</v>
      </c>
      <c r="H490" s="225">
        <f t="shared" si="45"/>
        <v>3360</v>
      </c>
      <c r="I490" s="224">
        <f t="shared" si="46"/>
        <v>336</v>
      </c>
      <c r="J490" s="225">
        <f t="shared" si="47"/>
        <v>3024</v>
      </c>
      <c r="K490" s="132" t="s">
        <v>835</v>
      </c>
      <c r="M490" s="201"/>
      <c r="N490" s="202"/>
      <c r="O490" s="199"/>
      <c r="P490" s="199"/>
      <c r="Q490" s="199"/>
      <c r="R490" s="203"/>
    </row>
    <row r="491" spans="1:18" s="204" customFormat="1" x14ac:dyDescent="0.35">
      <c r="A491" s="132">
        <v>539</v>
      </c>
      <c r="B491" s="241" t="s">
        <v>1207</v>
      </c>
      <c r="C491" s="242" t="s">
        <v>836</v>
      </c>
      <c r="D491" s="252">
        <v>54</v>
      </c>
      <c r="E491" s="225">
        <v>60</v>
      </c>
      <c r="F491" s="226">
        <f t="shared" si="48"/>
        <v>3240</v>
      </c>
      <c r="G491" s="252">
        <v>480</v>
      </c>
      <c r="H491" s="225">
        <f t="shared" si="45"/>
        <v>3720</v>
      </c>
      <c r="I491" s="224">
        <f t="shared" si="46"/>
        <v>372</v>
      </c>
      <c r="J491" s="225">
        <f t="shared" si="47"/>
        <v>3348</v>
      </c>
      <c r="K491" s="132" t="s">
        <v>835</v>
      </c>
      <c r="M491" s="201"/>
      <c r="N491" s="202"/>
      <c r="O491" s="199"/>
      <c r="P491" s="199"/>
      <c r="Q491" s="199"/>
      <c r="R491" s="203"/>
    </row>
    <row r="492" spans="1:18" s="204" customFormat="1" x14ac:dyDescent="0.35">
      <c r="A492" s="132">
        <v>540</v>
      </c>
      <c r="B492" s="241" t="s">
        <v>1208</v>
      </c>
      <c r="C492" s="242" t="s">
        <v>836</v>
      </c>
      <c r="D492" s="252">
        <v>60</v>
      </c>
      <c r="E492" s="225">
        <v>60</v>
      </c>
      <c r="F492" s="226">
        <f t="shared" si="48"/>
        <v>3600</v>
      </c>
      <c r="G492" s="252">
        <v>600</v>
      </c>
      <c r="H492" s="225">
        <f t="shared" si="45"/>
        <v>4200</v>
      </c>
      <c r="I492" s="224">
        <f t="shared" si="46"/>
        <v>420</v>
      </c>
      <c r="J492" s="225">
        <f t="shared" si="47"/>
        <v>3780</v>
      </c>
      <c r="K492" s="132" t="s">
        <v>835</v>
      </c>
      <c r="M492" s="201"/>
      <c r="N492" s="202"/>
      <c r="O492" s="199"/>
      <c r="P492" s="199"/>
      <c r="Q492" s="199"/>
      <c r="R492" s="203"/>
    </row>
    <row r="493" spans="1:18" s="204" customFormat="1" x14ac:dyDescent="0.35">
      <c r="A493" s="205"/>
      <c r="B493" s="193"/>
      <c r="C493" s="194"/>
      <c r="D493" s="206"/>
      <c r="E493" s="195"/>
      <c r="F493" s="207"/>
      <c r="G493" s="206"/>
      <c r="H493" s="208"/>
      <c r="I493" s="209"/>
      <c r="J493" s="210"/>
      <c r="K493" s="196"/>
      <c r="L493" s="200"/>
      <c r="M493" s="201"/>
      <c r="N493" s="202"/>
      <c r="O493" s="199"/>
      <c r="P493" s="199"/>
      <c r="Q493" s="199"/>
      <c r="R493" s="203"/>
    </row>
    <row r="494" spans="1:18" x14ac:dyDescent="0.35">
      <c r="A494" s="160"/>
      <c r="B494" s="170"/>
      <c r="C494" s="170"/>
      <c r="D494" s="169"/>
      <c r="E494" s="168"/>
      <c r="F494" s="167"/>
      <c r="G494" s="163"/>
      <c r="H494" s="166"/>
      <c r="I494" s="165"/>
      <c r="J494" s="164"/>
      <c r="K494" s="163"/>
      <c r="L494" s="163"/>
      <c r="M494" s="162"/>
      <c r="N494" s="161"/>
      <c r="O494" s="160"/>
      <c r="P494" s="160"/>
      <c r="Q494" s="160"/>
      <c r="R494"/>
    </row>
    <row r="495" spans="1:18" s="149" customFormat="1" ht="15" x14ac:dyDescent="0.3">
      <c r="A495" s="151"/>
      <c r="B495" s="159"/>
      <c r="C495" s="159"/>
      <c r="D495" s="158"/>
      <c r="E495" s="150"/>
      <c r="F495" s="436" t="s">
        <v>834</v>
      </c>
      <c r="G495" s="437"/>
      <c r="H495" s="157">
        <f>SUM(H7:H494)</f>
        <v>716065</v>
      </c>
      <c r="I495" s="156">
        <f>SUM(I7:I494)</f>
        <v>71606.5</v>
      </c>
      <c r="J495" s="155">
        <f>SUM(J178:J494)</f>
        <v>566406</v>
      </c>
      <c r="K495" s="150"/>
      <c r="L495" s="154"/>
      <c r="M495" s="153"/>
      <c r="N495" s="152"/>
      <c r="O495" s="151"/>
      <c r="P495" s="151"/>
      <c r="Q495" s="151"/>
      <c r="R495" s="150"/>
    </row>
    <row r="496" spans="1:18" x14ac:dyDescent="0.35">
      <c r="B496" s="136"/>
      <c r="C496" s="136"/>
      <c r="D496" s="146"/>
      <c r="E496"/>
      <c r="F496"/>
      <c r="G496" s="11"/>
      <c r="H496" s="145"/>
      <c r="I496" s="148"/>
      <c r="J496" s="147"/>
      <c r="K496"/>
      <c r="L496" s="11"/>
      <c r="M496" s="142"/>
      <c r="N496" s="141"/>
      <c r="O496" s="132"/>
      <c r="P496" s="132"/>
      <c r="Q496" s="132"/>
      <c r="R496"/>
    </row>
    <row r="497" spans="2:18" x14ac:dyDescent="0.35">
      <c r="B497" s="136"/>
      <c r="C497" s="136"/>
      <c r="D497" s="146"/>
      <c r="E497"/>
      <c r="F497"/>
      <c r="G497" s="11"/>
      <c r="H497" s="145"/>
      <c r="I497" s="145"/>
      <c r="J497" s="145"/>
      <c r="K497"/>
      <c r="L497" s="11"/>
      <c r="M497" s="142"/>
      <c r="N497" s="141"/>
      <c r="O497" s="132"/>
      <c r="P497" s="132"/>
      <c r="Q497" s="132"/>
      <c r="R497"/>
    </row>
    <row r="498" spans="2:18" x14ac:dyDescent="0.35">
      <c r="F498" s="433" t="s">
        <v>833</v>
      </c>
      <c r="G498" s="434"/>
      <c r="H498" s="144">
        <f>'[12]Sheet1 (2)'!H$32+H$495</f>
        <v>716965</v>
      </c>
      <c r="I498" s="143">
        <f>'[12]Sheet1 (2)'!I$32+I$495</f>
        <v>71696.5</v>
      </c>
      <c r="J498" s="143">
        <f>'[12]Sheet1 (2)'!J$32+J$495</f>
        <v>567216</v>
      </c>
      <c r="L498" s="11"/>
      <c r="M498" s="142"/>
      <c r="N498" s="141"/>
      <c r="O498" s="132"/>
      <c r="P498" s="132"/>
      <c r="Q498" s="132"/>
    </row>
    <row r="499" spans="2:18" x14ac:dyDescent="0.35">
      <c r="F499" s="135"/>
      <c r="G499" s="140"/>
      <c r="H499" s="138"/>
      <c r="I499" s="139"/>
      <c r="J499" s="138"/>
    </row>
    <row r="500" spans="2:18" x14ac:dyDescent="0.35">
      <c r="H500" s="137"/>
      <c r="J500" s="137"/>
    </row>
    <row r="502" spans="2:18" x14ac:dyDescent="0.35">
      <c r="C502" s="136"/>
    </row>
    <row r="503" spans="2:18" x14ac:dyDescent="0.35">
      <c r="H503" s="135"/>
      <c r="I503" s="135"/>
      <c r="J503" s="135"/>
    </row>
    <row r="508" spans="2:18" x14ac:dyDescent="0.35">
      <c r="E508" s="135"/>
    </row>
  </sheetData>
  <mergeCells count="6">
    <mergeCell ref="F498:G498"/>
    <mergeCell ref="A1:K1"/>
    <mergeCell ref="A2:K2"/>
    <mergeCell ref="A3:K3"/>
    <mergeCell ref="A4:K4"/>
    <mergeCell ref="F495:G495"/>
  </mergeCells>
  <conditionalFormatting sqref="B7">
    <cfRule type="duplicateValues" dxfId="69" priority="47"/>
  </conditionalFormatting>
  <conditionalFormatting sqref="B8">
    <cfRule type="duplicateValues" dxfId="68" priority="38"/>
  </conditionalFormatting>
  <conditionalFormatting sqref="B9">
    <cfRule type="duplicateValues" dxfId="67" priority="39"/>
  </conditionalFormatting>
  <conditionalFormatting sqref="B21:B27 B19">
    <cfRule type="duplicateValues" dxfId="66" priority="235"/>
    <cfRule type="duplicateValues" dxfId="65" priority="222"/>
    <cfRule type="duplicateValues" dxfId="64" priority="225"/>
    <cfRule type="duplicateValues" dxfId="63" priority="226"/>
    <cfRule type="duplicateValues" dxfId="62" priority="227"/>
    <cfRule type="duplicateValues" dxfId="61" priority="234"/>
  </conditionalFormatting>
  <conditionalFormatting sqref="B28 B7:B18">
    <cfRule type="duplicateValues" dxfId="60" priority="45"/>
    <cfRule type="duplicateValues" dxfId="59" priority="46"/>
    <cfRule type="duplicateValues" dxfId="58" priority="41"/>
    <cfRule type="duplicateValues" dxfId="57" priority="42"/>
    <cfRule type="duplicateValues" dxfId="56" priority="43"/>
    <cfRule type="duplicateValues" dxfId="55" priority="44"/>
  </conditionalFormatting>
  <conditionalFormatting sqref="B28 B10:B18">
    <cfRule type="duplicateValues" dxfId="54" priority="40"/>
  </conditionalFormatting>
  <conditionalFormatting sqref="B29">
    <cfRule type="duplicateValues" dxfId="53" priority="150"/>
    <cfRule type="duplicateValues" dxfId="52" priority="149"/>
    <cfRule type="duplicateValues" dxfId="51" priority="148"/>
    <cfRule type="duplicateValues" dxfId="50" priority="146"/>
    <cfRule type="duplicateValues" dxfId="49" priority="151"/>
    <cfRule type="duplicateValues" dxfId="48" priority="152"/>
  </conditionalFormatting>
  <conditionalFormatting sqref="B34:B54">
    <cfRule type="duplicateValues" dxfId="47" priority="54"/>
    <cfRule type="duplicateValues" dxfId="46" priority="49"/>
    <cfRule type="duplicateValues" dxfId="45" priority="50"/>
    <cfRule type="duplicateValues" dxfId="44" priority="53"/>
    <cfRule type="duplicateValues" dxfId="43" priority="52"/>
    <cfRule type="duplicateValues" dxfId="42" priority="51"/>
  </conditionalFormatting>
  <conditionalFormatting sqref="B230">
    <cfRule type="duplicateValues" dxfId="41" priority="19"/>
    <cfRule type="duplicateValues" dxfId="40" priority="17"/>
    <cfRule type="duplicateValues" dxfId="39" priority="15"/>
    <cfRule type="duplicateValues" dxfId="38" priority="16"/>
    <cfRule type="duplicateValues" dxfId="37" priority="18"/>
  </conditionalFormatting>
  <conditionalFormatting sqref="B230:B232">
    <cfRule type="duplicateValues" dxfId="36" priority="14"/>
  </conditionalFormatting>
  <conditionalFormatting sqref="B231:B232">
    <cfRule type="duplicateValues" dxfId="35" priority="24"/>
    <cfRule type="duplicateValues" dxfId="34" priority="21"/>
    <cfRule type="duplicateValues" dxfId="33" priority="22"/>
    <cfRule type="duplicateValues" dxfId="32" priority="23"/>
    <cfRule type="duplicateValues" dxfId="31" priority="20"/>
  </conditionalFormatting>
  <conditionalFormatting sqref="B233:B235">
    <cfRule type="duplicateValues" dxfId="30" priority="11"/>
    <cfRule type="duplicateValues" dxfId="29" priority="9"/>
    <cfRule type="duplicateValues" dxfId="28" priority="7"/>
    <cfRule type="duplicateValues" dxfId="27" priority="8"/>
    <cfRule type="duplicateValues" dxfId="26" priority="10"/>
  </conditionalFormatting>
  <conditionalFormatting sqref="B387:B388 B380:B385 B205:B206 B370:B371 B367">
    <cfRule type="duplicateValues" dxfId="25" priority="58"/>
    <cfRule type="duplicateValues" dxfId="24" priority="59"/>
    <cfRule type="duplicateValues" dxfId="23" priority="60"/>
    <cfRule type="duplicateValues" dxfId="22" priority="55"/>
    <cfRule type="duplicateValues" dxfId="21" priority="56"/>
    <cfRule type="duplicateValues" dxfId="20" priority="57"/>
  </conditionalFormatting>
  <conditionalFormatting sqref="B405">
    <cfRule type="duplicateValues" dxfId="19" priority="5"/>
    <cfRule type="duplicateValues" dxfId="18" priority="4"/>
    <cfRule type="duplicateValues" dxfId="17" priority="3"/>
    <cfRule type="duplicateValues" dxfId="16" priority="2"/>
    <cfRule type="duplicateValues" dxfId="15" priority="1"/>
    <cfRule type="duplicateValues" dxfId="14" priority="6"/>
  </conditionalFormatting>
  <conditionalFormatting sqref="B406:B409 B393 B395:B404 B366">
    <cfRule type="duplicateValues" dxfId="13" priority="298"/>
    <cfRule type="duplicateValues" dxfId="12" priority="302"/>
    <cfRule type="duplicateValues" dxfId="11" priority="303"/>
    <cfRule type="duplicateValues" dxfId="10" priority="304"/>
    <cfRule type="duplicateValues" dxfId="9" priority="314"/>
    <cfRule type="duplicateValues" dxfId="8" priority="315"/>
  </conditionalFormatting>
  <conditionalFormatting sqref="B417 B389:B392 B372 B369 B374:B379">
    <cfRule type="duplicateValues" dxfId="7" priority="316"/>
    <cfRule type="duplicateValues" dxfId="6" priority="321"/>
    <cfRule type="duplicateValues" dxfId="5" priority="322"/>
    <cfRule type="duplicateValues" dxfId="4" priority="323"/>
    <cfRule type="duplicateValues" dxfId="3" priority="336"/>
    <cfRule type="duplicateValues" dxfId="2" priority="337"/>
  </conditionalFormatting>
  <conditionalFormatting sqref="G19:G29">
    <cfRule type="cellIs" dxfId="1" priority="48" operator="equal">
      <formula>0</formula>
    </cfRule>
  </conditionalFormatting>
  <conditionalFormatting sqref="G232:G254">
    <cfRule type="cellIs" dxfId="0" priority="12" operator="equal">
      <formula>0</formula>
    </cfRule>
  </conditionalFormatting>
  <pageMargins left="0.25" right="0.25" top="0.75" bottom="0.75" header="0.3" footer="0.3"/>
  <pageSetup paperSize="9" scale="80" fitToHeight="0" orientation="landscape" r:id="rId1"/>
  <rowBreaks count="13" manualBreakCount="13">
    <brk id="59" max="10" man="1"/>
    <brk id="91" max="10" man="1"/>
    <brk id="122" max="10" man="1"/>
    <brk id="153" max="10" man="1"/>
    <brk id="218" max="10" man="1"/>
    <brk id="256" max="10" man="1"/>
    <brk id="318" max="10" man="1"/>
    <brk id="347" max="10" man="1"/>
    <brk id="375" max="10" man="1"/>
    <brk id="406" max="10" man="1"/>
    <brk id="428" max="10" man="1"/>
    <brk id="457" max="10" man="1"/>
    <brk id="493" max="10" man="1"/>
  </rowBreaks>
  <colBreaks count="1" manualBreakCount="1">
    <brk id="11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7</vt:i4>
      </vt:variant>
    </vt:vector>
  </HeadingPairs>
  <TitlesOfParts>
    <vt:vector size="17" baseType="lpstr">
      <vt:lpstr>TT </vt:lpstr>
      <vt:lpstr>Sheet1</vt:lpstr>
      <vt:lpstr>TALLY</vt:lpstr>
      <vt:lpstr>Lecturers</vt:lpstr>
      <vt:lpstr>ROOMS</vt:lpstr>
      <vt:lpstr>WATER (2)</vt:lpstr>
      <vt:lpstr>COMBINED_ATTD_INV (2)</vt:lpstr>
      <vt:lpstr>BANK DETAILS INVIGILATORS</vt:lpstr>
      <vt:lpstr>SUPP</vt:lpstr>
      <vt:lpstr>Invigilation + Meals(2nd Sem)</vt:lpstr>
      <vt:lpstr>'COMBINED_ATTD_INV (2)'!Print_Area</vt:lpstr>
      <vt:lpstr>'Invigilation + Meals(2nd Sem)'!Print_Area</vt:lpstr>
      <vt:lpstr>ROOMS!Print_Area</vt:lpstr>
      <vt:lpstr>SUPP!Print_Area</vt:lpstr>
      <vt:lpstr>TALLY!Print_Area</vt:lpstr>
      <vt:lpstr>'TT '!Print_Area</vt:lpstr>
      <vt:lpstr>'WATER (2)'!Print_Area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EXAMINATIONS OFFICE</dc:creator>
  <cp:keywords/>
  <dc:description/>
  <cp:lastModifiedBy>Mr Man</cp:lastModifiedBy>
  <cp:revision/>
  <cp:lastPrinted>2026-02-19T08:30:15Z</cp:lastPrinted>
  <dcterms:created xsi:type="dcterms:W3CDTF">2025-02-05T21:28:46Z</dcterms:created>
  <dcterms:modified xsi:type="dcterms:W3CDTF">2026-02-19T11:56:31Z</dcterms:modified>
  <cp:category/>
  <cp:contentStatus/>
</cp:coreProperties>
</file>